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eletraenergy365.sharepoint.com/sites/comex/Shared Documents/General/"/>
    </mc:Choice>
  </mc:AlternateContent>
  <xr:revisionPtr revIDLastSave="0" documentId="8_{4D504DBA-9188-4AEF-869C-2B053177E7F8}" xr6:coauthVersionLast="47" xr6:coauthVersionMax="47" xr10:uidLastSave="{00000000-0000-0000-0000-000000000000}"/>
  <bookViews>
    <workbookView xWindow="-28920" yWindow="-120" windowWidth="29040" windowHeight="15720" firstSheet="1" activeTab="1" xr2:uid="{E04DAE86-99FD-458B-898C-290D780611A9}"/>
  </bookViews>
  <sheets>
    <sheet name="FUP - Status details (2)" sheetId="2" state="hidden" r:id="rId1"/>
    <sheet name="FUP - Status details" sheetId="1" r:id="rId2"/>
  </sheets>
  <externalReferences>
    <externalReference r:id="rId3"/>
  </externalReferences>
  <definedNames>
    <definedName name="_xlnm._FilterDatabase" localSheetId="0" hidden="1">'FUP - Status details (2)'!$B$7:$FY$65</definedName>
    <definedName name="_xlnm._FilterDatabase" localSheetId="1" hidden="1">'FUP - Status details'!$A$8:$LS$90</definedName>
    <definedName name="DT10U7">'FUP - Status details'!$DU$11:$DU$11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3" i="1" l="1"/>
  <c r="EP93" i="1"/>
  <c r="EO93" i="1"/>
  <c r="EN93" i="1"/>
  <c r="EM93" i="1"/>
  <c r="EL93" i="1"/>
  <c r="EK93" i="1"/>
  <c r="EJ93" i="1"/>
  <c r="EI93" i="1"/>
  <c r="EH93" i="1"/>
  <c r="EG93" i="1"/>
  <c r="EF93" i="1"/>
  <c r="EE93" i="1"/>
  <c r="ED93" i="1"/>
  <c r="DY93" i="1"/>
  <c r="DQ93" i="1"/>
  <c r="DP93" i="1"/>
  <c r="DK93" i="1"/>
  <c r="DJ93" i="1"/>
  <c r="DF93" i="1"/>
  <c r="DE93" i="1"/>
  <c r="DA93" i="1"/>
  <c r="CZ93" i="1"/>
  <c r="CV93" i="1"/>
  <c r="CU93" i="1"/>
  <c r="CQ93" i="1"/>
  <c r="CP93" i="1"/>
  <c r="CK93" i="1"/>
  <c r="CG93" i="1"/>
  <c r="CF93" i="1"/>
  <c r="CB93" i="1"/>
  <c r="CA93" i="1"/>
  <c r="BW93" i="1"/>
  <c r="BV93" i="1"/>
  <c r="BR93" i="1"/>
  <c r="BQ93" i="1"/>
  <c r="BM93" i="1"/>
  <c r="BL93" i="1"/>
  <c r="BH93" i="1"/>
  <c r="BG93" i="1"/>
  <c r="BC93" i="1"/>
  <c r="BB93" i="1"/>
  <c r="AX93" i="1"/>
  <c r="AW93" i="1"/>
  <c r="AS93" i="1"/>
  <c r="AR93" i="1"/>
  <c r="AN93" i="1"/>
  <c r="AM93" i="1"/>
  <c r="AI93" i="1"/>
  <c r="AH93" i="1"/>
  <c r="AD93" i="1"/>
  <c r="AC93" i="1"/>
  <c r="Y93" i="1"/>
  <c r="V93" i="1"/>
  <c r="U93" i="1"/>
  <c r="T93" i="1"/>
  <c r="S93" i="1"/>
  <c r="R93" i="1"/>
  <c r="Q93" i="1"/>
  <c r="P93" i="1"/>
  <c r="O93" i="1"/>
  <c r="N93" i="1"/>
  <c r="M93" i="1"/>
  <c r="I93" i="1"/>
  <c r="H93" i="1"/>
  <c r="F93" i="1"/>
  <c r="D93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DY92" i="1"/>
  <c r="DQ92" i="1"/>
  <c r="DP92" i="1"/>
  <c r="DK92" i="1"/>
  <c r="DJ92" i="1"/>
  <c r="DF92" i="1"/>
  <c r="DE92" i="1"/>
  <c r="DA92" i="1"/>
  <c r="CZ92" i="1"/>
  <c r="CV92" i="1"/>
  <c r="CU92" i="1"/>
  <c r="CQ92" i="1"/>
  <c r="CP92" i="1"/>
  <c r="CK92" i="1"/>
  <c r="CG92" i="1"/>
  <c r="CF92" i="1"/>
  <c r="CB92" i="1"/>
  <c r="CA92" i="1"/>
  <c r="BW92" i="1"/>
  <c r="BV92" i="1"/>
  <c r="BR92" i="1"/>
  <c r="BQ92" i="1"/>
  <c r="BM92" i="1"/>
  <c r="BL92" i="1"/>
  <c r="BH92" i="1"/>
  <c r="BG92" i="1"/>
  <c r="BC92" i="1"/>
  <c r="BB92" i="1"/>
  <c r="AX92" i="1"/>
  <c r="AW92" i="1"/>
  <c r="AS92" i="1"/>
  <c r="AR92" i="1"/>
  <c r="AN92" i="1"/>
  <c r="AM92" i="1"/>
  <c r="AI92" i="1"/>
  <c r="AH92" i="1"/>
  <c r="AD92" i="1"/>
  <c r="AC92" i="1"/>
  <c r="Y92" i="1"/>
  <c r="X92" i="1"/>
  <c r="V92" i="1"/>
  <c r="U92" i="1"/>
  <c r="T92" i="1"/>
  <c r="S92" i="1"/>
  <c r="R92" i="1"/>
  <c r="Q92" i="1"/>
  <c r="P92" i="1"/>
  <c r="O92" i="1"/>
  <c r="N92" i="1"/>
  <c r="M92" i="1"/>
  <c r="I92" i="1"/>
  <c r="H92" i="1"/>
  <c r="F92" i="1"/>
  <c r="D92" i="1"/>
  <c r="EP91" i="1"/>
  <c r="EO91" i="1"/>
  <c r="EN91" i="1"/>
  <c r="EM91" i="1"/>
  <c r="EL91" i="1"/>
  <c r="EK91" i="1"/>
  <c r="EJ91" i="1"/>
  <c r="EI91" i="1"/>
  <c r="EH91" i="1"/>
  <c r="EG91" i="1"/>
  <c r="EF91" i="1"/>
  <c r="EE91" i="1"/>
  <c r="ED91" i="1"/>
  <c r="DY91" i="1"/>
  <c r="DQ91" i="1"/>
  <c r="DP91" i="1"/>
  <c r="DK91" i="1"/>
  <c r="DJ91" i="1"/>
  <c r="DF91" i="1"/>
  <c r="DE91" i="1"/>
  <c r="DA91" i="1"/>
  <c r="CZ91" i="1"/>
  <c r="CV91" i="1"/>
  <c r="CU91" i="1"/>
  <c r="CQ91" i="1"/>
  <c r="CP91" i="1"/>
  <c r="CK91" i="1"/>
  <c r="CG91" i="1"/>
  <c r="CF91" i="1"/>
  <c r="CB91" i="1"/>
  <c r="CA91" i="1"/>
  <c r="BW91" i="1"/>
  <c r="BV91" i="1"/>
  <c r="BR91" i="1"/>
  <c r="BQ91" i="1"/>
  <c r="BM91" i="1"/>
  <c r="BL91" i="1"/>
  <c r="BH91" i="1"/>
  <c r="BG91" i="1"/>
  <c r="BC91" i="1"/>
  <c r="BB91" i="1"/>
  <c r="AX91" i="1"/>
  <c r="AW91" i="1"/>
  <c r="AS91" i="1"/>
  <c r="AR91" i="1"/>
  <c r="AN91" i="1"/>
  <c r="AM91" i="1"/>
  <c r="AI91" i="1"/>
  <c r="AH91" i="1"/>
  <c r="AD91" i="1"/>
  <c r="AC91" i="1"/>
  <c r="Y91" i="1"/>
  <c r="X91" i="1"/>
  <c r="V91" i="1"/>
  <c r="U91" i="1"/>
  <c r="T91" i="1"/>
  <c r="S91" i="1"/>
  <c r="R91" i="1"/>
  <c r="Q91" i="1"/>
  <c r="P91" i="1"/>
  <c r="O91" i="1"/>
  <c r="N91" i="1"/>
  <c r="M91" i="1"/>
  <c r="I91" i="1"/>
  <c r="H91" i="1"/>
  <c r="F91" i="1"/>
  <c r="D91" i="1"/>
  <c r="H88" i="1"/>
  <c r="H87" i="1"/>
  <c r="F76" i="1"/>
  <c r="D76" i="1"/>
  <c r="H76" i="1"/>
  <c r="I76" i="1"/>
  <c r="J76" i="1"/>
  <c r="M76" i="1"/>
  <c r="L76" i="1" s="1"/>
  <c r="N76" i="1"/>
  <c r="X76" i="1"/>
  <c r="Y76" i="1"/>
  <c r="AC76" i="1"/>
  <c r="AD76" i="1"/>
  <c r="AH76" i="1"/>
  <c r="AI76" i="1"/>
  <c r="AM76" i="1"/>
  <c r="AN76" i="1"/>
  <c r="AR76" i="1"/>
  <c r="AS76" i="1"/>
  <c r="AW76" i="1"/>
  <c r="AX76" i="1"/>
  <c r="BB76" i="1"/>
  <c r="BC76" i="1"/>
  <c r="BG76" i="1"/>
  <c r="BH76" i="1"/>
  <c r="BL76" i="1"/>
  <c r="BM76" i="1"/>
  <c r="BQ76" i="1"/>
  <c r="BR76" i="1"/>
  <c r="BV76" i="1"/>
  <c r="BW76" i="1"/>
  <c r="CA76" i="1"/>
  <c r="CB76" i="1"/>
  <c r="CF76" i="1"/>
  <c r="CG76" i="1"/>
  <c r="CK76" i="1"/>
  <c r="CP76" i="1"/>
  <c r="CQ76" i="1"/>
  <c r="CU76" i="1"/>
  <c r="CV76" i="1"/>
  <c r="CZ76" i="1"/>
  <c r="DA76" i="1"/>
  <c r="DE76" i="1"/>
  <c r="DF76" i="1"/>
  <c r="DJ76" i="1"/>
  <c r="DK76" i="1"/>
  <c r="DO76" i="1"/>
  <c r="DI76" i="1" s="1"/>
  <c r="DD76" i="1" s="1"/>
  <c r="CY76" i="1" s="1"/>
  <c r="CT76" i="1" s="1"/>
  <c r="CO76" i="1" s="1"/>
  <c r="CJ76" i="1" s="1"/>
  <c r="DP76" i="1"/>
  <c r="DU76" i="1" s="1"/>
  <c r="DV76" i="1" s="1"/>
  <c r="DQ76" i="1"/>
  <c r="F75" i="1"/>
  <c r="EP90" i="1"/>
  <c r="EO90" i="1"/>
  <c r="EN90" i="1"/>
  <c r="EM90" i="1"/>
  <c r="EL90" i="1"/>
  <c r="EK90" i="1"/>
  <c r="EJ90" i="1"/>
  <c r="EI90" i="1"/>
  <c r="EH90" i="1"/>
  <c r="EG90" i="1"/>
  <c r="EF90" i="1"/>
  <c r="EE90" i="1"/>
  <c r="ED90" i="1"/>
  <c r="DY90" i="1"/>
  <c r="DQ90" i="1"/>
  <c r="DP90" i="1"/>
  <c r="DK90" i="1"/>
  <c r="DJ90" i="1"/>
  <c r="DF90" i="1"/>
  <c r="DE90" i="1"/>
  <c r="DA90" i="1"/>
  <c r="CZ90" i="1"/>
  <c r="CV90" i="1"/>
  <c r="CU90" i="1"/>
  <c r="CQ90" i="1"/>
  <c r="CP90" i="1"/>
  <c r="CK90" i="1"/>
  <c r="CG90" i="1"/>
  <c r="CF90" i="1"/>
  <c r="CB90" i="1"/>
  <c r="CA90" i="1"/>
  <c r="BW90" i="1"/>
  <c r="BV90" i="1"/>
  <c r="BR90" i="1"/>
  <c r="BQ90" i="1"/>
  <c r="BM90" i="1"/>
  <c r="BL90" i="1"/>
  <c r="BH90" i="1"/>
  <c r="BG90" i="1"/>
  <c r="BC90" i="1"/>
  <c r="BB90" i="1"/>
  <c r="AX90" i="1"/>
  <c r="AW90" i="1"/>
  <c r="AS90" i="1"/>
  <c r="AR90" i="1"/>
  <c r="AN90" i="1"/>
  <c r="AM90" i="1"/>
  <c r="AI90" i="1"/>
  <c r="AH90" i="1"/>
  <c r="AD90" i="1"/>
  <c r="AC90" i="1"/>
  <c r="Y90" i="1"/>
  <c r="X90" i="1"/>
  <c r="V90" i="1"/>
  <c r="DO90" i="1" s="1"/>
  <c r="DI90" i="1" s="1"/>
  <c r="DD90" i="1" s="1"/>
  <c r="CY90" i="1" s="1"/>
  <c r="CT90" i="1" s="1"/>
  <c r="CO90" i="1" s="1"/>
  <c r="CJ90" i="1" s="1"/>
  <c r="CE90" i="1" s="1"/>
  <c r="BZ90" i="1" s="1"/>
  <c r="BU90" i="1" s="1"/>
  <c r="BP90" i="1" s="1"/>
  <c r="BK90" i="1" s="1"/>
  <c r="BF90" i="1" s="1"/>
  <c r="BA90" i="1" s="1"/>
  <c r="AV90" i="1" s="1"/>
  <c r="AQ90" i="1" s="1"/>
  <c r="AL90" i="1" s="1"/>
  <c r="AG90" i="1" s="1"/>
  <c r="AB90" i="1" s="1"/>
  <c r="W90" i="1" s="1"/>
  <c r="V87" i="1"/>
  <c r="V53" i="1"/>
  <c r="V52" i="1"/>
  <c r="V51" i="1"/>
  <c r="EP75" i="1"/>
  <c r="EO75" i="1"/>
  <c r="EN75" i="1"/>
  <c r="EM75" i="1"/>
  <c r="EL75" i="1"/>
  <c r="EK75" i="1"/>
  <c r="EJ75" i="1"/>
  <c r="EI75" i="1"/>
  <c r="EH75" i="1"/>
  <c r="EG75" i="1"/>
  <c r="EF75" i="1"/>
  <c r="EE75" i="1"/>
  <c r="ED75" i="1"/>
  <c r="DY75" i="1"/>
  <c r="DQ75" i="1"/>
  <c r="DP75" i="1"/>
  <c r="DK75" i="1"/>
  <c r="DJ75" i="1"/>
  <c r="DF75" i="1"/>
  <c r="DE75" i="1"/>
  <c r="DA75" i="1"/>
  <c r="CZ75" i="1"/>
  <c r="CV75" i="1"/>
  <c r="CU75" i="1"/>
  <c r="CQ75" i="1"/>
  <c r="CP75" i="1"/>
  <c r="CK75" i="1"/>
  <c r="CG75" i="1"/>
  <c r="CF75" i="1"/>
  <c r="CB75" i="1"/>
  <c r="CA75" i="1"/>
  <c r="BW75" i="1"/>
  <c r="BV75" i="1"/>
  <c r="BR75" i="1"/>
  <c r="BQ75" i="1"/>
  <c r="BM75" i="1"/>
  <c r="BL75" i="1"/>
  <c r="BH75" i="1"/>
  <c r="BG75" i="1"/>
  <c r="BC75" i="1"/>
  <c r="BB75" i="1"/>
  <c r="AX75" i="1"/>
  <c r="AW75" i="1"/>
  <c r="AS75" i="1"/>
  <c r="AR75" i="1"/>
  <c r="AN75" i="1"/>
  <c r="AM75" i="1"/>
  <c r="AI75" i="1"/>
  <c r="AH75" i="1"/>
  <c r="AD75" i="1"/>
  <c r="AC75" i="1"/>
  <c r="Y75" i="1"/>
  <c r="X75" i="1"/>
  <c r="N75" i="1"/>
  <c r="DO75" i="1" s="1"/>
  <c r="DI75" i="1" s="1"/>
  <c r="DD75" i="1" s="1"/>
  <c r="CY75" i="1" s="1"/>
  <c r="CT75" i="1" s="1"/>
  <c r="CO75" i="1" s="1"/>
  <c r="CJ75" i="1" s="1"/>
  <c r="CE75" i="1" s="1"/>
  <c r="BZ75" i="1" s="1"/>
  <c r="BU75" i="1" s="1"/>
  <c r="BP75" i="1" s="1"/>
  <c r="BK75" i="1" s="1"/>
  <c r="BF75" i="1" s="1"/>
  <c r="BA75" i="1" s="1"/>
  <c r="AV75" i="1" s="1"/>
  <c r="AQ75" i="1" s="1"/>
  <c r="AL75" i="1" s="1"/>
  <c r="AG75" i="1" s="1"/>
  <c r="AB75" i="1" s="1"/>
  <c r="W75" i="1" s="1"/>
  <c r="M75" i="1"/>
  <c r="J75" i="1"/>
  <c r="I75" i="1"/>
  <c r="H75" i="1"/>
  <c r="D75" i="1"/>
  <c r="DY21" i="1"/>
  <c r="DY48" i="1"/>
  <c r="D88" i="1"/>
  <c r="D87" i="1"/>
  <c r="D71" i="1"/>
  <c r="D70" i="1"/>
  <c r="AC87" i="1"/>
  <c r="X87" i="1"/>
  <c r="U87" i="1"/>
  <c r="CP42" i="1"/>
  <c r="EP74" i="1"/>
  <c r="EO74" i="1"/>
  <c r="EN74" i="1"/>
  <c r="EM74" i="1"/>
  <c r="EL74" i="1"/>
  <c r="EK74" i="1"/>
  <c r="EJ74" i="1"/>
  <c r="EI74" i="1"/>
  <c r="EH74" i="1"/>
  <c r="EG74" i="1"/>
  <c r="EF74" i="1"/>
  <c r="EE74" i="1"/>
  <c r="ED74" i="1"/>
  <c r="DY74" i="1"/>
  <c r="DQ74" i="1"/>
  <c r="DP74" i="1"/>
  <c r="DK74" i="1"/>
  <c r="DJ74" i="1"/>
  <c r="DF74" i="1"/>
  <c r="DE74" i="1"/>
  <c r="DA74" i="1"/>
  <c r="CZ74" i="1"/>
  <c r="CV74" i="1"/>
  <c r="CU74" i="1"/>
  <c r="CQ74" i="1"/>
  <c r="CP74" i="1"/>
  <c r="CK74" i="1"/>
  <c r="CG74" i="1"/>
  <c r="CF74" i="1"/>
  <c r="CB74" i="1"/>
  <c r="CA74" i="1"/>
  <c r="BW74" i="1"/>
  <c r="BV74" i="1"/>
  <c r="BR74" i="1"/>
  <c r="BQ74" i="1"/>
  <c r="BM74" i="1"/>
  <c r="BL74" i="1"/>
  <c r="BH74" i="1"/>
  <c r="BG74" i="1"/>
  <c r="BC74" i="1"/>
  <c r="BB74" i="1"/>
  <c r="AX74" i="1"/>
  <c r="AW74" i="1"/>
  <c r="AS74" i="1"/>
  <c r="AR74" i="1"/>
  <c r="AN74" i="1"/>
  <c r="AM74" i="1"/>
  <c r="AI74" i="1"/>
  <c r="AH74" i="1"/>
  <c r="AD74" i="1"/>
  <c r="AC74" i="1"/>
  <c r="Y74" i="1"/>
  <c r="X74" i="1"/>
  <c r="N74" i="1"/>
  <c r="DO74" i="1" s="1"/>
  <c r="DI74" i="1" s="1"/>
  <c r="DD74" i="1" s="1"/>
  <c r="CY74" i="1" s="1"/>
  <c r="CT74" i="1" s="1"/>
  <c r="CO74" i="1" s="1"/>
  <c r="CJ74" i="1" s="1"/>
  <c r="CE74" i="1" s="1"/>
  <c r="BZ74" i="1" s="1"/>
  <c r="BU74" i="1" s="1"/>
  <c r="BP74" i="1" s="1"/>
  <c r="BK74" i="1" s="1"/>
  <c r="BF74" i="1" s="1"/>
  <c r="BA74" i="1" s="1"/>
  <c r="AV74" i="1" s="1"/>
  <c r="AQ74" i="1" s="1"/>
  <c r="AL74" i="1" s="1"/>
  <c r="AG74" i="1" s="1"/>
  <c r="AB74" i="1" s="1"/>
  <c r="W74" i="1" s="1"/>
  <c r="M74" i="1"/>
  <c r="J74" i="1"/>
  <c r="L74" i="1" s="1"/>
  <c r="I74" i="1"/>
  <c r="H74" i="1"/>
  <c r="F74" i="1"/>
  <c r="D74" i="1"/>
  <c r="EP73" i="1"/>
  <c r="EO73" i="1"/>
  <c r="EN73" i="1"/>
  <c r="EM73" i="1"/>
  <c r="EL73" i="1"/>
  <c r="EK73" i="1"/>
  <c r="EJ73" i="1"/>
  <c r="EI73" i="1"/>
  <c r="EH73" i="1"/>
  <c r="EG73" i="1"/>
  <c r="EF73" i="1"/>
  <c r="EE73" i="1"/>
  <c r="ED73" i="1"/>
  <c r="DY73" i="1"/>
  <c r="DQ73" i="1"/>
  <c r="DP73" i="1"/>
  <c r="DK73" i="1"/>
  <c r="DJ73" i="1"/>
  <c r="DF73" i="1"/>
  <c r="DE73" i="1"/>
  <c r="DA73" i="1"/>
  <c r="CZ73" i="1"/>
  <c r="CV73" i="1"/>
  <c r="CU73" i="1"/>
  <c r="CQ73" i="1"/>
  <c r="CP73" i="1"/>
  <c r="CK73" i="1"/>
  <c r="CG73" i="1"/>
  <c r="CF73" i="1"/>
  <c r="CB73" i="1"/>
  <c r="CA73" i="1"/>
  <c r="BW73" i="1"/>
  <c r="BV73" i="1"/>
  <c r="BR73" i="1"/>
  <c r="BQ73" i="1"/>
  <c r="BM73" i="1"/>
  <c r="BL73" i="1"/>
  <c r="BH73" i="1"/>
  <c r="BG73" i="1"/>
  <c r="BC73" i="1"/>
  <c r="BB73" i="1"/>
  <c r="AX73" i="1"/>
  <c r="AW73" i="1"/>
  <c r="AS73" i="1"/>
  <c r="AR73" i="1"/>
  <c r="AN73" i="1"/>
  <c r="AM73" i="1"/>
  <c r="AI73" i="1"/>
  <c r="AH73" i="1"/>
  <c r="AD73" i="1"/>
  <c r="AC73" i="1"/>
  <c r="Y73" i="1"/>
  <c r="X73" i="1"/>
  <c r="N73" i="1"/>
  <c r="DO73" i="1" s="1"/>
  <c r="DI73" i="1" s="1"/>
  <c r="DD73" i="1" s="1"/>
  <c r="CY73" i="1" s="1"/>
  <c r="CT73" i="1" s="1"/>
  <c r="CO73" i="1" s="1"/>
  <c r="CJ73" i="1" s="1"/>
  <c r="CE73" i="1" s="1"/>
  <c r="BZ73" i="1" s="1"/>
  <c r="BU73" i="1" s="1"/>
  <c r="BP73" i="1" s="1"/>
  <c r="BK73" i="1" s="1"/>
  <c r="BF73" i="1" s="1"/>
  <c r="BA73" i="1" s="1"/>
  <c r="AV73" i="1" s="1"/>
  <c r="AQ73" i="1" s="1"/>
  <c r="AL73" i="1" s="1"/>
  <c r="AG73" i="1" s="1"/>
  <c r="AB73" i="1" s="1"/>
  <c r="W73" i="1" s="1"/>
  <c r="M73" i="1"/>
  <c r="J73" i="1"/>
  <c r="L73" i="1" s="1"/>
  <c r="I73" i="1"/>
  <c r="H73" i="1"/>
  <c r="F73" i="1"/>
  <c r="D73" i="1"/>
  <c r="EP72" i="1"/>
  <c r="EO72" i="1"/>
  <c r="EN72" i="1"/>
  <c r="EM72" i="1"/>
  <c r="EL72" i="1"/>
  <c r="EK72" i="1"/>
  <c r="EJ72" i="1"/>
  <c r="EI72" i="1"/>
  <c r="EH72" i="1"/>
  <c r="EG72" i="1"/>
  <c r="EF72" i="1"/>
  <c r="EE72" i="1"/>
  <c r="ED72" i="1"/>
  <c r="DY72" i="1"/>
  <c r="DQ72" i="1"/>
  <c r="DP72" i="1"/>
  <c r="DK72" i="1"/>
  <c r="DJ72" i="1"/>
  <c r="DF72" i="1"/>
  <c r="DE72" i="1"/>
  <c r="DA72" i="1"/>
  <c r="CZ72" i="1"/>
  <c r="CV72" i="1"/>
  <c r="CU72" i="1"/>
  <c r="CQ72" i="1"/>
  <c r="CP72" i="1"/>
  <c r="CK72" i="1"/>
  <c r="CG72" i="1"/>
  <c r="CF72" i="1"/>
  <c r="CB72" i="1"/>
  <c r="CA72" i="1"/>
  <c r="BW72" i="1"/>
  <c r="BV72" i="1"/>
  <c r="BR72" i="1"/>
  <c r="BQ72" i="1"/>
  <c r="BM72" i="1"/>
  <c r="BL72" i="1"/>
  <c r="BH72" i="1"/>
  <c r="BG72" i="1"/>
  <c r="BC72" i="1"/>
  <c r="BB72" i="1"/>
  <c r="AX72" i="1"/>
  <c r="AW72" i="1"/>
  <c r="AS72" i="1"/>
  <c r="AR72" i="1"/>
  <c r="AN72" i="1"/>
  <c r="AM72" i="1"/>
  <c r="AI72" i="1"/>
  <c r="AH72" i="1"/>
  <c r="AD72" i="1"/>
  <c r="AC72" i="1"/>
  <c r="Y72" i="1"/>
  <c r="X72" i="1"/>
  <c r="N72" i="1"/>
  <c r="DO72" i="1" s="1"/>
  <c r="DI72" i="1" s="1"/>
  <c r="DD72" i="1" s="1"/>
  <c r="CY72" i="1" s="1"/>
  <c r="CT72" i="1" s="1"/>
  <c r="CO72" i="1" s="1"/>
  <c r="CJ72" i="1" s="1"/>
  <c r="CE72" i="1" s="1"/>
  <c r="BZ72" i="1" s="1"/>
  <c r="BU72" i="1" s="1"/>
  <c r="BP72" i="1" s="1"/>
  <c r="BK72" i="1" s="1"/>
  <c r="BF72" i="1" s="1"/>
  <c r="BA72" i="1" s="1"/>
  <c r="AV72" i="1" s="1"/>
  <c r="AQ72" i="1" s="1"/>
  <c r="AL72" i="1" s="1"/>
  <c r="AG72" i="1" s="1"/>
  <c r="AB72" i="1" s="1"/>
  <c r="W72" i="1" s="1"/>
  <c r="M72" i="1"/>
  <c r="J72" i="1"/>
  <c r="L72" i="1" s="1"/>
  <c r="I72" i="1"/>
  <c r="H72" i="1"/>
  <c r="F72" i="1"/>
  <c r="D72" i="1"/>
  <c r="DJ41" i="1"/>
  <c r="DJ37" i="1"/>
  <c r="DP42" i="1"/>
  <c r="DP41" i="1"/>
  <c r="DP38" i="1"/>
  <c r="DP37" i="1"/>
  <c r="DP36" i="1"/>
  <c r="Q87" i="1"/>
  <c r="U52" i="1"/>
  <c r="S50" i="1"/>
  <c r="U49" i="1"/>
  <c r="V48" i="1"/>
  <c r="V46" i="1"/>
  <c r="U44" i="1"/>
  <c r="EP71" i="1"/>
  <c r="EO71" i="1"/>
  <c r="EN71" i="1"/>
  <c r="EM71" i="1"/>
  <c r="EL71" i="1"/>
  <c r="EK71" i="1"/>
  <c r="EJ71" i="1"/>
  <c r="EI71" i="1"/>
  <c r="EH71" i="1"/>
  <c r="EG71" i="1"/>
  <c r="EF71" i="1"/>
  <c r="EE71" i="1"/>
  <c r="ED71" i="1"/>
  <c r="DY71" i="1"/>
  <c r="DQ71" i="1"/>
  <c r="DP71" i="1"/>
  <c r="DK71" i="1"/>
  <c r="DJ71" i="1"/>
  <c r="DF71" i="1"/>
  <c r="DE71" i="1"/>
  <c r="DA71" i="1"/>
  <c r="CZ71" i="1"/>
  <c r="CV71" i="1"/>
  <c r="CU71" i="1"/>
  <c r="CQ71" i="1"/>
  <c r="CP71" i="1"/>
  <c r="CK71" i="1"/>
  <c r="CG71" i="1"/>
  <c r="CF71" i="1"/>
  <c r="CB71" i="1"/>
  <c r="CA71" i="1"/>
  <c r="BW71" i="1"/>
  <c r="BV71" i="1"/>
  <c r="BR71" i="1"/>
  <c r="BQ71" i="1"/>
  <c r="BM71" i="1"/>
  <c r="BL71" i="1"/>
  <c r="BH71" i="1"/>
  <c r="BG71" i="1"/>
  <c r="BC71" i="1"/>
  <c r="BB71" i="1"/>
  <c r="AX71" i="1"/>
  <c r="AW71" i="1"/>
  <c r="AS71" i="1"/>
  <c r="AR71" i="1"/>
  <c r="AN71" i="1"/>
  <c r="AM71" i="1"/>
  <c r="AI71" i="1"/>
  <c r="AH71" i="1"/>
  <c r="AD71" i="1"/>
  <c r="AC71" i="1"/>
  <c r="Y71" i="1"/>
  <c r="X71" i="1"/>
  <c r="N71" i="1"/>
  <c r="DO71" i="1" s="1"/>
  <c r="DI71" i="1" s="1"/>
  <c r="DD71" i="1" s="1"/>
  <c r="CY71" i="1" s="1"/>
  <c r="CT71" i="1" s="1"/>
  <c r="CO71" i="1" s="1"/>
  <c r="CJ71" i="1" s="1"/>
  <c r="CE71" i="1" s="1"/>
  <c r="BZ71" i="1" s="1"/>
  <c r="BU71" i="1" s="1"/>
  <c r="BP71" i="1" s="1"/>
  <c r="BK71" i="1" s="1"/>
  <c r="BF71" i="1" s="1"/>
  <c r="BA71" i="1" s="1"/>
  <c r="AV71" i="1" s="1"/>
  <c r="AQ71" i="1" s="1"/>
  <c r="AL71" i="1" s="1"/>
  <c r="AG71" i="1" s="1"/>
  <c r="AB71" i="1" s="1"/>
  <c r="W71" i="1" s="1"/>
  <c r="M71" i="1"/>
  <c r="J71" i="1"/>
  <c r="L71" i="1" s="1"/>
  <c r="I71" i="1"/>
  <c r="H71" i="1"/>
  <c r="F71" i="1"/>
  <c r="J56" i="1"/>
  <c r="J51" i="1"/>
  <c r="F90" i="1"/>
  <c r="U90" i="1"/>
  <c r="T90" i="1"/>
  <c r="S90" i="1"/>
  <c r="R90" i="1"/>
  <c r="Q90" i="1"/>
  <c r="P90" i="1"/>
  <c r="O90" i="1"/>
  <c r="N90" i="1"/>
  <c r="M90" i="1"/>
  <c r="I90" i="1"/>
  <c r="H90" i="1"/>
  <c r="D90" i="1"/>
  <c r="EP89" i="1"/>
  <c r="EO89" i="1"/>
  <c r="EN89" i="1"/>
  <c r="EM89" i="1"/>
  <c r="EL89" i="1"/>
  <c r="EK89" i="1"/>
  <c r="EJ89" i="1"/>
  <c r="EI89" i="1"/>
  <c r="EH89" i="1"/>
  <c r="EG89" i="1"/>
  <c r="EF89" i="1"/>
  <c r="EE89" i="1"/>
  <c r="ED89" i="1"/>
  <c r="DY89" i="1"/>
  <c r="DV89" i="1"/>
  <c r="DS89" i="1"/>
  <c r="DP89" i="1"/>
  <c r="BQ89" i="1"/>
  <c r="BL89" i="1"/>
  <c r="BG89" i="1"/>
  <c r="BB89" i="1"/>
  <c r="AR89" i="1"/>
  <c r="AM89" i="1"/>
  <c r="AH89" i="1"/>
  <c r="AC89" i="1"/>
  <c r="U89" i="1"/>
  <c r="T89" i="1"/>
  <c r="S89" i="1"/>
  <c r="R89" i="1"/>
  <c r="Q89" i="1"/>
  <c r="P89" i="1"/>
  <c r="O89" i="1"/>
  <c r="N89" i="1"/>
  <c r="M89" i="1"/>
  <c r="I89" i="1"/>
  <c r="H89" i="1"/>
  <c r="F89" i="1"/>
  <c r="D89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DY70" i="1"/>
  <c r="DQ70" i="1"/>
  <c r="DP70" i="1"/>
  <c r="DK70" i="1"/>
  <c r="DJ70" i="1"/>
  <c r="DF70" i="1"/>
  <c r="DE70" i="1"/>
  <c r="DA70" i="1"/>
  <c r="CZ70" i="1"/>
  <c r="CV70" i="1"/>
  <c r="CU70" i="1"/>
  <c r="CQ70" i="1"/>
  <c r="CP70" i="1"/>
  <c r="CK70" i="1"/>
  <c r="CG70" i="1"/>
  <c r="CF70" i="1"/>
  <c r="CB70" i="1"/>
  <c r="CA70" i="1"/>
  <c r="BW70" i="1"/>
  <c r="BV70" i="1"/>
  <c r="BR70" i="1"/>
  <c r="BQ70" i="1"/>
  <c r="BM70" i="1"/>
  <c r="BL70" i="1"/>
  <c r="BH70" i="1"/>
  <c r="BG70" i="1"/>
  <c r="BC70" i="1"/>
  <c r="BB70" i="1"/>
  <c r="AX70" i="1"/>
  <c r="AW70" i="1"/>
  <c r="AS70" i="1"/>
  <c r="AR70" i="1"/>
  <c r="AN70" i="1"/>
  <c r="AM70" i="1"/>
  <c r="AI70" i="1"/>
  <c r="AH70" i="1"/>
  <c r="AD70" i="1"/>
  <c r="AC70" i="1"/>
  <c r="Y70" i="1"/>
  <c r="X70" i="1"/>
  <c r="N70" i="1"/>
  <c r="DO70" i="1" s="1"/>
  <c r="DI70" i="1" s="1"/>
  <c r="DD70" i="1" s="1"/>
  <c r="CY70" i="1" s="1"/>
  <c r="CT70" i="1" s="1"/>
  <c r="CO70" i="1" s="1"/>
  <c r="CJ70" i="1" s="1"/>
  <c r="CE70" i="1" s="1"/>
  <c r="BZ70" i="1" s="1"/>
  <c r="BU70" i="1" s="1"/>
  <c r="BP70" i="1" s="1"/>
  <c r="BK70" i="1" s="1"/>
  <c r="BF70" i="1" s="1"/>
  <c r="BA70" i="1" s="1"/>
  <c r="AV70" i="1" s="1"/>
  <c r="AQ70" i="1" s="1"/>
  <c r="AL70" i="1" s="1"/>
  <c r="AG70" i="1" s="1"/>
  <c r="AB70" i="1" s="1"/>
  <c r="W70" i="1" s="1"/>
  <c r="M70" i="1"/>
  <c r="L70" i="1"/>
  <c r="I70" i="1"/>
  <c r="H70" i="1"/>
  <c r="F70" i="1"/>
  <c r="V45" i="1"/>
  <c r="V44" i="1"/>
  <c r="D34" i="1"/>
  <c r="D67" i="1"/>
  <c r="S52" i="1"/>
  <c r="Q50" i="1"/>
  <c r="S49" i="1"/>
  <c r="S44" i="1"/>
  <c r="CK42" i="1"/>
  <c r="P37" i="1"/>
  <c r="D65" i="1"/>
  <c r="D57" i="1"/>
  <c r="D56" i="1"/>
  <c r="D54" i="1"/>
  <c r="D53" i="1"/>
  <c r="D52" i="1"/>
  <c r="D51" i="1"/>
  <c r="D50" i="1"/>
  <c r="D49" i="1"/>
  <c r="D48" i="1"/>
  <c r="D47" i="1"/>
  <c r="D46" i="1"/>
  <c r="D42" i="1"/>
  <c r="D41" i="1"/>
  <c r="D36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DY167" i="1"/>
  <c r="DQ167" i="1"/>
  <c r="DP167" i="1"/>
  <c r="DK167" i="1"/>
  <c r="DJ167" i="1"/>
  <c r="DF167" i="1"/>
  <c r="DE167" i="1"/>
  <c r="DA167" i="1"/>
  <c r="CZ167" i="1"/>
  <c r="CV167" i="1"/>
  <c r="CU167" i="1"/>
  <c r="CQ167" i="1"/>
  <c r="CP167" i="1"/>
  <c r="CK167" i="1"/>
  <c r="CG167" i="1"/>
  <c r="CF167" i="1"/>
  <c r="CB167" i="1"/>
  <c r="CA167" i="1"/>
  <c r="BW167" i="1"/>
  <c r="BV167" i="1"/>
  <c r="BR167" i="1"/>
  <c r="BQ167" i="1"/>
  <c r="BM167" i="1"/>
  <c r="BL167" i="1"/>
  <c r="BH167" i="1"/>
  <c r="BG167" i="1"/>
  <c r="BC167" i="1"/>
  <c r="BB167" i="1"/>
  <c r="AX167" i="1"/>
  <c r="AW167" i="1"/>
  <c r="AS167" i="1"/>
  <c r="AR167" i="1"/>
  <c r="AN167" i="1"/>
  <c r="AM167" i="1"/>
  <c r="AI167" i="1"/>
  <c r="AH167" i="1"/>
  <c r="AD167" i="1"/>
  <c r="AC167" i="1"/>
  <c r="Y167" i="1"/>
  <c r="X167" i="1"/>
  <c r="V167" i="1"/>
  <c r="U167" i="1"/>
  <c r="T167" i="1"/>
  <c r="S167" i="1"/>
  <c r="R167" i="1"/>
  <c r="Q167" i="1"/>
  <c r="P167" i="1"/>
  <c r="O167" i="1"/>
  <c r="N167" i="1"/>
  <c r="M167" i="1"/>
  <c r="I167" i="1"/>
  <c r="H167" i="1"/>
  <c r="F167" i="1"/>
  <c r="EP166" i="1"/>
  <c r="EO166" i="1"/>
  <c r="EN166" i="1"/>
  <c r="EM166" i="1"/>
  <c r="EL166" i="1"/>
  <c r="EK166" i="1"/>
  <c r="EJ166" i="1"/>
  <c r="EI166" i="1"/>
  <c r="EH166" i="1"/>
  <c r="EG166" i="1"/>
  <c r="EF166" i="1"/>
  <c r="EE166" i="1"/>
  <c r="ED166" i="1"/>
  <c r="DY166" i="1"/>
  <c r="DQ166" i="1"/>
  <c r="DP166" i="1"/>
  <c r="DK166" i="1"/>
  <c r="DJ166" i="1"/>
  <c r="DF166" i="1"/>
  <c r="DE166" i="1"/>
  <c r="DA166" i="1"/>
  <c r="CZ166" i="1"/>
  <c r="CV166" i="1"/>
  <c r="CU166" i="1"/>
  <c r="CQ166" i="1"/>
  <c r="CP166" i="1"/>
  <c r="CK166" i="1"/>
  <c r="CG166" i="1"/>
  <c r="CF166" i="1"/>
  <c r="CB166" i="1"/>
  <c r="CA166" i="1"/>
  <c r="BW166" i="1"/>
  <c r="BV166" i="1"/>
  <c r="BR166" i="1"/>
  <c r="BQ166" i="1"/>
  <c r="BM166" i="1"/>
  <c r="BL166" i="1"/>
  <c r="BH166" i="1"/>
  <c r="BG166" i="1"/>
  <c r="BC166" i="1"/>
  <c r="BB166" i="1"/>
  <c r="AX166" i="1"/>
  <c r="AW166" i="1"/>
  <c r="AS166" i="1"/>
  <c r="AR166" i="1"/>
  <c r="AN166" i="1"/>
  <c r="AM166" i="1"/>
  <c r="AI166" i="1"/>
  <c r="AH166" i="1"/>
  <c r="AD166" i="1"/>
  <c r="AC166" i="1"/>
  <c r="Y166" i="1"/>
  <c r="X166" i="1"/>
  <c r="V166" i="1"/>
  <c r="U166" i="1"/>
  <c r="T166" i="1"/>
  <c r="S166" i="1"/>
  <c r="R166" i="1"/>
  <c r="Q166" i="1"/>
  <c r="P166" i="1"/>
  <c r="O166" i="1"/>
  <c r="N166" i="1"/>
  <c r="M166" i="1"/>
  <c r="I166" i="1"/>
  <c r="H166" i="1"/>
  <c r="F166" i="1"/>
  <c r="EP165" i="1"/>
  <c r="EO165" i="1"/>
  <c r="EN165" i="1"/>
  <c r="EM165" i="1"/>
  <c r="EL165" i="1"/>
  <c r="EK165" i="1"/>
  <c r="EJ165" i="1"/>
  <c r="EI165" i="1"/>
  <c r="EH165" i="1"/>
  <c r="EG165" i="1"/>
  <c r="EF165" i="1"/>
  <c r="EE165" i="1"/>
  <c r="ED165" i="1"/>
  <c r="DY165" i="1"/>
  <c r="DQ165" i="1"/>
  <c r="DP165" i="1"/>
  <c r="DK165" i="1"/>
  <c r="DJ165" i="1"/>
  <c r="DF165" i="1"/>
  <c r="DE165" i="1"/>
  <c r="DA165" i="1"/>
  <c r="CZ165" i="1"/>
  <c r="CV165" i="1"/>
  <c r="CU165" i="1"/>
  <c r="CQ165" i="1"/>
  <c r="CP165" i="1"/>
  <c r="CK165" i="1"/>
  <c r="CG165" i="1"/>
  <c r="CF165" i="1"/>
  <c r="CB165" i="1"/>
  <c r="CA165" i="1"/>
  <c r="BW165" i="1"/>
  <c r="BV165" i="1"/>
  <c r="BR165" i="1"/>
  <c r="BQ165" i="1"/>
  <c r="BM165" i="1"/>
  <c r="BL165" i="1"/>
  <c r="BH165" i="1"/>
  <c r="BG165" i="1"/>
  <c r="BC165" i="1"/>
  <c r="BB165" i="1"/>
  <c r="AX165" i="1"/>
  <c r="AW165" i="1"/>
  <c r="AS165" i="1"/>
  <c r="AR165" i="1"/>
  <c r="AN165" i="1"/>
  <c r="AM165" i="1"/>
  <c r="AI165" i="1"/>
  <c r="AH165" i="1"/>
  <c r="AD165" i="1"/>
  <c r="AC165" i="1"/>
  <c r="Y165" i="1"/>
  <c r="X165" i="1"/>
  <c r="V165" i="1"/>
  <c r="U165" i="1"/>
  <c r="T165" i="1"/>
  <c r="S165" i="1"/>
  <c r="R165" i="1"/>
  <c r="Q165" i="1"/>
  <c r="P165" i="1"/>
  <c r="O165" i="1"/>
  <c r="N165" i="1"/>
  <c r="M165" i="1"/>
  <c r="I165" i="1"/>
  <c r="H165" i="1"/>
  <c r="F165" i="1"/>
  <c r="EP164" i="1"/>
  <c r="EO164" i="1"/>
  <c r="EN164" i="1"/>
  <c r="EM164" i="1"/>
  <c r="EL164" i="1"/>
  <c r="EK164" i="1"/>
  <c r="EJ164" i="1"/>
  <c r="EI164" i="1"/>
  <c r="EH164" i="1"/>
  <c r="EG164" i="1"/>
  <c r="EF164" i="1"/>
  <c r="EE164" i="1"/>
  <c r="ED164" i="1"/>
  <c r="DY164" i="1"/>
  <c r="DQ164" i="1"/>
  <c r="DP164" i="1"/>
  <c r="DK164" i="1"/>
  <c r="DJ164" i="1"/>
  <c r="DF164" i="1"/>
  <c r="DE164" i="1"/>
  <c r="DA164" i="1"/>
  <c r="CZ164" i="1"/>
  <c r="CV164" i="1"/>
  <c r="CU164" i="1"/>
  <c r="CQ164" i="1"/>
  <c r="CP164" i="1"/>
  <c r="CK164" i="1"/>
  <c r="CG164" i="1"/>
  <c r="CF164" i="1"/>
  <c r="CB164" i="1"/>
  <c r="CA164" i="1"/>
  <c r="BW164" i="1"/>
  <c r="BV164" i="1"/>
  <c r="BR164" i="1"/>
  <c r="BQ164" i="1"/>
  <c r="BM164" i="1"/>
  <c r="BL164" i="1"/>
  <c r="BH164" i="1"/>
  <c r="BG164" i="1"/>
  <c r="BC164" i="1"/>
  <c r="BB164" i="1"/>
  <c r="AX164" i="1"/>
  <c r="AW164" i="1"/>
  <c r="AS164" i="1"/>
  <c r="AR164" i="1"/>
  <c r="AN164" i="1"/>
  <c r="AM164" i="1"/>
  <c r="AI164" i="1"/>
  <c r="AH164" i="1"/>
  <c r="AD164" i="1"/>
  <c r="AC164" i="1"/>
  <c r="Y164" i="1"/>
  <c r="X164" i="1"/>
  <c r="V164" i="1"/>
  <c r="U164" i="1"/>
  <c r="T164" i="1"/>
  <c r="S164" i="1"/>
  <c r="R164" i="1"/>
  <c r="Q164" i="1"/>
  <c r="P164" i="1"/>
  <c r="O164" i="1"/>
  <c r="N164" i="1"/>
  <c r="M164" i="1"/>
  <c r="I164" i="1"/>
  <c r="H164" i="1"/>
  <c r="F164" i="1"/>
  <c r="EP163" i="1"/>
  <c r="EO163" i="1"/>
  <c r="EN163" i="1"/>
  <c r="EM163" i="1"/>
  <c r="EL163" i="1"/>
  <c r="EK163" i="1"/>
  <c r="EJ163" i="1"/>
  <c r="EI163" i="1"/>
  <c r="EH163" i="1"/>
  <c r="EG163" i="1"/>
  <c r="EF163" i="1"/>
  <c r="EE163" i="1"/>
  <c r="ED163" i="1"/>
  <c r="DY163" i="1"/>
  <c r="DQ163" i="1"/>
  <c r="DP163" i="1"/>
  <c r="DK163" i="1"/>
  <c r="DJ163" i="1"/>
  <c r="DF163" i="1"/>
  <c r="DE163" i="1"/>
  <c r="DA163" i="1"/>
  <c r="CZ163" i="1"/>
  <c r="CV163" i="1"/>
  <c r="CU163" i="1"/>
  <c r="CQ163" i="1"/>
  <c r="CP163" i="1"/>
  <c r="CK163" i="1"/>
  <c r="CG163" i="1"/>
  <c r="CF163" i="1"/>
  <c r="CB163" i="1"/>
  <c r="CA163" i="1"/>
  <c r="BW163" i="1"/>
  <c r="BV163" i="1"/>
  <c r="BR163" i="1"/>
  <c r="BQ163" i="1"/>
  <c r="BM163" i="1"/>
  <c r="BL163" i="1"/>
  <c r="BH163" i="1"/>
  <c r="BG163" i="1"/>
  <c r="BC163" i="1"/>
  <c r="BB163" i="1"/>
  <c r="AX163" i="1"/>
  <c r="AW163" i="1"/>
  <c r="AS163" i="1"/>
  <c r="AR163" i="1"/>
  <c r="AN163" i="1"/>
  <c r="AM163" i="1"/>
  <c r="AI163" i="1"/>
  <c r="AH163" i="1"/>
  <c r="AD163" i="1"/>
  <c r="AC163" i="1"/>
  <c r="Y163" i="1"/>
  <c r="X163" i="1"/>
  <c r="V163" i="1"/>
  <c r="U163" i="1"/>
  <c r="T163" i="1"/>
  <c r="S163" i="1"/>
  <c r="R163" i="1"/>
  <c r="Q163" i="1"/>
  <c r="P163" i="1"/>
  <c r="O163" i="1"/>
  <c r="N163" i="1"/>
  <c r="M163" i="1"/>
  <c r="I163" i="1"/>
  <c r="H163" i="1"/>
  <c r="F163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DY162" i="1"/>
  <c r="DQ162" i="1"/>
  <c r="DP162" i="1"/>
  <c r="DK162" i="1"/>
  <c r="DJ162" i="1"/>
  <c r="DF162" i="1"/>
  <c r="DE162" i="1"/>
  <c r="DA162" i="1"/>
  <c r="CZ162" i="1"/>
  <c r="CV162" i="1"/>
  <c r="CU162" i="1"/>
  <c r="CQ162" i="1"/>
  <c r="CP162" i="1"/>
  <c r="CK162" i="1"/>
  <c r="CG162" i="1"/>
  <c r="CF162" i="1"/>
  <c r="CB162" i="1"/>
  <c r="CA162" i="1"/>
  <c r="BW162" i="1"/>
  <c r="BV162" i="1"/>
  <c r="BR162" i="1"/>
  <c r="BQ162" i="1"/>
  <c r="BM162" i="1"/>
  <c r="BL162" i="1"/>
  <c r="BH162" i="1"/>
  <c r="BG162" i="1"/>
  <c r="BC162" i="1"/>
  <c r="BB162" i="1"/>
  <c r="AX162" i="1"/>
  <c r="AW162" i="1"/>
  <c r="AS162" i="1"/>
  <c r="AR162" i="1"/>
  <c r="AN162" i="1"/>
  <c r="AM162" i="1"/>
  <c r="AI162" i="1"/>
  <c r="AH162" i="1"/>
  <c r="AD162" i="1"/>
  <c r="AC162" i="1"/>
  <c r="Y162" i="1"/>
  <c r="X162" i="1"/>
  <c r="V162" i="1"/>
  <c r="U162" i="1"/>
  <c r="T162" i="1"/>
  <c r="S162" i="1"/>
  <c r="R162" i="1"/>
  <c r="Q162" i="1"/>
  <c r="P162" i="1"/>
  <c r="O162" i="1"/>
  <c r="N162" i="1"/>
  <c r="M162" i="1"/>
  <c r="I162" i="1"/>
  <c r="H162" i="1"/>
  <c r="F162" i="1"/>
  <c r="EP161" i="1"/>
  <c r="EO161" i="1"/>
  <c r="EN161" i="1"/>
  <c r="EM161" i="1"/>
  <c r="EL161" i="1"/>
  <c r="EK161" i="1"/>
  <c r="EJ161" i="1"/>
  <c r="EI161" i="1"/>
  <c r="EH161" i="1"/>
  <c r="EG161" i="1"/>
  <c r="EF161" i="1"/>
  <c r="EE161" i="1"/>
  <c r="ED161" i="1"/>
  <c r="DY161" i="1"/>
  <c r="DQ161" i="1"/>
  <c r="DP161" i="1"/>
  <c r="DK161" i="1"/>
  <c r="DJ161" i="1"/>
  <c r="DF161" i="1"/>
  <c r="DE161" i="1"/>
  <c r="DA161" i="1"/>
  <c r="CZ161" i="1"/>
  <c r="CV161" i="1"/>
  <c r="CU161" i="1"/>
  <c r="CQ161" i="1"/>
  <c r="CP161" i="1"/>
  <c r="CK161" i="1"/>
  <c r="CG161" i="1"/>
  <c r="CF161" i="1"/>
  <c r="CB161" i="1"/>
  <c r="CA161" i="1"/>
  <c r="BW161" i="1"/>
  <c r="BV161" i="1"/>
  <c r="BR161" i="1"/>
  <c r="BQ161" i="1"/>
  <c r="BM161" i="1"/>
  <c r="BL161" i="1"/>
  <c r="BH161" i="1"/>
  <c r="BG161" i="1"/>
  <c r="BC161" i="1"/>
  <c r="BB161" i="1"/>
  <c r="AX161" i="1"/>
  <c r="AW161" i="1"/>
  <c r="AS161" i="1"/>
  <c r="AR161" i="1"/>
  <c r="AN161" i="1"/>
  <c r="AM161" i="1"/>
  <c r="AI161" i="1"/>
  <c r="AH161" i="1"/>
  <c r="AD161" i="1"/>
  <c r="AC161" i="1"/>
  <c r="Y161" i="1"/>
  <c r="X161" i="1"/>
  <c r="V161" i="1"/>
  <c r="U161" i="1"/>
  <c r="T161" i="1"/>
  <c r="S161" i="1"/>
  <c r="R161" i="1"/>
  <c r="Q161" i="1"/>
  <c r="P161" i="1"/>
  <c r="O161" i="1"/>
  <c r="N161" i="1"/>
  <c r="M161" i="1"/>
  <c r="I161" i="1"/>
  <c r="H161" i="1"/>
  <c r="F161" i="1"/>
  <c r="EP160" i="1"/>
  <c r="EO160" i="1"/>
  <c r="EN160" i="1"/>
  <c r="EM160" i="1"/>
  <c r="EL160" i="1"/>
  <c r="EK160" i="1"/>
  <c r="EJ160" i="1"/>
  <c r="EI160" i="1"/>
  <c r="EH160" i="1"/>
  <c r="EG160" i="1"/>
  <c r="EF160" i="1"/>
  <c r="EE160" i="1"/>
  <c r="ED160" i="1"/>
  <c r="DY160" i="1"/>
  <c r="DQ160" i="1"/>
  <c r="DP160" i="1"/>
  <c r="DK160" i="1"/>
  <c r="DJ160" i="1"/>
  <c r="DF160" i="1"/>
  <c r="DE160" i="1"/>
  <c r="DA160" i="1"/>
  <c r="CZ160" i="1"/>
  <c r="CV160" i="1"/>
  <c r="CU160" i="1"/>
  <c r="CQ160" i="1"/>
  <c r="CP160" i="1"/>
  <c r="CK160" i="1"/>
  <c r="CG160" i="1"/>
  <c r="CF160" i="1"/>
  <c r="CB160" i="1"/>
  <c r="CA160" i="1"/>
  <c r="BW160" i="1"/>
  <c r="BV160" i="1"/>
  <c r="BR160" i="1"/>
  <c r="BQ160" i="1"/>
  <c r="BM160" i="1"/>
  <c r="BL160" i="1"/>
  <c r="BH160" i="1"/>
  <c r="BG160" i="1"/>
  <c r="BC160" i="1"/>
  <c r="BB160" i="1"/>
  <c r="AX160" i="1"/>
  <c r="AW160" i="1"/>
  <c r="AS160" i="1"/>
  <c r="AR160" i="1"/>
  <c r="AN160" i="1"/>
  <c r="AM160" i="1"/>
  <c r="AI160" i="1"/>
  <c r="AH160" i="1"/>
  <c r="AD160" i="1"/>
  <c r="AC160" i="1"/>
  <c r="Y160" i="1"/>
  <c r="X160" i="1"/>
  <c r="V160" i="1"/>
  <c r="U160" i="1"/>
  <c r="T160" i="1"/>
  <c r="S160" i="1"/>
  <c r="R160" i="1"/>
  <c r="Q160" i="1"/>
  <c r="P160" i="1"/>
  <c r="O160" i="1"/>
  <c r="N160" i="1"/>
  <c r="M160" i="1"/>
  <c r="I160" i="1"/>
  <c r="H160" i="1"/>
  <c r="F160" i="1"/>
  <c r="EP159" i="1"/>
  <c r="EO159" i="1"/>
  <c r="EN159" i="1"/>
  <c r="EM159" i="1"/>
  <c r="EL159" i="1"/>
  <c r="EK159" i="1"/>
  <c r="EJ159" i="1"/>
  <c r="EI159" i="1"/>
  <c r="EH159" i="1"/>
  <c r="EG159" i="1"/>
  <c r="EF159" i="1"/>
  <c r="EE159" i="1"/>
  <c r="ED159" i="1"/>
  <c r="DY159" i="1"/>
  <c r="DQ159" i="1"/>
  <c r="DP159" i="1"/>
  <c r="DK159" i="1"/>
  <c r="DJ159" i="1"/>
  <c r="DF159" i="1"/>
  <c r="DE159" i="1"/>
  <c r="DA159" i="1"/>
  <c r="CZ159" i="1"/>
  <c r="CV159" i="1"/>
  <c r="CU159" i="1"/>
  <c r="CQ159" i="1"/>
  <c r="CP159" i="1"/>
  <c r="CK159" i="1"/>
  <c r="CG159" i="1"/>
  <c r="CF159" i="1"/>
  <c r="CB159" i="1"/>
  <c r="CA159" i="1"/>
  <c r="BW159" i="1"/>
  <c r="BV159" i="1"/>
  <c r="BR159" i="1"/>
  <c r="BQ159" i="1"/>
  <c r="BM159" i="1"/>
  <c r="BL159" i="1"/>
  <c r="BH159" i="1"/>
  <c r="BG159" i="1"/>
  <c r="BC159" i="1"/>
  <c r="BB159" i="1"/>
  <c r="AX159" i="1"/>
  <c r="AW159" i="1"/>
  <c r="AS159" i="1"/>
  <c r="AR159" i="1"/>
  <c r="AN159" i="1"/>
  <c r="AM159" i="1"/>
  <c r="AI159" i="1"/>
  <c r="AH159" i="1"/>
  <c r="AD159" i="1"/>
  <c r="AC159" i="1"/>
  <c r="Y159" i="1"/>
  <c r="X159" i="1"/>
  <c r="V159" i="1"/>
  <c r="U159" i="1"/>
  <c r="T159" i="1"/>
  <c r="S159" i="1"/>
  <c r="R159" i="1"/>
  <c r="Q159" i="1"/>
  <c r="P159" i="1"/>
  <c r="O159" i="1"/>
  <c r="N159" i="1"/>
  <c r="M159" i="1"/>
  <c r="I159" i="1"/>
  <c r="H159" i="1"/>
  <c r="F159" i="1"/>
  <c r="EP158" i="1"/>
  <c r="EO158" i="1"/>
  <c r="EN158" i="1"/>
  <c r="EM158" i="1"/>
  <c r="EL158" i="1"/>
  <c r="EK158" i="1"/>
  <c r="EJ158" i="1"/>
  <c r="EI158" i="1"/>
  <c r="EH158" i="1"/>
  <c r="EG158" i="1"/>
  <c r="EF158" i="1"/>
  <c r="EE158" i="1"/>
  <c r="ED158" i="1"/>
  <c r="DY158" i="1"/>
  <c r="DQ158" i="1"/>
  <c r="DP158" i="1"/>
  <c r="DK158" i="1"/>
  <c r="DJ158" i="1"/>
  <c r="DF158" i="1"/>
  <c r="DE158" i="1"/>
  <c r="DA158" i="1"/>
  <c r="CZ158" i="1"/>
  <c r="CV158" i="1"/>
  <c r="CU158" i="1"/>
  <c r="CQ158" i="1"/>
  <c r="CP158" i="1"/>
  <c r="CK158" i="1"/>
  <c r="CG158" i="1"/>
  <c r="CF158" i="1"/>
  <c r="CB158" i="1"/>
  <c r="CA158" i="1"/>
  <c r="BW158" i="1"/>
  <c r="BV158" i="1"/>
  <c r="BR158" i="1"/>
  <c r="BQ158" i="1"/>
  <c r="BM158" i="1"/>
  <c r="BL158" i="1"/>
  <c r="BH158" i="1"/>
  <c r="BG158" i="1"/>
  <c r="BC158" i="1"/>
  <c r="BB158" i="1"/>
  <c r="AX158" i="1"/>
  <c r="AW158" i="1"/>
  <c r="AS158" i="1"/>
  <c r="AR158" i="1"/>
  <c r="AN158" i="1"/>
  <c r="AM158" i="1"/>
  <c r="AI158" i="1"/>
  <c r="AH158" i="1"/>
  <c r="AD158" i="1"/>
  <c r="AC158" i="1"/>
  <c r="Y158" i="1"/>
  <c r="X158" i="1"/>
  <c r="V158" i="1"/>
  <c r="U158" i="1"/>
  <c r="T158" i="1"/>
  <c r="S158" i="1"/>
  <c r="R158" i="1"/>
  <c r="Q158" i="1"/>
  <c r="P158" i="1"/>
  <c r="O158" i="1"/>
  <c r="N158" i="1"/>
  <c r="M158" i="1"/>
  <c r="I158" i="1"/>
  <c r="H158" i="1"/>
  <c r="F158" i="1"/>
  <c r="EP157" i="1"/>
  <c r="EO157" i="1"/>
  <c r="EN157" i="1"/>
  <c r="EM157" i="1"/>
  <c r="EL157" i="1"/>
  <c r="EK157" i="1"/>
  <c r="EJ157" i="1"/>
  <c r="EI157" i="1"/>
  <c r="EH157" i="1"/>
  <c r="EG157" i="1"/>
  <c r="EF157" i="1"/>
  <c r="EE157" i="1"/>
  <c r="ED157" i="1"/>
  <c r="DY157" i="1"/>
  <c r="DQ157" i="1"/>
  <c r="DP157" i="1"/>
  <c r="DK157" i="1"/>
  <c r="DJ157" i="1"/>
  <c r="DF157" i="1"/>
  <c r="DE157" i="1"/>
  <c r="DA157" i="1"/>
  <c r="CZ157" i="1"/>
  <c r="CV157" i="1"/>
  <c r="CU157" i="1"/>
  <c r="CQ157" i="1"/>
  <c r="CP157" i="1"/>
  <c r="CK157" i="1"/>
  <c r="CG157" i="1"/>
  <c r="CF157" i="1"/>
  <c r="CB157" i="1"/>
  <c r="CA157" i="1"/>
  <c r="BW157" i="1"/>
  <c r="BV157" i="1"/>
  <c r="BR157" i="1"/>
  <c r="BQ157" i="1"/>
  <c r="BM157" i="1"/>
  <c r="BL157" i="1"/>
  <c r="BH157" i="1"/>
  <c r="BG157" i="1"/>
  <c r="BC157" i="1"/>
  <c r="BB157" i="1"/>
  <c r="AX157" i="1"/>
  <c r="AW157" i="1"/>
  <c r="AS157" i="1"/>
  <c r="AR157" i="1"/>
  <c r="AN157" i="1"/>
  <c r="AM157" i="1"/>
  <c r="AI157" i="1"/>
  <c r="AH157" i="1"/>
  <c r="AD157" i="1"/>
  <c r="AC157" i="1"/>
  <c r="Y157" i="1"/>
  <c r="X157" i="1"/>
  <c r="V157" i="1"/>
  <c r="U157" i="1"/>
  <c r="T157" i="1"/>
  <c r="S157" i="1"/>
  <c r="R157" i="1"/>
  <c r="Q157" i="1"/>
  <c r="P157" i="1"/>
  <c r="O157" i="1"/>
  <c r="N157" i="1"/>
  <c r="M157" i="1"/>
  <c r="I157" i="1"/>
  <c r="H157" i="1"/>
  <c r="F157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DY156" i="1"/>
  <c r="DQ156" i="1"/>
  <c r="DP156" i="1"/>
  <c r="DK156" i="1"/>
  <c r="DJ156" i="1"/>
  <c r="DF156" i="1"/>
  <c r="DE156" i="1"/>
  <c r="DA156" i="1"/>
  <c r="CZ156" i="1"/>
  <c r="CV156" i="1"/>
  <c r="CU156" i="1"/>
  <c r="CQ156" i="1"/>
  <c r="CP156" i="1"/>
  <c r="CK156" i="1"/>
  <c r="CG156" i="1"/>
  <c r="CF156" i="1"/>
  <c r="CB156" i="1"/>
  <c r="CA156" i="1"/>
  <c r="BW156" i="1"/>
  <c r="BV156" i="1"/>
  <c r="BR156" i="1"/>
  <c r="BQ156" i="1"/>
  <c r="BM156" i="1"/>
  <c r="BL156" i="1"/>
  <c r="BH156" i="1"/>
  <c r="BG156" i="1"/>
  <c r="BC156" i="1"/>
  <c r="BB156" i="1"/>
  <c r="AX156" i="1"/>
  <c r="AW156" i="1"/>
  <c r="AS156" i="1"/>
  <c r="AR156" i="1"/>
  <c r="AN156" i="1"/>
  <c r="AM156" i="1"/>
  <c r="AI156" i="1"/>
  <c r="AH156" i="1"/>
  <c r="AD156" i="1"/>
  <c r="AC156" i="1"/>
  <c r="Y156" i="1"/>
  <c r="X156" i="1"/>
  <c r="V156" i="1"/>
  <c r="U156" i="1"/>
  <c r="T156" i="1"/>
  <c r="S156" i="1"/>
  <c r="R156" i="1"/>
  <c r="Q156" i="1"/>
  <c r="P156" i="1"/>
  <c r="O156" i="1"/>
  <c r="N156" i="1"/>
  <c r="M156" i="1"/>
  <c r="I156" i="1"/>
  <c r="H156" i="1"/>
  <c r="F156" i="1"/>
  <c r="EP155" i="1"/>
  <c r="EO155" i="1"/>
  <c r="EN155" i="1"/>
  <c r="EM155" i="1"/>
  <c r="EL155" i="1"/>
  <c r="EK155" i="1"/>
  <c r="EJ155" i="1"/>
  <c r="EI155" i="1"/>
  <c r="EH155" i="1"/>
  <c r="EG155" i="1"/>
  <c r="EF155" i="1"/>
  <c r="EE155" i="1"/>
  <c r="ED155" i="1"/>
  <c r="DY155" i="1"/>
  <c r="DQ155" i="1"/>
  <c r="DP155" i="1"/>
  <c r="DK155" i="1"/>
  <c r="DJ155" i="1"/>
  <c r="DF155" i="1"/>
  <c r="DE155" i="1"/>
  <c r="DA155" i="1"/>
  <c r="CZ155" i="1"/>
  <c r="CV155" i="1"/>
  <c r="CU155" i="1"/>
  <c r="CQ155" i="1"/>
  <c r="CP155" i="1"/>
  <c r="CK155" i="1"/>
  <c r="CG155" i="1"/>
  <c r="CF155" i="1"/>
  <c r="CB155" i="1"/>
  <c r="CA155" i="1"/>
  <c r="BW155" i="1"/>
  <c r="BV155" i="1"/>
  <c r="BR155" i="1"/>
  <c r="BQ155" i="1"/>
  <c r="BM155" i="1"/>
  <c r="BL155" i="1"/>
  <c r="BH155" i="1"/>
  <c r="BG155" i="1"/>
  <c r="BC155" i="1"/>
  <c r="BB155" i="1"/>
  <c r="AX155" i="1"/>
  <c r="AW155" i="1"/>
  <c r="AS155" i="1"/>
  <c r="AR155" i="1"/>
  <c r="AN155" i="1"/>
  <c r="AM155" i="1"/>
  <c r="AI155" i="1"/>
  <c r="AH155" i="1"/>
  <c r="AD155" i="1"/>
  <c r="AC155" i="1"/>
  <c r="Y155" i="1"/>
  <c r="X155" i="1"/>
  <c r="V155" i="1"/>
  <c r="U155" i="1"/>
  <c r="T155" i="1"/>
  <c r="S155" i="1"/>
  <c r="R155" i="1"/>
  <c r="Q155" i="1"/>
  <c r="P155" i="1"/>
  <c r="O155" i="1"/>
  <c r="N155" i="1"/>
  <c r="M155" i="1"/>
  <c r="I155" i="1"/>
  <c r="H155" i="1"/>
  <c r="F155" i="1"/>
  <c r="EP154" i="1"/>
  <c r="EO154" i="1"/>
  <c r="EN154" i="1"/>
  <c r="EM154" i="1"/>
  <c r="EL154" i="1"/>
  <c r="EK154" i="1"/>
  <c r="EJ154" i="1"/>
  <c r="EI154" i="1"/>
  <c r="EH154" i="1"/>
  <c r="EG154" i="1"/>
  <c r="EF154" i="1"/>
  <c r="EE154" i="1"/>
  <c r="ED154" i="1"/>
  <c r="DY154" i="1"/>
  <c r="DQ154" i="1"/>
  <c r="DP154" i="1"/>
  <c r="DK154" i="1"/>
  <c r="DJ154" i="1"/>
  <c r="DF154" i="1"/>
  <c r="DE154" i="1"/>
  <c r="DA154" i="1"/>
  <c r="CZ154" i="1"/>
  <c r="CV154" i="1"/>
  <c r="CU154" i="1"/>
  <c r="CQ154" i="1"/>
  <c r="CP154" i="1"/>
  <c r="CK154" i="1"/>
  <c r="CG154" i="1"/>
  <c r="CF154" i="1"/>
  <c r="CB154" i="1"/>
  <c r="CA154" i="1"/>
  <c r="BW154" i="1"/>
  <c r="BV154" i="1"/>
  <c r="BR154" i="1"/>
  <c r="BQ154" i="1"/>
  <c r="BM154" i="1"/>
  <c r="BL154" i="1"/>
  <c r="BH154" i="1"/>
  <c r="BG154" i="1"/>
  <c r="BC154" i="1"/>
  <c r="BB154" i="1"/>
  <c r="AX154" i="1"/>
  <c r="AW154" i="1"/>
  <c r="AS154" i="1"/>
  <c r="AR154" i="1"/>
  <c r="AN154" i="1"/>
  <c r="AM154" i="1"/>
  <c r="AI154" i="1"/>
  <c r="AH154" i="1"/>
  <c r="AD154" i="1"/>
  <c r="AC154" i="1"/>
  <c r="Y154" i="1"/>
  <c r="X154" i="1"/>
  <c r="V154" i="1"/>
  <c r="U154" i="1"/>
  <c r="T154" i="1"/>
  <c r="S154" i="1"/>
  <c r="R154" i="1"/>
  <c r="Q154" i="1"/>
  <c r="P154" i="1"/>
  <c r="O154" i="1"/>
  <c r="N154" i="1"/>
  <c r="M154" i="1"/>
  <c r="I154" i="1"/>
  <c r="H154" i="1"/>
  <c r="F154" i="1"/>
  <c r="EP153" i="1"/>
  <c r="EO153" i="1"/>
  <c r="EN153" i="1"/>
  <c r="EM153" i="1"/>
  <c r="EL153" i="1"/>
  <c r="EK153" i="1"/>
  <c r="EJ153" i="1"/>
  <c r="EI153" i="1"/>
  <c r="EH153" i="1"/>
  <c r="EG153" i="1"/>
  <c r="EF153" i="1"/>
  <c r="EE153" i="1"/>
  <c r="ED153" i="1"/>
  <c r="DY153" i="1"/>
  <c r="DQ153" i="1"/>
  <c r="DP153" i="1"/>
  <c r="DK153" i="1"/>
  <c r="DJ153" i="1"/>
  <c r="DF153" i="1"/>
  <c r="DE153" i="1"/>
  <c r="DA153" i="1"/>
  <c r="CZ153" i="1"/>
  <c r="CV153" i="1"/>
  <c r="CU153" i="1"/>
  <c r="CQ153" i="1"/>
  <c r="CP153" i="1"/>
  <c r="CK153" i="1"/>
  <c r="CG153" i="1"/>
  <c r="CF153" i="1"/>
  <c r="CB153" i="1"/>
  <c r="CA153" i="1"/>
  <c r="BW153" i="1"/>
  <c r="BV153" i="1"/>
  <c r="BR153" i="1"/>
  <c r="BQ153" i="1"/>
  <c r="BM153" i="1"/>
  <c r="BL153" i="1"/>
  <c r="BH153" i="1"/>
  <c r="BG153" i="1"/>
  <c r="BC153" i="1"/>
  <c r="BB153" i="1"/>
  <c r="AX153" i="1"/>
  <c r="AW153" i="1"/>
  <c r="AS153" i="1"/>
  <c r="AR153" i="1"/>
  <c r="AN153" i="1"/>
  <c r="AM153" i="1"/>
  <c r="AI153" i="1"/>
  <c r="AH153" i="1"/>
  <c r="AD153" i="1"/>
  <c r="AC153" i="1"/>
  <c r="Y153" i="1"/>
  <c r="X153" i="1"/>
  <c r="V153" i="1"/>
  <c r="U153" i="1"/>
  <c r="T153" i="1"/>
  <c r="S153" i="1"/>
  <c r="R153" i="1"/>
  <c r="Q153" i="1"/>
  <c r="P153" i="1"/>
  <c r="O153" i="1"/>
  <c r="N153" i="1"/>
  <c r="M153" i="1"/>
  <c r="I153" i="1"/>
  <c r="H153" i="1"/>
  <c r="F153" i="1"/>
  <c r="EP152" i="1"/>
  <c r="EO152" i="1"/>
  <c r="EN152" i="1"/>
  <c r="EM152" i="1"/>
  <c r="EL152" i="1"/>
  <c r="EK152" i="1"/>
  <c r="EJ152" i="1"/>
  <c r="EI152" i="1"/>
  <c r="EH152" i="1"/>
  <c r="EG152" i="1"/>
  <c r="EF152" i="1"/>
  <c r="EE152" i="1"/>
  <c r="ED152" i="1"/>
  <c r="DY152" i="1"/>
  <c r="DQ152" i="1"/>
  <c r="DP152" i="1"/>
  <c r="DK152" i="1"/>
  <c r="DJ152" i="1"/>
  <c r="DF152" i="1"/>
  <c r="DE152" i="1"/>
  <c r="DA152" i="1"/>
  <c r="CZ152" i="1"/>
  <c r="CV152" i="1"/>
  <c r="CU152" i="1"/>
  <c r="CQ152" i="1"/>
  <c r="CP152" i="1"/>
  <c r="CK152" i="1"/>
  <c r="CG152" i="1"/>
  <c r="CF152" i="1"/>
  <c r="CB152" i="1"/>
  <c r="CA152" i="1"/>
  <c r="BW152" i="1"/>
  <c r="BV152" i="1"/>
  <c r="BR152" i="1"/>
  <c r="BQ152" i="1"/>
  <c r="BM152" i="1"/>
  <c r="BL152" i="1"/>
  <c r="BH152" i="1"/>
  <c r="BG152" i="1"/>
  <c r="BC152" i="1"/>
  <c r="BB152" i="1"/>
  <c r="AX152" i="1"/>
  <c r="AW152" i="1"/>
  <c r="AS152" i="1"/>
  <c r="AR152" i="1"/>
  <c r="AN152" i="1"/>
  <c r="AM152" i="1"/>
  <c r="AI152" i="1"/>
  <c r="AH152" i="1"/>
  <c r="AD152" i="1"/>
  <c r="AC152" i="1"/>
  <c r="Y152" i="1"/>
  <c r="X152" i="1"/>
  <c r="V152" i="1"/>
  <c r="U152" i="1"/>
  <c r="T152" i="1"/>
  <c r="S152" i="1"/>
  <c r="R152" i="1"/>
  <c r="Q152" i="1"/>
  <c r="P152" i="1"/>
  <c r="O152" i="1"/>
  <c r="N152" i="1"/>
  <c r="M152" i="1"/>
  <c r="I152" i="1"/>
  <c r="H152" i="1"/>
  <c r="F152" i="1"/>
  <c r="EP151" i="1"/>
  <c r="EO151" i="1"/>
  <c r="EN151" i="1"/>
  <c r="EM151" i="1"/>
  <c r="EL151" i="1"/>
  <c r="EK151" i="1"/>
  <c r="EJ151" i="1"/>
  <c r="EI151" i="1"/>
  <c r="EH151" i="1"/>
  <c r="EG151" i="1"/>
  <c r="EF151" i="1"/>
  <c r="EE151" i="1"/>
  <c r="ED151" i="1"/>
  <c r="DY151" i="1"/>
  <c r="DQ151" i="1"/>
  <c r="DP151" i="1"/>
  <c r="DK151" i="1"/>
  <c r="DJ151" i="1"/>
  <c r="DF151" i="1"/>
  <c r="DE151" i="1"/>
  <c r="DA151" i="1"/>
  <c r="CZ151" i="1"/>
  <c r="CV151" i="1"/>
  <c r="CU151" i="1"/>
  <c r="CQ151" i="1"/>
  <c r="CP151" i="1"/>
  <c r="CK151" i="1"/>
  <c r="CG151" i="1"/>
  <c r="CF151" i="1"/>
  <c r="CB151" i="1"/>
  <c r="CA151" i="1"/>
  <c r="BW151" i="1"/>
  <c r="BV151" i="1"/>
  <c r="BR151" i="1"/>
  <c r="BQ151" i="1"/>
  <c r="BM151" i="1"/>
  <c r="BL151" i="1"/>
  <c r="BH151" i="1"/>
  <c r="BG151" i="1"/>
  <c r="BC151" i="1"/>
  <c r="BB151" i="1"/>
  <c r="AX151" i="1"/>
  <c r="AW151" i="1"/>
  <c r="AS151" i="1"/>
  <c r="AR151" i="1"/>
  <c r="AN151" i="1"/>
  <c r="AM151" i="1"/>
  <c r="AI151" i="1"/>
  <c r="AH151" i="1"/>
  <c r="AD151" i="1"/>
  <c r="AC151" i="1"/>
  <c r="Y151" i="1"/>
  <c r="X151" i="1"/>
  <c r="V151" i="1"/>
  <c r="U151" i="1"/>
  <c r="T151" i="1"/>
  <c r="S151" i="1"/>
  <c r="R151" i="1"/>
  <c r="Q151" i="1"/>
  <c r="P151" i="1"/>
  <c r="O151" i="1"/>
  <c r="N151" i="1"/>
  <c r="M151" i="1"/>
  <c r="I151" i="1"/>
  <c r="H151" i="1"/>
  <c r="F151" i="1"/>
  <c r="EP150" i="1"/>
  <c r="EO150" i="1"/>
  <c r="EN150" i="1"/>
  <c r="EM150" i="1"/>
  <c r="EL150" i="1"/>
  <c r="EK150" i="1"/>
  <c r="EJ150" i="1"/>
  <c r="EI150" i="1"/>
  <c r="EH150" i="1"/>
  <c r="EG150" i="1"/>
  <c r="EF150" i="1"/>
  <c r="EE150" i="1"/>
  <c r="ED150" i="1"/>
  <c r="DY150" i="1"/>
  <c r="DQ150" i="1"/>
  <c r="DP150" i="1"/>
  <c r="DK150" i="1"/>
  <c r="DJ150" i="1"/>
  <c r="DF150" i="1"/>
  <c r="DE150" i="1"/>
  <c r="DA150" i="1"/>
  <c r="CZ150" i="1"/>
  <c r="CV150" i="1"/>
  <c r="CU150" i="1"/>
  <c r="CQ150" i="1"/>
  <c r="CP150" i="1"/>
  <c r="CK150" i="1"/>
  <c r="CG150" i="1"/>
  <c r="CF150" i="1"/>
  <c r="CB150" i="1"/>
  <c r="CA150" i="1"/>
  <c r="BW150" i="1"/>
  <c r="BV150" i="1"/>
  <c r="BR150" i="1"/>
  <c r="BQ150" i="1"/>
  <c r="BM150" i="1"/>
  <c r="BL150" i="1"/>
  <c r="BH150" i="1"/>
  <c r="BG150" i="1"/>
  <c r="BC150" i="1"/>
  <c r="BB150" i="1"/>
  <c r="AX150" i="1"/>
  <c r="AW150" i="1"/>
  <c r="AS150" i="1"/>
  <c r="AR150" i="1"/>
  <c r="AN150" i="1"/>
  <c r="AM150" i="1"/>
  <c r="AI150" i="1"/>
  <c r="AH150" i="1"/>
  <c r="AD150" i="1"/>
  <c r="AC150" i="1"/>
  <c r="Y150" i="1"/>
  <c r="X150" i="1"/>
  <c r="V150" i="1"/>
  <c r="U150" i="1"/>
  <c r="T150" i="1"/>
  <c r="S150" i="1"/>
  <c r="R150" i="1"/>
  <c r="Q150" i="1"/>
  <c r="P150" i="1"/>
  <c r="O150" i="1"/>
  <c r="N150" i="1"/>
  <c r="M150" i="1"/>
  <c r="I150" i="1"/>
  <c r="H150" i="1"/>
  <c r="F150" i="1"/>
  <c r="EP149" i="1"/>
  <c r="EO149" i="1"/>
  <c r="EN149" i="1"/>
  <c r="EM149" i="1"/>
  <c r="EL149" i="1"/>
  <c r="EK149" i="1"/>
  <c r="EJ149" i="1"/>
  <c r="EI149" i="1"/>
  <c r="EH149" i="1"/>
  <c r="EG149" i="1"/>
  <c r="EF149" i="1"/>
  <c r="EE149" i="1"/>
  <c r="ED149" i="1"/>
  <c r="DY149" i="1"/>
  <c r="DQ149" i="1"/>
  <c r="DP149" i="1"/>
  <c r="DK149" i="1"/>
  <c r="DJ149" i="1"/>
  <c r="DF149" i="1"/>
  <c r="DE149" i="1"/>
  <c r="DA149" i="1"/>
  <c r="CZ149" i="1"/>
  <c r="CV149" i="1"/>
  <c r="CU149" i="1"/>
  <c r="CQ149" i="1"/>
  <c r="CP149" i="1"/>
  <c r="CK149" i="1"/>
  <c r="CG149" i="1"/>
  <c r="CF149" i="1"/>
  <c r="CB149" i="1"/>
  <c r="CA149" i="1"/>
  <c r="BW149" i="1"/>
  <c r="BV149" i="1"/>
  <c r="BR149" i="1"/>
  <c r="BQ149" i="1"/>
  <c r="BM149" i="1"/>
  <c r="BL149" i="1"/>
  <c r="BH149" i="1"/>
  <c r="BG149" i="1"/>
  <c r="BC149" i="1"/>
  <c r="BB149" i="1"/>
  <c r="AX149" i="1"/>
  <c r="AW149" i="1"/>
  <c r="AS149" i="1"/>
  <c r="AR149" i="1"/>
  <c r="AN149" i="1"/>
  <c r="AM149" i="1"/>
  <c r="AI149" i="1"/>
  <c r="AH149" i="1"/>
  <c r="AD149" i="1"/>
  <c r="AC149" i="1"/>
  <c r="Y149" i="1"/>
  <c r="X149" i="1"/>
  <c r="V149" i="1"/>
  <c r="U149" i="1"/>
  <c r="T149" i="1"/>
  <c r="S149" i="1"/>
  <c r="R149" i="1"/>
  <c r="Q149" i="1"/>
  <c r="P149" i="1"/>
  <c r="O149" i="1"/>
  <c r="N149" i="1"/>
  <c r="M149" i="1"/>
  <c r="I149" i="1"/>
  <c r="H149" i="1"/>
  <c r="F149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DY148" i="1"/>
  <c r="DQ148" i="1"/>
  <c r="DP148" i="1"/>
  <c r="DK148" i="1"/>
  <c r="DJ148" i="1"/>
  <c r="DF148" i="1"/>
  <c r="DE148" i="1"/>
  <c r="DA148" i="1"/>
  <c r="CZ148" i="1"/>
  <c r="CV148" i="1"/>
  <c r="CU148" i="1"/>
  <c r="CQ148" i="1"/>
  <c r="CP148" i="1"/>
  <c r="CK148" i="1"/>
  <c r="CG148" i="1"/>
  <c r="CF148" i="1"/>
  <c r="CB148" i="1"/>
  <c r="CA148" i="1"/>
  <c r="BW148" i="1"/>
  <c r="BV148" i="1"/>
  <c r="BR148" i="1"/>
  <c r="BQ148" i="1"/>
  <c r="BM148" i="1"/>
  <c r="BL148" i="1"/>
  <c r="BH148" i="1"/>
  <c r="BG148" i="1"/>
  <c r="BC148" i="1"/>
  <c r="BB148" i="1"/>
  <c r="AX148" i="1"/>
  <c r="AW148" i="1"/>
  <c r="AS148" i="1"/>
  <c r="AR148" i="1"/>
  <c r="AN148" i="1"/>
  <c r="AM148" i="1"/>
  <c r="AI148" i="1"/>
  <c r="AH148" i="1"/>
  <c r="AD148" i="1"/>
  <c r="AC148" i="1"/>
  <c r="Y148" i="1"/>
  <c r="X148" i="1"/>
  <c r="V148" i="1"/>
  <c r="U148" i="1"/>
  <c r="T148" i="1"/>
  <c r="S148" i="1"/>
  <c r="R148" i="1"/>
  <c r="Q148" i="1"/>
  <c r="P148" i="1"/>
  <c r="O148" i="1"/>
  <c r="N148" i="1"/>
  <c r="M148" i="1"/>
  <c r="I148" i="1"/>
  <c r="H148" i="1"/>
  <c r="F148" i="1"/>
  <c r="EP147" i="1"/>
  <c r="EO147" i="1"/>
  <c r="EN147" i="1"/>
  <c r="EM147" i="1"/>
  <c r="EL147" i="1"/>
  <c r="EK147" i="1"/>
  <c r="EJ147" i="1"/>
  <c r="EI147" i="1"/>
  <c r="EH147" i="1"/>
  <c r="EG147" i="1"/>
  <c r="EF147" i="1"/>
  <c r="EE147" i="1"/>
  <c r="ED147" i="1"/>
  <c r="DY147" i="1"/>
  <c r="DQ147" i="1"/>
  <c r="DP147" i="1"/>
  <c r="DK147" i="1"/>
  <c r="DJ147" i="1"/>
  <c r="DF147" i="1"/>
  <c r="DE147" i="1"/>
  <c r="DA147" i="1"/>
  <c r="CZ147" i="1"/>
  <c r="CV147" i="1"/>
  <c r="CU147" i="1"/>
  <c r="CQ147" i="1"/>
  <c r="CP147" i="1"/>
  <c r="CK147" i="1"/>
  <c r="CG147" i="1"/>
  <c r="CF147" i="1"/>
  <c r="CB147" i="1"/>
  <c r="CA147" i="1"/>
  <c r="BW147" i="1"/>
  <c r="BV147" i="1"/>
  <c r="BR147" i="1"/>
  <c r="BQ147" i="1"/>
  <c r="BM147" i="1"/>
  <c r="BL147" i="1"/>
  <c r="BH147" i="1"/>
  <c r="BG147" i="1"/>
  <c r="BC147" i="1"/>
  <c r="BB147" i="1"/>
  <c r="AX147" i="1"/>
  <c r="AW147" i="1"/>
  <c r="AS147" i="1"/>
  <c r="AR147" i="1"/>
  <c r="AN147" i="1"/>
  <c r="AM147" i="1"/>
  <c r="AI147" i="1"/>
  <c r="AH147" i="1"/>
  <c r="AD147" i="1"/>
  <c r="AC147" i="1"/>
  <c r="Y147" i="1"/>
  <c r="X147" i="1"/>
  <c r="V147" i="1"/>
  <c r="U147" i="1"/>
  <c r="T147" i="1"/>
  <c r="S147" i="1"/>
  <c r="R147" i="1"/>
  <c r="Q147" i="1"/>
  <c r="P147" i="1"/>
  <c r="O147" i="1"/>
  <c r="N147" i="1"/>
  <c r="M147" i="1"/>
  <c r="I147" i="1"/>
  <c r="H147" i="1"/>
  <c r="F147" i="1"/>
  <c r="EP146" i="1"/>
  <c r="EO146" i="1"/>
  <c r="EN146" i="1"/>
  <c r="EM146" i="1"/>
  <c r="EL146" i="1"/>
  <c r="EK146" i="1"/>
  <c r="EJ146" i="1"/>
  <c r="EI146" i="1"/>
  <c r="EH146" i="1"/>
  <c r="EG146" i="1"/>
  <c r="EF146" i="1"/>
  <c r="EE146" i="1"/>
  <c r="ED146" i="1"/>
  <c r="DY146" i="1"/>
  <c r="DQ146" i="1"/>
  <c r="DP146" i="1"/>
  <c r="DK146" i="1"/>
  <c r="DJ146" i="1"/>
  <c r="DF146" i="1"/>
  <c r="DE146" i="1"/>
  <c r="DA146" i="1"/>
  <c r="CZ146" i="1"/>
  <c r="CV146" i="1"/>
  <c r="CU146" i="1"/>
  <c r="CQ146" i="1"/>
  <c r="CP146" i="1"/>
  <c r="CK146" i="1"/>
  <c r="CG146" i="1"/>
  <c r="CF146" i="1"/>
  <c r="CB146" i="1"/>
  <c r="CA146" i="1"/>
  <c r="BW146" i="1"/>
  <c r="BV146" i="1"/>
  <c r="BR146" i="1"/>
  <c r="BQ146" i="1"/>
  <c r="BM146" i="1"/>
  <c r="BL146" i="1"/>
  <c r="BH146" i="1"/>
  <c r="BG146" i="1"/>
  <c r="BC146" i="1"/>
  <c r="BB146" i="1"/>
  <c r="AX146" i="1"/>
  <c r="AW146" i="1"/>
  <c r="AS146" i="1"/>
  <c r="AR146" i="1"/>
  <c r="AN146" i="1"/>
  <c r="AM146" i="1"/>
  <c r="AI146" i="1"/>
  <c r="AH146" i="1"/>
  <c r="AD146" i="1"/>
  <c r="AC146" i="1"/>
  <c r="Y146" i="1"/>
  <c r="X146" i="1"/>
  <c r="V146" i="1"/>
  <c r="U146" i="1"/>
  <c r="T146" i="1"/>
  <c r="S146" i="1"/>
  <c r="R146" i="1"/>
  <c r="Q146" i="1"/>
  <c r="P146" i="1"/>
  <c r="O146" i="1"/>
  <c r="N146" i="1"/>
  <c r="M146" i="1"/>
  <c r="I146" i="1"/>
  <c r="H146" i="1"/>
  <c r="F146" i="1"/>
  <c r="EP145" i="1"/>
  <c r="EO145" i="1"/>
  <c r="EN145" i="1"/>
  <c r="EM145" i="1"/>
  <c r="EL145" i="1"/>
  <c r="EK145" i="1"/>
  <c r="EJ145" i="1"/>
  <c r="EI145" i="1"/>
  <c r="EH145" i="1"/>
  <c r="EG145" i="1"/>
  <c r="EF145" i="1"/>
  <c r="EE145" i="1"/>
  <c r="ED145" i="1"/>
  <c r="DY145" i="1"/>
  <c r="DQ145" i="1"/>
  <c r="DP145" i="1"/>
  <c r="DK145" i="1"/>
  <c r="DJ145" i="1"/>
  <c r="DF145" i="1"/>
  <c r="DE145" i="1"/>
  <c r="DA145" i="1"/>
  <c r="CZ145" i="1"/>
  <c r="CV145" i="1"/>
  <c r="CU145" i="1"/>
  <c r="CQ145" i="1"/>
  <c r="CP145" i="1"/>
  <c r="CK145" i="1"/>
  <c r="CG145" i="1"/>
  <c r="CF145" i="1"/>
  <c r="CB145" i="1"/>
  <c r="CA145" i="1"/>
  <c r="BW145" i="1"/>
  <c r="BV145" i="1"/>
  <c r="BR145" i="1"/>
  <c r="BQ145" i="1"/>
  <c r="BM145" i="1"/>
  <c r="BL145" i="1"/>
  <c r="BH145" i="1"/>
  <c r="BG145" i="1"/>
  <c r="BC145" i="1"/>
  <c r="BB145" i="1"/>
  <c r="AX145" i="1"/>
  <c r="AW145" i="1"/>
  <c r="AS145" i="1"/>
  <c r="AR145" i="1"/>
  <c r="AN145" i="1"/>
  <c r="AM145" i="1"/>
  <c r="AI145" i="1"/>
  <c r="AH145" i="1"/>
  <c r="AD145" i="1"/>
  <c r="AC145" i="1"/>
  <c r="Y145" i="1"/>
  <c r="X145" i="1"/>
  <c r="V145" i="1"/>
  <c r="U145" i="1"/>
  <c r="T145" i="1"/>
  <c r="S145" i="1"/>
  <c r="R145" i="1"/>
  <c r="Q145" i="1"/>
  <c r="P145" i="1"/>
  <c r="O145" i="1"/>
  <c r="N145" i="1"/>
  <c r="M145" i="1"/>
  <c r="I145" i="1"/>
  <c r="H145" i="1"/>
  <c r="F145" i="1"/>
  <c r="EP144" i="1"/>
  <c r="EO144" i="1"/>
  <c r="EN144" i="1"/>
  <c r="EM144" i="1"/>
  <c r="EL144" i="1"/>
  <c r="EK144" i="1"/>
  <c r="EJ144" i="1"/>
  <c r="EI144" i="1"/>
  <c r="EH144" i="1"/>
  <c r="EG144" i="1"/>
  <c r="EF144" i="1"/>
  <c r="EE144" i="1"/>
  <c r="ED144" i="1"/>
  <c r="DY144" i="1"/>
  <c r="DQ144" i="1"/>
  <c r="DP144" i="1"/>
  <c r="DK144" i="1"/>
  <c r="DJ144" i="1"/>
  <c r="DF144" i="1"/>
  <c r="DE144" i="1"/>
  <c r="DA144" i="1"/>
  <c r="CZ144" i="1"/>
  <c r="CV144" i="1"/>
  <c r="CU144" i="1"/>
  <c r="CQ144" i="1"/>
  <c r="CP144" i="1"/>
  <c r="CK144" i="1"/>
  <c r="CG144" i="1"/>
  <c r="CF144" i="1"/>
  <c r="CB144" i="1"/>
  <c r="CA144" i="1"/>
  <c r="BW144" i="1"/>
  <c r="BV144" i="1"/>
  <c r="BR144" i="1"/>
  <c r="BQ144" i="1"/>
  <c r="BM144" i="1"/>
  <c r="BL144" i="1"/>
  <c r="BH144" i="1"/>
  <c r="BG144" i="1"/>
  <c r="BC144" i="1"/>
  <c r="BB144" i="1"/>
  <c r="AX144" i="1"/>
  <c r="AW144" i="1"/>
  <c r="AS144" i="1"/>
  <c r="AR144" i="1"/>
  <c r="AN144" i="1"/>
  <c r="AM144" i="1"/>
  <c r="AI144" i="1"/>
  <c r="AH144" i="1"/>
  <c r="AD144" i="1"/>
  <c r="AC144" i="1"/>
  <c r="Y144" i="1"/>
  <c r="X144" i="1"/>
  <c r="V144" i="1"/>
  <c r="U144" i="1"/>
  <c r="T144" i="1"/>
  <c r="S144" i="1"/>
  <c r="R144" i="1"/>
  <c r="Q144" i="1"/>
  <c r="P144" i="1"/>
  <c r="O144" i="1"/>
  <c r="N144" i="1"/>
  <c r="M144" i="1"/>
  <c r="I144" i="1"/>
  <c r="H144" i="1"/>
  <c r="F144" i="1"/>
  <c r="EP143" i="1"/>
  <c r="EO143" i="1"/>
  <c r="EN143" i="1"/>
  <c r="EM143" i="1"/>
  <c r="EL143" i="1"/>
  <c r="EK143" i="1"/>
  <c r="EJ143" i="1"/>
  <c r="EI143" i="1"/>
  <c r="EH143" i="1"/>
  <c r="EG143" i="1"/>
  <c r="EF143" i="1"/>
  <c r="EE143" i="1"/>
  <c r="ED143" i="1"/>
  <c r="DY143" i="1"/>
  <c r="DQ143" i="1"/>
  <c r="DP143" i="1"/>
  <c r="DK143" i="1"/>
  <c r="DJ143" i="1"/>
  <c r="DF143" i="1"/>
  <c r="DE143" i="1"/>
  <c r="DA143" i="1"/>
  <c r="CZ143" i="1"/>
  <c r="CV143" i="1"/>
  <c r="CU143" i="1"/>
  <c r="CQ143" i="1"/>
  <c r="CP143" i="1"/>
  <c r="CK143" i="1"/>
  <c r="CG143" i="1"/>
  <c r="CF143" i="1"/>
  <c r="CB143" i="1"/>
  <c r="CA143" i="1"/>
  <c r="BW143" i="1"/>
  <c r="BV143" i="1"/>
  <c r="BR143" i="1"/>
  <c r="BQ143" i="1"/>
  <c r="BM143" i="1"/>
  <c r="BL143" i="1"/>
  <c r="BH143" i="1"/>
  <c r="BG143" i="1"/>
  <c r="BC143" i="1"/>
  <c r="BB143" i="1"/>
  <c r="AX143" i="1"/>
  <c r="AW143" i="1"/>
  <c r="AS143" i="1"/>
  <c r="AR143" i="1"/>
  <c r="AN143" i="1"/>
  <c r="AM143" i="1"/>
  <c r="AI143" i="1"/>
  <c r="AH143" i="1"/>
  <c r="AD143" i="1"/>
  <c r="AC143" i="1"/>
  <c r="Y143" i="1"/>
  <c r="X143" i="1"/>
  <c r="V143" i="1"/>
  <c r="U143" i="1"/>
  <c r="T143" i="1"/>
  <c r="S143" i="1"/>
  <c r="R143" i="1"/>
  <c r="Q143" i="1"/>
  <c r="P143" i="1"/>
  <c r="O143" i="1"/>
  <c r="N143" i="1"/>
  <c r="M143" i="1"/>
  <c r="I143" i="1"/>
  <c r="H143" i="1"/>
  <c r="F143" i="1"/>
  <c r="EP142" i="1"/>
  <c r="EO142" i="1"/>
  <c r="EN142" i="1"/>
  <c r="EM142" i="1"/>
  <c r="EL142" i="1"/>
  <c r="EK142" i="1"/>
  <c r="EJ142" i="1"/>
  <c r="EI142" i="1"/>
  <c r="EH142" i="1"/>
  <c r="EG142" i="1"/>
  <c r="EF142" i="1"/>
  <c r="EE142" i="1"/>
  <c r="ED142" i="1"/>
  <c r="DY142" i="1"/>
  <c r="DQ142" i="1"/>
  <c r="DP142" i="1"/>
  <c r="DK142" i="1"/>
  <c r="DJ142" i="1"/>
  <c r="DF142" i="1"/>
  <c r="DE142" i="1"/>
  <c r="DA142" i="1"/>
  <c r="CZ142" i="1"/>
  <c r="CV142" i="1"/>
  <c r="CU142" i="1"/>
  <c r="CQ142" i="1"/>
  <c r="CP142" i="1"/>
  <c r="CK142" i="1"/>
  <c r="CG142" i="1"/>
  <c r="CF142" i="1"/>
  <c r="CB142" i="1"/>
  <c r="CA142" i="1"/>
  <c r="BW142" i="1"/>
  <c r="BV142" i="1"/>
  <c r="BR142" i="1"/>
  <c r="BQ142" i="1"/>
  <c r="BM142" i="1"/>
  <c r="BL142" i="1"/>
  <c r="BH142" i="1"/>
  <c r="BG142" i="1"/>
  <c r="BC142" i="1"/>
  <c r="BB142" i="1"/>
  <c r="AX142" i="1"/>
  <c r="AW142" i="1"/>
  <c r="AS142" i="1"/>
  <c r="AR142" i="1"/>
  <c r="AN142" i="1"/>
  <c r="AM142" i="1"/>
  <c r="AI142" i="1"/>
  <c r="AH142" i="1"/>
  <c r="AD142" i="1"/>
  <c r="AC142" i="1"/>
  <c r="Y142" i="1"/>
  <c r="X142" i="1"/>
  <c r="V142" i="1"/>
  <c r="U142" i="1"/>
  <c r="T142" i="1"/>
  <c r="S142" i="1"/>
  <c r="R142" i="1"/>
  <c r="Q142" i="1"/>
  <c r="P142" i="1"/>
  <c r="O142" i="1"/>
  <c r="N142" i="1"/>
  <c r="M142" i="1"/>
  <c r="I142" i="1"/>
  <c r="H142" i="1"/>
  <c r="F142" i="1"/>
  <c r="EP141" i="1"/>
  <c r="EO141" i="1"/>
  <c r="EN141" i="1"/>
  <c r="EM141" i="1"/>
  <c r="EL141" i="1"/>
  <c r="EK141" i="1"/>
  <c r="EJ141" i="1"/>
  <c r="EI141" i="1"/>
  <c r="EH141" i="1"/>
  <c r="EG141" i="1"/>
  <c r="EF141" i="1"/>
  <c r="EE141" i="1"/>
  <c r="ED141" i="1"/>
  <c r="DY141" i="1"/>
  <c r="DQ141" i="1"/>
  <c r="DP141" i="1"/>
  <c r="DK141" i="1"/>
  <c r="DJ141" i="1"/>
  <c r="DF141" i="1"/>
  <c r="DE141" i="1"/>
  <c r="DA141" i="1"/>
  <c r="CZ141" i="1"/>
  <c r="CV141" i="1"/>
  <c r="CU141" i="1"/>
  <c r="CQ141" i="1"/>
  <c r="CP141" i="1"/>
  <c r="CK141" i="1"/>
  <c r="CG141" i="1"/>
  <c r="CF141" i="1"/>
  <c r="CB141" i="1"/>
  <c r="CA141" i="1"/>
  <c r="BW141" i="1"/>
  <c r="BV141" i="1"/>
  <c r="BR141" i="1"/>
  <c r="BQ141" i="1"/>
  <c r="BM141" i="1"/>
  <c r="BL141" i="1"/>
  <c r="BH141" i="1"/>
  <c r="BG141" i="1"/>
  <c r="BC141" i="1"/>
  <c r="BB141" i="1"/>
  <c r="AX141" i="1"/>
  <c r="AW141" i="1"/>
  <c r="AS141" i="1"/>
  <c r="AR141" i="1"/>
  <c r="AN141" i="1"/>
  <c r="AM141" i="1"/>
  <c r="AI141" i="1"/>
  <c r="AH141" i="1"/>
  <c r="AD141" i="1"/>
  <c r="AC141" i="1"/>
  <c r="Y141" i="1"/>
  <c r="X141" i="1"/>
  <c r="V141" i="1"/>
  <c r="DO141" i="1" s="1"/>
  <c r="DI141" i="1" s="1"/>
  <c r="DD141" i="1" s="1"/>
  <c r="CY141" i="1" s="1"/>
  <c r="CT141" i="1" s="1"/>
  <c r="CO141" i="1" s="1"/>
  <c r="CJ141" i="1" s="1"/>
  <c r="CE141" i="1" s="1"/>
  <c r="BZ141" i="1" s="1"/>
  <c r="BU141" i="1" s="1"/>
  <c r="BP141" i="1" s="1"/>
  <c r="BK141" i="1" s="1"/>
  <c r="BF141" i="1" s="1"/>
  <c r="BA141" i="1" s="1"/>
  <c r="AV141" i="1" s="1"/>
  <c r="AQ141" i="1" s="1"/>
  <c r="AL141" i="1" s="1"/>
  <c r="AG141" i="1" s="1"/>
  <c r="AB141" i="1" s="1"/>
  <c r="W141" i="1" s="1"/>
  <c r="U141" i="1"/>
  <c r="T141" i="1"/>
  <c r="S141" i="1"/>
  <c r="R141" i="1"/>
  <c r="Q141" i="1"/>
  <c r="P141" i="1"/>
  <c r="O141" i="1"/>
  <c r="N141" i="1"/>
  <c r="M141" i="1"/>
  <c r="I141" i="1"/>
  <c r="H141" i="1"/>
  <c r="F141" i="1"/>
  <c r="EP140" i="1"/>
  <c r="EO140" i="1"/>
  <c r="EN140" i="1"/>
  <c r="EM140" i="1"/>
  <c r="EL140" i="1"/>
  <c r="EK140" i="1"/>
  <c r="EJ140" i="1"/>
  <c r="EI140" i="1"/>
  <c r="EH140" i="1"/>
  <c r="EG140" i="1"/>
  <c r="EF140" i="1"/>
  <c r="EE140" i="1"/>
  <c r="ED140" i="1"/>
  <c r="DY140" i="1"/>
  <c r="DQ140" i="1"/>
  <c r="DP140" i="1"/>
  <c r="DK140" i="1"/>
  <c r="DJ140" i="1"/>
  <c r="DF140" i="1"/>
  <c r="DE140" i="1"/>
  <c r="DA140" i="1"/>
  <c r="CZ140" i="1"/>
  <c r="CV140" i="1"/>
  <c r="CU140" i="1"/>
  <c r="CQ140" i="1"/>
  <c r="CP140" i="1"/>
  <c r="CK140" i="1"/>
  <c r="CG140" i="1"/>
  <c r="CF140" i="1"/>
  <c r="CB140" i="1"/>
  <c r="CA140" i="1"/>
  <c r="BW140" i="1"/>
  <c r="BV140" i="1"/>
  <c r="BR140" i="1"/>
  <c r="BQ140" i="1"/>
  <c r="BM140" i="1"/>
  <c r="BL140" i="1"/>
  <c r="BH140" i="1"/>
  <c r="BG140" i="1"/>
  <c r="BC140" i="1"/>
  <c r="BB140" i="1"/>
  <c r="AX140" i="1"/>
  <c r="AW140" i="1"/>
  <c r="AS140" i="1"/>
  <c r="AR140" i="1"/>
  <c r="AN140" i="1"/>
  <c r="AM140" i="1"/>
  <c r="AI140" i="1"/>
  <c r="AH140" i="1"/>
  <c r="AD140" i="1"/>
  <c r="AC140" i="1"/>
  <c r="Y140" i="1"/>
  <c r="X140" i="1"/>
  <c r="V140" i="1"/>
  <c r="DO140" i="1" s="1"/>
  <c r="DI140" i="1" s="1"/>
  <c r="DD140" i="1" s="1"/>
  <c r="CY140" i="1" s="1"/>
  <c r="CT140" i="1" s="1"/>
  <c r="CO140" i="1" s="1"/>
  <c r="CJ140" i="1" s="1"/>
  <c r="CE140" i="1" s="1"/>
  <c r="BZ140" i="1" s="1"/>
  <c r="BU140" i="1" s="1"/>
  <c r="BP140" i="1" s="1"/>
  <c r="BK140" i="1" s="1"/>
  <c r="BF140" i="1" s="1"/>
  <c r="BA140" i="1" s="1"/>
  <c r="AV140" i="1" s="1"/>
  <c r="AQ140" i="1" s="1"/>
  <c r="AL140" i="1" s="1"/>
  <c r="AG140" i="1" s="1"/>
  <c r="AB140" i="1" s="1"/>
  <c r="W140" i="1" s="1"/>
  <c r="U140" i="1"/>
  <c r="T140" i="1"/>
  <c r="S140" i="1"/>
  <c r="R140" i="1"/>
  <c r="Q140" i="1"/>
  <c r="P140" i="1"/>
  <c r="O140" i="1"/>
  <c r="N140" i="1"/>
  <c r="M140" i="1"/>
  <c r="I140" i="1"/>
  <c r="H140" i="1"/>
  <c r="F140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DY139" i="1"/>
  <c r="DQ139" i="1"/>
  <c r="DP139" i="1"/>
  <c r="DK139" i="1"/>
  <c r="DJ139" i="1"/>
  <c r="DF139" i="1"/>
  <c r="DE139" i="1"/>
  <c r="DA139" i="1"/>
  <c r="CZ139" i="1"/>
  <c r="CV139" i="1"/>
  <c r="CU139" i="1"/>
  <c r="CQ139" i="1"/>
  <c r="CP139" i="1"/>
  <c r="CK139" i="1"/>
  <c r="CG139" i="1"/>
  <c r="CF139" i="1"/>
  <c r="CB139" i="1"/>
  <c r="CA139" i="1"/>
  <c r="BW139" i="1"/>
  <c r="BV139" i="1"/>
  <c r="BR139" i="1"/>
  <c r="BQ139" i="1"/>
  <c r="BM139" i="1"/>
  <c r="BL139" i="1"/>
  <c r="BH139" i="1"/>
  <c r="BG139" i="1"/>
  <c r="BC139" i="1"/>
  <c r="BB139" i="1"/>
  <c r="AX139" i="1"/>
  <c r="AW139" i="1"/>
  <c r="AS139" i="1"/>
  <c r="AR139" i="1"/>
  <c r="AN139" i="1"/>
  <c r="AM139" i="1"/>
  <c r="AI139" i="1"/>
  <c r="AH139" i="1"/>
  <c r="AD139" i="1"/>
  <c r="AC139" i="1"/>
  <c r="Y139" i="1"/>
  <c r="X139" i="1"/>
  <c r="V139" i="1"/>
  <c r="DO139" i="1" s="1"/>
  <c r="DI139" i="1" s="1"/>
  <c r="DD139" i="1" s="1"/>
  <c r="CY139" i="1" s="1"/>
  <c r="CT139" i="1" s="1"/>
  <c r="CO139" i="1" s="1"/>
  <c r="CJ139" i="1" s="1"/>
  <c r="CE139" i="1" s="1"/>
  <c r="BZ139" i="1" s="1"/>
  <c r="BU139" i="1" s="1"/>
  <c r="BP139" i="1" s="1"/>
  <c r="BK139" i="1" s="1"/>
  <c r="BF139" i="1" s="1"/>
  <c r="BA139" i="1" s="1"/>
  <c r="AV139" i="1" s="1"/>
  <c r="AQ139" i="1" s="1"/>
  <c r="AL139" i="1" s="1"/>
  <c r="AG139" i="1" s="1"/>
  <c r="AB139" i="1" s="1"/>
  <c r="W139" i="1" s="1"/>
  <c r="U139" i="1"/>
  <c r="T139" i="1"/>
  <c r="S139" i="1"/>
  <c r="R139" i="1"/>
  <c r="Q139" i="1"/>
  <c r="P139" i="1"/>
  <c r="O139" i="1"/>
  <c r="N139" i="1"/>
  <c r="M139" i="1"/>
  <c r="I139" i="1"/>
  <c r="H139" i="1"/>
  <c r="F139" i="1"/>
  <c r="Q52" i="1"/>
  <c r="Q51" i="1"/>
  <c r="Q49" i="1"/>
  <c r="N50" i="1"/>
  <c r="DO50" i="1" s="1"/>
  <c r="N49" i="1"/>
  <c r="DO49" i="1" s="1"/>
  <c r="T54" i="1"/>
  <c r="O50" i="1"/>
  <c r="N48" i="1"/>
  <c r="DO48" i="1" s="1"/>
  <c r="N46" i="1"/>
  <c r="N45" i="1"/>
  <c r="DO45" i="1" s="1"/>
  <c r="DI45" i="1" s="1"/>
  <c r="DD45" i="1" s="1"/>
  <c r="CY45" i="1" s="1"/>
  <c r="CT45" i="1" s="1"/>
  <c r="CO45" i="1" s="1"/>
  <c r="CJ45" i="1" s="1"/>
  <c r="CE45" i="1" s="1"/>
  <c r="BZ45" i="1" s="1"/>
  <c r="BU45" i="1" s="1"/>
  <c r="BP45" i="1" s="1"/>
  <c r="BK45" i="1" s="1"/>
  <c r="BF45" i="1" s="1"/>
  <c r="BA45" i="1" s="1"/>
  <c r="AV45" i="1" s="1"/>
  <c r="AQ45" i="1" s="1"/>
  <c r="AL45" i="1" s="1"/>
  <c r="AG45" i="1" s="1"/>
  <c r="AB45" i="1" s="1"/>
  <c r="W45" i="1" s="1"/>
  <c r="N44" i="1"/>
  <c r="DO44" i="1" s="1"/>
  <c r="DI44" i="1" s="1"/>
  <c r="DD44" i="1" s="1"/>
  <c r="CY44" i="1" s="1"/>
  <c r="CT44" i="1" s="1"/>
  <c r="CO44" i="1" s="1"/>
  <c r="CJ44" i="1" s="1"/>
  <c r="CE44" i="1" s="1"/>
  <c r="BZ44" i="1" s="1"/>
  <c r="BU44" i="1" s="1"/>
  <c r="BP44" i="1" s="1"/>
  <c r="BK44" i="1" s="1"/>
  <c r="BF44" i="1" s="1"/>
  <c r="BA44" i="1" s="1"/>
  <c r="AV44" i="1" s="1"/>
  <c r="AQ44" i="1" s="1"/>
  <c r="AL44" i="1" s="1"/>
  <c r="AG44" i="1" s="1"/>
  <c r="AB44" i="1" s="1"/>
  <c r="W44" i="1" s="1"/>
  <c r="Q48" i="1"/>
  <c r="Q45" i="1"/>
  <c r="Q44" i="1"/>
  <c r="EP88" i="1"/>
  <c r="EO88" i="1"/>
  <c r="EN88" i="1"/>
  <c r="EP87" i="1"/>
  <c r="EO87" i="1"/>
  <c r="EN87" i="1"/>
  <c r="EP86" i="1"/>
  <c r="EO86" i="1"/>
  <c r="EN86" i="1"/>
  <c r="EP85" i="1"/>
  <c r="EO85" i="1"/>
  <c r="EN85" i="1"/>
  <c r="EP84" i="1"/>
  <c r="EO84" i="1"/>
  <c r="EN84" i="1"/>
  <c r="EP83" i="1"/>
  <c r="EO83" i="1"/>
  <c r="EN83" i="1"/>
  <c r="EP82" i="1"/>
  <c r="EO82" i="1"/>
  <c r="EN82" i="1"/>
  <c r="EP81" i="1"/>
  <c r="EO81" i="1"/>
  <c r="EN81" i="1"/>
  <c r="EP80" i="1"/>
  <c r="EO80" i="1"/>
  <c r="EN80" i="1"/>
  <c r="EP79" i="1"/>
  <c r="EO79" i="1"/>
  <c r="EN79" i="1"/>
  <c r="EP78" i="1"/>
  <c r="EO78" i="1"/>
  <c r="EN78" i="1"/>
  <c r="EP77" i="1"/>
  <c r="EO77" i="1"/>
  <c r="EN77" i="1"/>
  <c r="EP69" i="1"/>
  <c r="EO69" i="1"/>
  <c r="EN69" i="1"/>
  <c r="EP58" i="1"/>
  <c r="EO58" i="1"/>
  <c r="EN58" i="1"/>
  <c r="EP68" i="1"/>
  <c r="EO68" i="1"/>
  <c r="EN68" i="1"/>
  <c r="EP67" i="1"/>
  <c r="EO67" i="1"/>
  <c r="EN67" i="1"/>
  <c r="EP66" i="1"/>
  <c r="EO66" i="1"/>
  <c r="EN66" i="1"/>
  <c r="EP65" i="1"/>
  <c r="EO65" i="1"/>
  <c r="EN65" i="1"/>
  <c r="EP64" i="1"/>
  <c r="EO64" i="1"/>
  <c r="EN64" i="1"/>
  <c r="EP63" i="1"/>
  <c r="EO63" i="1"/>
  <c r="EN63" i="1"/>
  <c r="EP62" i="1"/>
  <c r="EO62" i="1"/>
  <c r="EN62" i="1"/>
  <c r="EP60" i="1"/>
  <c r="EO60" i="1"/>
  <c r="EN60" i="1"/>
  <c r="EP59" i="1"/>
  <c r="EO59" i="1"/>
  <c r="EN59" i="1"/>
  <c r="EP61" i="1"/>
  <c r="EO61" i="1"/>
  <c r="EN61" i="1"/>
  <c r="EP56" i="1"/>
  <c r="EO56" i="1"/>
  <c r="EN56" i="1"/>
  <c r="EP57" i="1"/>
  <c r="EO57" i="1"/>
  <c r="EN57" i="1"/>
  <c r="EP55" i="1"/>
  <c r="EO55" i="1"/>
  <c r="EN55" i="1"/>
  <c r="EP54" i="1"/>
  <c r="EO54" i="1"/>
  <c r="EN54" i="1"/>
  <c r="EP53" i="1"/>
  <c r="EO53" i="1"/>
  <c r="EN53" i="1"/>
  <c r="EP52" i="1"/>
  <c r="EO52" i="1"/>
  <c r="EN52" i="1"/>
  <c r="EP51" i="1"/>
  <c r="EO51" i="1"/>
  <c r="EN51" i="1"/>
  <c r="EP48" i="1"/>
  <c r="EO48" i="1"/>
  <c r="EN48" i="1"/>
  <c r="EP50" i="1"/>
  <c r="EO50" i="1"/>
  <c r="EN50" i="1"/>
  <c r="EP49" i="1"/>
  <c r="EO49" i="1"/>
  <c r="EN49" i="1"/>
  <c r="EP47" i="1"/>
  <c r="EO47" i="1"/>
  <c r="EN47" i="1"/>
  <c r="EP46" i="1"/>
  <c r="EO46" i="1"/>
  <c r="EN46" i="1"/>
  <c r="EP44" i="1"/>
  <c r="EO44" i="1"/>
  <c r="EN44" i="1"/>
  <c r="EP45" i="1"/>
  <c r="EO45" i="1"/>
  <c r="EN45" i="1"/>
  <c r="EP43" i="1"/>
  <c r="EO43" i="1"/>
  <c r="EN43" i="1"/>
  <c r="EP42" i="1"/>
  <c r="EO42" i="1"/>
  <c r="EN42" i="1"/>
  <c r="EP41" i="1"/>
  <c r="EO41" i="1"/>
  <c r="EN41" i="1"/>
  <c r="EP40" i="1"/>
  <c r="EO40" i="1"/>
  <c r="EN40" i="1"/>
  <c r="EP39" i="1"/>
  <c r="EO39" i="1"/>
  <c r="EN39" i="1"/>
  <c r="EP37" i="1"/>
  <c r="EO37" i="1"/>
  <c r="EN37" i="1"/>
  <c r="EP38" i="1"/>
  <c r="EO38" i="1"/>
  <c r="EN38" i="1"/>
  <c r="EP36" i="1"/>
  <c r="EO36" i="1"/>
  <c r="EN36" i="1"/>
  <c r="EP35" i="1"/>
  <c r="EO35" i="1"/>
  <c r="EN35" i="1"/>
  <c r="EP34" i="1"/>
  <c r="EO34" i="1"/>
  <c r="EN34" i="1"/>
  <c r="EP33" i="1"/>
  <c r="EO33" i="1"/>
  <c r="EN33" i="1"/>
  <c r="EP32" i="1"/>
  <c r="EO32" i="1"/>
  <c r="EN32" i="1"/>
  <c r="EP31" i="1"/>
  <c r="EO31" i="1"/>
  <c r="EN31" i="1"/>
  <c r="EP30" i="1"/>
  <c r="EO30" i="1"/>
  <c r="EN30" i="1"/>
  <c r="EP29" i="1"/>
  <c r="EO29" i="1"/>
  <c r="EN29" i="1"/>
  <c r="EP28" i="1"/>
  <c r="EO28" i="1"/>
  <c r="EN28" i="1"/>
  <c r="EP27" i="1"/>
  <c r="EO27" i="1"/>
  <c r="EN27" i="1"/>
  <c r="EP26" i="1"/>
  <c r="EO26" i="1"/>
  <c r="EN26" i="1"/>
  <c r="EP25" i="1"/>
  <c r="EO25" i="1"/>
  <c r="EN25" i="1"/>
  <c r="EP24" i="1"/>
  <c r="EO24" i="1"/>
  <c r="EN24" i="1"/>
  <c r="EP23" i="1"/>
  <c r="EO23" i="1"/>
  <c r="EN23" i="1"/>
  <c r="EP22" i="1"/>
  <c r="EO22" i="1"/>
  <c r="EN22" i="1"/>
  <c r="EP21" i="1"/>
  <c r="EO21" i="1"/>
  <c r="EN21" i="1"/>
  <c r="EP20" i="1"/>
  <c r="EO20" i="1"/>
  <c r="EN20" i="1"/>
  <c r="EP19" i="1"/>
  <c r="EO19" i="1"/>
  <c r="EN19" i="1"/>
  <c r="EP18" i="1"/>
  <c r="EO18" i="1"/>
  <c r="EN18" i="1"/>
  <c r="EP17" i="1"/>
  <c r="EO17" i="1"/>
  <c r="EN17" i="1"/>
  <c r="EP16" i="1"/>
  <c r="EO16" i="1"/>
  <c r="EN16" i="1"/>
  <c r="EP15" i="1"/>
  <c r="EO15" i="1"/>
  <c r="EN15" i="1"/>
  <c r="EP14" i="1"/>
  <c r="EO14" i="1"/>
  <c r="EN14" i="1"/>
  <c r="EP13" i="1"/>
  <c r="EO13" i="1"/>
  <c r="EN13" i="1"/>
  <c r="EP12" i="1"/>
  <c r="EO12" i="1"/>
  <c r="EN12" i="1"/>
  <c r="EP11" i="1"/>
  <c r="EO11" i="1"/>
  <c r="EN11" i="1"/>
  <c r="EP10" i="1"/>
  <c r="EO10" i="1"/>
  <c r="EN10" i="1"/>
  <c r="EP9" i="1"/>
  <c r="EO9" i="1"/>
  <c r="EN9" i="1"/>
  <c r="EP138" i="1"/>
  <c r="EP137" i="1"/>
  <c r="EP136" i="1"/>
  <c r="EP135" i="1"/>
  <c r="EP134" i="1"/>
  <c r="EP133" i="1"/>
  <c r="EP132" i="1"/>
  <c r="EP131" i="1"/>
  <c r="EP130" i="1"/>
  <c r="EP129" i="1"/>
  <c r="EP128" i="1"/>
  <c r="EP127" i="1"/>
  <c r="EP126" i="1"/>
  <c r="EP125" i="1"/>
  <c r="EP124" i="1"/>
  <c r="EP123" i="1"/>
  <c r="EP122" i="1"/>
  <c r="EP121" i="1"/>
  <c r="EP120" i="1"/>
  <c r="EP119" i="1"/>
  <c r="EP118" i="1"/>
  <c r="EP117" i="1"/>
  <c r="EP116" i="1"/>
  <c r="EP115" i="1"/>
  <c r="EP114" i="1"/>
  <c r="EP113" i="1"/>
  <c r="EP112" i="1"/>
  <c r="EP111" i="1"/>
  <c r="EP110" i="1"/>
  <c r="EP109" i="1"/>
  <c r="EP108" i="1"/>
  <c r="EP107" i="1"/>
  <c r="EP106" i="1"/>
  <c r="EP105" i="1"/>
  <c r="EP104" i="1"/>
  <c r="EP103" i="1"/>
  <c r="EP102" i="1"/>
  <c r="EP101" i="1"/>
  <c r="EP100" i="1"/>
  <c r="EP99" i="1"/>
  <c r="EO138" i="1"/>
  <c r="EO137" i="1"/>
  <c r="EO136" i="1"/>
  <c r="EO135" i="1"/>
  <c r="EO134" i="1"/>
  <c r="EO133" i="1"/>
  <c r="EO132" i="1"/>
  <c r="EO131" i="1"/>
  <c r="EO130" i="1"/>
  <c r="EO129" i="1"/>
  <c r="EO128" i="1"/>
  <c r="EO127" i="1"/>
  <c r="EO126" i="1"/>
  <c r="EO125" i="1"/>
  <c r="EO124" i="1"/>
  <c r="EO123" i="1"/>
  <c r="EO122" i="1"/>
  <c r="EO121" i="1"/>
  <c r="EO120" i="1"/>
  <c r="EO119" i="1"/>
  <c r="EO118" i="1"/>
  <c r="EO117" i="1"/>
  <c r="EO116" i="1"/>
  <c r="EO115" i="1"/>
  <c r="EO114" i="1"/>
  <c r="EO113" i="1"/>
  <c r="EO112" i="1"/>
  <c r="EO111" i="1"/>
  <c r="EO110" i="1"/>
  <c r="EO109" i="1"/>
  <c r="EO108" i="1"/>
  <c r="EO107" i="1"/>
  <c r="EO106" i="1"/>
  <c r="EO105" i="1"/>
  <c r="EO104" i="1"/>
  <c r="EO103" i="1"/>
  <c r="EO102" i="1"/>
  <c r="EO101" i="1"/>
  <c r="EO100" i="1"/>
  <c r="EO99" i="1"/>
  <c r="EN138" i="1"/>
  <c r="EN137" i="1"/>
  <c r="EN136" i="1"/>
  <c r="EN135" i="1"/>
  <c r="EN134" i="1"/>
  <c r="EN133" i="1"/>
  <c r="EN132" i="1"/>
  <c r="EN131" i="1"/>
  <c r="EN130" i="1"/>
  <c r="EN129" i="1"/>
  <c r="EN128" i="1"/>
  <c r="EN127" i="1"/>
  <c r="EN126" i="1"/>
  <c r="EN125" i="1"/>
  <c r="EN124" i="1"/>
  <c r="EN123" i="1"/>
  <c r="EN122" i="1"/>
  <c r="EN121" i="1"/>
  <c r="EN120" i="1"/>
  <c r="EN119" i="1"/>
  <c r="EN118" i="1"/>
  <c r="EN117" i="1"/>
  <c r="EN116" i="1"/>
  <c r="EN115" i="1"/>
  <c r="EN114" i="1"/>
  <c r="EN113" i="1"/>
  <c r="EN112" i="1"/>
  <c r="EN111" i="1"/>
  <c r="EN110" i="1"/>
  <c r="EN109" i="1"/>
  <c r="EN108" i="1"/>
  <c r="EN107" i="1"/>
  <c r="EN106" i="1"/>
  <c r="EN105" i="1"/>
  <c r="EN104" i="1"/>
  <c r="EN103" i="1"/>
  <c r="EN102" i="1"/>
  <c r="EN101" i="1"/>
  <c r="EN100" i="1"/>
  <c r="EN99" i="1"/>
  <c r="DY41" i="1"/>
  <c r="EM69" i="1"/>
  <c r="EL69" i="1"/>
  <c r="EK69" i="1"/>
  <c r="EJ69" i="1"/>
  <c r="EI69" i="1"/>
  <c r="EH69" i="1"/>
  <c r="EG69" i="1"/>
  <c r="EF69" i="1"/>
  <c r="EE69" i="1"/>
  <c r="ED69" i="1"/>
  <c r="EM58" i="1"/>
  <c r="EL58" i="1"/>
  <c r="EK58" i="1"/>
  <c r="EJ58" i="1"/>
  <c r="EI58" i="1"/>
  <c r="EH58" i="1"/>
  <c r="EG58" i="1"/>
  <c r="EF58" i="1"/>
  <c r="EE58" i="1"/>
  <c r="ED58" i="1"/>
  <c r="EM68" i="1"/>
  <c r="EL68" i="1"/>
  <c r="EK68" i="1"/>
  <c r="EJ68" i="1"/>
  <c r="EI68" i="1"/>
  <c r="EH68" i="1"/>
  <c r="EG68" i="1"/>
  <c r="EF68" i="1"/>
  <c r="EE68" i="1"/>
  <c r="ED68" i="1"/>
  <c r="EM67" i="1"/>
  <c r="EL67" i="1"/>
  <c r="EK67" i="1"/>
  <c r="EJ67" i="1"/>
  <c r="EI67" i="1"/>
  <c r="EH67" i="1"/>
  <c r="EG67" i="1"/>
  <c r="EF67" i="1"/>
  <c r="EE67" i="1"/>
  <c r="ED67" i="1"/>
  <c r="EM66" i="1"/>
  <c r="EL66" i="1"/>
  <c r="EK66" i="1"/>
  <c r="EJ66" i="1"/>
  <c r="EI66" i="1"/>
  <c r="EH66" i="1"/>
  <c r="EG66" i="1"/>
  <c r="EF66" i="1"/>
  <c r="EE66" i="1"/>
  <c r="ED66" i="1"/>
  <c r="EM65" i="1"/>
  <c r="EL65" i="1"/>
  <c r="EK65" i="1"/>
  <c r="EJ65" i="1"/>
  <c r="EI65" i="1"/>
  <c r="EH65" i="1"/>
  <c r="EG65" i="1"/>
  <c r="EF65" i="1"/>
  <c r="EE65" i="1"/>
  <c r="ED65" i="1"/>
  <c r="EM64" i="1"/>
  <c r="EL64" i="1"/>
  <c r="EK64" i="1"/>
  <c r="EJ64" i="1"/>
  <c r="EI64" i="1"/>
  <c r="EH64" i="1"/>
  <c r="EG64" i="1"/>
  <c r="EF64" i="1"/>
  <c r="EE64" i="1"/>
  <c r="ED64" i="1"/>
  <c r="EM63" i="1"/>
  <c r="EL63" i="1"/>
  <c r="EK63" i="1"/>
  <c r="EJ63" i="1"/>
  <c r="EI63" i="1"/>
  <c r="EH63" i="1"/>
  <c r="EG63" i="1"/>
  <c r="EF63" i="1"/>
  <c r="EE63" i="1"/>
  <c r="ED63" i="1"/>
  <c r="EM62" i="1"/>
  <c r="EL62" i="1"/>
  <c r="EK62" i="1"/>
  <c r="EJ62" i="1"/>
  <c r="EI62" i="1"/>
  <c r="EH62" i="1"/>
  <c r="EG62" i="1"/>
  <c r="EF62" i="1"/>
  <c r="EE62" i="1"/>
  <c r="ED62" i="1"/>
  <c r="EM60" i="1"/>
  <c r="EL60" i="1"/>
  <c r="EK60" i="1"/>
  <c r="EJ60" i="1"/>
  <c r="EI60" i="1"/>
  <c r="EH60" i="1"/>
  <c r="EG60" i="1"/>
  <c r="EF60" i="1"/>
  <c r="EE60" i="1"/>
  <c r="ED60" i="1"/>
  <c r="EM59" i="1"/>
  <c r="EL59" i="1"/>
  <c r="EK59" i="1"/>
  <c r="EJ59" i="1"/>
  <c r="EI59" i="1"/>
  <c r="EH59" i="1"/>
  <c r="EG59" i="1"/>
  <c r="EF59" i="1"/>
  <c r="EE59" i="1"/>
  <c r="ED59" i="1"/>
  <c r="EM56" i="1"/>
  <c r="DP35" i="1"/>
  <c r="U47" i="1"/>
  <c r="T47" i="1"/>
  <c r="S47" i="1"/>
  <c r="R47" i="1"/>
  <c r="Q47" i="1"/>
  <c r="P47" i="1"/>
  <c r="O47" i="1"/>
  <c r="T44" i="1"/>
  <c r="R44" i="1"/>
  <c r="P44" i="1"/>
  <c r="O44" i="1"/>
  <c r="U45" i="1"/>
  <c r="T45" i="1"/>
  <c r="S45" i="1"/>
  <c r="R45" i="1"/>
  <c r="P45" i="1"/>
  <c r="O45" i="1"/>
  <c r="N58" i="1"/>
  <c r="DO58" i="1" s="1"/>
  <c r="DI58" i="1" s="1"/>
  <c r="DD58" i="1" s="1"/>
  <c r="CY58" i="1" s="1"/>
  <c r="CT58" i="1" s="1"/>
  <c r="CO58" i="1" s="1"/>
  <c r="CJ58" i="1" s="1"/>
  <c r="CE58" i="1" s="1"/>
  <c r="BZ58" i="1" s="1"/>
  <c r="BU58" i="1" s="1"/>
  <c r="BP58" i="1" s="1"/>
  <c r="BK58" i="1" s="1"/>
  <c r="BF58" i="1" s="1"/>
  <c r="BA58" i="1" s="1"/>
  <c r="AV58" i="1" s="1"/>
  <c r="AQ58" i="1" s="1"/>
  <c r="AL58" i="1" s="1"/>
  <c r="AG58" i="1" s="1"/>
  <c r="AB58" i="1" s="1"/>
  <c r="W58" i="1" s="1"/>
  <c r="M58" i="1"/>
  <c r="L58" i="1" s="1"/>
  <c r="N38" i="1"/>
  <c r="DO38" i="1" s="1"/>
  <c r="DI38" i="1" s="1"/>
  <c r="DD38" i="1" s="1"/>
  <c r="CY38" i="1" s="1"/>
  <c r="CT38" i="1" s="1"/>
  <c r="CO38" i="1" s="1"/>
  <c r="CJ38" i="1" s="1"/>
  <c r="CE38" i="1" s="1"/>
  <c r="BZ38" i="1" s="1"/>
  <c r="BU38" i="1" s="1"/>
  <c r="BP38" i="1" s="1"/>
  <c r="BK38" i="1" s="1"/>
  <c r="BF38" i="1" s="1"/>
  <c r="BA38" i="1" s="1"/>
  <c r="AV38" i="1" s="1"/>
  <c r="AQ38" i="1" s="1"/>
  <c r="AL38" i="1" s="1"/>
  <c r="AG38" i="1" s="1"/>
  <c r="AB38" i="1" s="1"/>
  <c r="W38" i="1" s="1"/>
  <c r="X39" i="1"/>
  <c r="AC41" i="1"/>
  <c r="AC43" i="1"/>
  <c r="DP34" i="1"/>
  <c r="DY37" i="1"/>
  <c r="V38" i="1"/>
  <c r="U38" i="1"/>
  <c r="T38" i="1"/>
  <c r="S38" i="1"/>
  <c r="R38" i="1"/>
  <c r="Q38" i="1"/>
  <c r="P38" i="1"/>
  <c r="O38" i="1"/>
  <c r="DF34" i="1"/>
  <c r="DE34" i="1"/>
  <c r="EM44" i="1"/>
  <c r="EL44" i="1"/>
  <c r="EK44" i="1"/>
  <c r="EJ44" i="1"/>
  <c r="EI44" i="1"/>
  <c r="EH44" i="1"/>
  <c r="EG44" i="1"/>
  <c r="EF44" i="1"/>
  <c r="EE44" i="1"/>
  <c r="ED44" i="1"/>
  <c r="DY44" i="1"/>
  <c r="DQ44" i="1"/>
  <c r="DP44" i="1"/>
  <c r="DK44" i="1"/>
  <c r="DJ44" i="1"/>
  <c r="DF44" i="1"/>
  <c r="DE44" i="1"/>
  <c r="DA44" i="1"/>
  <c r="CZ44" i="1"/>
  <c r="CV44" i="1"/>
  <c r="CU44" i="1"/>
  <c r="CQ44" i="1"/>
  <c r="CP44" i="1"/>
  <c r="CK44" i="1"/>
  <c r="CG44" i="1"/>
  <c r="CF44" i="1"/>
  <c r="CB44" i="1"/>
  <c r="CA44" i="1"/>
  <c r="BW44" i="1"/>
  <c r="BV44" i="1"/>
  <c r="BR44" i="1"/>
  <c r="BQ44" i="1"/>
  <c r="BM44" i="1"/>
  <c r="BL44" i="1"/>
  <c r="BH44" i="1"/>
  <c r="BG44" i="1"/>
  <c r="BC44" i="1"/>
  <c r="BB44" i="1"/>
  <c r="AX44" i="1"/>
  <c r="AW44" i="1"/>
  <c r="AS44" i="1"/>
  <c r="AR44" i="1"/>
  <c r="AN44" i="1"/>
  <c r="AM44" i="1"/>
  <c r="AI44" i="1"/>
  <c r="AH44" i="1"/>
  <c r="AD44" i="1"/>
  <c r="AC44" i="1"/>
  <c r="Y44" i="1"/>
  <c r="X44" i="1"/>
  <c r="M44" i="1"/>
  <c r="L44" i="1" s="1"/>
  <c r="I44" i="1"/>
  <c r="H44" i="1"/>
  <c r="F44" i="1"/>
  <c r="D44" i="1"/>
  <c r="I45" i="1"/>
  <c r="M45" i="1"/>
  <c r="L45" i="1" s="1"/>
  <c r="H45" i="1"/>
  <c r="D69" i="1"/>
  <c r="D38" i="1"/>
  <c r="D58" i="1"/>
  <c r="D45" i="1"/>
  <c r="N55" i="1"/>
  <c r="DO55" i="1" s="1"/>
  <c r="DI55" i="1" s="1"/>
  <c r="DD55" i="1" s="1"/>
  <c r="CY55" i="1" s="1"/>
  <c r="CT55" i="1" s="1"/>
  <c r="CO55" i="1" s="1"/>
  <c r="CJ55" i="1" s="1"/>
  <c r="CE55" i="1" s="1"/>
  <c r="BZ55" i="1" s="1"/>
  <c r="BU55" i="1" s="1"/>
  <c r="BP55" i="1" s="1"/>
  <c r="BK55" i="1" s="1"/>
  <c r="BF55" i="1" s="1"/>
  <c r="BA55" i="1" s="1"/>
  <c r="AV55" i="1" s="1"/>
  <c r="AQ55" i="1" s="1"/>
  <c r="AL55" i="1" s="1"/>
  <c r="AG55" i="1" s="1"/>
  <c r="AB55" i="1" s="1"/>
  <c r="W55" i="1" s="1"/>
  <c r="M55" i="1"/>
  <c r="L55" i="1" s="1"/>
  <c r="DY69" i="1"/>
  <c r="DQ69" i="1"/>
  <c r="DP69" i="1"/>
  <c r="DK69" i="1"/>
  <c r="DJ69" i="1"/>
  <c r="DF69" i="1"/>
  <c r="DE69" i="1"/>
  <c r="DA69" i="1"/>
  <c r="CZ69" i="1"/>
  <c r="CV69" i="1"/>
  <c r="CU69" i="1"/>
  <c r="CQ69" i="1"/>
  <c r="CP69" i="1"/>
  <c r="CK69" i="1"/>
  <c r="CG69" i="1"/>
  <c r="CF69" i="1"/>
  <c r="CB69" i="1"/>
  <c r="CA69" i="1"/>
  <c r="BW69" i="1"/>
  <c r="BV69" i="1"/>
  <c r="BR69" i="1"/>
  <c r="BQ69" i="1"/>
  <c r="BM69" i="1"/>
  <c r="BL69" i="1"/>
  <c r="BH69" i="1"/>
  <c r="BG69" i="1"/>
  <c r="BC69" i="1"/>
  <c r="BB69" i="1"/>
  <c r="AX69" i="1"/>
  <c r="AW69" i="1"/>
  <c r="AS69" i="1"/>
  <c r="AR69" i="1"/>
  <c r="AN69" i="1"/>
  <c r="AM69" i="1"/>
  <c r="AI69" i="1"/>
  <c r="AH69" i="1"/>
  <c r="AD69" i="1"/>
  <c r="AC69" i="1"/>
  <c r="Y69" i="1"/>
  <c r="X69" i="1"/>
  <c r="N69" i="1"/>
  <c r="DO69" i="1" s="1"/>
  <c r="DI69" i="1" s="1"/>
  <c r="DD69" i="1" s="1"/>
  <c r="CY69" i="1" s="1"/>
  <c r="CT69" i="1" s="1"/>
  <c r="CO69" i="1" s="1"/>
  <c r="CJ69" i="1" s="1"/>
  <c r="CE69" i="1" s="1"/>
  <c r="BZ69" i="1" s="1"/>
  <c r="BU69" i="1" s="1"/>
  <c r="BP69" i="1" s="1"/>
  <c r="BK69" i="1" s="1"/>
  <c r="BF69" i="1" s="1"/>
  <c r="BA69" i="1" s="1"/>
  <c r="AV69" i="1" s="1"/>
  <c r="AQ69" i="1" s="1"/>
  <c r="AL69" i="1" s="1"/>
  <c r="AG69" i="1" s="1"/>
  <c r="AB69" i="1" s="1"/>
  <c r="W69" i="1" s="1"/>
  <c r="M69" i="1"/>
  <c r="L69" i="1" s="1"/>
  <c r="I69" i="1"/>
  <c r="H69" i="1"/>
  <c r="F69" i="1"/>
  <c r="EM38" i="1"/>
  <c r="EL38" i="1"/>
  <c r="EK38" i="1"/>
  <c r="EJ38" i="1"/>
  <c r="EI38" i="1"/>
  <c r="EH38" i="1"/>
  <c r="EG38" i="1"/>
  <c r="EF38" i="1"/>
  <c r="EE38" i="1"/>
  <c r="ED38" i="1"/>
  <c r="DY38" i="1"/>
  <c r="DQ38" i="1"/>
  <c r="DK38" i="1"/>
  <c r="DJ38" i="1"/>
  <c r="DF38" i="1"/>
  <c r="DE38" i="1"/>
  <c r="DA38" i="1"/>
  <c r="CZ38" i="1"/>
  <c r="CV38" i="1"/>
  <c r="CU38" i="1"/>
  <c r="CQ38" i="1"/>
  <c r="CP38" i="1"/>
  <c r="CK38" i="1"/>
  <c r="CG38" i="1"/>
  <c r="CF38" i="1"/>
  <c r="CB38" i="1"/>
  <c r="CA38" i="1"/>
  <c r="BW38" i="1"/>
  <c r="BV38" i="1"/>
  <c r="BR38" i="1"/>
  <c r="BQ38" i="1"/>
  <c r="BM38" i="1"/>
  <c r="BL38" i="1"/>
  <c r="BH38" i="1"/>
  <c r="BG38" i="1"/>
  <c r="BC38" i="1"/>
  <c r="BB38" i="1"/>
  <c r="AX38" i="1"/>
  <c r="AW38" i="1"/>
  <c r="AS38" i="1"/>
  <c r="AR38" i="1"/>
  <c r="AN38" i="1"/>
  <c r="AM38" i="1"/>
  <c r="AI38" i="1"/>
  <c r="AH38" i="1"/>
  <c r="AD38" i="1"/>
  <c r="AC38" i="1"/>
  <c r="Y38" i="1"/>
  <c r="X38" i="1"/>
  <c r="M38" i="1"/>
  <c r="L38" i="1" s="1"/>
  <c r="I38" i="1"/>
  <c r="H38" i="1"/>
  <c r="F38" i="1"/>
  <c r="DY58" i="1"/>
  <c r="DQ58" i="1"/>
  <c r="DP58" i="1"/>
  <c r="DK58" i="1"/>
  <c r="DJ58" i="1"/>
  <c r="DF58" i="1"/>
  <c r="DE58" i="1"/>
  <c r="DA58" i="1"/>
  <c r="CZ58" i="1"/>
  <c r="CV58" i="1"/>
  <c r="CU58" i="1"/>
  <c r="CQ58" i="1"/>
  <c r="CP58" i="1"/>
  <c r="CK58" i="1"/>
  <c r="CG58" i="1"/>
  <c r="CF58" i="1"/>
  <c r="CB58" i="1"/>
  <c r="CA58" i="1"/>
  <c r="BW58" i="1"/>
  <c r="BV58" i="1"/>
  <c r="BR58" i="1"/>
  <c r="BQ58" i="1"/>
  <c r="BM58" i="1"/>
  <c r="BL58" i="1"/>
  <c r="BH58" i="1"/>
  <c r="BG58" i="1"/>
  <c r="BC58" i="1"/>
  <c r="BB58" i="1"/>
  <c r="AX58" i="1"/>
  <c r="AW58" i="1"/>
  <c r="AS58" i="1"/>
  <c r="AR58" i="1"/>
  <c r="AN58" i="1"/>
  <c r="AM58" i="1"/>
  <c r="AI58" i="1"/>
  <c r="AH58" i="1"/>
  <c r="AD58" i="1"/>
  <c r="AC58" i="1"/>
  <c r="Y58" i="1"/>
  <c r="X58" i="1"/>
  <c r="I58" i="1"/>
  <c r="H58" i="1"/>
  <c r="F58" i="1"/>
  <c r="EM45" i="1"/>
  <c r="EL45" i="1"/>
  <c r="EK45" i="1"/>
  <c r="EJ45" i="1"/>
  <c r="EI45" i="1"/>
  <c r="EH45" i="1"/>
  <c r="EG45" i="1"/>
  <c r="EF45" i="1"/>
  <c r="EE45" i="1"/>
  <c r="ED45" i="1"/>
  <c r="DY45" i="1"/>
  <c r="DQ45" i="1"/>
  <c r="DP45" i="1"/>
  <c r="DK45" i="1"/>
  <c r="DJ45" i="1"/>
  <c r="DF45" i="1"/>
  <c r="DE45" i="1"/>
  <c r="DA45" i="1"/>
  <c r="CZ45" i="1"/>
  <c r="CV45" i="1"/>
  <c r="CU45" i="1"/>
  <c r="CQ45" i="1"/>
  <c r="CP45" i="1"/>
  <c r="CK45" i="1"/>
  <c r="CG45" i="1"/>
  <c r="CF45" i="1"/>
  <c r="CB45" i="1"/>
  <c r="CA45" i="1"/>
  <c r="BW45" i="1"/>
  <c r="BV45" i="1"/>
  <c r="BR45" i="1"/>
  <c r="BQ45" i="1"/>
  <c r="BM45" i="1"/>
  <c r="BL45" i="1"/>
  <c r="BH45" i="1"/>
  <c r="BG45" i="1"/>
  <c r="BC45" i="1"/>
  <c r="BB45" i="1"/>
  <c r="AX45" i="1"/>
  <c r="AW45" i="1"/>
  <c r="AS45" i="1"/>
  <c r="AR45" i="1"/>
  <c r="AN45" i="1"/>
  <c r="AM45" i="1"/>
  <c r="AI45" i="1"/>
  <c r="AH45" i="1"/>
  <c r="AD45" i="1"/>
  <c r="AC45" i="1"/>
  <c r="Y45" i="1"/>
  <c r="X45" i="1"/>
  <c r="F45" i="1"/>
  <c r="AD68" i="1"/>
  <c r="AC68" i="1"/>
  <c r="Y68" i="1"/>
  <c r="X68" i="1"/>
  <c r="DJ68" i="1"/>
  <c r="DK68" i="1"/>
  <c r="DP68" i="1"/>
  <c r="DQ68" i="1"/>
  <c r="CP68" i="1"/>
  <c r="CQ68" i="1"/>
  <c r="CU68" i="1"/>
  <c r="CV68" i="1"/>
  <c r="CZ68" i="1"/>
  <c r="DA68" i="1"/>
  <c r="DE68" i="1"/>
  <c r="DF68" i="1"/>
  <c r="BL68" i="1"/>
  <c r="BM68" i="1"/>
  <c r="BQ68" i="1"/>
  <c r="BR68" i="1"/>
  <c r="BV68" i="1"/>
  <c r="BW68" i="1"/>
  <c r="CA68" i="1"/>
  <c r="CB68" i="1"/>
  <c r="CF68" i="1"/>
  <c r="CG68" i="1"/>
  <c r="CK68" i="1"/>
  <c r="AI68" i="1"/>
  <c r="AM68" i="1"/>
  <c r="AN68" i="1"/>
  <c r="AR68" i="1"/>
  <c r="AS68" i="1"/>
  <c r="AW68" i="1"/>
  <c r="AX68" i="1"/>
  <c r="BB68" i="1"/>
  <c r="BC68" i="1"/>
  <c r="BG68" i="1"/>
  <c r="BH68" i="1"/>
  <c r="AH68" i="1"/>
  <c r="N68" i="1"/>
  <c r="DO68" i="1" s="1"/>
  <c r="M68" i="1"/>
  <c r="L68" i="1" s="1"/>
  <c r="EM55" i="1"/>
  <c r="EL55" i="1"/>
  <c r="EK55" i="1"/>
  <c r="EJ55" i="1"/>
  <c r="EI55" i="1"/>
  <c r="EH55" i="1"/>
  <c r="EG55" i="1"/>
  <c r="EF55" i="1"/>
  <c r="EE55" i="1"/>
  <c r="ED55" i="1"/>
  <c r="DY55" i="1"/>
  <c r="DQ55" i="1"/>
  <c r="DP55" i="1"/>
  <c r="DK55" i="1"/>
  <c r="DJ55" i="1"/>
  <c r="DF55" i="1"/>
  <c r="DE55" i="1"/>
  <c r="DA55" i="1"/>
  <c r="CZ55" i="1"/>
  <c r="CV55" i="1"/>
  <c r="CU55" i="1"/>
  <c r="CQ55" i="1"/>
  <c r="CP55" i="1"/>
  <c r="CK55" i="1"/>
  <c r="CG55" i="1"/>
  <c r="CF55" i="1"/>
  <c r="CB55" i="1"/>
  <c r="CA55" i="1"/>
  <c r="BW55" i="1"/>
  <c r="BV55" i="1"/>
  <c r="BR55" i="1"/>
  <c r="BQ55" i="1"/>
  <c r="BM55" i="1"/>
  <c r="BL55" i="1"/>
  <c r="BH55" i="1"/>
  <c r="BG55" i="1"/>
  <c r="BC55" i="1"/>
  <c r="BB55" i="1"/>
  <c r="AX55" i="1"/>
  <c r="AW55" i="1"/>
  <c r="AS55" i="1"/>
  <c r="AR55" i="1"/>
  <c r="AN55" i="1"/>
  <c r="AM55" i="1"/>
  <c r="AI55" i="1"/>
  <c r="AH55" i="1"/>
  <c r="AD55" i="1"/>
  <c r="AC55" i="1"/>
  <c r="Y55" i="1"/>
  <c r="X55" i="1"/>
  <c r="I55" i="1"/>
  <c r="H55" i="1"/>
  <c r="F55" i="1"/>
  <c r="D55" i="1"/>
  <c r="D61" i="1"/>
  <c r="X67" i="1"/>
  <c r="Y67" i="1"/>
  <c r="AC67" i="1"/>
  <c r="AD67" i="1"/>
  <c r="AH67" i="1"/>
  <c r="AI67" i="1"/>
  <c r="AM67" i="1"/>
  <c r="AN67" i="1"/>
  <c r="AR67" i="1"/>
  <c r="AS67" i="1"/>
  <c r="AW67" i="1"/>
  <c r="AX67" i="1"/>
  <c r="BB67" i="1"/>
  <c r="BC67" i="1"/>
  <c r="BG67" i="1"/>
  <c r="BH67" i="1"/>
  <c r="BL67" i="1"/>
  <c r="BM67" i="1"/>
  <c r="BQ67" i="1"/>
  <c r="BR67" i="1"/>
  <c r="BV67" i="1"/>
  <c r="BW67" i="1"/>
  <c r="CA67" i="1"/>
  <c r="CB67" i="1"/>
  <c r="CF67" i="1"/>
  <c r="CG67" i="1"/>
  <c r="CK67" i="1"/>
  <c r="CP67" i="1"/>
  <c r="CQ67" i="1"/>
  <c r="CU67" i="1"/>
  <c r="CV67" i="1"/>
  <c r="CZ67" i="1"/>
  <c r="DA67" i="1"/>
  <c r="DE67" i="1"/>
  <c r="DF67" i="1"/>
  <c r="DJ67" i="1"/>
  <c r="DK67" i="1"/>
  <c r="DP67" i="1"/>
  <c r="DQ67" i="1"/>
  <c r="I68" i="1"/>
  <c r="M67" i="1"/>
  <c r="L67" i="1" s="1"/>
  <c r="N67" i="1"/>
  <c r="DO67" i="1" s="1"/>
  <c r="I67" i="1"/>
  <c r="F61" i="1"/>
  <c r="D66" i="1"/>
  <c r="DY67" i="1"/>
  <c r="H67" i="1"/>
  <c r="F67" i="1"/>
  <c r="DY66" i="1"/>
  <c r="DQ66" i="1"/>
  <c r="DP66" i="1"/>
  <c r="DK66" i="1"/>
  <c r="DJ66" i="1"/>
  <c r="DF66" i="1"/>
  <c r="DE66" i="1"/>
  <c r="DA66" i="1"/>
  <c r="CZ66" i="1"/>
  <c r="CV66" i="1"/>
  <c r="CU66" i="1"/>
  <c r="CQ66" i="1"/>
  <c r="CP66" i="1"/>
  <c r="CK66" i="1"/>
  <c r="CG66" i="1"/>
  <c r="CF66" i="1"/>
  <c r="CB66" i="1"/>
  <c r="CA66" i="1"/>
  <c r="BW66" i="1"/>
  <c r="BV66" i="1"/>
  <c r="BR66" i="1"/>
  <c r="BQ66" i="1"/>
  <c r="BM66" i="1"/>
  <c r="BL66" i="1"/>
  <c r="BH66" i="1"/>
  <c r="BG66" i="1"/>
  <c r="BC66" i="1"/>
  <c r="BB66" i="1"/>
  <c r="AX66" i="1"/>
  <c r="AW66" i="1"/>
  <c r="AS66" i="1"/>
  <c r="AR66" i="1"/>
  <c r="AN66" i="1"/>
  <c r="AM66" i="1"/>
  <c r="AI66" i="1"/>
  <c r="AH66" i="1"/>
  <c r="AD66" i="1"/>
  <c r="AC66" i="1"/>
  <c r="Y66" i="1"/>
  <c r="X66" i="1"/>
  <c r="V66" i="1"/>
  <c r="U66" i="1"/>
  <c r="T66" i="1"/>
  <c r="S66" i="1"/>
  <c r="R66" i="1"/>
  <c r="Q66" i="1"/>
  <c r="P66" i="1"/>
  <c r="O66" i="1"/>
  <c r="N66" i="1"/>
  <c r="DO66" i="1" s="1"/>
  <c r="M66" i="1"/>
  <c r="L66" i="1" s="1"/>
  <c r="I66" i="1"/>
  <c r="H66" i="1"/>
  <c r="F66" i="1"/>
  <c r="EM61" i="1"/>
  <c r="EL61" i="1"/>
  <c r="EK61" i="1"/>
  <c r="EJ61" i="1"/>
  <c r="EI61" i="1"/>
  <c r="EH61" i="1"/>
  <c r="EG61" i="1"/>
  <c r="EF61" i="1"/>
  <c r="EE61" i="1"/>
  <c r="ED61" i="1"/>
  <c r="DY61" i="1"/>
  <c r="DQ61" i="1"/>
  <c r="DP61" i="1"/>
  <c r="DK61" i="1"/>
  <c r="DJ61" i="1"/>
  <c r="DF61" i="1"/>
  <c r="DE61" i="1"/>
  <c r="DA61" i="1"/>
  <c r="CZ61" i="1"/>
  <c r="CV61" i="1"/>
  <c r="CU61" i="1"/>
  <c r="CQ61" i="1"/>
  <c r="CP61" i="1"/>
  <c r="CK61" i="1"/>
  <c r="CG61" i="1"/>
  <c r="CF61" i="1"/>
  <c r="CB61" i="1"/>
  <c r="CA61" i="1"/>
  <c r="BW61" i="1"/>
  <c r="BV61" i="1"/>
  <c r="BR61" i="1"/>
  <c r="BQ61" i="1"/>
  <c r="BM61" i="1"/>
  <c r="BL61" i="1"/>
  <c r="BH61" i="1"/>
  <c r="BG61" i="1"/>
  <c r="BC61" i="1"/>
  <c r="BB61" i="1"/>
  <c r="AX61" i="1"/>
  <c r="AW61" i="1"/>
  <c r="AS61" i="1"/>
  <c r="AR61" i="1"/>
  <c r="AN61" i="1"/>
  <c r="AM61" i="1"/>
  <c r="AI61" i="1"/>
  <c r="AH61" i="1"/>
  <c r="AD61" i="1"/>
  <c r="AC61" i="1"/>
  <c r="Y61" i="1"/>
  <c r="X61" i="1"/>
  <c r="V61" i="1"/>
  <c r="U61" i="1"/>
  <c r="T61" i="1"/>
  <c r="S61" i="1"/>
  <c r="R61" i="1"/>
  <c r="Q61" i="1"/>
  <c r="P61" i="1"/>
  <c r="O61" i="1"/>
  <c r="N61" i="1"/>
  <c r="DO61" i="1" s="1"/>
  <c r="M61" i="1"/>
  <c r="L61" i="1" s="1"/>
  <c r="I61" i="1"/>
  <c r="H61" i="1"/>
  <c r="DP137" i="1"/>
  <c r="DP136" i="1"/>
  <c r="DP138" i="1"/>
  <c r="DP135" i="1"/>
  <c r="DP134" i="1"/>
  <c r="DP132" i="1"/>
  <c r="DP129" i="1"/>
  <c r="DP131" i="1"/>
  <c r="DP130" i="1"/>
  <c r="DP133" i="1"/>
  <c r="DP122" i="1"/>
  <c r="DP127" i="1"/>
  <c r="DP117" i="1"/>
  <c r="DP126" i="1"/>
  <c r="DP123" i="1"/>
  <c r="DP121" i="1"/>
  <c r="DP114" i="1"/>
  <c r="DP128" i="1"/>
  <c r="DP120" i="1"/>
  <c r="DP116" i="1"/>
  <c r="DP125" i="1"/>
  <c r="DP124" i="1"/>
  <c r="DP112" i="1"/>
  <c r="DP119" i="1"/>
  <c r="DP115" i="1"/>
  <c r="DP118" i="1"/>
  <c r="DP111" i="1"/>
  <c r="DP113" i="1"/>
  <c r="DP110" i="1"/>
  <c r="DP109" i="1"/>
  <c r="DP105" i="1"/>
  <c r="DP100" i="1"/>
  <c r="DP104" i="1"/>
  <c r="DP99" i="1"/>
  <c r="DP107" i="1"/>
  <c r="DP106" i="1"/>
  <c r="DP102" i="1"/>
  <c r="DP101" i="1"/>
  <c r="DP103" i="1"/>
  <c r="DP108" i="1"/>
  <c r="DL78" i="1"/>
  <c r="DP78" i="1"/>
  <c r="DY36" i="1"/>
  <c r="DY137" i="1"/>
  <c r="DY136" i="1"/>
  <c r="DY138" i="1"/>
  <c r="DY135" i="1"/>
  <c r="DY134" i="1"/>
  <c r="DY132" i="1"/>
  <c r="DY129" i="1"/>
  <c r="DY131" i="1"/>
  <c r="DY130" i="1"/>
  <c r="DY133" i="1"/>
  <c r="DY122" i="1"/>
  <c r="DY127" i="1"/>
  <c r="DY117" i="1"/>
  <c r="DY126" i="1"/>
  <c r="DY123" i="1"/>
  <c r="DY121" i="1"/>
  <c r="DY114" i="1"/>
  <c r="DY128" i="1"/>
  <c r="DY120" i="1"/>
  <c r="DY116" i="1"/>
  <c r="DY125" i="1"/>
  <c r="DY124" i="1"/>
  <c r="DY112" i="1"/>
  <c r="DY119" i="1"/>
  <c r="DY115" i="1"/>
  <c r="DY118" i="1"/>
  <c r="DY111" i="1"/>
  <c r="DY113" i="1"/>
  <c r="DY110" i="1"/>
  <c r="DY109" i="1"/>
  <c r="DY100" i="1"/>
  <c r="DY103" i="1"/>
  <c r="DY108" i="1"/>
  <c r="DY104" i="1"/>
  <c r="DY99" i="1"/>
  <c r="DY105" i="1"/>
  <c r="DY107" i="1"/>
  <c r="DY106" i="1"/>
  <c r="DY102" i="1"/>
  <c r="DY101" i="1"/>
  <c r="DY88" i="1"/>
  <c r="DY87" i="1"/>
  <c r="DY86" i="1"/>
  <c r="DY85" i="1"/>
  <c r="DY84" i="1"/>
  <c r="DY83" i="1"/>
  <c r="DY82" i="1"/>
  <c r="DY81" i="1"/>
  <c r="DY80" i="1"/>
  <c r="DY79" i="1"/>
  <c r="DY78" i="1"/>
  <c r="DY77" i="1"/>
  <c r="DY68" i="1"/>
  <c r="DY65" i="1"/>
  <c r="DY64" i="1"/>
  <c r="DY60" i="1"/>
  <c r="DY63" i="1"/>
  <c r="DY62" i="1"/>
  <c r="DY59" i="1"/>
  <c r="DY57" i="1"/>
  <c r="DY56" i="1"/>
  <c r="DY54" i="1"/>
  <c r="DY53" i="1"/>
  <c r="DY52" i="1"/>
  <c r="DY51" i="1"/>
  <c r="DY50" i="1"/>
  <c r="DY46" i="1"/>
  <c r="DY49" i="1"/>
  <c r="DY47" i="1"/>
  <c r="DY43" i="1"/>
  <c r="DY39" i="1"/>
  <c r="DY40" i="1"/>
  <c r="DY42" i="1"/>
  <c r="DY35" i="1"/>
  <c r="DY34" i="1"/>
  <c r="DY33" i="1"/>
  <c r="DY32" i="1"/>
  <c r="DY31" i="1"/>
  <c r="DY30" i="1"/>
  <c r="DY29" i="1"/>
  <c r="DY28" i="1"/>
  <c r="DY27" i="1"/>
  <c r="DY26" i="1"/>
  <c r="DY25" i="1"/>
  <c r="DY22" i="1"/>
  <c r="DY24" i="1"/>
  <c r="DY23" i="1"/>
  <c r="DY20" i="1"/>
  <c r="DY17" i="1"/>
  <c r="DY19" i="1"/>
  <c r="DY18" i="1"/>
  <c r="DY16" i="1"/>
  <c r="DY15" i="1"/>
  <c r="DY14" i="1"/>
  <c r="DY13" i="1"/>
  <c r="DY12" i="1"/>
  <c r="DY11" i="1"/>
  <c r="DY10" i="1"/>
  <c r="DY9" i="1"/>
  <c r="ED85" i="1"/>
  <c r="DP65" i="1"/>
  <c r="DP64" i="1"/>
  <c r="DP60" i="1"/>
  <c r="DP63" i="1"/>
  <c r="DP62" i="1"/>
  <c r="DP59" i="1"/>
  <c r="DP57" i="1"/>
  <c r="DP56" i="1"/>
  <c r="DP54" i="1"/>
  <c r="DP53" i="1"/>
  <c r="DP52" i="1"/>
  <c r="DP51" i="1"/>
  <c r="DP50" i="1"/>
  <c r="DP46" i="1"/>
  <c r="DP49" i="1"/>
  <c r="DP48" i="1"/>
  <c r="DP47" i="1"/>
  <c r="DP43" i="1"/>
  <c r="DP39" i="1"/>
  <c r="DP40" i="1"/>
  <c r="DP86" i="1"/>
  <c r="DP88" i="1"/>
  <c r="DP87" i="1"/>
  <c r="DP85" i="1"/>
  <c r="DP84" i="1"/>
  <c r="DP83" i="1"/>
  <c r="DP82" i="1"/>
  <c r="DP81" i="1"/>
  <c r="DP80" i="1"/>
  <c r="DP79" i="1"/>
  <c r="DP33" i="1"/>
  <c r="DP31" i="1"/>
  <c r="DP32" i="1"/>
  <c r="BW33" i="1"/>
  <c r="AR35" i="1"/>
  <c r="AM35" i="1"/>
  <c r="AH35" i="1"/>
  <c r="AH34" i="1"/>
  <c r="EM137" i="1"/>
  <c r="EL137" i="1"/>
  <c r="EK137" i="1"/>
  <c r="EJ137" i="1"/>
  <c r="EI137" i="1"/>
  <c r="EH137" i="1"/>
  <c r="EG137" i="1"/>
  <c r="EF137" i="1"/>
  <c r="EE137" i="1"/>
  <c r="ED137" i="1"/>
  <c r="DQ137" i="1"/>
  <c r="DK137" i="1"/>
  <c r="DJ137" i="1"/>
  <c r="DF137" i="1"/>
  <c r="DE137" i="1"/>
  <c r="DA137" i="1"/>
  <c r="CZ137" i="1"/>
  <c r="CV137" i="1"/>
  <c r="CU137" i="1"/>
  <c r="CQ137" i="1"/>
  <c r="CP137" i="1"/>
  <c r="CK137" i="1"/>
  <c r="CG137" i="1"/>
  <c r="CF137" i="1"/>
  <c r="CB137" i="1"/>
  <c r="CA137" i="1"/>
  <c r="BW137" i="1"/>
  <c r="BV137" i="1"/>
  <c r="BR137" i="1"/>
  <c r="BQ137" i="1"/>
  <c r="BM137" i="1"/>
  <c r="BL137" i="1"/>
  <c r="BH137" i="1"/>
  <c r="BG137" i="1"/>
  <c r="BC137" i="1"/>
  <c r="BB137" i="1"/>
  <c r="AX137" i="1"/>
  <c r="AW137" i="1"/>
  <c r="AS137" i="1"/>
  <c r="AR137" i="1"/>
  <c r="AN137" i="1"/>
  <c r="AM137" i="1"/>
  <c r="AI137" i="1"/>
  <c r="AH137" i="1"/>
  <c r="AD137" i="1"/>
  <c r="AC137" i="1"/>
  <c r="Y137" i="1"/>
  <c r="X137" i="1"/>
  <c r="V137" i="1"/>
  <c r="DO137" i="1" s="1"/>
  <c r="U137" i="1"/>
  <c r="T137" i="1"/>
  <c r="S137" i="1"/>
  <c r="R137" i="1"/>
  <c r="Q137" i="1"/>
  <c r="P137" i="1"/>
  <c r="O137" i="1"/>
  <c r="N137" i="1"/>
  <c r="M137" i="1"/>
  <c r="I137" i="1"/>
  <c r="H137" i="1"/>
  <c r="F137" i="1"/>
  <c r="EM136" i="1"/>
  <c r="EL136" i="1"/>
  <c r="EK136" i="1"/>
  <c r="EJ136" i="1"/>
  <c r="EI136" i="1"/>
  <c r="EH136" i="1"/>
  <c r="EG136" i="1"/>
  <c r="EF136" i="1"/>
  <c r="EE136" i="1"/>
  <c r="ED136" i="1"/>
  <c r="DQ136" i="1"/>
  <c r="DK136" i="1"/>
  <c r="DJ136" i="1"/>
  <c r="DF136" i="1"/>
  <c r="DE136" i="1"/>
  <c r="DA136" i="1"/>
  <c r="CZ136" i="1"/>
  <c r="CV136" i="1"/>
  <c r="CU136" i="1"/>
  <c r="CQ136" i="1"/>
  <c r="CP136" i="1"/>
  <c r="CK136" i="1"/>
  <c r="CG136" i="1"/>
  <c r="CF136" i="1"/>
  <c r="CB136" i="1"/>
  <c r="CA136" i="1"/>
  <c r="BW136" i="1"/>
  <c r="BV136" i="1"/>
  <c r="BR136" i="1"/>
  <c r="BQ136" i="1"/>
  <c r="BM136" i="1"/>
  <c r="BL136" i="1"/>
  <c r="BH136" i="1"/>
  <c r="BG136" i="1"/>
  <c r="BC136" i="1"/>
  <c r="BB136" i="1"/>
  <c r="AX136" i="1"/>
  <c r="AW136" i="1"/>
  <c r="AS136" i="1"/>
  <c r="AR136" i="1"/>
  <c r="AN136" i="1"/>
  <c r="AM136" i="1"/>
  <c r="AI136" i="1"/>
  <c r="AH136" i="1"/>
  <c r="AD136" i="1"/>
  <c r="AC136" i="1"/>
  <c r="Y136" i="1"/>
  <c r="X136" i="1"/>
  <c r="V136" i="1"/>
  <c r="DO136" i="1" s="1"/>
  <c r="U136" i="1"/>
  <c r="T136" i="1"/>
  <c r="S136" i="1"/>
  <c r="R136" i="1"/>
  <c r="Q136" i="1"/>
  <c r="P136" i="1"/>
  <c r="O136" i="1"/>
  <c r="N136" i="1"/>
  <c r="M136" i="1"/>
  <c r="I136" i="1"/>
  <c r="H136" i="1"/>
  <c r="F136" i="1"/>
  <c r="EM138" i="1"/>
  <c r="EL138" i="1"/>
  <c r="EK138" i="1"/>
  <c r="EJ138" i="1"/>
  <c r="EI138" i="1"/>
  <c r="EH138" i="1"/>
  <c r="EG138" i="1"/>
  <c r="EF138" i="1"/>
  <c r="EE138" i="1"/>
  <c r="ED138" i="1"/>
  <c r="DQ138" i="1"/>
  <c r="DK138" i="1"/>
  <c r="DJ138" i="1"/>
  <c r="DF138" i="1"/>
  <c r="DE138" i="1"/>
  <c r="DA138" i="1"/>
  <c r="CZ138" i="1"/>
  <c r="CV138" i="1"/>
  <c r="CU138" i="1"/>
  <c r="CQ138" i="1"/>
  <c r="CP138" i="1"/>
  <c r="CK138" i="1"/>
  <c r="CG138" i="1"/>
  <c r="CF138" i="1"/>
  <c r="CB138" i="1"/>
  <c r="CA138" i="1"/>
  <c r="BW138" i="1"/>
  <c r="BV138" i="1"/>
  <c r="BR138" i="1"/>
  <c r="BQ138" i="1"/>
  <c r="BM138" i="1"/>
  <c r="BL138" i="1"/>
  <c r="BH138" i="1"/>
  <c r="BG138" i="1"/>
  <c r="BC138" i="1"/>
  <c r="BB138" i="1"/>
  <c r="AX138" i="1"/>
  <c r="AW138" i="1"/>
  <c r="AS138" i="1"/>
  <c r="AR138" i="1"/>
  <c r="AN138" i="1"/>
  <c r="AM138" i="1"/>
  <c r="AI138" i="1"/>
  <c r="AH138" i="1"/>
  <c r="AD138" i="1"/>
  <c r="AC138" i="1"/>
  <c r="Y138" i="1"/>
  <c r="X138" i="1"/>
  <c r="V138" i="1"/>
  <c r="DO138" i="1" s="1"/>
  <c r="U138" i="1"/>
  <c r="T138" i="1"/>
  <c r="S138" i="1"/>
  <c r="R138" i="1"/>
  <c r="Q138" i="1"/>
  <c r="P138" i="1"/>
  <c r="O138" i="1"/>
  <c r="N138" i="1"/>
  <c r="M138" i="1"/>
  <c r="I138" i="1"/>
  <c r="H138" i="1"/>
  <c r="F138" i="1"/>
  <c r="EM135" i="1"/>
  <c r="EL135" i="1"/>
  <c r="EK135" i="1"/>
  <c r="EJ135" i="1"/>
  <c r="EI135" i="1"/>
  <c r="EH135" i="1"/>
  <c r="EG135" i="1"/>
  <c r="EF135" i="1"/>
  <c r="EE135" i="1"/>
  <c r="ED135" i="1"/>
  <c r="DQ135" i="1"/>
  <c r="DK135" i="1"/>
  <c r="DJ135" i="1"/>
  <c r="DF135" i="1"/>
  <c r="DE135" i="1"/>
  <c r="DA135" i="1"/>
  <c r="CZ135" i="1"/>
  <c r="CV135" i="1"/>
  <c r="CU135" i="1"/>
  <c r="CQ135" i="1"/>
  <c r="CP135" i="1"/>
  <c r="CK135" i="1"/>
  <c r="CG135" i="1"/>
  <c r="CF135" i="1"/>
  <c r="CB135" i="1"/>
  <c r="CA135" i="1"/>
  <c r="BW135" i="1"/>
  <c r="BV135" i="1"/>
  <c r="BR135" i="1"/>
  <c r="BQ135" i="1"/>
  <c r="BM135" i="1"/>
  <c r="BL135" i="1"/>
  <c r="BH135" i="1"/>
  <c r="BG135" i="1"/>
  <c r="BC135" i="1"/>
  <c r="BB135" i="1"/>
  <c r="AX135" i="1"/>
  <c r="AW135" i="1"/>
  <c r="AS135" i="1"/>
  <c r="AR135" i="1"/>
  <c r="AN135" i="1"/>
  <c r="AM135" i="1"/>
  <c r="AI135" i="1"/>
  <c r="AH135" i="1"/>
  <c r="AD135" i="1"/>
  <c r="AC135" i="1"/>
  <c r="Y135" i="1"/>
  <c r="X135" i="1"/>
  <c r="V135" i="1"/>
  <c r="DO135" i="1" s="1"/>
  <c r="U135" i="1"/>
  <c r="T135" i="1"/>
  <c r="S135" i="1"/>
  <c r="R135" i="1"/>
  <c r="Q135" i="1"/>
  <c r="P135" i="1"/>
  <c r="O135" i="1"/>
  <c r="N135" i="1"/>
  <c r="M135" i="1"/>
  <c r="I135" i="1"/>
  <c r="H135" i="1"/>
  <c r="F135" i="1"/>
  <c r="EM134" i="1"/>
  <c r="EL134" i="1"/>
  <c r="EK134" i="1"/>
  <c r="EJ134" i="1"/>
  <c r="EI134" i="1"/>
  <c r="EH134" i="1"/>
  <c r="EG134" i="1"/>
  <c r="EF134" i="1"/>
  <c r="EE134" i="1"/>
  <c r="ED134" i="1"/>
  <c r="DQ134" i="1"/>
  <c r="DK134" i="1"/>
  <c r="DJ134" i="1"/>
  <c r="DF134" i="1"/>
  <c r="DE134" i="1"/>
  <c r="DA134" i="1"/>
  <c r="CZ134" i="1"/>
  <c r="CV134" i="1"/>
  <c r="CU134" i="1"/>
  <c r="CQ134" i="1"/>
  <c r="CP134" i="1"/>
  <c r="CK134" i="1"/>
  <c r="CG134" i="1"/>
  <c r="CF134" i="1"/>
  <c r="CB134" i="1"/>
  <c r="CA134" i="1"/>
  <c r="BW134" i="1"/>
  <c r="BV134" i="1"/>
  <c r="BR134" i="1"/>
  <c r="BQ134" i="1"/>
  <c r="BM134" i="1"/>
  <c r="BL134" i="1"/>
  <c r="BH134" i="1"/>
  <c r="BG134" i="1"/>
  <c r="BC134" i="1"/>
  <c r="BB134" i="1"/>
  <c r="AX134" i="1"/>
  <c r="AW134" i="1"/>
  <c r="AS134" i="1"/>
  <c r="AR134" i="1"/>
  <c r="AN134" i="1"/>
  <c r="AM134" i="1"/>
  <c r="AI134" i="1"/>
  <c r="AH134" i="1"/>
  <c r="AD134" i="1"/>
  <c r="AC134" i="1"/>
  <c r="Y134" i="1"/>
  <c r="X134" i="1"/>
  <c r="V134" i="1"/>
  <c r="DO134" i="1" s="1"/>
  <c r="U134" i="1"/>
  <c r="T134" i="1"/>
  <c r="S134" i="1"/>
  <c r="R134" i="1"/>
  <c r="Q134" i="1"/>
  <c r="P134" i="1"/>
  <c r="O134" i="1"/>
  <c r="N134" i="1"/>
  <c r="M134" i="1"/>
  <c r="I134" i="1"/>
  <c r="H134" i="1"/>
  <c r="F134" i="1"/>
  <c r="EM132" i="1"/>
  <c r="EL132" i="1"/>
  <c r="EK132" i="1"/>
  <c r="EJ132" i="1"/>
  <c r="EI132" i="1"/>
  <c r="EH132" i="1"/>
  <c r="EG132" i="1"/>
  <c r="EF132" i="1"/>
  <c r="EE132" i="1"/>
  <c r="ED132" i="1"/>
  <c r="DQ132" i="1"/>
  <c r="DK132" i="1"/>
  <c r="DJ132" i="1"/>
  <c r="DF132" i="1"/>
  <c r="DE132" i="1"/>
  <c r="DA132" i="1"/>
  <c r="CZ132" i="1"/>
  <c r="CV132" i="1"/>
  <c r="CU132" i="1"/>
  <c r="CQ132" i="1"/>
  <c r="CP132" i="1"/>
  <c r="CK132" i="1"/>
  <c r="CG132" i="1"/>
  <c r="CF132" i="1"/>
  <c r="CB132" i="1"/>
  <c r="CA132" i="1"/>
  <c r="BW132" i="1"/>
  <c r="BV132" i="1"/>
  <c r="BR132" i="1"/>
  <c r="BQ132" i="1"/>
  <c r="BM132" i="1"/>
  <c r="BL132" i="1"/>
  <c r="BH132" i="1"/>
  <c r="BG132" i="1"/>
  <c r="BC132" i="1"/>
  <c r="BB132" i="1"/>
  <c r="AX132" i="1"/>
  <c r="AW132" i="1"/>
  <c r="AS132" i="1"/>
  <c r="AR132" i="1"/>
  <c r="AN132" i="1"/>
  <c r="AM132" i="1"/>
  <c r="AI132" i="1"/>
  <c r="AH132" i="1"/>
  <c r="AD132" i="1"/>
  <c r="AC132" i="1"/>
  <c r="Y132" i="1"/>
  <c r="X132" i="1"/>
  <c r="V132" i="1"/>
  <c r="DO132" i="1" s="1"/>
  <c r="U132" i="1"/>
  <c r="T132" i="1"/>
  <c r="S132" i="1"/>
  <c r="R132" i="1"/>
  <c r="Q132" i="1"/>
  <c r="P132" i="1"/>
  <c r="O132" i="1"/>
  <c r="N132" i="1"/>
  <c r="M132" i="1"/>
  <c r="I132" i="1"/>
  <c r="H132" i="1"/>
  <c r="F132" i="1"/>
  <c r="EM129" i="1"/>
  <c r="EL129" i="1"/>
  <c r="EK129" i="1"/>
  <c r="EJ129" i="1"/>
  <c r="EI129" i="1"/>
  <c r="EH129" i="1"/>
  <c r="EG129" i="1"/>
  <c r="EF129" i="1"/>
  <c r="EE129" i="1"/>
  <c r="ED129" i="1"/>
  <c r="DQ129" i="1"/>
  <c r="DK129" i="1"/>
  <c r="DJ129" i="1"/>
  <c r="DF129" i="1"/>
  <c r="DE129" i="1"/>
  <c r="DA129" i="1"/>
  <c r="CZ129" i="1"/>
  <c r="CV129" i="1"/>
  <c r="CU129" i="1"/>
  <c r="CQ129" i="1"/>
  <c r="CP129" i="1"/>
  <c r="CK129" i="1"/>
  <c r="CG129" i="1"/>
  <c r="CF129" i="1"/>
  <c r="CB129" i="1"/>
  <c r="CA129" i="1"/>
  <c r="BW129" i="1"/>
  <c r="BV129" i="1"/>
  <c r="BR129" i="1"/>
  <c r="BQ129" i="1"/>
  <c r="BM129" i="1"/>
  <c r="BL129" i="1"/>
  <c r="BH129" i="1"/>
  <c r="BG129" i="1"/>
  <c r="BC129" i="1"/>
  <c r="BB129" i="1"/>
  <c r="AX129" i="1"/>
  <c r="AW129" i="1"/>
  <c r="AS129" i="1"/>
  <c r="AR129" i="1"/>
  <c r="AN129" i="1"/>
  <c r="AM129" i="1"/>
  <c r="AI129" i="1"/>
  <c r="AH129" i="1"/>
  <c r="AD129" i="1"/>
  <c r="AC129" i="1"/>
  <c r="Y129" i="1"/>
  <c r="X129" i="1"/>
  <c r="V129" i="1"/>
  <c r="DO129" i="1" s="1"/>
  <c r="U129" i="1"/>
  <c r="T129" i="1"/>
  <c r="S129" i="1"/>
  <c r="R129" i="1"/>
  <c r="Q129" i="1"/>
  <c r="P129" i="1"/>
  <c r="O129" i="1"/>
  <c r="N129" i="1"/>
  <c r="M129" i="1"/>
  <c r="I129" i="1"/>
  <c r="H129" i="1"/>
  <c r="F129" i="1"/>
  <c r="EM131" i="1"/>
  <c r="EL131" i="1"/>
  <c r="EK131" i="1"/>
  <c r="EJ131" i="1"/>
  <c r="EI131" i="1"/>
  <c r="EH131" i="1"/>
  <c r="EG131" i="1"/>
  <c r="EF131" i="1"/>
  <c r="EE131" i="1"/>
  <c r="ED131" i="1"/>
  <c r="DQ131" i="1"/>
  <c r="DK131" i="1"/>
  <c r="DJ131" i="1"/>
  <c r="DF131" i="1"/>
  <c r="DE131" i="1"/>
  <c r="DA131" i="1"/>
  <c r="CZ131" i="1"/>
  <c r="CV131" i="1"/>
  <c r="CU131" i="1"/>
  <c r="CQ131" i="1"/>
  <c r="CP131" i="1"/>
  <c r="CK131" i="1"/>
  <c r="CG131" i="1"/>
  <c r="CF131" i="1"/>
  <c r="CB131" i="1"/>
  <c r="CA131" i="1"/>
  <c r="BW131" i="1"/>
  <c r="BV131" i="1"/>
  <c r="BR131" i="1"/>
  <c r="BQ131" i="1"/>
  <c r="BM131" i="1"/>
  <c r="BL131" i="1"/>
  <c r="BH131" i="1"/>
  <c r="BG131" i="1"/>
  <c r="BC131" i="1"/>
  <c r="BB131" i="1"/>
  <c r="AX131" i="1"/>
  <c r="AW131" i="1"/>
  <c r="AS131" i="1"/>
  <c r="AR131" i="1"/>
  <c r="AN131" i="1"/>
  <c r="AM131" i="1"/>
  <c r="AI131" i="1"/>
  <c r="AH131" i="1"/>
  <c r="AD131" i="1"/>
  <c r="AC131" i="1"/>
  <c r="Y131" i="1"/>
  <c r="X131" i="1"/>
  <c r="V131" i="1"/>
  <c r="DO131" i="1" s="1"/>
  <c r="U131" i="1"/>
  <c r="T131" i="1"/>
  <c r="S131" i="1"/>
  <c r="R131" i="1"/>
  <c r="Q131" i="1"/>
  <c r="P131" i="1"/>
  <c r="O131" i="1"/>
  <c r="N131" i="1"/>
  <c r="M131" i="1"/>
  <c r="I131" i="1"/>
  <c r="H131" i="1"/>
  <c r="F131" i="1"/>
  <c r="EM130" i="1"/>
  <c r="EL130" i="1"/>
  <c r="EK130" i="1"/>
  <c r="EJ130" i="1"/>
  <c r="EI130" i="1"/>
  <c r="EH130" i="1"/>
  <c r="EG130" i="1"/>
  <c r="EF130" i="1"/>
  <c r="EE130" i="1"/>
  <c r="ED130" i="1"/>
  <c r="DQ130" i="1"/>
  <c r="DK130" i="1"/>
  <c r="DJ130" i="1"/>
  <c r="DF130" i="1"/>
  <c r="DE130" i="1"/>
  <c r="DA130" i="1"/>
  <c r="CZ130" i="1"/>
  <c r="CV130" i="1"/>
  <c r="CU130" i="1"/>
  <c r="CQ130" i="1"/>
  <c r="CP130" i="1"/>
  <c r="CK130" i="1"/>
  <c r="CG130" i="1"/>
  <c r="CF130" i="1"/>
  <c r="CB130" i="1"/>
  <c r="CA130" i="1"/>
  <c r="BW130" i="1"/>
  <c r="BV130" i="1"/>
  <c r="BR130" i="1"/>
  <c r="BQ130" i="1"/>
  <c r="BM130" i="1"/>
  <c r="BL130" i="1"/>
  <c r="BH130" i="1"/>
  <c r="BG130" i="1"/>
  <c r="BC130" i="1"/>
  <c r="BB130" i="1"/>
  <c r="AX130" i="1"/>
  <c r="AW130" i="1"/>
  <c r="AS130" i="1"/>
  <c r="AR130" i="1"/>
  <c r="AN130" i="1"/>
  <c r="AM130" i="1"/>
  <c r="AI130" i="1"/>
  <c r="AH130" i="1"/>
  <c r="AD130" i="1"/>
  <c r="AC130" i="1"/>
  <c r="Y130" i="1"/>
  <c r="X130" i="1"/>
  <c r="V130" i="1"/>
  <c r="DO130" i="1" s="1"/>
  <c r="U130" i="1"/>
  <c r="T130" i="1"/>
  <c r="S130" i="1"/>
  <c r="R130" i="1"/>
  <c r="Q130" i="1"/>
  <c r="P130" i="1"/>
  <c r="O130" i="1"/>
  <c r="N130" i="1"/>
  <c r="M130" i="1"/>
  <c r="I130" i="1"/>
  <c r="H130" i="1"/>
  <c r="F130" i="1"/>
  <c r="EM133" i="1"/>
  <c r="EL133" i="1"/>
  <c r="EK133" i="1"/>
  <c r="EJ133" i="1"/>
  <c r="EI133" i="1"/>
  <c r="EH133" i="1"/>
  <c r="EG133" i="1"/>
  <c r="EF133" i="1"/>
  <c r="EE133" i="1"/>
  <c r="ED133" i="1"/>
  <c r="DQ133" i="1"/>
  <c r="DK133" i="1"/>
  <c r="DJ133" i="1"/>
  <c r="DF133" i="1"/>
  <c r="DE133" i="1"/>
  <c r="DA133" i="1"/>
  <c r="CZ133" i="1"/>
  <c r="CV133" i="1"/>
  <c r="CU133" i="1"/>
  <c r="CQ133" i="1"/>
  <c r="CP133" i="1"/>
  <c r="CK133" i="1"/>
  <c r="CG133" i="1"/>
  <c r="CF133" i="1"/>
  <c r="CB133" i="1"/>
  <c r="CA133" i="1"/>
  <c r="BW133" i="1"/>
  <c r="BV133" i="1"/>
  <c r="BR133" i="1"/>
  <c r="BQ133" i="1"/>
  <c r="BM133" i="1"/>
  <c r="BL133" i="1"/>
  <c r="BH133" i="1"/>
  <c r="BG133" i="1"/>
  <c r="BC133" i="1"/>
  <c r="BB133" i="1"/>
  <c r="AX133" i="1"/>
  <c r="AW133" i="1"/>
  <c r="AS133" i="1"/>
  <c r="AR133" i="1"/>
  <c r="AN133" i="1"/>
  <c r="AM133" i="1"/>
  <c r="AI133" i="1"/>
  <c r="AH133" i="1"/>
  <c r="AD133" i="1"/>
  <c r="AC133" i="1"/>
  <c r="Y133" i="1"/>
  <c r="X133" i="1"/>
  <c r="V133" i="1"/>
  <c r="DO133" i="1" s="1"/>
  <c r="U133" i="1"/>
  <c r="T133" i="1"/>
  <c r="S133" i="1"/>
  <c r="R133" i="1"/>
  <c r="Q133" i="1"/>
  <c r="P133" i="1"/>
  <c r="O133" i="1"/>
  <c r="N133" i="1"/>
  <c r="M133" i="1"/>
  <c r="I133" i="1"/>
  <c r="H133" i="1"/>
  <c r="F133" i="1"/>
  <c r="EM122" i="1"/>
  <c r="EL122" i="1"/>
  <c r="EK122" i="1"/>
  <c r="EJ122" i="1"/>
  <c r="EI122" i="1"/>
  <c r="EH122" i="1"/>
  <c r="EG122" i="1"/>
  <c r="EF122" i="1"/>
  <c r="EE122" i="1"/>
  <c r="ED122" i="1"/>
  <c r="DQ122" i="1"/>
  <c r="DK122" i="1"/>
  <c r="DJ122" i="1"/>
  <c r="DF122" i="1"/>
  <c r="DE122" i="1"/>
  <c r="DA122" i="1"/>
  <c r="CZ122" i="1"/>
  <c r="CV122" i="1"/>
  <c r="CU122" i="1"/>
  <c r="CQ122" i="1"/>
  <c r="CP122" i="1"/>
  <c r="CK122" i="1"/>
  <c r="CG122" i="1"/>
  <c r="CF122" i="1"/>
  <c r="CB122" i="1"/>
  <c r="CA122" i="1"/>
  <c r="BW122" i="1"/>
  <c r="BV122" i="1"/>
  <c r="BR122" i="1"/>
  <c r="BQ122" i="1"/>
  <c r="BM122" i="1"/>
  <c r="BL122" i="1"/>
  <c r="BH122" i="1"/>
  <c r="BG122" i="1"/>
  <c r="BC122" i="1"/>
  <c r="BB122" i="1"/>
  <c r="AX122" i="1"/>
  <c r="AW122" i="1"/>
  <c r="AS122" i="1"/>
  <c r="AR122" i="1"/>
  <c r="AN122" i="1"/>
  <c r="AM122" i="1"/>
  <c r="AI122" i="1"/>
  <c r="AH122" i="1"/>
  <c r="AD122" i="1"/>
  <c r="AC122" i="1"/>
  <c r="Y122" i="1"/>
  <c r="X122" i="1"/>
  <c r="V122" i="1"/>
  <c r="DO122" i="1" s="1"/>
  <c r="U122" i="1"/>
  <c r="T122" i="1"/>
  <c r="S122" i="1"/>
  <c r="R122" i="1"/>
  <c r="Q122" i="1"/>
  <c r="P122" i="1"/>
  <c r="O122" i="1"/>
  <c r="N122" i="1"/>
  <c r="M122" i="1"/>
  <c r="I122" i="1"/>
  <c r="H122" i="1"/>
  <c r="F122" i="1"/>
  <c r="EM127" i="1"/>
  <c r="EL127" i="1"/>
  <c r="EK127" i="1"/>
  <c r="EJ127" i="1"/>
  <c r="EI127" i="1"/>
  <c r="EH127" i="1"/>
  <c r="EG127" i="1"/>
  <c r="EF127" i="1"/>
  <c r="EE127" i="1"/>
  <c r="ED127" i="1"/>
  <c r="DQ127" i="1"/>
  <c r="DK127" i="1"/>
  <c r="DJ127" i="1"/>
  <c r="DF127" i="1"/>
  <c r="DE127" i="1"/>
  <c r="DA127" i="1"/>
  <c r="CZ127" i="1"/>
  <c r="CV127" i="1"/>
  <c r="CU127" i="1"/>
  <c r="CQ127" i="1"/>
  <c r="CP127" i="1"/>
  <c r="CK127" i="1"/>
  <c r="CG127" i="1"/>
  <c r="CF127" i="1"/>
  <c r="CB127" i="1"/>
  <c r="CA127" i="1"/>
  <c r="BW127" i="1"/>
  <c r="BV127" i="1"/>
  <c r="BR127" i="1"/>
  <c r="BQ127" i="1"/>
  <c r="BM127" i="1"/>
  <c r="BL127" i="1"/>
  <c r="BH127" i="1"/>
  <c r="BG127" i="1"/>
  <c r="BC127" i="1"/>
  <c r="BB127" i="1"/>
  <c r="AX127" i="1"/>
  <c r="AW127" i="1"/>
  <c r="AS127" i="1"/>
  <c r="AR127" i="1"/>
  <c r="AN127" i="1"/>
  <c r="AM127" i="1"/>
  <c r="AI127" i="1"/>
  <c r="AH127" i="1"/>
  <c r="AD127" i="1"/>
  <c r="AC127" i="1"/>
  <c r="Y127" i="1"/>
  <c r="X127" i="1"/>
  <c r="V127" i="1"/>
  <c r="DO127" i="1" s="1"/>
  <c r="U127" i="1"/>
  <c r="T127" i="1"/>
  <c r="S127" i="1"/>
  <c r="R127" i="1"/>
  <c r="Q127" i="1"/>
  <c r="P127" i="1"/>
  <c r="O127" i="1"/>
  <c r="N127" i="1"/>
  <c r="M127" i="1"/>
  <c r="I127" i="1"/>
  <c r="H127" i="1"/>
  <c r="F127" i="1"/>
  <c r="EM117" i="1"/>
  <c r="EL117" i="1"/>
  <c r="EK117" i="1"/>
  <c r="EJ117" i="1"/>
  <c r="EI117" i="1"/>
  <c r="EH117" i="1"/>
  <c r="EG117" i="1"/>
  <c r="EF117" i="1"/>
  <c r="EE117" i="1"/>
  <c r="ED117" i="1"/>
  <c r="DQ117" i="1"/>
  <c r="DK117" i="1"/>
  <c r="DJ117" i="1"/>
  <c r="DF117" i="1"/>
  <c r="DE117" i="1"/>
  <c r="DA117" i="1"/>
  <c r="CZ117" i="1"/>
  <c r="CV117" i="1"/>
  <c r="CU117" i="1"/>
  <c r="CQ117" i="1"/>
  <c r="CP117" i="1"/>
  <c r="CK117" i="1"/>
  <c r="CG117" i="1"/>
  <c r="CF117" i="1"/>
  <c r="CB117" i="1"/>
  <c r="CA117" i="1"/>
  <c r="BW117" i="1"/>
  <c r="BV117" i="1"/>
  <c r="BR117" i="1"/>
  <c r="BQ117" i="1"/>
  <c r="BM117" i="1"/>
  <c r="BL117" i="1"/>
  <c r="BH117" i="1"/>
  <c r="BG117" i="1"/>
  <c r="BC117" i="1"/>
  <c r="BB117" i="1"/>
  <c r="AX117" i="1"/>
  <c r="AW117" i="1"/>
  <c r="AS117" i="1"/>
  <c r="AR117" i="1"/>
  <c r="AN117" i="1"/>
  <c r="AM117" i="1"/>
  <c r="AI117" i="1"/>
  <c r="AH117" i="1"/>
  <c r="AD117" i="1"/>
  <c r="AC117" i="1"/>
  <c r="Y117" i="1"/>
  <c r="X117" i="1"/>
  <c r="V117" i="1"/>
  <c r="DO117" i="1" s="1"/>
  <c r="U117" i="1"/>
  <c r="T117" i="1"/>
  <c r="S117" i="1"/>
  <c r="R117" i="1"/>
  <c r="Q117" i="1"/>
  <c r="P117" i="1"/>
  <c r="O117" i="1"/>
  <c r="N117" i="1"/>
  <c r="M117" i="1"/>
  <c r="I117" i="1"/>
  <c r="H117" i="1"/>
  <c r="F117" i="1"/>
  <c r="EM126" i="1"/>
  <c r="EL126" i="1"/>
  <c r="EK126" i="1"/>
  <c r="EJ126" i="1"/>
  <c r="EI126" i="1"/>
  <c r="EH126" i="1"/>
  <c r="EG126" i="1"/>
  <c r="EF126" i="1"/>
  <c r="EE126" i="1"/>
  <c r="ED126" i="1"/>
  <c r="DQ126" i="1"/>
  <c r="DK126" i="1"/>
  <c r="DJ126" i="1"/>
  <c r="DF126" i="1"/>
  <c r="DE126" i="1"/>
  <c r="DA126" i="1"/>
  <c r="CZ126" i="1"/>
  <c r="CV126" i="1"/>
  <c r="CU126" i="1"/>
  <c r="CQ126" i="1"/>
  <c r="CP126" i="1"/>
  <c r="CK126" i="1"/>
  <c r="CG126" i="1"/>
  <c r="CF126" i="1"/>
  <c r="CB126" i="1"/>
  <c r="CA126" i="1"/>
  <c r="BW126" i="1"/>
  <c r="BV126" i="1"/>
  <c r="BR126" i="1"/>
  <c r="BQ126" i="1"/>
  <c r="BM126" i="1"/>
  <c r="BL126" i="1"/>
  <c r="BH126" i="1"/>
  <c r="BG126" i="1"/>
  <c r="BC126" i="1"/>
  <c r="BB126" i="1"/>
  <c r="AX126" i="1"/>
  <c r="AW126" i="1"/>
  <c r="AS126" i="1"/>
  <c r="AR126" i="1"/>
  <c r="AN126" i="1"/>
  <c r="AM126" i="1"/>
  <c r="AI126" i="1"/>
  <c r="AH126" i="1"/>
  <c r="AD126" i="1"/>
  <c r="AC126" i="1"/>
  <c r="Y126" i="1"/>
  <c r="X126" i="1"/>
  <c r="V126" i="1"/>
  <c r="DO126" i="1" s="1"/>
  <c r="U126" i="1"/>
  <c r="T126" i="1"/>
  <c r="S126" i="1"/>
  <c r="R126" i="1"/>
  <c r="Q126" i="1"/>
  <c r="P126" i="1"/>
  <c r="O126" i="1"/>
  <c r="N126" i="1"/>
  <c r="M126" i="1"/>
  <c r="I126" i="1"/>
  <c r="H126" i="1"/>
  <c r="F126" i="1"/>
  <c r="EM123" i="1"/>
  <c r="EL123" i="1"/>
  <c r="EK123" i="1"/>
  <c r="EJ123" i="1"/>
  <c r="EI123" i="1"/>
  <c r="EH123" i="1"/>
  <c r="EG123" i="1"/>
  <c r="EF123" i="1"/>
  <c r="EE123" i="1"/>
  <c r="ED123" i="1"/>
  <c r="DQ123" i="1"/>
  <c r="DK123" i="1"/>
  <c r="DJ123" i="1"/>
  <c r="DF123" i="1"/>
  <c r="DE123" i="1"/>
  <c r="DA123" i="1"/>
  <c r="CZ123" i="1"/>
  <c r="CV123" i="1"/>
  <c r="CU123" i="1"/>
  <c r="CQ123" i="1"/>
  <c r="CP123" i="1"/>
  <c r="CK123" i="1"/>
  <c r="CG123" i="1"/>
  <c r="CF123" i="1"/>
  <c r="CB123" i="1"/>
  <c r="CA123" i="1"/>
  <c r="BW123" i="1"/>
  <c r="BV123" i="1"/>
  <c r="BR123" i="1"/>
  <c r="BQ123" i="1"/>
  <c r="BM123" i="1"/>
  <c r="BL123" i="1"/>
  <c r="BH123" i="1"/>
  <c r="BG123" i="1"/>
  <c r="BC123" i="1"/>
  <c r="BB123" i="1"/>
  <c r="AX123" i="1"/>
  <c r="AW123" i="1"/>
  <c r="AS123" i="1"/>
  <c r="AR123" i="1"/>
  <c r="AN123" i="1"/>
  <c r="AM123" i="1"/>
  <c r="AI123" i="1"/>
  <c r="AH123" i="1"/>
  <c r="AD123" i="1"/>
  <c r="AC123" i="1"/>
  <c r="Y123" i="1"/>
  <c r="X123" i="1"/>
  <c r="V123" i="1"/>
  <c r="DO123" i="1" s="1"/>
  <c r="U123" i="1"/>
  <c r="T123" i="1"/>
  <c r="S123" i="1"/>
  <c r="R123" i="1"/>
  <c r="Q123" i="1"/>
  <c r="P123" i="1"/>
  <c r="O123" i="1"/>
  <c r="N123" i="1"/>
  <c r="M123" i="1"/>
  <c r="I123" i="1"/>
  <c r="H123" i="1"/>
  <c r="F123" i="1"/>
  <c r="EM121" i="1"/>
  <c r="EL121" i="1"/>
  <c r="EK121" i="1"/>
  <c r="EJ121" i="1"/>
  <c r="EI121" i="1"/>
  <c r="EH121" i="1"/>
  <c r="EG121" i="1"/>
  <c r="EF121" i="1"/>
  <c r="EE121" i="1"/>
  <c r="ED121" i="1"/>
  <c r="DQ121" i="1"/>
  <c r="DK121" i="1"/>
  <c r="DJ121" i="1"/>
  <c r="DF121" i="1"/>
  <c r="DE121" i="1"/>
  <c r="DA121" i="1"/>
  <c r="CZ121" i="1"/>
  <c r="CV121" i="1"/>
  <c r="CU121" i="1"/>
  <c r="CQ121" i="1"/>
  <c r="CP121" i="1"/>
  <c r="CK121" i="1"/>
  <c r="CG121" i="1"/>
  <c r="CF121" i="1"/>
  <c r="CB121" i="1"/>
  <c r="CA121" i="1"/>
  <c r="BW121" i="1"/>
  <c r="BV121" i="1"/>
  <c r="BR121" i="1"/>
  <c r="BQ121" i="1"/>
  <c r="BM121" i="1"/>
  <c r="BL121" i="1"/>
  <c r="BH121" i="1"/>
  <c r="BG121" i="1"/>
  <c r="BC121" i="1"/>
  <c r="BB121" i="1"/>
  <c r="AX121" i="1"/>
  <c r="AW121" i="1"/>
  <c r="AS121" i="1"/>
  <c r="AR121" i="1"/>
  <c r="AN121" i="1"/>
  <c r="AM121" i="1"/>
  <c r="AI121" i="1"/>
  <c r="AH121" i="1"/>
  <c r="AD121" i="1"/>
  <c r="AC121" i="1"/>
  <c r="Y121" i="1"/>
  <c r="X121" i="1"/>
  <c r="V121" i="1"/>
  <c r="DO121" i="1" s="1"/>
  <c r="U121" i="1"/>
  <c r="T121" i="1"/>
  <c r="S121" i="1"/>
  <c r="R121" i="1"/>
  <c r="Q121" i="1"/>
  <c r="P121" i="1"/>
  <c r="O121" i="1"/>
  <c r="N121" i="1"/>
  <c r="M121" i="1"/>
  <c r="I121" i="1"/>
  <c r="H121" i="1"/>
  <c r="F121" i="1"/>
  <c r="EM114" i="1"/>
  <c r="EL114" i="1"/>
  <c r="EK114" i="1"/>
  <c r="EJ114" i="1"/>
  <c r="EI114" i="1"/>
  <c r="EH114" i="1"/>
  <c r="EG114" i="1"/>
  <c r="EF114" i="1"/>
  <c r="EE114" i="1"/>
  <c r="ED114" i="1"/>
  <c r="DQ114" i="1"/>
  <c r="DK114" i="1"/>
  <c r="DJ114" i="1"/>
  <c r="DF114" i="1"/>
  <c r="DE114" i="1"/>
  <c r="DA114" i="1"/>
  <c r="CZ114" i="1"/>
  <c r="CV114" i="1"/>
  <c r="CU114" i="1"/>
  <c r="CQ114" i="1"/>
  <c r="CP114" i="1"/>
  <c r="CK114" i="1"/>
  <c r="CG114" i="1"/>
  <c r="CF114" i="1"/>
  <c r="CB114" i="1"/>
  <c r="CA114" i="1"/>
  <c r="BW114" i="1"/>
  <c r="BV114" i="1"/>
  <c r="BR114" i="1"/>
  <c r="BQ114" i="1"/>
  <c r="BM114" i="1"/>
  <c r="BL114" i="1"/>
  <c r="BH114" i="1"/>
  <c r="BG114" i="1"/>
  <c r="BC114" i="1"/>
  <c r="BB114" i="1"/>
  <c r="AX114" i="1"/>
  <c r="AW114" i="1"/>
  <c r="AS114" i="1"/>
  <c r="AR114" i="1"/>
  <c r="AN114" i="1"/>
  <c r="AM114" i="1"/>
  <c r="AI114" i="1"/>
  <c r="AH114" i="1"/>
  <c r="AD114" i="1"/>
  <c r="AC114" i="1"/>
  <c r="Y114" i="1"/>
  <c r="X114" i="1"/>
  <c r="V114" i="1"/>
  <c r="DO114" i="1" s="1"/>
  <c r="U114" i="1"/>
  <c r="T114" i="1"/>
  <c r="S114" i="1"/>
  <c r="R114" i="1"/>
  <c r="Q114" i="1"/>
  <c r="P114" i="1"/>
  <c r="O114" i="1"/>
  <c r="N114" i="1"/>
  <c r="M114" i="1"/>
  <c r="I114" i="1"/>
  <c r="H114" i="1"/>
  <c r="F114" i="1"/>
  <c r="EM128" i="1"/>
  <c r="EL128" i="1"/>
  <c r="EK128" i="1"/>
  <c r="EJ128" i="1"/>
  <c r="EI128" i="1"/>
  <c r="EH128" i="1"/>
  <c r="EG128" i="1"/>
  <c r="EF128" i="1"/>
  <c r="EE128" i="1"/>
  <c r="ED128" i="1"/>
  <c r="DQ128" i="1"/>
  <c r="DK128" i="1"/>
  <c r="DJ128" i="1"/>
  <c r="DF128" i="1"/>
  <c r="DE128" i="1"/>
  <c r="DA128" i="1"/>
  <c r="CZ128" i="1"/>
  <c r="CV128" i="1"/>
  <c r="CU128" i="1"/>
  <c r="CQ128" i="1"/>
  <c r="CP128" i="1"/>
  <c r="CK128" i="1"/>
  <c r="CG128" i="1"/>
  <c r="CF128" i="1"/>
  <c r="CB128" i="1"/>
  <c r="CA128" i="1"/>
  <c r="BW128" i="1"/>
  <c r="BV128" i="1"/>
  <c r="BR128" i="1"/>
  <c r="BQ128" i="1"/>
  <c r="BM128" i="1"/>
  <c r="BL128" i="1"/>
  <c r="BH128" i="1"/>
  <c r="BG128" i="1"/>
  <c r="BC128" i="1"/>
  <c r="BB128" i="1"/>
  <c r="AX128" i="1"/>
  <c r="AW128" i="1"/>
  <c r="AS128" i="1"/>
  <c r="AR128" i="1"/>
  <c r="AN128" i="1"/>
  <c r="AM128" i="1"/>
  <c r="AI128" i="1"/>
  <c r="AH128" i="1"/>
  <c r="AD128" i="1"/>
  <c r="AC128" i="1"/>
  <c r="Y128" i="1"/>
  <c r="X128" i="1"/>
  <c r="V128" i="1"/>
  <c r="DO128" i="1" s="1"/>
  <c r="U128" i="1"/>
  <c r="T128" i="1"/>
  <c r="S128" i="1"/>
  <c r="R128" i="1"/>
  <c r="Q128" i="1"/>
  <c r="P128" i="1"/>
  <c r="O128" i="1"/>
  <c r="N128" i="1"/>
  <c r="M128" i="1"/>
  <c r="I128" i="1"/>
  <c r="H128" i="1"/>
  <c r="F128" i="1"/>
  <c r="EM120" i="1"/>
  <c r="EL120" i="1"/>
  <c r="EK120" i="1"/>
  <c r="EJ120" i="1"/>
  <c r="EI120" i="1"/>
  <c r="EH120" i="1"/>
  <c r="EG120" i="1"/>
  <c r="EF120" i="1"/>
  <c r="EE120" i="1"/>
  <c r="ED120" i="1"/>
  <c r="DQ120" i="1"/>
  <c r="DK120" i="1"/>
  <c r="DJ120" i="1"/>
  <c r="DF120" i="1"/>
  <c r="DE120" i="1"/>
  <c r="DA120" i="1"/>
  <c r="CZ120" i="1"/>
  <c r="CV120" i="1"/>
  <c r="CU120" i="1"/>
  <c r="CQ120" i="1"/>
  <c r="CP120" i="1"/>
  <c r="CK120" i="1"/>
  <c r="CG120" i="1"/>
  <c r="CF120" i="1"/>
  <c r="CB120" i="1"/>
  <c r="CA120" i="1"/>
  <c r="BW120" i="1"/>
  <c r="BV120" i="1"/>
  <c r="BR120" i="1"/>
  <c r="BQ120" i="1"/>
  <c r="BM120" i="1"/>
  <c r="BL120" i="1"/>
  <c r="BH120" i="1"/>
  <c r="BG120" i="1"/>
  <c r="BC120" i="1"/>
  <c r="BB120" i="1"/>
  <c r="AX120" i="1"/>
  <c r="AW120" i="1"/>
  <c r="AS120" i="1"/>
  <c r="AR120" i="1"/>
  <c r="AN120" i="1"/>
  <c r="AM120" i="1"/>
  <c r="AI120" i="1"/>
  <c r="AH120" i="1"/>
  <c r="AD120" i="1"/>
  <c r="AC120" i="1"/>
  <c r="Y120" i="1"/>
  <c r="X120" i="1"/>
  <c r="V120" i="1"/>
  <c r="DO120" i="1" s="1"/>
  <c r="U120" i="1"/>
  <c r="T120" i="1"/>
  <c r="S120" i="1"/>
  <c r="R120" i="1"/>
  <c r="Q120" i="1"/>
  <c r="P120" i="1"/>
  <c r="O120" i="1"/>
  <c r="N120" i="1"/>
  <c r="M120" i="1"/>
  <c r="I120" i="1"/>
  <c r="H120" i="1"/>
  <c r="F120" i="1"/>
  <c r="EM116" i="1"/>
  <c r="EL116" i="1"/>
  <c r="EK116" i="1"/>
  <c r="EJ116" i="1"/>
  <c r="EI116" i="1"/>
  <c r="EH116" i="1"/>
  <c r="EG116" i="1"/>
  <c r="EF116" i="1"/>
  <c r="EE116" i="1"/>
  <c r="ED116" i="1"/>
  <c r="DQ116" i="1"/>
  <c r="DK116" i="1"/>
  <c r="DJ116" i="1"/>
  <c r="DF116" i="1"/>
  <c r="DE116" i="1"/>
  <c r="DA116" i="1"/>
  <c r="CZ116" i="1"/>
  <c r="CV116" i="1"/>
  <c r="CU116" i="1"/>
  <c r="CQ116" i="1"/>
  <c r="CP116" i="1"/>
  <c r="CK116" i="1"/>
  <c r="CG116" i="1"/>
  <c r="CF116" i="1"/>
  <c r="CB116" i="1"/>
  <c r="CA116" i="1"/>
  <c r="BW116" i="1"/>
  <c r="BV116" i="1"/>
  <c r="BR116" i="1"/>
  <c r="BQ116" i="1"/>
  <c r="BM116" i="1"/>
  <c r="BL116" i="1"/>
  <c r="BH116" i="1"/>
  <c r="BG116" i="1"/>
  <c r="BC116" i="1"/>
  <c r="BB116" i="1"/>
  <c r="AX116" i="1"/>
  <c r="AW116" i="1"/>
  <c r="AS116" i="1"/>
  <c r="AR116" i="1"/>
  <c r="AN116" i="1"/>
  <c r="AM116" i="1"/>
  <c r="AI116" i="1"/>
  <c r="AH116" i="1"/>
  <c r="AD116" i="1"/>
  <c r="AC116" i="1"/>
  <c r="Y116" i="1"/>
  <c r="X116" i="1"/>
  <c r="V116" i="1"/>
  <c r="DO116" i="1" s="1"/>
  <c r="U116" i="1"/>
  <c r="T116" i="1"/>
  <c r="S116" i="1"/>
  <c r="R116" i="1"/>
  <c r="Q116" i="1"/>
  <c r="P116" i="1"/>
  <c r="O116" i="1"/>
  <c r="N116" i="1"/>
  <c r="M116" i="1"/>
  <c r="I116" i="1"/>
  <c r="H116" i="1"/>
  <c r="F116" i="1"/>
  <c r="EM125" i="1"/>
  <c r="EL125" i="1"/>
  <c r="EK125" i="1"/>
  <c r="EJ125" i="1"/>
  <c r="EI125" i="1"/>
  <c r="EH125" i="1"/>
  <c r="EG125" i="1"/>
  <c r="EF125" i="1"/>
  <c r="EE125" i="1"/>
  <c r="ED125" i="1"/>
  <c r="DQ125" i="1"/>
  <c r="DK125" i="1"/>
  <c r="DJ125" i="1"/>
  <c r="DF125" i="1"/>
  <c r="DE125" i="1"/>
  <c r="DA125" i="1"/>
  <c r="CZ125" i="1"/>
  <c r="CV125" i="1"/>
  <c r="CU125" i="1"/>
  <c r="CQ125" i="1"/>
  <c r="CP125" i="1"/>
  <c r="CK125" i="1"/>
  <c r="CG125" i="1"/>
  <c r="CF125" i="1"/>
  <c r="CB125" i="1"/>
  <c r="CA125" i="1"/>
  <c r="BW125" i="1"/>
  <c r="BV125" i="1"/>
  <c r="BR125" i="1"/>
  <c r="BQ125" i="1"/>
  <c r="BM125" i="1"/>
  <c r="BL125" i="1"/>
  <c r="BH125" i="1"/>
  <c r="BG125" i="1"/>
  <c r="BC125" i="1"/>
  <c r="BB125" i="1"/>
  <c r="AX125" i="1"/>
  <c r="AW125" i="1"/>
  <c r="AS125" i="1"/>
  <c r="AR125" i="1"/>
  <c r="AN125" i="1"/>
  <c r="AM125" i="1"/>
  <c r="AI125" i="1"/>
  <c r="AH125" i="1"/>
  <c r="AD125" i="1"/>
  <c r="AC125" i="1"/>
  <c r="Y125" i="1"/>
  <c r="X125" i="1"/>
  <c r="V125" i="1"/>
  <c r="DO125" i="1" s="1"/>
  <c r="U125" i="1"/>
  <c r="T125" i="1"/>
  <c r="S125" i="1"/>
  <c r="R125" i="1"/>
  <c r="Q125" i="1"/>
  <c r="P125" i="1"/>
  <c r="O125" i="1"/>
  <c r="N125" i="1"/>
  <c r="M125" i="1"/>
  <c r="I125" i="1"/>
  <c r="H125" i="1"/>
  <c r="F125" i="1"/>
  <c r="EM124" i="1"/>
  <c r="EL124" i="1"/>
  <c r="EK124" i="1"/>
  <c r="EJ124" i="1"/>
  <c r="EI124" i="1"/>
  <c r="EH124" i="1"/>
  <c r="EG124" i="1"/>
  <c r="EF124" i="1"/>
  <c r="EE124" i="1"/>
  <c r="ED124" i="1"/>
  <c r="DQ124" i="1"/>
  <c r="DK124" i="1"/>
  <c r="DJ124" i="1"/>
  <c r="DF124" i="1"/>
  <c r="DE124" i="1"/>
  <c r="DA124" i="1"/>
  <c r="CZ124" i="1"/>
  <c r="CV124" i="1"/>
  <c r="CU124" i="1"/>
  <c r="CQ124" i="1"/>
  <c r="CP124" i="1"/>
  <c r="CK124" i="1"/>
  <c r="CG124" i="1"/>
  <c r="CF124" i="1"/>
  <c r="CB124" i="1"/>
  <c r="CA124" i="1"/>
  <c r="BW124" i="1"/>
  <c r="BV124" i="1"/>
  <c r="BR124" i="1"/>
  <c r="BQ124" i="1"/>
  <c r="BM124" i="1"/>
  <c r="BL124" i="1"/>
  <c r="BH124" i="1"/>
  <c r="BG124" i="1"/>
  <c r="BC124" i="1"/>
  <c r="BB124" i="1"/>
  <c r="AX124" i="1"/>
  <c r="AW124" i="1"/>
  <c r="AS124" i="1"/>
  <c r="AR124" i="1"/>
  <c r="AN124" i="1"/>
  <c r="AM124" i="1"/>
  <c r="AI124" i="1"/>
  <c r="AH124" i="1"/>
  <c r="AD124" i="1"/>
  <c r="AC124" i="1"/>
  <c r="Y124" i="1"/>
  <c r="X124" i="1"/>
  <c r="V124" i="1"/>
  <c r="DO124" i="1" s="1"/>
  <c r="U124" i="1"/>
  <c r="T124" i="1"/>
  <c r="S124" i="1"/>
  <c r="R124" i="1"/>
  <c r="Q124" i="1"/>
  <c r="P124" i="1"/>
  <c r="O124" i="1"/>
  <c r="N124" i="1"/>
  <c r="M124" i="1"/>
  <c r="I124" i="1"/>
  <c r="H124" i="1"/>
  <c r="F124" i="1"/>
  <c r="EM112" i="1"/>
  <c r="EL112" i="1"/>
  <c r="EK112" i="1"/>
  <c r="EJ112" i="1"/>
  <c r="EI112" i="1"/>
  <c r="EH112" i="1"/>
  <c r="EG112" i="1"/>
  <c r="EF112" i="1"/>
  <c r="EE112" i="1"/>
  <c r="ED112" i="1"/>
  <c r="DQ112" i="1"/>
  <c r="DK112" i="1"/>
  <c r="DJ112" i="1"/>
  <c r="DF112" i="1"/>
  <c r="DE112" i="1"/>
  <c r="DA112" i="1"/>
  <c r="CZ112" i="1"/>
  <c r="CV112" i="1"/>
  <c r="CU112" i="1"/>
  <c r="CQ112" i="1"/>
  <c r="CP112" i="1"/>
  <c r="CK112" i="1"/>
  <c r="CG112" i="1"/>
  <c r="CF112" i="1"/>
  <c r="CB112" i="1"/>
  <c r="CA112" i="1"/>
  <c r="BW112" i="1"/>
  <c r="BV112" i="1"/>
  <c r="BR112" i="1"/>
  <c r="BQ112" i="1"/>
  <c r="BM112" i="1"/>
  <c r="BL112" i="1"/>
  <c r="BH112" i="1"/>
  <c r="BG112" i="1"/>
  <c r="BC112" i="1"/>
  <c r="BB112" i="1"/>
  <c r="AX112" i="1"/>
  <c r="AW112" i="1"/>
  <c r="AS112" i="1"/>
  <c r="AR112" i="1"/>
  <c r="AN112" i="1"/>
  <c r="AM112" i="1"/>
  <c r="AI112" i="1"/>
  <c r="AH112" i="1"/>
  <c r="AD112" i="1"/>
  <c r="AC112" i="1"/>
  <c r="Y112" i="1"/>
  <c r="X112" i="1"/>
  <c r="V112" i="1"/>
  <c r="DO112" i="1" s="1"/>
  <c r="U112" i="1"/>
  <c r="T112" i="1"/>
  <c r="S112" i="1"/>
  <c r="R112" i="1"/>
  <c r="Q112" i="1"/>
  <c r="P112" i="1"/>
  <c r="O112" i="1"/>
  <c r="N112" i="1"/>
  <c r="M112" i="1"/>
  <c r="I112" i="1"/>
  <c r="H112" i="1"/>
  <c r="F112" i="1"/>
  <c r="EM119" i="1"/>
  <c r="EL119" i="1"/>
  <c r="EK119" i="1"/>
  <c r="EJ119" i="1"/>
  <c r="EI119" i="1"/>
  <c r="EH119" i="1"/>
  <c r="EG119" i="1"/>
  <c r="EF119" i="1"/>
  <c r="EE119" i="1"/>
  <c r="ED119" i="1"/>
  <c r="DQ119" i="1"/>
  <c r="DK119" i="1"/>
  <c r="DJ119" i="1"/>
  <c r="DF119" i="1"/>
  <c r="DE119" i="1"/>
  <c r="DA119" i="1"/>
  <c r="CZ119" i="1"/>
  <c r="CV119" i="1"/>
  <c r="CU119" i="1"/>
  <c r="CQ119" i="1"/>
  <c r="CP119" i="1"/>
  <c r="CK119" i="1"/>
  <c r="CG119" i="1"/>
  <c r="CF119" i="1"/>
  <c r="CB119" i="1"/>
  <c r="CA119" i="1"/>
  <c r="BW119" i="1"/>
  <c r="BV119" i="1"/>
  <c r="BR119" i="1"/>
  <c r="BQ119" i="1"/>
  <c r="BM119" i="1"/>
  <c r="BL119" i="1"/>
  <c r="BH119" i="1"/>
  <c r="BG119" i="1"/>
  <c r="BC119" i="1"/>
  <c r="BB119" i="1"/>
  <c r="AX119" i="1"/>
  <c r="AW119" i="1"/>
  <c r="AS119" i="1"/>
  <c r="AR119" i="1"/>
  <c r="AN119" i="1"/>
  <c r="AM119" i="1"/>
  <c r="AI119" i="1"/>
  <c r="AH119" i="1"/>
  <c r="AD119" i="1"/>
  <c r="AC119" i="1"/>
  <c r="Y119" i="1"/>
  <c r="X119" i="1"/>
  <c r="V119" i="1"/>
  <c r="DO119" i="1" s="1"/>
  <c r="U119" i="1"/>
  <c r="T119" i="1"/>
  <c r="S119" i="1"/>
  <c r="R119" i="1"/>
  <c r="Q119" i="1"/>
  <c r="P119" i="1"/>
  <c r="O119" i="1"/>
  <c r="N119" i="1"/>
  <c r="M119" i="1"/>
  <c r="I119" i="1"/>
  <c r="H119" i="1"/>
  <c r="F119" i="1"/>
  <c r="EM115" i="1"/>
  <c r="EL115" i="1"/>
  <c r="EK115" i="1"/>
  <c r="EJ115" i="1"/>
  <c r="EI115" i="1"/>
  <c r="EH115" i="1"/>
  <c r="EG115" i="1"/>
  <c r="EF115" i="1"/>
  <c r="EE115" i="1"/>
  <c r="ED115" i="1"/>
  <c r="DQ115" i="1"/>
  <c r="DK115" i="1"/>
  <c r="DJ115" i="1"/>
  <c r="DF115" i="1"/>
  <c r="DE115" i="1"/>
  <c r="DA115" i="1"/>
  <c r="CZ115" i="1"/>
  <c r="CV115" i="1"/>
  <c r="CU115" i="1"/>
  <c r="CQ115" i="1"/>
  <c r="CP115" i="1"/>
  <c r="CK115" i="1"/>
  <c r="CG115" i="1"/>
  <c r="CF115" i="1"/>
  <c r="CB115" i="1"/>
  <c r="CA115" i="1"/>
  <c r="BW115" i="1"/>
  <c r="BV115" i="1"/>
  <c r="BR115" i="1"/>
  <c r="BQ115" i="1"/>
  <c r="BM115" i="1"/>
  <c r="BL115" i="1"/>
  <c r="BH115" i="1"/>
  <c r="BG115" i="1"/>
  <c r="BC115" i="1"/>
  <c r="BB115" i="1"/>
  <c r="AX115" i="1"/>
  <c r="AW115" i="1"/>
  <c r="AS115" i="1"/>
  <c r="AR115" i="1"/>
  <c r="AN115" i="1"/>
  <c r="AM115" i="1"/>
  <c r="AI115" i="1"/>
  <c r="AH115" i="1"/>
  <c r="AD115" i="1"/>
  <c r="AC115" i="1"/>
  <c r="Y115" i="1"/>
  <c r="X115" i="1"/>
  <c r="V115" i="1"/>
  <c r="DO115" i="1" s="1"/>
  <c r="U115" i="1"/>
  <c r="T115" i="1"/>
  <c r="S115" i="1"/>
  <c r="R115" i="1"/>
  <c r="Q115" i="1"/>
  <c r="P115" i="1"/>
  <c r="O115" i="1"/>
  <c r="N115" i="1"/>
  <c r="M115" i="1"/>
  <c r="I115" i="1"/>
  <c r="H115" i="1"/>
  <c r="F115" i="1"/>
  <c r="EM118" i="1"/>
  <c r="EL118" i="1"/>
  <c r="EK118" i="1"/>
  <c r="EJ118" i="1"/>
  <c r="EI118" i="1"/>
  <c r="EH118" i="1"/>
  <c r="EG118" i="1"/>
  <c r="EF118" i="1"/>
  <c r="EE118" i="1"/>
  <c r="ED118" i="1"/>
  <c r="DQ118" i="1"/>
  <c r="DK118" i="1"/>
  <c r="DJ118" i="1"/>
  <c r="DF118" i="1"/>
  <c r="DE118" i="1"/>
  <c r="DA118" i="1"/>
  <c r="CZ118" i="1"/>
  <c r="CV118" i="1"/>
  <c r="CU118" i="1"/>
  <c r="CQ118" i="1"/>
  <c r="CP118" i="1"/>
  <c r="CK118" i="1"/>
  <c r="CG118" i="1"/>
  <c r="CF118" i="1"/>
  <c r="CB118" i="1"/>
  <c r="CA118" i="1"/>
  <c r="BW118" i="1"/>
  <c r="BV118" i="1"/>
  <c r="BR118" i="1"/>
  <c r="BQ118" i="1"/>
  <c r="BM118" i="1"/>
  <c r="BL118" i="1"/>
  <c r="BH118" i="1"/>
  <c r="BG118" i="1"/>
  <c r="BC118" i="1"/>
  <c r="BB118" i="1"/>
  <c r="AX118" i="1"/>
  <c r="AW118" i="1"/>
  <c r="AS118" i="1"/>
  <c r="AR118" i="1"/>
  <c r="AN118" i="1"/>
  <c r="AM118" i="1"/>
  <c r="AI118" i="1"/>
  <c r="AH118" i="1"/>
  <c r="AD118" i="1"/>
  <c r="AC118" i="1"/>
  <c r="Y118" i="1"/>
  <c r="X118" i="1"/>
  <c r="V118" i="1"/>
  <c r="DO118" i="1" s="1"/>
  <c r="U118" i="1"/>
  <c r="T118" i="1"/>
  <c r="S118" i="1"/>
  <c r="R118" i="1"/>
  <c r="Q118" i="1"/>
  <c r="P118" i="1"/>
  <c r="O118" i="1"/>
  <c r="N118" i="1"/>
  <c r="M118" i="1"/>
  <c r="I118" i="1"/>
  <c r="H118" i="1"/>
  <c r="F118" i="1"/>
  <c r="EM111" i="1"/>
  <c r="EL111" i="1"/>
  <c r="EK111" i="1"/>
  <c r="EJ111" i="1"/>
  <c r="EI111" i="1"/>
  <c r="EH111" i="1"/>
  <c r="EG111" i="1"/>
  <c r="EF111" i="1"/>
  <c r="EE111" i="1"/>
  <c r="ED111" i="1"/>
  <c r="DQ111" i="1"/>
  <c r="DK111" i="1"/>
  <c r="DJ111" i="1"/>
  <c r="DF111" i="1"/>
  <c r="DE111" i="1"/>
  <c r="DA111" i="1"/>
  <c r="CZ111" i="1"/>
  <c r="CV111" i="1"/>
  <c r="CU111" i="1"/>
  <c r="CQ111" i="1"/>
  <c r="CP111" i="1"/>
  <c r="CK111" i="1"/>
  <c r="CG111" i="1"/>
  <c r="CF111" i="1"/>
  <c r="CB111" i="1"/>
  <c r="CA111" i="1"/>
  <c r="BW111" i="1"/>
  <c r="BV111" i="1"/>
  <c r="BR111" i="1"/>
  <c r="BQ111" i="1"/>
  <c r="BM111" i="1"/>
  <c r="BL111" i="1"/>
  <c r="BH111" i="1"/>
  <c r="BG111" i="1"/>
  <c r="BC111" i="1"/>
  <c r="BB111" i="1"/>
  <c r="AX111" i="1"/>
  <c r="AW111" i="1"/>
  <c r="AS111" i="1"/>
  <c r="AR111" i="1"/>
  <c r="AN111" i="1"/>
  <c r="AM111" i="1"/>
  <c r="AI111" i="1"/>
  <c r="AH111" i="1"/>
  <c r="AD111" i="1"/>
  <c r="AC111" i="1"/>
  <c r="Y111" i="1"/>
  <c r="X111" i="1"/>
  <c r="V111" i="1"/>
  <c r="DO111" i="1" s="1"/>
  <c r="U111" i="1"/>
  <c r="T111" i="1"/>
  <c r="S111" i="1"/>
  <c r="R111" i="1"/>
  <c r="Q111" i="1"/>
  <c r="P111" i="1"/>
  <c r="O111" i="1"/>
  <c r="N111" i="1"/>
  <c r="M111" i="1"/>
  <c r="I111" i="1"/>
  <c r="H111" i="1"/>
  <c r="F111" i="1"/>
  <c r="EM113" i="1"/>
  <c r="EL113" i="1"/>
  <c r="EK113" i="1"/>
  <c r="EJ113" i="1"/>
  <c r="EI113" i="1"/>
  <c r="EH113" i="1"/>
  <c r="EG113" i="1"/>
  <c r="EF113" i="1"/>
  <c r="EE113" i="1"/>
  <c r="ED113" i="1"/>
  <c r="DQ113" i="1"/>
  <c r="DK113" i="1"/>
  <c r="DJ113" i="1"/>
  <c r="DF113" i="1"/>
  <c r="DE113" i="1"/>
  <c r="DA113" i="1"/>
  <c r="CZ113" i="1"/>
  <c r="CV113" i="1"/>
  <c r="CU113" i="1"/>
  <c r="CQ113" i="1"/>
  <c r="CP113" i="1"/>
  <c r="CK113" i="1"/>
  <c r="CG113" i="1"/>
  <c r="CF113" i="1"/>
  <c r="CB113" i="1"/>
  <c r="CA113" i="1"/>
  <c r="BW113" i="1"/>
  <c r="BV113" i="1"/>
  <c r="BR113" i="1"/>
  <c r="BQ113" i="1"/>
  <c r="BM113" i="1"/>
  <c r="BL113" i="1"/>
  <c r="BH113" i="1"/>
  <c r="BG113" i="1"/>
  <c r="BC113" i="1"/>
  <c r="BB113" i="1"/>
  <c r="AX113" i="1"/>
  <c r="AW113" i="1"/>
  <c r="AS113" i="1"/>
  <c r="AR113" i="1"/>
  <c r="AN113" i="1"/>
  <c r="AM113" i="1"/>
  <c r="AI113" i="1"/>
  <c r="AH113" i="1"/>
  <c r="AD113" i="1"/>
  <c r="AC113" i="1"/>
  <c r="Y113" i="1"/>
  <c r="X113" i="1"/>
  <c r="V113" i="1"/>
  <c r="DO113" i="1" s="1"/>
  <c r="U113" i="1"/>
  <c r="T113" i="1"/>
  <c r="S113" i="1"/>
  <c r="R113" i="1"/>
  <c r="Q113" i="1"/>
  <c r="P113" i="1"/>
  <c r="O113" i="1"/>
  <c r="N113" i="1"/>
  <c r="M113" i="1"/>
  <c r="I113" i="1"/>
  <c r="H113" i="1"/>
  <c r="F113" i="1"/>
  <c r="EM110" i="1"/>
  <c r="EL110" i="1"/>
  <c r="EK110" i="1"/>
  <c r="EJ110" i="1"/>
  <c r="EI110" i="1"/>
  <c r="EH110" i="1"/>
  <c r="EG110" i="1"/>
  <c r="EF110" i="1"/>
  <c r="EE110" i="1"/>
  <c r="ED110" i="1"/>
  <c r="DQ110" i="1"/>
  <c r="DK110" i="1"/>
  <c r="DJ110" i="1"/>
  <c r="DF110" i="1"/>
  <c r="DE110" i="1"/>
  <c r="DA110" i="1"/>
  <c r="CZ110" i="1"/>
  <c r="CV110" i="1"/>
  <c r="CU110" i="1"/>
  <c r="CQ110" i="1"/>
  <c r="CP110" i="1"/>
  <c r="CK110" i="1"/>
  <c r="CG110" i="1"/>
  <c r="CF110" i="1"/>
  <c r="CB110" i="1"/>
  <c r="CA110" i="1"/>
  <c r="BW110" i="1"/>
  <c r="BV110" i="1"/>
  <c r="BR110" i="1"/>
  <c r="BQ110" i="1"/>
  <c r="BM110" i="1"/>
  <c r="BL110" i="1"/>
  <c r="BH110" i="1"/>
  <c r="BG110" i="1"/>
  <c r="BC110" i="1"/>
  <c r="BB110" i="1"/>
  <c r="AX110" i="1"/>
  <c r="AW110" i="1"/>
  <c r="AS110" i="1"/>
  <c r="AR110" i="1"/>
  <c r="AN110" i="1"/>
  <c r="AM110" i="1"/>
  <c r="AI110" i="1"/>
  <c r="AH110" i="1"/>
  <c r="AD110" i="1"/>
  <c r="AC110" i="1"/>
  <c r="Y110" i="1"/>
  <c r="X110" i="1"/>
  <c r="V110" i="1"/>
  <c r="DO110" i="1" s="1"/>
  <c r="U110" i="1"/>
  <c r="T110" i="1"/>
  <c r="S110" i="1"/>
  <c r="R110" i="1"/>
  <c r="Q110" i="1"/>
  <c r="P110" i="1"/>
  <c r="O110" i="1"/>
  <c r="N110" i="1"/>
  <c r="M110" i="1"/>
  <c r="I110" i="1"/>
  <c r="H110" i="1"/>
  <c r="F110" i="1"/>
  <c r="EM109" i="1"/>
  <c r="EL109" i="1"/>
  <c r="EK109" i="1"/>
  <c r="EJ109" i="1"/>
  <c r="EI109" i="1"/>
  <c r="EH109" i="1"/>
  <c r="EG109" i="1"/>
  <c r="EF109" i="1"/>
  <c r="EE109" i="1"/>
  <c r="ED109" i="1"/>
  <c r="DQ109" i="1"/>
  <c r="DK109" i="1"/>
  <c r="DJ109" i="1"/>
  <c r="DF109" i="1"/>
  <c r="DE109" i="1"/>
  <c r="DA109" i="1"/>
  <c r="CZ109" i="1"/>
  <c r="CV109" i="1"/>
  <c r="CU109" i="1"/>
  <c r="CQ109" i="1"/>
  <c r="CP109" i="1"/>
  <c r="CK109" i="1"/>
  <c r="CG109" i="1"/>
  <c r="CF109" i="1"/>
  <c r="CB109" i="1"/>
  <c r="CA109" i="1"/>
  <c r="BW109" i="1"/>
  <c r="BV109" i="1"/>
  <c r="BR109" i="1"/>
  <c r="BQ109" i="1"/>
  <c r="BM109" i="1"/>
  <c r="BL109" i="1"/>
  <c r="BH109" i="1"/>
  <c r="BG109" i="1"/>
  <c r="BC109" i="1"/>
  <c r="BB109" i="1"/>
  <c r="AX109" i="1"/>
  <c r="AW109" i="1"/>
  <c r="AS109" i="1"/>
  <c r="AR109" i="1"/>
  <c r="AN109" i="1"/>
  <c r="AM109" i="1"/>
  <c r="AI109" i="1"/>
  <c r="AH109" i="1"/>
  <c r="AD109" i="1"/>
  <c r="AC109" i="1"/>
  <c r="Y109" i="1"/>
  <c r="X109" i="1"/>
  <c r="V109" i="1"/>
  <c r="DO109" i="1" s="1"/>
  <c r="U109" i="1"/>
  <c r="T109" i="1"/>
  <c r="S109" i="1"/>
  <c r="R109" i="1"/>
  <c r="Q109" i="1"/>
  <c r="P109" i="1"/>
  <c r="O109" i="1"/>
  <c r="N109" i="1"/>
  <c r="M109" i="1"/>
  <c r="I109" i="1"/>
  <c r="H109" i="1"/>
  <c r="F109" i="1"/>
  <c r="EM100" i="1"/>
  <c r="EL100" i="1"/>
  <c r="EK100" i="1"/>
  <c r="EJ100" i="1"/>
  <c r="EI100" i="1"/>
  <c r="EH100" i="1"/>
  <c r="EG100" i="1"/>
  <c r="EF100" i="1"/>
  <c r="EE100" i="1"/>
  <c r="ED100" i="1"/>
  <c r="DQ100" i="1"/>
  <c r="DK100" i="1"/>
  <c r="DJ100" i="1"/>
  <c r="DF100" i="1"/>
  <c r="DE100" i="1"/>
  <c r="DA100" i="1"/>
  <c r="CZ100" i="1"/>
  <c r="CV100" i="1"/>
  <c r="CU100" i="1"/>
  <c r="CQ100" i="1"/>
  <c r="CP100" i="1"/>
  <c r="CK100" i="1"/>
  <c r="CG100" i="1"/>
  <c r="CF100" i="1"/>
  <c r="CB100" i="1"/>
  <c r="CA100" i="1"/>
  <c r="BW100" i="1"/>
  <c r="BV100" i="1"/>
  <c r="BR100" i="1"/>
  <c r="BQ100" i="1"/>
  <c r="BM100" i="1"/>
  <c r="BL100" i="1"/>
  <c r="BH100" i="1"/>
  <c r="BG100" i="1"/>
  <c r="BC100" i="1"/>
  <c r="BB100" i="1"/>
  <c r="AX100" i="1"/>
  <c r="AW100" i="1"/>
  <c r="AS100" i="1"/>
  <c r="AR100" i="1"/>
  <c r="AN100" i="1"/>
  <c r="AM100" i="1"/>
  <c r="AI100" i="1"/>
  <c r="AH100" i="1"/>
  <c r="AD100" i="1"/>
  <c r="AC100" i="1"/>
  <c r="Y100" i="1"/>
  <c r="X100" i="1"/>
  <c r="V100" i="1"/>
  <c r="DO100" i="1" s="1"/>
  <c r="U100" i="1"/>
  <c r="T100" i="1"/>
  <c r="S100" i="1"/>
  <c r="R100" i="1"/>
  <c r="Q100" i="1"/>
  <c r="P100" i="1"/>
  <c r="O100" i="1"/>
  <c r="N100" i="1"/>
  <c r="M100" i="1"/>
  <c r="I100" i="1"/>
  <c r="H100" i="1"/>
  <c r="F100" i="1"/>
  <c r="EM103" i="1"/>
  <c r="EL103" i="1"/>
  <c r="EK103" i="1"/>
  <c r="EJ103" i="1"/>
  <c r="EI103" i="1"/>
  <c r="EH103" i="1"/>
  <c r="EG103" i="1"/>
  <c r="EF103" i="1"/>
  <c r="EE103" i="1"/>
  <c r="ED103" i="1"/>
  <c r="DQ103" i="1"/>
  <c r="DK103" i="1"/>
  <c r="DJ103" i="1"/>
  <c r="DF103" i="1"/>
  <c r="DE103" i="1"/>
  <c r="DA103" i="1"/>
  <c r="CZ103" i="1"/>
  <c r="CV103" i="1"/>
  <c r="CU103" i="1"/>
  <c r="CQ103" i="1"/>
  <c r="CP103" i="1"/>
  <c r="CK103" i="1"/>
  <c r="CG103" i="1"/>
  <c r="CF103" i="1"/>
  <c r="CB103" i="1"/>
  <c r="CA103" i="1"/>
  <c r="BW103" i="1"/>
  <c r="BV103" i="1"/>
  <c r="BR103" i="1"/>
  <c r="BQ103" i="1"/>
  <c r="BM103" i="1"/>
  <c r="BL103" i="1"/>
  <c r="BH103" i="1"/>
  <c r="BG103" i="1"/>
  <c r="BC103" i="1"/>
  <c r="BB103" i="1"/>
  <c r="AX103" i="1"/>
  <c r="AW103" i="1"/>
  <c r="AS103" i="1"/>
  <c r="AR103" i="1"/>
  <c r="AN103" i="1"/>
  <c r="AM103" i="1"/>
  <c r="AI103" i="1"/>
  <c r="AH103" i="1"/>
  <c r="AD103" i="1"/>
  <c r="AC103" i="1"/>
  <c r="Y103" i="1"/>
  <c r="X103" i="1"/>
  <c r="V103" i="1"/>
  <c r="DO103" i="1" s="1"/>
  <c r="U103" i="1"/>
  <c r="T103" i="1"/>
  <c r="S103" i="1"/>
  <c r="R103" i="1"/>
  <c r="Q103" i="1"/>
  <c r="P103" i="1"/>
  <c r="O103" i="1"/>
  <c r="N103" i="1"/>
  <c r="M103" i="1"/>
  <c r="I103" i="1"/>
  <c r="H103" i="1"/>
  <c r="F103" i="1"/>
  <c r="EM108" i="1"/>
  <c r="EL108" i="1"/>
  <c r="EK108" i="1"/>
  <c r="EJ108" i="1"/>
  <c r="EI108" i="1"/>
  <c r="EH108" i="1"/>
  <c r="EG108" i="1"/>
  <c r="EF108" i="1"/>
  <c r="EE108" i="1"/>
  <c r="ED108" i="1"/>
  <c r="DQ108" i="1"/>
  <c r="DK108" i="1"/>
  <c r="DJ108" i="1"/>
  <c r="DF108" i="1"/>
  <c r="DE108" i="1"/>
  <c r="DA108" i="1"/>
  <c r="CZ108" i="1"/>
  <c r="CV108" i="1"/>
  <c r="CU108" i="1"/>
  <c r="CQ108" i="1"/>
  <c r="CP108" i="1"/>
  <c r="CK108" i="1"/>
  <c r="CG108" i="1"/>
  <c r="CF108" i="1"/>
  <c r="CB108" i="1"/>
  <c r="CA108" i="1"/>
  <c r="BW108" i="1"/>
  <c r="BV108" i="1"/>
  <c r="BR108" i="1"/>
  <c r="BQ108" i="1"/>
  <c r="BM108" i="1"/>
  <c r="BL108" i="1"/>
  <c r="BH108" i="1"/>
  <c r="BG108" i="1"/>
  <c r="BC108" i="1"/>
  <c r="BB108" i="1"/>
  <c r="AX108" i="1"/>
  <c r="AW108" i="1"/>
  <c r="AS108" i="1"/>
  <c r="AR108" i="1"/>
  <c r="AN108" i="1"/>
  <c r="AM108" i="1"/>
  <c r="AI108" i="1"/>
  <c r="AH108" i="1"/>
  <c r="AD108" i="1"/>
  <c r="AC108" i="1"/>
  <c r="Y108" i="1"/>
  <c r="X108" i="1"/>
  <c r="V108" i="1"/>
  <c r="DO108" i="1" s="1"/>
  <c r="U108" i="1"/>
  <c r="T108" i="1"/>
  <c r="S108" i="1"/>
  <c r="R108" i="1"/>
  <c r="Q108" i="1"/>
  <c r="P108" i="1"/>
  <c r="O108" i="1"/>
  <c r="N108" i="1"/>
  <c r="M108" i="1"/>
  <c r="I108" i="1"/>
  <c r="H108" i="1"/>
  <c r="F108" i="1"/>
  <c r="EM104" i="1"/>
  <c r="EL104" i="1"/>
  <c r="EK104" i="1"/>
  <c r="EJ104" i="1"/>
  <c r="EI104" i="1"/>
  <c r="EH104" i="1"/>
  <c r="EG104" i="1"/>
  <c r="EF104" i="1"/>
  <c r="EE104" i="1"/>
  <c r="ED104" i="1"/>
  <c r="DQ104" i="1"/>
  <c r="DK104" i="1"/>
  <c r="DJ104" i="1"/>
  <c r="DF104" i="1"/>
  <c r="DE104" i="1"/>
  <c r="DA104" i="1"/>
  <c r="CZ104" i="1"/>
  <c r="CV104" i="1"/>
  <c r="CU104" i="1"/>
  <c r="CQ104" i="1"/>
  <c r="CP104" i="1"/>
  <c r="CK104" i="1"/>
  <c r="CG104" i="1"/>
  <c r="CF104" i="1"/>
  <c r="CB104" i="1"/>
  <c r="CA104" i="1"/>
  <c r="BW104" i="1"/>
  <c r="BV104" i="1"/>
  <c r="BR104" i="1"/>
  <c r="BQ104" i="1"/>
  <c r="BM104" i="1"/>
  <c r="BL104" i="1"/>
  <c r="BH104" i="1"/>
  <c r="BG104" i="1"/>
  <c r="BC104" i="1"/>
  <c r="BB104" i="1"/>
  <c r="AX104" i="1"/>
  <c r="AW104" i="1"/>
  <c r="AS104" i="1"/>
  <c r="AR104" i="1"/>
  <c r="AN104" i="1"/>
  <c r="AM104" i="1"/>
  <c r="AI104" i="1"/>
  <c r="AH104" i="1"/>
  <c r="AD104" i="1"/>
  <c r="AC104" i="1"/>
  <c r="Y104" i="1"/>
  <c r="X104" i="1"/>
  <c r="V104" i="1"/>
  <c r="DO104" i="1" s="1"/>
  <c r="U104" i="1"/>
  <c r="T104" i="1"/>
  <c r="S104" i="1"/>
  <c r="R104" i="1"/>
  <c r="Q104" i="1"/>
  <c r="P104" i="1"/>
  <c r="O104" i="1"/>
  <c r="N104" i="1"/>
  <c r="M104" i="1"/>
  <c r="I104" i="1"/>
  <c r="H104" i="1"/>
  <c r="F104" i="1"/>
  <c r="EM99" i="1"/>
  <c r="EL99" i="1"/>
  <c r="EK99" i="1"/>
  <c r="EJ99" i="1"/>
  <c r="EI99" i="1"/>
  <c r="EH99" i="1"/>
  <c r="EG99" i="1"/>
  <c r="EF99" i="1"/>
  <c r="EE99" i="1"/>
  <c r="ED99" i="1"/>
  <c r="DQ99" i="1"/>
  <c r="DK99" i="1"/>
  <c r="DJ99" i="1"/>
  <c r="DF99" i="1"/>
  <c r="DE99" i="1"/>
  <c r="DA99" i="1"/>
  <c r="CZ99" i="1"/>
  <c r="CV99" i="1"/>
  <c r="CU99" i="1"/>
  <c r="CQ99" i="1"/>
  <c r="CP99" i="1"/>
  <c r="CK99" i="1"/>
  <c r="CG99" i="1"/>
  <c r="CF99" i="1"/>
  <c r="CB99" i="1"/>
  <c r="CA99" i="1"/>
  <c r="BW99" i="1"/>
  <c r="BV99" i="1"/>
  <c r="BR99" i="1"/>
  <c r="BQ99" i="1"/>
  <c r="BM99" i="1"/>
  <c r="BL99" i="1"/>
  <c r="BH99" i="1"/>
  <c r="BG99" i="1"/>
  <c r="BC99" i="1"/>
  <c r="BB99" i="1"/>
  <c r="AX99" i="1"/>
  <c r="AW99" i="1"/>
  <c r="AS99" i="1"/>
  <c r="AR99" i="1"/>
  <c r="AN99" i="1"/>
  <c r="AM99" i="1"/>
  <c r="AI99" i="1"/>
  <c r="AH99" i="1"/>
  <c r="AD99" i="1"/>
  <c r="AC99" i="1"/>
  <c r="Y99" i="1"/>
  <c r="X99" i="1"/>
  <c r="V99" i="1"/>
  <c r="DO99" i="1" s="1"/>
  <c r="U99" i="1"/>
  <c r="T99" i="1"/>
  <c r="S99" i="1"/>
  <c r="R99" i="1"/>
  <c r="Q99" i="1"/>
  <c r="P99" i="1"/>
  <c r="O99" i="1"/>
  <c r="N99" i="1"/>
  <c r="M99" i="1"/>
  <c r="I99" i="1"/>
  <c r="H99" i="1"/>
  <c r="F99" i="1"/>
  <c r="EM105" i="1"/>
  <c r="EL105" i="1"/>
  <c r="EK105" i="1"/>
  <c r="EJ105" i="1"/>
  <c r="EI105" i="1"/>
  <c r="EH105" i="1"/>
  <c r="EG105" i="1"/>
  <c r="EF105" i="1"/>
  <c r="EE105" i="1"/>
  <c r="ED105" i="1"/>
  <c r="DQ105" i="1"/>
  <c r="DK105" i="1"/>
  <c r="DJ105" i="1"/>
  <c r="DF105" i="1"/>
  <c r="DE105" i="1"/>
  <c r="DA105" i="1"/>
  <c r="CZ105" i="1"/>
  <c r="CV105" i="1"/>
  <c r="CU105" i="1"/>
  <c r="CQ105" i="1"/>
  <c r="CP105" i="1"/>
  <c r="CK105" i="1"/>
  <c r="CG105" i="1"/>
  <c r="CF105" i="1"/>
  <c r="CB105" i="1"/>
  <c r="CA105" i="1"/>
  <c r="BW105" i="1"/>
  <c r="BV105" i="1"/>
  <c r="BR105" i="1"/>
  <c r="BQ105" i="1"/>
  <c r="BM105" i="1"/>
  <c r="BL105" i="1"/>
  <c r="BH105" i="1"/>
  <c r="BG105" i="1"/>
  <c r="BC105" i="1"/>
  <c r="BB105" i="1"/>
  <c r="AX105" i="1"/>
  <c r="AW105" i="1"/>
  <c r="AS105" i="1"/>
  <c r="AR105" i="1"/>
  <c r="AN105" i="1"/>
  <c r="AM105" i="1"/>
  <c r="AI105" i="1"/>
  <c r="AH105" i="1"/>
  <c r="AD105" i="1"/>
  <c r="AC105" i="1"/>
  <c r="Y105" i="1"/>
  <c r="X105" i="1"/>
  <c r="V105" i="1"/>
  <c r="DO105" i="1" s="1"/>
  <c r="U105" i="1"/>
  <c r="T105" i="1"/>
  <c r="S105" i="1"/>
  <c r="R105" i="1"/>
  <c r="Q105" i="1"/>
  <c r="P105" i="1"/>
  <c r="O105" i="1"/>
  <c r="N105" i="1"/>
  <c r="M105" i="1"/>
  <c r="I105" i="1"/>
  <c r="H105" i="1"/>
  <c r="F105" i="1"/>
  <c r="EM107" i="1"/>
  <c r="EL107" i="1"/>
  <c r="EK107" i="1"/>
  <c r="EJ107" i="1"/>
  <c r="EI107" i="1"/>
  <c r="EH107" i="1"/>
  <c r="EG107" i="1"/>
  <c r="EF107" i="1"/>
  <c r="EE107" i="1"/>
  <c r="ED107" i="1"/>
  <c r="DQ107" i="1"/>
  <c r="DK107" i="1"/>
  <c r="DJ107" i="1"/>
  <c r="DF107" i="1"/>
  <c r="DE107" i="1"/>
  <c r="DA107" i="1"/>
  <c r="CZ107" i="1"/>
  <c r="CV107" i="1"/>
  <c r="CU107" i="1"/>
  <c r="CQ107" i="1"/>
  <c r="CP107" i="1"/>
  <c r="CK107" i="1"/>
  <c r="CG107" i="1"/>
  <c r="CF107" i="1"/>
  <c r="CB107" i="1"/>
  <c r="CA107" i="1"/>
  <c r="BW107" i="1"/>
  <c r="BV107" i="1"/>
  <c r="BR107" i="1"/>
  <c r="BQ107" i="1"/>
  <c r="BM107" i="1"/>
  <c r="BL107" i="1"/>
  <c r="BH107" i="1"/>
  <c r="BG107" i="1"/>
  <c r="BC107" i="1"/>
  <c r="BB107" i="1"/>
  <c r="AX107" i="1"/>
  <c r="AW107" i="1"/>
  <c r="AS107" i="1"/>
  <c r="AR107" i="1"/>
  <c r="AN107" i="1"/>
  <c r="AM107" i="1"/>
  <c r="AI107" i="1"/>
  <c r="AH107" i="1"/>
  <c r="AD107" i="1"/>
  <c r="AC107" i="1"/>
  <c r="Y107" i="1"/>
  <c r="X107" i="1"/>
  <c r="V107" i="1"/>
  <c r="DO107" i="1" s="1"/>
  <c r="U107" i="1"/>
  <c r="T107" i="1"/>
  <c r="S107" i="1"/>
  <c r="R107" i="1"/>
  <c r="Q107" i="1"/>
  <c r="P107" i="1"/>
  <c r="O107" i="1"/>
  <c r="N107" i="1"/>
  <c r="M107" i="1"/>
  <c r="I107" i="1"/>
  <c r="H107" i="1"/>
  <c r="F107" i="1"/>
  <c r="EM106" i="1"/>
  <c r="EL106" i="1"/>
  <c r="EK106" i="1"/>
  <c r="EJ106" i="1"/>
  <c r="EI106" i="1"/>
  <c r="EH106" i="1"/>
  <c r="EG106" i="1"/>
  <c r="EF106" i="1"/>
  <c r="EE106" i="1"/>
  <c r="ED106" i="1"/>
  <c r="DQ106" i="1"/>
  <c r="DK106" i="1"/>
  <c r="DJ106" i="1"/>
  <c r="DF106" i="1"/>
  <c r="DE106" i="1"/>
  <c r="DA106" i="1"/>
  <c r="CZ106" i="1"/>
  <c r="CV106" i="1"/>
  <c r="CU106" i="1"/>
  <c r="CQ106" i="1"/>
  <c r="CP106" i="1"/>
  <c r="CK106" i="1"/>
  <c r="CG106" i="1"/>
  <c r="CF106" i="1"/>
  <c r="CB106" i="1"/>
  <c r="CA106" i="1"/>
  <c r="BW106" i="1"/>
  <c r="BV106" i="1"/>
  <c r="BR106" i="1"/>
  <c r="BQ106" i="1"/>
  <c r="BM106" i="1"/>
  <c r="BL106" i="1"/>
  <c r="BH106" i="1"/>
  <c r="BG106" i="1"/>
  <c r="BC106" i="1"/>
  <c r="BB106" i="1"/>
  <c r="AX106" i="1"/>
  <c r="AW106" i="1"/>
  <c r="AS106" i="1"/>
  <c r="AR106" i="1"/>
  <c r="AN106" i="1"/>
  <c r="AM106" i="1"/>
  <c r="AI106" i="1"/>
  <c r="AH106" i="1"/>
  <c r="AD106" i="1"/>
  <c r="AC106" i="1"/>
  <c r="Y106" i="1"/>
  <c r="X106" i="1"/>
  <c r="V106" i="1"/>
  <c r="DO106" i="1" s="1"/>
  <c r="U106" i="1"/>
  <c r="T106" i="1"/>
  <c r="S106" i="1"/>
  <c r="R106" i="1"/>
  <c r="Q106" i="1"/>
  <c r="P106" i="1"/>
  <c r="O106" i="1"/>
  <c r="N106" i="1"/>
  <c r="M106" i="1"/>
  <c r="I106" i="1"/>
  <c r="H106" i="1"/>
  <c r="F106" i="1"/>
  <c r="EM102" i="1"/>
  <c r="EL102" i="1"/>
  <c r="EK102" i="1"/>
  <c r="EJ102" i="1"/>
  <c r="EI102" i="1"/>
  <c r="EH102" i="1"/>
  <c r="EG102" i="1"/>
  <c r="EF102" i="1"/>
  <c r="EE102" i="1"/>
  <c r="ED102" i="1"/>
  <c r="DQ102" i="1"/>
  <c r="DK102" i="1"/>
  <c r="DJ102" i="1"/>
  <c r="DF102" i="1"/>
  <c r="DE102" i="1"/>
  <c r="DA102" i="1"/>
  <c r="CZ102" i="1"/>
  <c r="CV102" i="1"/>
  <c r="CU102" i="1"/>
  <c r="CQ102" i="1"/>
  <c r="CP102" i="1"/>
  <c r="CK102" i="1"/>
  <c r="CG102" i="1"/>
  <c r="CF102" i="1"/>
  <c r="CB102" i="1"/>
  <c r="CA102" i="1"/>
  <c r="BW102" i="1"/>
  <c r="BV102" i="1"/>
  <c r="BR102" i="1"/>
  <c r="BQ102" i="1"/>
  <c r="BM102" i="1"/>
  <c r="BL102" i="1"/>
  <c r="BH102" i="1"/>
  <c r="BG102" i="1"/>
  <c r="BC102" i="1"/>
  <c r="BB102" i="1"/>
  <c r="AX102" i="1"/>
  <c r="AW102" i="1"/>
  <c r="AS102" i="1"/>
  <c r="AR102" i="1"/>
  <c r="AN102" i="1"/>
  <c r="AM102" i="1"/>
  <c r="AI102" i="1"/>
  <c r="AH102" i="1"/>
  <c r="AD102" i="1"/>
  <c r="AC102" i="1"/>
  <c r="Y102" i="1"/>
  <c r="X102" i="1"/>
  <c r="V102" i="1"/>
  <c r="DO102" i="1" s="1"/>
  <c r="U102" i="1"/>
  <c r="T102" i="1"/>
  <c r="S102" i="1"/>
  <c r="R102" i="1"/>
  <c r="Q102" i="1"/>
  <c r="P102" i="1"/>
  <c r="O102" i="1"/>
  <c r="N102" i="1"/>
  <c r="M102" i="1"/>
  <c r="I102" i="1"/>
  <c r="H102" i="1"/>
  <c r="F102" i="1"/>
  <c r="EM101" i="1"/>
  <c r="EL101" i="1"/>
  <c r="EK101" i="1"/>
  <c r="EJ101" i="1"/>
  <c r="EI101" i="1"/>
  <c r="EH101" i="1"/>
  <c r="EG101" i="1"/>
  <c r="EF101" i="1"/>
  <c r="EE101" i="1"/>
  <c r="ED101" i="1"/>
  <c r="DQ101" i="1"/>
  <c r="DK101" i="1"/>
  <c r="DJ101" i="1"/>
  <c r="DF101" i="1"/>
  <c r="DE101" i="1"/>
  <c r="DA101" i="1"/>
  <c r="CZ101" i="1"/>
  <c r="CV101" i="1"/>
  <c r="CU101" i="1"/>
  <c r="CQ101" i="1"/>
  <c r="CP101" i="1"/>
  <c r="CK101" i="1"/>
  <c r="CG101" i="1"/>
  <c r="CF101" i="1"/>
  <c r="CB101" i="1"/>
  <c r="CA101" i="1"/>
  <c r="BW101" i="1"/>
  <c r="BV101" i="1"/>
  <c r="BR101" i="1"/>
  <c r="BQ101" i="1"/>
  <c r="BM101" i="1"/>
  <c r="BL101" i="1"/>
  <c r="BH101" i="1"/>
  <c r="BG101" i="1"/>
  <c r="BC101" i="1"/>
  <c r="BB101" i="1"/>
  <c r="AX101" i="1"/>
  <c r="AW101" i="1"/>
  <c r="AS101" i="1"/>
  <c r="AR101" i="1"/>
  <c r="AN101" i="1"/>
  <c r="AM101" i="1"/>
  <c r="AI101" i="1"/>
  <c r="AH101" i="1"/>
  <c r="AD101" i="1"/>
  <c r="AC101" i="1"/>
  <c r="Y101" i="1"/>
  <c r="X101" i="1"/>
  <c r="V101" i="1"/>
  <c r="DO101" i="1" s="1"/>
  <c r="U101" i="1"/>
  <c r="T101" i="1"/>
  <c r="S101" i="1"/>
  <c r="R101" i="1"/>
  <c r="Q101" i="1"/>
  <c r="P101" i="1"/>
  <c r="O101" i="1"/>
  <c r="N101" i="1"/>
  <c r="M101" i="1"/>
  <c r="I101" i="1"/>
  <c r="H101" i="1"/>
  <c r="F101" i="1"/>
  <c r="EM88" i="1"/>
  <c r="EL88" i="1"/>
  <c r="EK88" i="1"/>
  <c r="EJ88" i="1"/>
  <c r="EI88" i="1"/>
  <c r="EH88" i="1"/>
  <c r="EG88" i="1"/>
  <c r="EF88" i="1"/>
  <c r="EE88" i="1"/>
  <c r="ED88" i="1"/>
  <c r="EM87" i="1"/>
  <c r="EL87" i="1"/>
  <c r="EK87" i="1"/>
  <c r="EJ87" i="1"/>
  <c r="EI87" i="1"/>
  <c r="EH87" i="1"/>
  <c r="EG87" i="1"/>
  <c r="EF87" i="1"/>
  <c r="EE87" i="1"/>
  <c r="ED87" i="1"/>
  <c r="EM86" i="1"/>
  <c r="EL86" i="1"/>
  <c r="EK86" i="1"/>
  <c r="EJ86" i="1"/>
  <c r="EI86" i="1"/>
  <c r="EH86" i="1"/>
  <c r="EG86" i="1"/>
  <c r="EF86" i="1"/>
  <c r="EE86" i="1"/>
  <c r="ED86" i="1"/>
  <c r="EM85" i="1"/>
  <c r="EL85" i="1"/>
  <c r="EK85" i="1"/>
  <c r="EJ85" i="1"/>
  <c r="EI85" i="1"/>
  <c r="EH85" i="1"/>
  <c r="EG85" i="1"/>
  <c r="EF85" i="1"/>
  <c r="EE85" i="1"/>
  <c r="EM84" i="1"/>
  <c r="EL84" i="1"/>
  <c r="EK84" i="1"/>
  <c r="EJ84" i="1"/>
  <c r="EI84" i="1"/>
  <c r="EH84" i="1"/>
  <c r="EG84" i="1"/>
  <c r="EF84" i="1"/>
  <c r="EE84" i="1"/>
  <c r="ED84" i="1"/>
  <c r="EM83" i="1"/>
  <c r="EL83" i="1"/>
  <c r="EK83" i="1"/>
  <c r="EJ83" i="1"/>
  <c r="EI83" i="1"/>
  <c r="EH83" i="1"/>
  <c r="EG83" i="1"/>
  <c r="EF83" i="1"/>
  <c r="EE83" i="1"/>
  <c r="ED83" i="1"/>
  <c r="EM82" i="1"/>
  <c r="EL82" i="1"/>
  <c r="EK82" i="1"/>
  <c r="EJ82" i="1"/>
  <c r="EI82" i="1"/>
  <c r="EH82" i="1"/>
  <c r="EG82" i="1"/>
  <c r="EF82" i="1"/>
  <c r="EE82" i="1"/>
  <c r="ED82" i="1"/>
  <c r="EM81" i="1"/>
  <c r="EL81" i="1"/>
  <c r="EK81" i="1"/>
  <c r="EJ81" i="1"/>
  <c r="EI81" i="1"/>
  <c r="EH81" i="1"/>
  <c r="EG81" i="1"/>
  <c r="EF81" i="1"/>
  <c r="EE81" i="1"/>
  <c r="ED81" i="1"/>
  <c r="EM80" i="1"/>
  <c r="EL80" i="1"/>
  <c r="EK80" i="1"/>
  <c r="EJ80" i="1"/>
  <c r="EI80" i="1"/>
  <c r="EH80" i="1"/>
  <c r="EG80" i="1"/>
  <c r="EF80" i="1"/>
  <c r="EE80" i="1"/>
  <c r="ED80" i="1"/>
  <c r="EM79" i="1"/>
  <c r="EL79" i="1"/>
  <c r="EK79" i="1"/>
  <c r="EJ79" i="1"/>
  <c r="EI79" i="1"/>
  <c r="EH79" i="1"/>
  <c r="EG79" i="1"/>
  <c r="EF79" i="1"/>
  <c r="EE79" i="1"/>
  <c r="ED79" i="1"/>
  <c r="EM78" i="1"/>
  <c r="EL78" i="1"/>
  <c r="EK78" i="1"/>
  <c r="EJ78" i="1"/>
  <c r="EI78" i="1"/>
  <c r="EH78" i="1"/>
  <c r="EG78" i="1"/>
  <c r="EF78" i="1"/>
  <c r="EE78" i="1"/>
  <c r="ED78" i="1"/>
  <c r="EM77" i="1"/>
  <c r="EL77" i="1"/>
  <c r="EK77" i="1"/>
  <c r="EJ77" i="1"/>
  <c r="EI77" i="1"/>
  <c r="EH77" i="1"/>
  <c r="EG77" i="1"/>
  <c r="EF77" i="1"/>
  <c r="EE77" i="1"/>
  <c r="ED77" i="1"/>
  <c r="EM57" i="1"/>
  <c r="EL57" i="1"/>
  <c r="EK57" i="1"/>
  <c r="EJ57" i="1"/>
  <c r="EI57" i="1"/>
  <c r="EH57" i="1"/>
  <c r="EG57" i="1"/>
  <c r="EF57" i="1"/>
  <c r="EE57" i="1"/>
  <c r="ED57" i="1"/>
  <c r="EL56" i="1"/>
  <c r="EK56" i="1"/>
  <c r="EJ56" i="1"/>
  <c r="EI56" i="1"/>
  <c r="EH56" i="1"/>
  <c r="EG56" i="1"/>
  <c r="EF56" i="1"/>
  <c r="EE56" i="1"/>
  <c r="ED56" i="1"/>
  <c r="EM54" i="1"/>
  <c r="EL54" i="1"/>
  <c r="EK54" i="1"/>
  <c r="EJ54" i="1"/>
  <c r="EI54" i="1"/>
  <c r="EH54" i="1"/>
  <c r="EG54" i="1"/>
  <c r="EF54" i="1"/>
  <c r="EE54" i="1"/>
  <c r="ED54" i="1"/>
  <c r="EM52" i="1"/>
  <c r="EL52" i="1"/>
  <c r="EK52" i="1"/>
  <c r="EJ52" i="1"/>
  <c r="EI52" i="1"/>
  <c r="EH52" i="1"/>
  <c r="EG52" i="1"/>
  <c r="EF52" i="1"/>
  <c r="EE52" i="1"/>
  <c r="ED52" i="1"/>
  <c r="EM51" i="1"/>
  <c r="EL51" i="1"/>
  <c r="EK51" i="1"/>
  <c r="EJ51" i="1"/>
  <c r="EI51" i="1"/>
  <c r="EH51" i="1"/>
  <c r="EG51" i="1"/>
  <c r="EF51" i="1"/>
  <c r="EE51" i="1"/>
  <c r="ED51" i="1"/>
  <c r="EM53" i="1"/>
  <c r="EL53" i="1"/>
  <c r="EK53" i="1"/>
  <c r="EJ53" i="1"/>
  <c r="EI53" i="1"/>
  <c r="EH53" i="1"/>
  <c r="EG53" i="1"/>
  <c r="EF53" i="1"/>
  <c r="EE53" i="1"/>
  <c r="ED53" i="1"/>
  <c r="EM50" i="1"/>
  <c r="EL50" i="1"/>
  <c r="EK50" i="1"/>
  <c r="EJ50" i="1"/>
  <c r="EI50" i="1"/>
  <c r="EH50" i="1"/>
  <c r="EG50" i="1"/>
  <c r="EF50" i="1"/>
  <c r="EE50" i="1"/>
  <c r="ED50" i="1"/>
  <c r="EM46" i="1"/>
  <c r="EL46" i="1"/>
  <c r="EK46" i="1"/>
  <c r="EJ46" i="1"/>
  <c r="EI46" i="1"/>
  <c r="EH46" i="1"/>
  <c r="EG46" i="1"/>
  <c r="EF46" i="1"/>
  <c r="EE46" i="1"/>
  <c r="ED46" i="1"/>
  <c r="EM49" i="1"/>
  <c r="EL49" i="1"/>
  <c r="EK49" i="1"/>
  <c r="EJ49" i="1"/>
  <c r="EI49" i="1"/>
  <c r="EH49" i="1"/>
  <c r="EG49" i="1"/>
  <c r="EF49" i="1"/>
  <c r="EE49" i="1"/>
  <c r="ED49" i="1"/>
  <c r="EM48" i="1"/>
  <c r="EL48" i="1"/>
  <c r="EK48" i="1"/>
  <c r="EJ48" i="1"/>
  <c r="EI48" i="1"/>
  <c r="EH48" i="1"/>
  <c r="EG48" i="1"/>
  <c r="EF48" i="1"/>
  <c r="EE48" i="1"/>
  <c r="ED48" i="1"/>
  <c r="EM47" i="1"/>
  <c r="EL47" i="1"/>
  <c r="EK47" i="1"/>
  <c r="EJ47" i="1"/>
  <c r="EI47" i="1"/>
  <c r="EH47" i="1"/>
  <c r="EG47" i="1"/>
  <c r="EF47" i="1"/>
  <c r="EE47" i="1"/>
  <c r="ED47" i="1"/>
  <c r="EM41" i="1"/>
  <c r="EL41" i="1"/>
  <c r="EK41" i="1"/>
  <c r="EJ41" i="1"/>
  <c r="EI41" i="1"/>
  <c r="EH41" i="1"/>
  <c r="EG41" i="1"/>
  <c r="EF41" i="1"/>
  <c r="EE41" i="1"/>
  <c r="ED41" i="1"/>
  <c r="EM43" i="1"/>
  <c r="EL43" i="1"/>
  <c r="EK43" i="1"/>
  <c r="EJ43" i="1"/>
  <c r="EI43" i="1"/>
  <c r="EH43" i="1"/>
  <c r="EG43" i="1"/>
  <c r="EF43" i="1"/>
  <c r="EE43" i="1"/>
  <c r="ED43" i="1"/>
  <c r="EM39" i="1"/>
  <c r="EL39" i="1"/>
  <c r="EK39" i="1"/>
  <c r="EJ39" i="1"/>
  <c r="EI39" i="1"/>
  <c r="EH39" i="1"/>
  <c r="EG39" i="1"/>
  <c r="EF39" i="1"/>
  <c r="EE39" i="1"/>
  <c r="ED39" i="1"/>
  <c r="EM40" i="1"/>
  <c r="EL40" i="1"/>
  <c r="EK40" i="1"/>
  <c r="EJ40" i="1"/>
  <c r="EI40" i="1"/>
  <c r="EH40" i="1"/>
  <c r="EG40" i="1"/>
  <c r="EF40" i="1"/>
  <c r="EE40" i="1"/>
  <c r="ED40" i="1"/>
  <c r="EM42" i="1"/>
  <c r="EL42" i="1"/>
  <c r="EK42" i="1"/>
  <c r="EJ42" i="1"/>
  <c r="EI42" i="1"/>
  <c r="EH42" i="1"/>
  <c r="EG42" i="1"/>
  <c r="EF42" i="1"/>
  <c r="EE42" i="1"/>
  <c r="ED42" i="1"/>
  <c r="EM36" i="1"/>
  <c r="EL36" i="1"/>
  <c r="EK36" i="1"/>
  <c r="EJ36" i="1"/>
  <c r="EI36" i="1"/>
  <c r="EH36" i="1"/>
  <c r="EG36" i="1"/>
  <c r="EF36" i="1"/>
  <c r="EE36" i="1"/>
  <c r="ED36" i="1"/>
  <c r="EM37" i="1"/>
  <c r="EL37" i="1"/>
  <c r="EK37" i="1"/>
  <c r="EJ37" i="1"/>
  <c r="EI37" i="1"/>
  <c r="EH37" i="1"/>
  <c r="EG37" i="1"/>
  <c r="EF37" i="1"/>
  <c r="EE37" i="1"/>
  <c r="ED37" i="1"/>
  <c r="EM34" i="1"/>
  <c r="EL34" i="1"/>
  <c r="EK34" i="1"/>
  <c r="EJ34" i="1"/>
  <c r="EI34" i="1"/>
  <c r="EH34" i="1"/>
  <c r="EG34" i="1"/>
  <c r="EF34" i="1"/>
  <c r="EE34" i="1"/>
  <c r="ED34" i="1"/>
  <c r="EM35" i="1"/>
  <c r="EL35" i="1"/>
  <c r="EK35" i="1"/>
  <c r="EJ35" i="1"/>
  <c r="EI35" i="1"/>
  <c r="EH35" i="1"/>
  <c r="EG35" i="1"/>
  <c r="EF35" i="1"/>
  <c r="EE35" i="1"/>
  <c r="ED35" i="1"/>
  <c r="EM33" i="1"/>
  <c r="EL33" i="1"/>
  <c r="EK33" i="1"/>
  <c r="EJ33" i="1"/>
  <c r="EI33" i="1"/>
  <c r="EH33" i="1"/>
  <c r="EG33" i="1"/>
  <c r="EF33" i="1"/>
  <c r="EE33" i="1"/>
  <c r="ED33" i="1"/>
  <c r="EM32" i="1"/>
  <c r="EL32" i="1"/>
  <c r="EK32" i="1"/>
  <c r="EJ32" i="1"/>
  <c r="EI32" i="1"/>
  <c r="EH32" i="1"/>
  <c r="EG32" i="1"/>
  <c r="EF32" i="1"/>
  <c r="EE32" i="1"/>
  <c r="ED32" i="1"/>
  <c r="EM31" i="1"/>
  <c r="EL31" i="1"/>
  <c r="EK31" i="1"/>
  <c r="EJ31" i="1"/>
  <c r="EI31" i="1"/>
  <c r="EH31" i="1"/>
  <c r="EG31" i="1"/>
  <c r="EF31" i="1"/>
  <c r="EE31" i="1"/>
  <c r="ED31" i="1"/>
  <c r="EM30" i="1"/>
  <c r="EL30" i="1"/>
  <c r="EK30" i="1"/>
  <c r="EJ30" i="1"/>
  <c r="EI30" i="1"/>
  <c r="EH30" i="1"/>
  <c r="EG30" i="1"/>
  <c r="EF30" i="1"/>
  <c r="EE30" i="1"/>
  <c r="ED30" i="1"/>
  <c r="EM28" i="1"/>
  <c r="EL28" i="1"/>
  <c r="EK28" i="1"/>
  <c r="EJ28" i="1"/>
  <c r="EI28" i="1"/>
  <c r="EH28" i="1"/>
  <c r="EG28" i="1"/>
  <c r="EF28" i="1"/>
  <c r="EE28" i="1"/>
  <c r="ED28" i="1"/>
  <c r="EM29" i="1"/>
  <c r="EL29" i="1"/>
  <c r="EK29" i="1"/>
  <c r="EJ29" i="1"/>
  <c r="EI29" i="1"/>
  <c r="EH29" i="1"/>
  <c r="EG29" i="1"/>
  <c r="EF29" i="1"/>
  <c r="EE29" i="1"/>
  <c r="ED29" i="1"/>
  <c r="EM27" i="1"/>
  <c r="EL27" i="1"/>
  <c r="EK27" i="1"/>
  <c r="EJ27" i="1"/>
  <c r="EI27" i="1"/>
  <c r="EH27" i="1"/>
  <c r="EG27" i="1"/>
  <c r="EF27" i="1"/>
  <c r="EE27" i="1"/>
  <c r="ED27" i="1"/>
  <c r="EM26" i="1"/>
  <c r="EL26" i="1"/>
  <c r="EK26" i="1"/>
  <c r="EJ26" i="1"/>
  <c r="EI26" i="1"/>
  <c r="EH26" i="1"/>
  <c r="EG26" i="1"/>
  <c r="EF26" i="1"/>
  <c r="EE26" i="1"/>
  <c r="ED26" i="1"/>
  <c r="EM25" i="1"/>
  <c r="EL25" i="1"/>
  <c r="EK25" i="1"/>
  <c r="EJ25" i="1"/>
  <c r="EI25" i="1"/>
  <c r="EH25" i="1"/>
  <c r="EG25" i="1"/>
  <c r="EF25" i="1"/>
  <c r="EE25" i="1"/>
  <c r="ED25" i="1"/>
  <c r="EM21" i="1"/>
  <c r="EL21" i="1"/>
  <c r="EK21" i="1"/>
  <c r="EJ21" i="1"/>
  <c r="EI21" i="1"/>
  <c r="EH21" i="1"/>
  <c r="EG21" i="1"/>
  <c r="EF21" i="1"/>
  <c r="EE21" i="1"/>
  <c r="ED21" i="1"/>
  <c r="EM22" i="1"/>
  <c r="EL22" i="1"/>
  <c r="EK22" i="1"/>
  <c r="EJ22" i="1"/>
  <c r="EI22" i="1"/>
  <c r="EH22" i="1"/>
  <c r="EG22" i="1"/>
  <c r="EF22" i="1"/>
  <c r="EE22" i="1"/>
  <c r="ED22" i="1"/>
  <c r="EM24" i="1"/>
  <c r="EL24" i="1"/>
  <c r="EK24" i="1"/>
  <c r="EJ24" i="1"/>
  <c r="EI24" i="1"/>
  <c r="EH24" i="1"/>
  <c r="EG24" i="1"/>
  <c r="EF24" i="1"/>
  <c r="EE24" i="1"/>
  <c r="ED24" i="1"/>
  <c r="EM23" i="1"/>
  <c r="EL23" i="1"/>
  <c r="EK23" i="1"/>
  <c r="EJ23" i="1"/>
  <c r="EI23" i="1"/>
  <c r="EH23" i="1"/>
  <c r="EG23" i="1"/>
  <c r="EF23" i="1"/>
  <c r="EE23" i="1"/>
  <c r="ED23" i="1"/>
  <c r="EM20" i="1"/>
  <c r="EL20" i="1"/>
  <c r="EK20" i="1"/>
  <c r="EJ20" i="1"/>
  <c r="EI20" i="1"/>
  <c r="EH20" i="1"/>
  <c r="EG20" i="1"/>
  <c r="EF20" i="1"/>
  <c r="EE20" i="1"/>
  <c r="ED20" i="1"/>
  <c r="EM17" i="1"/>
  <c r="EL17" i="1"/>
  <c r="EK17" i="1"/>
  <c r="EJ17" i="1"/>
  <c r="EI17" i="1"/>
  <c r="EH17" i="1"/>
  <c r="EG17" i="1"/>
  <c r="EF17" i="1"/>
  <c r="EE17" i="1"/>
  <c r="ED17" i="1"/>
  <c r="EM19" i="1"/>
  <c r="EL19" i="1"/>
  <c r="EK19" i="1"/>
  <c r="EJ19" i="1"/>
  <c r="EI19" i="1"/>
  <c r="EH19" i="1"/>
  <c r="EG19" i="1"/>
  <c r="EF19" i="1"/>
  <c r="EE19" i="1"/>
  <c r="ED19" i="1"/>
  <c r="EM18" i="1"/>
  <c r="EL18" i="1"/>
  <c r="EK18" i="1"/>
  <c r="EJ18" i="1"/>
  <c r="EI18" i="1"/>
  <c r="EH18" i="1"/>
  <c r="EG18" i="1"/>
  <c r="EF18" i="1"/>
  <c r="EE18" i="1"/>
  <c r="ED18" i="1"/>
  <c r="EM15" i="1"/>
  <c r="EL15" i="1"/>
  <c r="EK15" i="1"/>
  <c r="EJ15" i="1"/>
  <c r="EI15" i="1"/>
  <c r="EH15" i="1"/>
  <c r="EG15" i="1"/>
  <c r="EF15" i="1"/>
  <c r="EE15" i="1"/>
  <c r="ED15" i="1"/>
  <c r="EM14" i="1"/>
  <c r="EL14" i="1"/>
  <c r="EK14" i="1"/>
  <c r="EJ14" i="1"/>
  <c r="EI14" i="1"/>
  <c r="EH14" i="1"/>
  <c r="EG14" i="1"/>
  <c r="EF14" i="1"/>
  <c r="EE14" i="1"/>
  <c r="ED14" i="1"/>
  <c r="EM13" i="1"/>
  <c r="EL13" i="1"/>
  <c r="EK13" i="1"/>
  <c r="EJ13" i="1"/>
  <c r="EI13" i="1"/>
  <c r="EH13" i="1"/>
  <c r="EG13" i="1"/>
  <c r="EF13" i="1"/>
  <c r="EE13" i="1"/>
  <c r="ED13" i="1"/>
  <c r="EM16" i="1"/>
  <c r="EL16" i="1"/>
  <c r="EK16" i="1"/>
  <c r="EJ16" i="1"/>
  <c r="EI16" i="1"/>
  <c r="EH16" i="1"/>
  <c r="EG16" i="1"/>
  <c r="EF16" i="1"/>
  <c r="EE16" i="1"/>
  <c r="ED16" i="1"/>
  <c r="EM12" i="1"/>
  <c r="EL12" i="1"/>
  <c r="EK12" i="1"/>
  <c r="EJ12" i="1"/>
  <c r="EI12" i="1"/>
  <c r="EH12" i="1"/>
  <c r="EG12" i="1"/>
  <c r="EF12" i="1"/>
  <c r="EE12" i="1"/>
  <c r="ED12" i="1"/>
  <c r="EM11" i="1"/>
  <c r="EL11" i="1"/>
  <c r="EK11" i="1"/>
  <c r="EJ11" i="1"/>
  <c r="EI11" i="1"/>
  <c r="EH11" i="1"/>
  <c r="EG11" i="1"/>
  <c r="EF11" i="1"/>
  <c r="EE11" i="1"/>
  <c r="ED11" i="1"/>
  <c r="EM10" i="1"/>
  <c r="EL10" i="1"/>
  <c r="EK10" i="1"/>
  <c r="EJ10" i="1"/>
  <c r="EI10" i="1"/>
  <c r="EH10" i="1"/>
  <c r="EG10" i="1"/>
  <c r="EF10" i="1"/>
  <c r="EE10" i="1"/>
  <c r="ED10" i="1"/>
  <c r="EK9" i="1"/>
  <c r="EL9" i="1"/>
  <c r="EM9" i="1"/>
  <c r="EJ9" i="1"/>
  <c r="EI9" i="1"/>
  <c r="EH9" i="1"/>
  <c r="EG9" i="1"/>
  <c r="EF9" i="1"/>
  <c r="EE9" i="1"/>
  <c r="ED9" i="1"/>
  <c r="V34" i="1"/>
  <c r="N37" i="1"/>
  <c r="DO37" i="1" s="1"/>
  <c r="DP28" i="1"/>
  <c r="V35" i="1"/>
  <c r="D35" i="1"/>
  <c r="D37" i="1"/>
  <c r="DQ35" i="1"/>
  <c r="DK35" i="1"/>
  <c r="DJ35" i="1"/>
  <c r="DF35" i="1"/>
  <c r="DE35" i="1"/>
  <c r="DA35" i="1"/>
  <c r="CZ35" i="1"/>
  <c r="CV35" i="1"/>
  <c r="CU35" i="1"/>
  <c r="CQ35" i="1"/>
  <c r="CP35" i="1"/>
  <c r="CK35" i="1"/>
  <c r="CG35" i="1"/>
  <c r="CF35" i="1"/>
  <c r="CB35" i="1"/>
  <c r="CA35" i="1"/>
  <c r="BW35" i="1"/>
  <c r="BV35" i="1"/>
  <c r="BR35" i="1"/>
  <c r="BQ35" i="1"/>
  <c r="BM35" i="1"/>
  <c r="BL35" i="1"/>
  <c r="BH35" i="1"/>
  <c r="BG35" i="1"/>
  <c r="BC35" i="1"/>
  <c r="BB35" i="1"/>
  <c r="AX35" i="1"/>
  <c r="AW35" i="1"/>
  <c r="AS35" i="1"/>
  <c r="AN35" i="1"/>
  <c r="AI35" i="1"/>
  <c r="AD35" i="1"/>
  <c r="AC35" i="1"/>
  <c r="Y35" i="1"/>
  <c r="X35" i="1"/>
  <c r="U35" i="1"/>
  <c r="T35" i="1"/>
  <c r="S35" i="1"/>
  <c r="R35" i="1"/>
  <c r="Q35" i="1"/>
  <c r="P35" i="1"/>
  <c r="O35" i="1"/>
  <c r="N35" i="1"/>
  <c r="DO35" i="1" s="1"/>
  <c r="M35" i="1"/>
  <c r="L35" i="1" s="1"/>
  <c r="I35" i="1"/>
  <c r="H35" i="1"/>
  <c r="F35" i="1"/>
  <c r="DQ30" i="1"/>
  <c r="DP30" i="1"/>
  <c r="DK30" i="1"/>
  <c r="DJ30" i="1"/>
  <c r="DF30" i="1"/>
  <c r="DE30" i="1"/>
  <c r="DA30" i="1"/>
  <c r="CZ30" i="1"/>
  <c r="CV30" i="1"/>
  <c r="CU30" i="1"/>
  <c r="CQ30" i="1"/>
  <c r="CP30" i="1"/>
  <c r="CK30" i="1"/>
  <c r="CG30" i="1"/>
  <c r="CF30" i="1"/>
  <c r="CB30" i="1"/>
  <c r="CA30" i="1"/>
  <c r="BW30" i="1"/>
  <c r="BV30" i="1"/>
  <c r="BR30" i="1"/>
  <c r="BQ30" i="1"/>
  <c r="BM30" i="1"/>
  <c r="BL30" i="1"/>
  <c r="BH30" i="1"/>
  <c r="BC30" i="1"/>
  <c r="AX30" i="1"/>
  <c r="AS30" i="1"/>
  <c r="AN30" i="1"/>
  <c r="AI30" i="1"/>
  <c r="AH30" i="1"/>
  <c r="AD30" i="1"/>
  <c r="Y30" i="1"/>
  <c r="V30" i="1"/>
  <c r="U30" i="1"/>
  <c r="T30" i="1"/>
  <c r="S30" i="1"/>
  <c r="R30" i="1"/>
  <c r="Q30" i="1"/>
  <c r="P30" i="1"/>
  <c r="O30" i="1"/>
  <c r="N30" i="1"/>
  <c r="DO30" i="1" s="1"/>
  <c r="M30" i="1"/>
  <c r="L30" i="1" s="1"/>
  <c r="I30" i="1"/>
  <c r="H30" i="1"/>
  <c r="F30" i="1"/>
  <c r="AW64" i="1"/>
  <c r="AW60" i="1"/>
  <c r="AW63" i="1"/>
  <c r="AW62" i="1"/>
  <c r="AW59" i="1"/>
  <c r="AW65" i="1"/>
  <c r="AW57" i="1"/>
  <c r="AW56" i="1"/>
  <c r="AW54" i="1"/>
  <c r="AW52" i="1"/>
  <c r="AW51" i="1"/>
  <c r="AW53" i="1"/>
  <c r="AW50" i="1"/>
  <c r="AW46" i="1"/>
  <c r="AW49" i="1"/>
  <c r="AW48" i="1"/>
  <c r="AW47" i="1"/>
  <c r="AW34" i="1"/>
  <c r="AW41" i="1"/>
  <c r="AW43" i="1"/>
  <c r="AW39" i="1"/>
  <c r="AW40" i="1"/>
  <c r="AW42" i="1"/>
  <c r="AW36" i="1"/>
  <c r="AW37" i="1"/>
  <c r="AW33" i="1"/>
  <c r="AW32" i="1"/>
  <c r="AW31" i="1"/>
  <c r="AW27" i="1"/>
  <c r="AW26" i="1"/>
  <c r="AW25" i="1"/>
  <c r="AW21" i="1"/>
  <c r="AW22" i="1"/>
  <c r="AW24" i="1"/>
  <c r="AW23" i="1"/>
  <c r="AW20" i="1"/>
  <c r="AW17" i="1"/>
  <c r="AW19" i="1"/>
  <c r="AW18" i="1"/>
  <c r="AW15" i="1"/>
  <c r="AW14" i="1"/>
  <c r="AW13" i="1"/>
  <c r="AW16" i="1"/>
  <c r="AW12" i="1"/>
  <c r="AW11" i="1"/>
  <c r="AW10" i="1"/>
  <c r="AR33" i="1"/>
  <c r="AR32" i="1"/>
  <c r="AR31" i="1"/>
  <c r="AM33" i="1"/>
  <c r="AM32" i="1"/>
  <c r="AM31" i="1"/>
  <c r="AH33" i="1"/>
  <c r="AH32" i="1"/>
  <c r="AH31" i="1"/>
  <c r="AH28" i="1"/>
  <c r="AC33" i="1"/>
  <c r="AC32" i="1"/>
  <c r="AC31" i="1"/>
  <c r="V33" i="1"/>
  <c r="V32" i="1"/>
  <c r="V31" i="1"/>
  <c r="V28" i="1"/>
  <c r="X64" i="1"/>
  <c r="X60" i="1"/>
  <c r="X63" i="1"/>
  <c r="X62" i="1"/>
  <c r="X59" i="1"/>
  <c r="X65" i="1"/>
  <c r="X57" i="1"/>
  <c r="X56" i="1"/>
  <c r="X54" i="1"/>
  <c r="X52" i="1"/>
  <c r="X51" i="1"/>
  <c r="X53" i="1"/>
  <c r="X50" i="1"/>
  <c r="X46" i="1"/>
  <c r="X49" i="1"/>
  <c r="X48" i="1"/>
  <c r="X47" i="1"/>
  <c r="X34" i="1"/>
  <c r="X41" i="1"/>
  <c r="X43" i="1"/>
  <c r="X40" i="1"/>
  <c r="X42" i="1"/>
  <c r="X36" i="1"/>
  <c r="X37" i="1"/>
  <c r="X33" i="1"/>
  <c r="X32" i="1"/>
  <c r="X31" i="1"/>
  <c r="DJ86" i="1"/>
  <c r="DF86" i="1"/>
  <c r="DE86" i="1"/>
  <c r="DA86" i="1"/>
  <c r="CZ86" i="1"/>
  <c r="CV86" i="1"/>
  <c r="CU86" i="1"/>
  <c r="CQ86" i="1"/>
  <c r="CP86" i="1"/>
  <c r="CK86" i="1"/>
  <c r="CG86" i="1"/>
  <c r="CF86" i="1"/>
  <c r="CB86" i="1"/>
  <c r="CA86" i="1"/>
  <c r="BW86" i="1"/>
  <c r="BV86" i="1"/>
  <c r="BR86" i="1"/>
  <c r="BQ86" i="1"/>
  <c r="BM86" i="1"/>
  <c r="BL86" i="1"/>
  <c r="BH86" i="1"/>
  <c r="BG86" i="1"/>
  <c r="BC86" i="1"/>
  <c r="BB86" i="1"/>
  <c r="AX86" i="1"/>
  <c r="AW86" i="1"/>
  <c r="AS86" i="1"/>
  <c r="AR86" i="1"/>
  <c r="AN86" i="1"/>
  <c r="AM86" i="1"/>
  <c r="AI86" i="1"/>
  <c r="AH86" i="1"/>
  <c r="AD86" i="1"/>
  <c r="AC86" i="1"/>
  <c r="Y86" i="1"/>
  <c r="X86" i="1"/>
  <c r="V86" i="1"/>
  <c r="U86" i="1"/>
  <c r="T86" i="1"/>
  <c r="S86" i="1"/>
  <c r="R86" i="1"/>
  <c r="Q86" i="1"/>
  <c r="P86" i="1"/>
  <c r="O86" i="1"/>
  <c r="DK85" i="1"/>
  <c r="DJ85" i="1"/>
  <c r="DF85" i="1"/>
  <c r="DE85" i="1"/>
  <c r="DA85" i="1"/>
  <c r="CZ85" i="1"/>
  <c r="CV85" i="1"/>
  <c r="CU85" i="1"/>
  <c r="CQ85" i="1"/>
  <c r="CP85" i="1"/>
  <c r="CK85" i="1"/>
  <c r="CG85" i="1"/>
  <c r="CF85" i="1"/>
  <c r="CB85" i="1"/>
  <c r="CA85" i="1"/>
  <c r="BW85" i="1"/>
  <c r="BV85" i="1"/>
  <c r="BR85" i="1"/>
  <c r="BQ85" i="1"/>
  <c r="BM85" i="1"/>
  <c r="BL85" i="1"/>
  <c r="BH85" i="1"/>
  <c r="BG85" i="1"/>
  <c r="BC85" i="1"/>
  <c r="BB85" i="1"/>
  <c r="AX85" i="1"/>
  <c r="AW85" i="1"/>
  <c r="AS85" i="1"/>
  <c r="AR85" i="1"/>
  <c r="AN85" i="1"/>
  <c r="AM85" i="1"/>
  <c r="AI85" i="1"/>
  <c r="AH85" i="1"/>
  <c r="AD85" i="1"/>
  <c r="AC85" i="1"/>
  <c r="Y85" i="1"/>
  <c r="X85" i="1"/>
  <c r="V85" i="1"/>
  <c r="DO85" i="1" s="1"/>
  <c r="DI85" i="1" s="1"/>
  <c r="DD85" i="1" s="1"/>
  <c r="CY85" i="1" s="1"/>
  <c r="CT85" i="1" s="1"/>
  <c r="CO85" i="1" s="1"/>
  <c r="CJ85" i="1" s="1"/>
  <c r="CE85" i="1" s="1"/>
  <c r="BZ85" i="1" s="1"/>
  <c r="BU85" i="1" s="1"/>
  <c r="BP85" i="1" s="1"/>
  <c r="BK85" i="1" s="1"/>
  <c r="BF85" i="1" s="1"/>
  <c r="BA85" i="1" s="1"/>
  <c r="AV85" i="1" s="1"/>
  <c r="AQ85" i="1" s="1"/>
  <c r="AL85" i="1" s="1"/>
  <c r="AG85" i="1" s="1"/>
  <c r="AB85" i="1" s="1"/>
  <c r="W85" i="1" s="1"/>
  <c r="DJ87" i="1"/>
  <c r="DF87" i="1"/>
  <c r="DE87" i="1"/>
  <c r="DA87" i="1"/>
  <c r="CZ87" i="1"/>
  <c r="CV87" i="1"/>
  <c r="CU87" i="1"/>
  <c r="CQ87" i="1"/>
  <c r="CP87" i="1"/>
  <c r="CK87" i="1"/>
  <c r="CG87" i="1"/>
  <c r="CF87" i="1"/>
  <c r="CB87" i="1"/>
  <c r="CA87" i="1"/>
  <c r="DJ84" i="1"/>
  <c r="DF84" i="1"/>
  <c r="DE84" i="1"/>
  <c r="DA84" i="1"/>
  <c r="CZ84" i="1"/>
  <c r="CV84" i="1"/>
  <c r="CU84" i="1"/>
  <c r="CQ84" i="1"/>
  <c r="CP84" i="1"/>
  <c r="CK84" i="1"/>
  <c r="CG84" i="1"/>
  <c r="CF84" i="1"/>
  <c r="CB84" i="1"/>
  <c r="CA84" i="1"/>
  <c r="DJ83" i="1"/>
  <c r="DF83" i="1"/>
  <c r="DE83" i="1"/>
  <c r="DA83" i="1"/>
  <c r="CZ83" i="1"/>
  <c r="CV83" i="1"/>
  <c r="CU83" i="1"/>
  <c r="CQ83" i="1"/>
  <c r="CP83" i="1"/>
  <c r="CK83" i="1"/>
  <c r="CG83" i="1"/>
  <c r="CF83" i="1"/>
  <c r="CB83" i="1"/>
  <c r="CA83" i="1"/>
  <c r="DJ82" i="1"/>
  <c r="DF82" i="1"/>
  <c r="DE82" i="1"/>
  <c r="DA82" i="1"/>
  <c r="CZ82" i="1"/>
  <c r="CV82" i="1"/>
  <c r="CU82" i="1"/>
  <c r="CQ82" i="1"/>
  <c r="CP82" i="1"/>
  <c r="CK82" i="1"/>
  <c r="CG82" i="1"/>
  <c r="CF82" i="1"/>
  <c r="CB82" i="1"/>
  <c r="CA82" i="1"/>
  <c r="DJ81" i="1"/>
  <c r="DF81" i="1"/>
  <c r="DE81" i="1"/>
  <c r="DA81" i="1"/>
  <c r="CZ81" i="1"/>
  <c r="CV81" i="1"/>
  <c r="CU81" i="1"/>
  <c r="CQ81" i="1"/>
  <c r="CP81" i="1"/>
  <c r="CK81" i="1"/>
  <c r="CG81" i="1"/>
  <c r="CF81" i="1"/>
  <c r="CB81" i="1"/>
  <c r="CA81" i="1"/>
  <c r="DJ80" i="1"/>
  <c r="DF80" i="1"/>
  <c r="DE80" i="1"/>
  <c r="DA80" i="1"/>
  <c r="CZ80" i="1"/>
  <c r="CV80" i="1"/>
  <c r="CU80" i="1"/>
  <c r="CQ80" i="1"/>
  <c r="CP80" i="1"/>
  <c r="CK80" i="1"/>
  <c r="CG80" i="1"/>
  <c r="CF80" i="1"/>
  <c r="CB80" i="1"/>
  <c r="CA80" i="1"/>
  <c r="DJ79" i="1"/>
  <c r="DF79" i="1"/>
  <c r="DE79" i="1"/>
  <c r="DA79" i="1"/>
  <c r="CZ79" i="1"/>
  <c r="CV79" i="1"/>
  <c r="CU79" i="1"/>
  <c r="CQ79" i="1"/>
  <c r="CP79" i="1"/>
  <c r="CK79" i="1"/>
  <c r="CG79" i="1"/>
  <c r="CF79" i="1"/>
  <c r="CB79" i="1"/>
  <c r="CA79" i="1"/>
  <c r="DJ78" i="1"/>
  <c r="DI78" i="1"/>
  <c r="DF78" i="1"/>
  <c r="DE78" i="1"/>
  <c r="DD78" i="1"/>
  <c r="DA78" i="1"/>
  <c r="CZ78" i="1"/>
  <c r="CY78" i="1"/>
  <c r="CV78" i="1"/>
  <c r="CU78" i="1"/>
  <c r="CT78" i="1"/>
  <c r="CQ78" i="1"/>
  <c r="CP78" i="1"/>
  <c r="CO78" i="1"/>
  <c r="CJ78" i="1" s="1"/>
  <c r="CE78" i="1" s="1"/>
  <c r="BZ78" i="1" s="1"/>
  <c r="BU78" i="1" s="1"/>
  <c r="CK78" i="1"/>
  <c r="CG78" i="1"/>
  <c r="CF78" i="1"/>
  <c r="CB78" i="1"/>
  <c r="CA78" i="1"/>
  <c r="DJ77" i="1"/>
  <c r="DF77" i="1"/>
  <c r="DE77" i="1"/>
  <c r="DA77" i="1"/>
  <c r="CZ77" i="1"/>
  <c r="CV77" i="1"/>
  <c r="CU77" i="1"/>
  <c r="CQ77" i="1"/>
  <c r="CP77" i="1"/>
  <c r="CK77" i="1"/>
  <c r="CG77" i="1"/>
  <c r="CF77" i="1"/>
  <c r="CB77" i="1"/>
  <c r="CA77" i="1"/>
  <c r="DJ64" i="1"/>
  <c r="DF64" i="1"/>
  <c r="DE64" i="1"/>
  <c r="DA64" i="1"/>
  <c r="CZ64" i="1"/>
  <c r="CV64" i="1"/>
  <c r="CU64" i="1"/>
  <c r="CQ64" i="1"/>
  <c r="CP64" i="1"/>
  <c r="CK64" i="1"/>
  <c r="CG64" i="1"/>
  <c r="CF64" i="1"/>
  <c r="CB64" i="1"/>
  <c r="CA64" i="1"/>
  <c r="DJ60" i="1"/>
  <c r="DF60" i="1"/>
  <c r="DE60" i="1"/>
  <c r="DA60" i="1"/>
  <c r="CZ60" i="1"/>
  <c r="CV60" i="1"/>
  <c r="CU60" i="1"/>
  <c r="CQ60" i="1"/>
  <c r="CP60" i="1"/>
  <c r="CK60" i="1"/>
  <c r="CG60" i="1"/>
  <c r="CF60" i="1"/>
  <c r="CB60" i="1"/>
  <c r="CA60" i="1"/>
  <c r="DJ63" i="1"/>
  <c r="DF63" i="1"/>
  <c r="DE63" i="1"/>
  <c r="DA63" i="1"/>
  <c r="CZ63" i="1"/>
  <c r="CV63" i="1"/>
  <c r="CU63" i="1"/>
  <c r="CQ63" i="1"/>
  <c r="CP63" i="1"/>
  <c r="CK63" i="1"/>
  <c r="CG63" i="1"/>
  <c r="CF63" i="1"/>
  <c r="CB63" i="1"/>
  <c r="CA63" i="1"/>
  <c r="DJ62" i="1"/>
  <c r="DF62" i="1"/>
  <c r="DE62" i="1"/>
  <c r="DA62" i="1"/>
  <c r="CZ62" i="1"/>
  <c r="CV62" i="1"/>
  <c r="CU62" i="1"/>
  <c r="CQ62" i="1"/>
  <c r="CP62" i="1"/>
  <c r="CK62" i="1"/>
  <c r="CG62" i="1"/>
  <c r="CF62" i="1"/>
  <c r="CB62" i="1"/>
  <c r="CA62" i="1"/>
  <c r="DJ59" i="1"/>
  <c r="DF59" i="1"/>
  <c r="DE59" i="1"/>
  <c r="DA59" i="1"/>
  <c r="CZ59" i="1"/>
  <c r="CV59" i="1"/>
  <c r="CU59" i="1"/>
  <c r="CQ59" i="1"/>
  <c r="CP59" i="1"/>
  <c r="CK59" i="1"/>
  <c r="CG59" i="1"/>
  <c r="CF59" i="1"/>
  <c r="CB59" i="1"/>
  <c r="CA59" i="1"/>
  <c r="DJ65" i="1"/>
  <c r="DF65" i="1"/>
  <c r="DE65" i="1"/>
  <c r="DA65" i="1"/>
  <c r="CZ65" i="1"/>
  <c r="CV65" i="1"/>
  <c r="CU65" i="1"/>
  <c r="CQ65" i="1"/>
  <c r="CP65" i="1"/>
  <c r="CK65" i="1"/>
  <c r="CG65" i="1"/>
  <c r="CF65" i="1"/>
  <c r="CB65" i="1"/>
  <c r="CA65" i="1"/>
  <c r="DJ57" i="1"/>
  <c r="DF57" i="1"/>
  <c r="DE57" i="1"/>
  <c r="DA57" i="1"/>
  <c r="CZ57" i="1"/>
  <c r="CV57" i="1"/>
  <c r="CU57" i="1"/>
  <c r="CQ57" i="1"/>
  <c r="CP57" i="1"/>
  <c r="CK57" i="1"/>
  <c r="CG57" i="1"/>
  <c r="CF57" i="1"/>
  <c r="CB57" i="1"/>
  <c r="CA57" i="1"/>
  <c r="DJ56" i="1"/>
  <c r="DF56" i="1"/>
  <c r="DE56" i="1"/>
  <c r="DA56" i="1"/>
  <c r="CZ56" i="1"/>
  <c r="CV56" i="1"/>
  <c r="CU56" i="1"/>
  <c r="CQ56" i="1"/>
  <c r="CP56" i="1"/>
  <c r="CK56" i="1"/>
  <c r="CG56" i="1"/>
  <c r="CF56" i="1"/>
  <c r="CB56" i="1"/>
  <c r="CA56" i="1"/>
  <c r="DJ54" i="1"/>
  <c r="DF54" i="1"/>
  <c r="DE54" i="1"/>
  <c r="DA54" i="1"/>
  <c r="CZ54" i="1"/>
  <c r="CV54" i="1"/>
  <c r="CU54" i="1"/>
  <c r="CQ54" i="1"/>
  <c r="CP54" i="1"/>
  <c r="CK54" i="1"/>
  <c r="CG54" i="1"/>
  <c r="CF54" i="1"/>
  <c r="CB54" i="1"/>
  <c r="CA54" i="1"/>
  <c r="DJ52" i="1"/>
  <c r="DF52" i="1"/>
  <c r="DE52" i="1"/>
  <c r="DA52" i="1"/>
  <c r="CZ52" i="1"/>
  <c r="CV52" i="1"/>
  <c r="CU52" i="1"/>
  <c r="CQ52" i="1"/>
  <c r="CP52" i="1"/>
  <c r="CK52" i="1"/>
  <c r="CG52" i="1"/>
  <c r="CF52" i="1"/>
  <c r="CB52" i="1"/>
  <c r="CA52" i="1"/>
  <c r="DJ51" i="1"/>
  <c r="DF51" i="1"/>
  <c r="DE51" i="1"/>
  <c r="DA51" i="1"/>
  <c r="CZ51" i="1"/>
  <c r="CV51" i="1"/>
  <c r="CU51" i="1"/>
  <c r="CQ51" i="1"/>
  <c r="CP51" i="1"/>
  <c r="CK51" i="1"/>
  <c r="CG51" i="1"/>
  <c r="CF51" i="1"/>
  <c r="CB51" i="1"/>
  <c r="CA51" i="1"/>
  <c r="DJ53" i="1"/>
  <c r="DF53" i="1"/>
  <c r="DE53" i="1"/>
  <c r="DA53" i="1"/>
  <c r="CZ53" i="1"/>
  <c r="CV53" i="1"/>
  <c r="CU53" i="1"/>
  <c r="CQ53" i="1"/>
  <c r="CP53" i="1"/>
  <c r="CK53" i="1"/>
  <c r="CG53" i="1"/>
  <c r="CF53" i="1"/>
  <c r="CB53" i="1"/>
  <c r="CA53" i="1"/>
  <c r="DJ50" i="1"/>
  <c r="DF50" i="1"/>
  <c r="DE50" i="1"/>
  <c r="DA50" i="1"/>
  <c r="CZ50" i="1"/>
  <c r="CV50" i="1"/>
  <c r="CU50" i="1"/>
  <c r="CQ50" i="1"/>
  <c r="CP50" i="1"/>
  <c r="CK50" i="1"/>
  <c r="CG50" i="1"/>
  <c r="CF50" i="1"/>
  <c r="CB50" i="1"/>
  <c r="CA50" i="1"/>
  <c r="DJ46" i="1"/>
  <c r="DF46" i="1"/>
  <c r="DE46" i="1"/>
  <c r="DA46" i="1"/>
  <c r="CZ46" i="1"/>
  <c r="CV46" i="1"/>
  <c r="CU46" i="1"/>
  <c r="CQ46" i="1"/>
  <c r="CP46" i="1"/>
  <c r="CK46" i="1"/>
  <c r="CG46" i="1"/>
  <c r="CF46" i="1"/>
  <c r="CB46" i="1"/>
  <c r="CA46" i="1"/>
  <c r="DJ49" i="1"/>
  <c r="DF49" i="1"/>
  <c r="DE49" i="1"/>
  <c r="DA49" i="1"/>
  <c r="CZ49" i="1"/>
  <c r="CV49" i="1"/>
  <c r="CU49" i="1"/>
  <c r="CQ49" i="1"/>
  <c r="CP49" i="1"/>
  <c r="CK49" i="1"/>
  <c r="CG49" i="1"/>
  <c r="CF49" i="1"/>
  <c r="CB49" i="1"/>
  <c r="CA49" i="1"/>
  <c r="DJ48" i="1"/>
  <c r="DF48" i="1"/>
  <c r="DE48" i="1"/>
  <c r="DA48" i="1"/>
  <c r="CZ48" i="1"/>
  <c r="CV48" i="1"/>
  <c r="CU48" i="1"/>
  <c r="CQ48" i="1"/>
  <c r="CP48" i="1"/>
  <c r="CK48" i="1"/>
  <c r="CG48" i="1"/>
  <c r="CF48" i="1"/>
  <c r="CB48" i="1"/>
  <c r="CA48" i="1"/>
  <c r="DJ47" i="1"/>
  <c r="DF47" i="1"/>
  <c r="DE47" i="1"/>
  <c r="DA47" i="1"/>
  <c r="CZ47" i="1"/>
  <c r="CV47" i="1"/>
  <c r="CU47" i="1"/>
  <c r="CQ47" i="1"/>
  <c r="CP47" i="1"/>
  <c r="CK47" i="1"/>
  <c r="CG47" i="1"/>
  <c r="CF47" i="1"/>
  <c r="CB47" i="1"/>
  <c r="CA47" i="1"/>
  <c r="DJ34" i="1"/>
  <c r="DA34" i="1"/>
  <c r="CZ34" i="1"/>
  <c r="CV34" i="1"/>
  <c r="CU34" i="1"/>
  <c r="CQ34" i="1"/>
  <c r="CP34" i="1"/>
  <c r="CK34" i="1"/>
  <c r="CG34" i="1"/>
  <c r="CF34" i="1"/>
  <c r="CB34" i="1"/>
  <c r="CA34" i="1"/>
  <c r="DF41" i="1"/>
  <c r="DE41" i="1"/>
  <c r="DA41" i="1"/>
  <c r="CZ41" i="1"/>
  <c r="CV41" i="1"/>
  <c r="CU41" i="1"/>
  <c r="CQ41" i="1"/>
  <c r="CP41" i="1"/>
  <c r="CK41" i="1"/>
  <c r="CG41" i="1"/>
  <c r="CF41" i="1"/>
  <c r="CB41" i="1"/>
  <c r="CA41" i="1"/>
  <c r="DJ43" i="1"/>
  <c r="DF43" i="1"/>
  <c r="DE43" i="1"/>
  <c r="DA43" i="1"/>
  <c r="CZ43" i="1"/>
  <c r="CV43" i="1"/>
  <c r="CU43" i="1"/>
  <c r="CQ43" i="1"/>
  <c r="CP43" i="1"/>
  <c r="CK43" i="1"/>
  <c r="CG43" i="1"/>
  <c r="CF43" i="1"/>
  <c r="CB43" i="1"/>
  <c r="CA43" i="1"/>
  <c r="DJ39" i="1"/>
  <c r="DF39" i="1"/>
  <c r="DE39" i="1"/>
  <c r="DA39" i="1"/>
  <c r="CZ39" i="1"/>
  <c r="CV39" i="1"/>
  <c r="CU39" i="1"/>
  <c r="CQ39" i="1"/>
  <c r="CP39" i="1"/>
  <c r="CK39" i="1"/>
  <c r="CG39" i="1"/>
  <c r="CF39" i="1"/>
  <c r="CB39" i="1"/>
  <c r="CA39" i="1"/>
  <c r="DJ40" i="1"/>
  <c r="DF40" i="1"/>
  <c r="DE40" i="1"/>
  <c r="DA40" i="1"/>
  <c r="CZ40" i="1"/>
  <c r="CV40" i="1"/>
  <c r="CU40" i="1"/>
  <c r="CQ40" i="1"/>
  <c r="CP40" i="1"/>
  <c r="CK40" i="1"/>
  <c r="CG40" i="1"/>
  <c r="CF40" i="1"/>
  <c r="CB40" i="1"/>
  <c r="CA40" i="1"/>
  <c r="DJ42" i="1"/>
  <c r="DF42" i="1"/>
  <c r="DE42" i="1"/>
  <c r="DA42" i="1"/>
  <c r="CZ42" i="1"/>
  <c r="CV42" i="1"/>
  <c r="CU42" i="1"/>
  <c r="CQ42" i="1"/>
  <c r="CG42" i="1"/>
  <c r="CF42" i="1"/>
  <c r="CB42" i="1"/>
  <c r="CA42" i="1"/>
  <c r="DJ36" i="1"/>
  <c r="DF36" i="1"/>
  <c r="DE36" i="1"/>
  <c r="DA36" i="1"/>
  <c r="CZ36" i="1"/>
  <c r="CV36" i="1"/>
  <c r="CU36" i="1"/>
  <c r="CQ36" i="1"/>
  <c r="CP36" i="1"/>
  <c r="CK36" i="1"/>
  <c r="CG36" i="1"/>
  <c r="CF36" i="1"/>
  <c r="CB36" i="1"/>
  <c r="CA36" i="1"/>
  <c r="DF37" i="1"/>
  <c r="DE37" i="1"/>
  <c r="DA37" i="1"/>
  <c r="CZ37" i="1"/>
  <c r="CV37" i="1"/>
  <c r="CU37" i="1"/>
  <c r="CQ37" i="1"/>
  <c r="CP37" i="1"/>
  <c r="CK37" i="1"/>
  <c r="CG37" i="1"/>
  <c r="CF37" i="1"/>
  <c r="CB37" i="1"/>
  <c r="CA37" i="1"/>
  <c r="DJ33" i="1"/>
  <c r="DF33" i="1"/>
  <c r="DE33" i="1"/>
  <c r="DA33" i="1"/>
  <c r="CZ33" i="1"/>
  <c r="CV33" i="1"/>
  <c r="CU33" i="1"/>
  <c r="CQ33" i="1"/>
  <c r="CP33" i="1"/>
  <c r="CK33" i="1"/>
  <c r="CG33" i="1"/>
  <c r="CF33" i="1"/>
  <c r="CB33" i="1"/>
  <c r="CA33" i="1"/>
  <c r="DJ32" i="1"/>
  <c r="DF32" i="1"/>
  <c r="DE32" i="1"/>
  <c r="DA32" i="1"/>
  <c r="CZ32" i="1"/>
  <c r="CV32" i="1"/>
  <c r="CU32" i="1"/>
  <c r="CQ32" i="1"/>
  <c r="CP32" i="1"/>
  <c r="CK32" i="1"/>
  <c r="CG32" i="1"/>
  <c r="CF32" i="1"/>
  <c r="CB32" i="1"/>
  <c r="CA32" i="1"/>
  <c r="DJ31" i="1"/>
  <c r="DF31" i="1"/>
  <c r="DE31" i="1"/>
  <c r="DA31" i="1"/>
  <c r="CZ31" i="1"/>
  <c r="CV31" i="1"/>
  <c r="CU31" i="1"/>
  <c r="CQ31" i="1"/>
  <c r="CP31" i="1"/>
  <c r="CK31" i="1"/>
  <c r="CG31" i="1"/>
  <c r="CF31" i="1"/>
  <c r="CB31" i="1"/>
  <c r="CA31" i="1"/>
  <c r="DJ28" i="1"/>
  <c r="DF28" i="1"/>
  <c r="DE28" i="1"/>
  <c r="DA28" i="1"/>
  <c r="CZ28" i="1"/>
  <c r="CV28" i="1"/>
  <c r="CU28" i="1"/>
  <c r="CQ28" i="1"/>
  <c r="CP28" i="1"/>
  <c r="CK28" i="1"/>
  <c r="CG28" i="1"/>
  <c r="CF28" i="1"/>
  <c r="CB28" i="1"/>
  <c r="CA28" i="1"/>
  <c r="DJ29" i="1"/>
  <c r="DF29" i="1"/>
  <c r="DE29" i="1"/>
  <c r="DA29" i="1"/>
  <c r="CZ29" i="1"/>
  <c r="CV29" i="1"/>
  <c r="CU29" i="1"/>
  <c r="CQ29" i="1"/>
  <c r="CP29" i="1"/>
  <c r="CK29" i="1"/>
  <c r="CG29" i="1"/>
  <c r="CF29" i="1"/>
  <c r="CB29" i="1"/>
  <c r="CA29" i="1"/>
  <c r="DJ27" i="1"/>
  <c r="DF27" i="1"/>
  <c r="DE27" i="1"/>
  <c r="DA27" i="1"/>
  <c r="CZ27" i="1"/>
  <c r="CV27" i="1"/>
  <c r="CU27" i="1"/>
  <c r="CQ27" i="1"/>
  <c r="CP27" i="1"/>
  <c r="CK27" i="1"/>
  <c r="CG27" i="1"/>
  <c r="CF27" i="1"/>
  <c r="CB27" i="1"/>
  <c r="CA27" i="1"/>
  <c r="DJ26" i="1"/>
  <c r="DF26" i="1"/>
  <c r="DE26" i="1"/>
  <c r="DA26" i="1"/>
  <c r="CZ26" i="1"/>
  <c r="CV26" i="1"/>
  <c r="CU26" i="1"/>
  <c r="CQ26" i="1"/>
  <c r="CP26" i="1"/>
  <c r="CK26" i="1"/>
  <c r="CG26" i="1"/>
  <c r="CF26" i="1"/>
  <c r="CB26" i="1"/>
  <c r="CA26" i="1"/>
  <c r="DJ25" i="1"/>
  <c r="DF25" i="1"/>
  <c r="DE25" i="1"/>
  <c r="DA25" i="1"/>
  <c r="CZ25" i="1"/>
  <c r="CV25" i="1"/>
  <c r="CU25" i="1"/>
  <c r="CQ25" i="1"/>
  <c r="CP25" i="1"/>
  <c r="CK25" i="1"/>
  <c r="CG25" i="1"/>
  <c r="CF25" i="1"/>
  <c r="CB25" i="1"/>
  <c r="CA25" i="1"/>
  <c r="DJ21" i="1"/>
  <c r="DF21" i="1"/>
  <c r="DE21" i="1"/>
  <c r="DA21" i="1"/>
  <c r="CZ21" i="1"/>
  <c r="CV21" i="1"/>
  <c r="CU21" i="1"/>
  <c r="CQ21" i="1"/>
  <c r="CP21" i="1"/>
  <c r="CK21" i="1"/>
  <c r="CG21" i="1"/>
  <c r="CF21" i="1"/>
  <c r="CB21" i="1"/>
  <c r="CA21" i="1"/>
  <c r="DJ22" i="1"/>
  <c r="DF22" i="1"/>
  <c r="DE22" i="1"/>
  <c r="DA22" i="1"/>
  <c r="CZ22" i="1"/>
  <c r="CV22" i="1"/>
  <c r="CU22" i="1"/>
  <c r="CQ22" i="1"/>
  <c r="CP22" i="1"/>
  <c r="CK22" i="1"/>
  <c r="CG22" i="1"/>
  <c r="CF22" i="1"/>
  <c r="CB22" i="1"/>
  <c r="CA22" i="1"/>
  <c r="DJ24" i="1"/>
  <c r="DF24" i="1"/>
  <c r="DE24" i="1"/>
  <c r="DA24" i="1"/>
  <c r="CZ24" i="1"/>
  <c r="CV24" i="1"/>
  <c r="CU24" i="1"/>
  <c r="CQ24" i="1"/>
  <c r="CP24" i="1"/>
  <c r="CK24" i="1"/>
  <c r="CG24" i="1"/>
  <c r="CF24" i="1"/>
  <c r="CB24" i="1"/>
  <c r="CA24" i="1"/>
  <c r="DJ23" i="1"/>
  <c r="DF23" i="1"/>
  <c r="DE23" i="1"/>
  <c r="DA23" i="1"/>
  <c r="CZ23" i="1"/>
  <c r="CV23" i="1"/>
  <c r="CU23" i="1"/>
  <c r="CQ23" i="1"/>
  <c r="CP23" i="1"/>
  <c r="CK23" i="1"/>
  <c r="CG23" i="1"/>
  <c r="CF23" i="1"/>
  <c r="CB23" i="1"/>
  <c r="CA23" i="1"/>
  <c r="DJ20" i="1"/>
  <c r="DF20" i="1"/>
  <c r="DE20" i="1"/>
  <c r="DA20" i="1"/>
  <c r="CZ20" i="1"/>
  <c r="CV20" i="1"/>
  <c r="CU20" i="1"/>
  <c r="CQ20" i="1"/>
  <c r="CP20" i="1"/>
  <c r="CK20" i="1"/>
  <c r="CG20" i="1"/>
  <c r="CF20" i="1"/>
  <c r="CB20" i="1"/>
  <c r="CA20" i="1"/>
  <c r="DJ17" i="1"/>
  <c r="DF17" i="1"/>
  <c r="DE17" i="1"/>
  <c r="DA17" i="1"/>
  <c r="CZ17" i="1"/>
  <c r="CV17" i="1"/>
  <c r="CU17" i="1"/>
  <c r="CQ17" i="1"/>
  <c r="CP17" i="1"/>
  <c r="CK17" i="1"/>
  <c r="CG17" i="1"/>
  <c r="CF17" i="1"/>
  <c r="CB17" i="1"/>
  <c r="CA17" i="1"/>
  <c r="DJ19" i="1"/>
  <c r="DF19" i="1"/>
  <c r="DE19" i="1"/>
  <c r="DA19" i="1"/>
  <c r="CZ19" i="1"/>
  <c r="CV19" i="1"/>
  <c r="CU19" i="1"/>
  <c r="CQ19" i="1"/>
  <c r="CP19" i="1"/>
  <c r="CK19" i="1"/>
  <c r="CG19" i="1"/>
  <c r="CF19" i="1"/>
  <c r="CB19" i="1"/>
  <c r="CA19" i="1"/>
  <c r="DJ18" i="1"/>
  <c r="DF18" i="1"/>
  <c r="DE18" i="1"/>
  <c r="DA18" i="1"/>
  <c r="CZ18" i="1"/>
  <c r="CV18" i="1"/>
  <c r="CU18" i="1"/>
  <c r="CQ18" i="1"/>
  <c r="CP18" i="1"/>
  <c r="CK18" i="1"/>
  <c r="CG18" i="1"/>
  <c r="CF18" i="1"/>
  <c r="CB18" i="1"/>
  <c r="CA18" i="1"/>
  <c r="DJ15" i="1"/>
  <c r="DF15" i="1"/>
  <c r="DE15" i="1"/>
  <c r="DA15" i="1"/>
  <c r="CZ15" i="1"/>
  <c r="CV15" i="1"/>
  <c r="CU15" i="1"/>
  <c r="CQ15" i="1"/>
  <c r="CP15" i="1"/>
  <c r="CK15" i="1"/>
  <c r="CG15" i="1"/>
  <c r="CF15" i="1"/>
  <c r="CB15" i="1"/>
  <c r="CA15" i="1"/>
  <c r="DJ14" i="1"/>
  <c r="DF14" i="1"/>
  <c r="DE14" i="1"/>
  <c r="DA14" i="1"/>
  <c r="CZ14" i="1"/>
  <c r="CV14" i="1"/>
  <c r="CU14" i="1"/>
  <c r="CQ14" i="1"/>
  <c r="CP14" i="1"/>
  <c r="CK14" i="1"/>
  <c r="CG14" i="1"/>
  <c r="CF14" i="1"/>
  <c r="CB14" i="1"/>
  <c r="CA14" i="1"/>
  <c r="DJ13" i="1"/>
  <c r="DF13" i="1"/>
  <c r="DE13" i="1"/>
  <c r="DA13" i="1"/>
  <c r="CZ13" i="1"/>
  <c r="CV13" i="1"/>
  <c r="CU13" i="1"/>
  <c r="CQ13" i="1"/>
  <c r="CP13" i="1"/>
  <c r="CK13" i="1"/>
  <c r="CG13" i="1"/>
  <c r="CF13" i="1"/>
  <c r="CB13" i="1"/>
  <c r="CA13" i="1"/>
  <c r="DJ16" i="1"/>
  <c r="DF16" i="1"/>
  <c r="DE16" i="1"/>
  <c r="DA16" i="1"/>
  <c r="CZ16" i="1"/>
  <c r="CV16" i="1"/>
  <c r="CU16" i="1"/>
  <c r="CQ16" i="1"/>
  <c r="CP16" i="1"/>
  <c r="CK16" i="1"/>
  <c r="CG16" i="1"/>
  <c r="CF16" i="1"/>
  <c r="CB16" i="1"/>
  <c r="CA16" i="1"/>
  <c r="DJ12" i="1"/>
  <c r="DF12" i="1"/>
  <c r="DE12" i="1"/>
  <c r="DA12" i="1"/>
  <c r="CZ12" i="1"/>
  <c r="CV12" i="1"/>
  <c r="CU12" i="1"/>
  <c r="CQ12" i="1"/>
  <c r="CP12" i="1"/>
  <c r="CK12" i="1"/>
  <c r="CG12" i="1"/>
  <c r="CF12" i="1"/>
  <c r="CB12" i="1"/>
  <c r="CA12" i="1"/>
  <c r="DJ11" i="1"/>
  <c r="DF11" i="1"/>
  <c r="DE11" i="1"/>
  <c r="DA11" i="1"/>
  <c r="CZ11" i="1"/>
  <c r="CV11" i="1"/>
  <c r="CU11" i="1"/>
  <c r="CQ11" i="1"/>
  <c r="CP11" i="1"/>
  <c r="CK11" i="1"/>
  <c r="CG11" i="1"/>
  <c r="CF11" i="1"/>
  <c r="CB11" i="1"/>
  <c r="CA11" i="1"/>
  <c r="DJ10" i="1"/>
  <c r="DF10" i="1"/>
  <c r="DE10" i="1"/>
  <c r="DA10" i="1"/>
  <c r="CZ10" i="1"/>
  <c r="CV10" i="1"/>
  <c r="CU10" i="1"/>
  <c r="CQ10" i="1"/>
  <c r="CP10" i="1"/>
  <c r="CK10" i="1"/>
  <c r="CG10" i="1"/>
  <c r="CF10" i="1"/>
  <c r="CB10" i="1"/>
  <c r="CA10" i="1"/>
  <c r="BQ88" i="1"/>
  <c r="BV87" i="1"/>
  <c r="BR87" i="1"/>
  <c r="BQ87" i="1"/>
  <c r="BV84" i="1"/>
  <c r="BR84" i="1"/>
  <c r="BQ84" i="1"/>
  <c r="BV83" i="1"/>
  <c r="BR83" i="1"/>
  <c r="BQ83" i="1"/>
  <c r="BV82" i="1"/>
  <c r="BR82" i="1"/>
  <c r="BQ82" i="1"/>
  <c r="BV81" i="1"/>
  <c r="BR81" i="1"/>
  <c r="BQ81" i="1"/>
  <c r="BV80" i="1"/>
  <c r="BR80" i="1"/>
  <c r="BQ80" i="1"/>
  <c r="BV79" i="1"/>
  <c r="BR79" i="1"/>
  <c r="BQ79" i="1"/>
  <c r="BV78" i="1"/>
  <c r="BR78" i="1"/>
  <c r="BQ78" i="1"/>
  <c r="BV77" i="1"/>
  <c r="BR77" i="1"/>
  <c r="BQ77" i="1"/>
  <c r="BV64" i="1"/>
  <c r="BR64" i="1"/>
  <c r="BQ64" i="1"/>
  <c r="BV60" i="1"/>
  <c r="BR60" i="1"/>
  <c r="BQ60" i="1"/>
  <c r="BV63" i="1"/>
  <c r="BR63" i="1"/>
  <c r="BQ63" i="1"/>
  <c r="BV62" i="1"/>
  <c r="BR62" i="1"/>
  <c r="BQ62" i="1"/>
  <c r="BV59" i="1"/>
  <c r="BR59" i="1"/>
  <c r="BQ59" i="1"/>
  <c r="BV65" i="1"/>
  <c r="BR65" i="1"/>
  <c r="BQ65" i="1"/>
  <c r="BV57" i="1"/>
  <c r="BR57" i="1"/>
  <c r="BQ57" i="1"/>
  <c r="BV56" i="1"/>
  <c r="BR56" i="1"/>
  <c r="BQ56" i="1"/>
  <c r="BV54" i="1"/>
  <c r="BR54" i="1"/>
  <c r="BQ54" i="1"/>
  <c r="BV52" i="1"/>
  <c r="BR52" i="1"/>
  <c r="BQ52" i="1"/>
  <c r="BV51" i="1"/>
  <c r="BR51" i="1"/>
  <c r="BQ51" i="1"/>
  <c r="BV53" i="1"/>
  <c r="BR53" i="1"/>
  <c r="BQ53" i="1"/>
  <c r="BV50" i="1"/>
  <c r="BR50" i="1"/>
  <c r="BQ50" i="1"/>
  <c r="BV46" i="1"/>
  <c r="BR46" i="1"/>
  <c r="BQ46" i="1"/>
  <c r="BV49" i="1"/>
  <c r="BR49" i="1"/>
  <c r="BQ49" i="1"/>
  <c r="BV48" i="1"/>
  <c r="BR48" i="1"/>
  <c r="BQ48" i="1"/>
  <c r="BV47" i="1"/>
  <c r="BR47" i="1"/>
  <c r="BQ47" i="1"/>
  <c r="BV34" i="1"/>
  <c r="BR34" i="1"/>
  <c r="BQ34" i="1"/>
  <c r="BV41" i="1"/>
  <c r="BR41" i="1"/>
  <c r="BQ41" i="1"/>
  <c r="BV43" i="1"/>
  <c r="BR43" i="1"/>
  <c r="BQ43" i="1"/>
  <c r="BV39" i="1"/>
  <c r="BR39" i="1"/>
  <c r="BQ39" i="1"/>
  <c r="BV40" i="1"/>
  <c r="BR40" i="1"/>
  <c r="BQ40" i="1"/>
  <c r="BV42" i="1"/>
  <c r="BR42" i="1"/>
  <c r="BQ42" i="1"/>
  <c r="BV36" i="1"/>
  <c r="BR36" i="1"/>
  <c r="BQ36" i="1"/>
  <c r="BV37" i="1"/>
  <c r="BR37" i="1"/>
  <c r="BQ37" i="1"/>
  <c r="BV33" i="1"/>
  <c r="BR33" i="1"/>
  <c r="BQ33" i="1"/>
  <c r="BV32" i="1"/>
  <c r="BR32" i="1"/>
  <c r="BQ32" i="1"/>
  <c r="BV31" i="1"/>
  <c r="BR31" i="1"/>
  <c r="BQ31" i="1"/>
  <c r="BV28" i="1"/>
  <c r="BR28" i="1"/>
  <c r="BQ28" i="1"/>
  <c r="BV29" i="1"/>
  <c r="BR29" i="1"/>
  <c r="BQ29" i="1"/>
  <c r="BV27" i="1"/>
  <c r="BR27" i="1"/>
  <c r="BQ27" i="1"/>
  <c r="BV26" i="1"/>
  <c r="BR26" i="1"/>
  <c r="BQ26" i="1"/>
  <c r="BV25" i="1"/>
  <c r="BR25" i="1"/>
  <c r="BQ25" i="1"/>
  <c r="BV21" i="1"/>
  <c r="BR21" i="1"/>
  <c r="BQ21" i="1"/>
  <c r="BV22" i="1"/>
  <c r="BR22" i="1"/>
  <c r="BQ22" i="1"/>
  <c r="BV24" i="1"/>
  <c r="BR24" i="1"/>
  <c r="BQ24" i="1"/>
  <c r="BV23" i="1"/>
  <c r="BR23" i="1"/>
  <c r="BQ23" i="1"/>
  <c r="BV20" i="1"/>
  <c r="BR20" i="1"/>
  <c r="BQ20" i="1"/>
  <c r="BV17" i="1"/>
  <c r="BR17" i="1"/>
  <c r="BQ17" i="1"/>
  <c r="BV19" i="1"/>
  <c r="BR19" i="1"/>
  <c r="BQ19" i="1"/>
  <c r="BV18" i="1"/>
  <c r="BR18" i="1"/>
  <c r="BQ18" i="1"/>
  <c r="BV15" i="1"/>
  <c r="BR15" i="1"/>
  <c r="BQ15" i="1"/>
  <c r="BV14" i="1"/>
  <c r="BR14" i="1"/>
  <c r="BQ14" i="1"/>
  <c r="BV13" i="1"/>
  <c r="BR13" i="1"/>
  <c r="BQ13" i="1"/>
  <c r="BV16" i="1"/>
  <c r="BR16" i="1"/>
  <c r="BQ16" i="1"/>
  <c r="BV12" i="1"/>
  <c r="BR12" i="1"/>
  <c r="BQ12" i="1"/>
  <c r="BV11" i="1"/>
  <c r="BR11" i="1"/>
  <c r="BQ11" i="1"/>
  <c r="BV10" i="1"/>
  <c r="BR10" i="1"/>
  <c r="BQ10" i="1"/>
  <c r="BL88" i="1"/>
  <c r="BL87" i="1"/>
  <c r="BL84" i="1"/>
  <c r="BL83" i="1"/>
  <c r="BL82" i="1"/>
  <c r="BL81" i="1"/>
  <c r="BL80" i="1"/>
  <c r="BL79" i="1"/>
  <c r="BL78" i="1"/>
  <c r="BL77" i="1"/>
  <c r="BL64" i="1"/>
  <c r="BL60" i="1"/>
  <c r="BL63" i="1"/>
  <c r="BL62" i="1"/>
  <c r="BL59" i="1"/>
  <c r="BL65" i="1"/>
  <c r="BL57" i="1"/>
  <c r="BL56" i="1"/>
  <c r="BL54" i="1"/>
  <c r="BL52" i="1"/>
  <c r="BL51" i="1"/>
  <c r="BL53" i="1"/>
  <c r="BL50" i="1"/>
  <c r="BL46" i="1"/>
  <c r="BL49" i="1"/>
  <c r="BL48" i="1"/>
  <c r="BL47" i="1"/>
  <c r="BL34" i="1"/>
  <c r="BL41" i="1"/>
  <c r="BL43" i="1"/>
  <c r="BL39" i="1"/>
  <c r="BL40" i="1"/>
  <c r="BL42" i="1"/>
  <c r="BL36" i="1"/>
  <c r="BL37" i="1"/>
  <c r="BL33" i="1"/>
  <c r="BL32" i="1"/>
  <c r="BL31" i="1"/>
  <c r="BL28" i="1"/>
  <c r="BL29" i="1"/>
  <c r="BL27" i="1"/>
  <c r="BL26" i="1"/>
  <c r="BL25" i="1"/>
  <c r="BL21" i="1"/>
  <c r="BL22" i="1"/>
  <c r="BL24" i="1"/>
  <c r="BL23" i="1"/>
  <c r="BL20" i="1"/>
  <c r="BL17" i="1"/>
  <c r="BL19" i="1"/>
  <c r="BL18" i="1"/>
  <c r="BL15" i="1"/>
  <c r="BL14" i="1"/>
  <c r="BL13" i="1"/>
  <c r="BL16" i="1"/>
  <c r="BL12" i="1"/>
  <c r="BL11" i="1"/>
  <c r="BL10" i="1"/>
  <c r="BG88" i="1"/>
  <c r="BG87" i="1"/>
  <c r="BG84" i="1"/>
  <c r="BG83" i="1"/>
  <c r="BG82" i="1"/>
  <c r="BG81" i="1"/>
  <c r="BG80" i="1"/>
  <c r="BG79" i="1"/>
  <c r="BG78" i="1"/>
  <c r="BG77" i="1"/>
  <c r="BG64" i="1"/>
  <c r="BG60" i="1"/>
  <c r="BG63" i="1"/>
  <c r="BG62" i="1"/>
  <c r="BG59" i="1"/>
  <c r="BG65" i="1"/>
  <c r="BG57" i="1"/>
  <c r="BG56" i="1"/>
  <c r="BG54" i="1"/>
  <c r="BG52" i="1"/>
  <c r="BG51" i="1"/>
  <c r="BG53" i="1"/>
  <c r="BG50" i="1"/>
  <c r="BG46" i="1"/>
  <c r="BG49" i="1"/>
  <c r="BG48" i="1"/>
  <c r="BG47" i="1"/>
  <c r="BG34" i="1"/>
  <c r="BG41" i="1"/>
  <c r="BG43" i="1"/>
  <c r="BG39" i="1"/>
  <c r="BG40" i="1"/>
  <c r="BG42" i="1"/>
  <c r="BG36" i="1"/>
  <c r="BG37" i="1"/>
  <c r="BG33" i="1"/>
  <c r="BG32" i="1"/>
  <c r="BG31" i="1"/>
  <c r="BG29" i="1"/>
  <c r="BG27" i="1"/>
  <c r="BG26" i="1"/>
  <c r="BG25" i="1"/>
  <c r="BG21" i="1"/>
  <c r="BG22" i="1"/>
  <c r="BG24" i="1"/>
  <c r="BG23" i="1"/>
  <c r="BG20" i="1"/>
  <c r="BG17" i="1"/>
  <c r="BG19" i="1"/>
  <c r="BG18" i="1"/>
  <c r="BG15" i="1"/>
  <c r="BG14" i="1"/>
  <c r="BG13" i="1"/>
  <c r="BG16" i="1"/>
  <c r="BG12" i="1"/>
  <c r="BG11" i="1"/>
  <c r="BG10" i="1"/>
  <c r="BB88" i="1"/>
  <c r="BB87" i="1"/>
  <c r="BB84" i="1"/>
  <c r="BB83" i="1"/>
  <c r="BB82" i="1"/>
  <c r="BB81" i="1"/>
  <c r="BB80" i="1"/>
  <c r="BB79" i="1"/>
  <c r="BB78" i="1"/>
  <c r="BB77" i="1"/>
  <c r="BB64" i="1"/>
  <c r="BB60" i="1"/>
  <c r="BB63" i="1"/>
  <c r="BB62" i="1"/>
  <c r="BB59" i="1"/>
  <c r="BB65" i="1"/>
  <c r="BB57" i="1"/>
  <c r="BB56" i="1"/>
  <c r="BB54" i="1"/>
  <c r="BB52" i="1"/>
  <c r="BB51" i="1"/>
  <c r="BB53" i="1"/>
  <c r="BB50" i="1"/>
  <c r="BB46" i="1"/>
  <c r="BB49" i="1"/>
  <c r="BB48" i="1"/>
  <c r="BB47" i="1"/>
  <c r="BB34" i="1"/>
  <c r="BB41" i="1"/>
  <c r="BB43" i="1"/>
  <c r="BB39" i="1"/>
  <c r="BB40" i="1"/>
  <c r="BB42" i="1"/>
  <c r="BB36" i="1"/>
  <c r="BB37" i="1"/>
  <c r="BB33" i="1"/>
  <c r="BB32" i="1"/>
  <c r="BB31" i="1"/>
  <c r="BB29" i="1"/>
  <c r="BB27" i="1"/>
  <c r="BB26" i="1"/>
  <c r="BB25" i="1"/>
  <c r="BB21" i="1"/>
  <c r="BB22" i="1"/>
  <c r="BB24" i="1"/>
  <c r="BB23" i="1"/>
  <c r="BB20" i="1"/>
  <c r="BB17" i="1"/>
  <c r="BB19" i="1"/>
  <c r="BB18" i="1"/>
  <c r="BB15" i="1"/>
  <c r="BB14" i="1"/>
  <c r="BB13" i="1"/>
  <c r="BB16" i="1"/>
  <c r="BB12" i="1"/>
  <c r="BB11" i="1"/>
  <c r="BB10" i="1"/>
  <c r="AW77" i="1"/>
  <c r="AW78" i="1"/>
  <c r="AR88" i="1"/>
  <c r="AR87" i="1"/>
  <c r="AR84" i="1"/>
  <c r="AR83" i="1"/>
  <c r="AR82" i="1"/>
  <c r="AR81" i="1"/>
  <c r="AR80" i="1"/>
  <c r="AR79" i="1"/>
  <c r="AR78" i="1"/>
  <c r="AR77" i="1"/>
  <c r="AR64" i="1"/>
  <c r="AR60" i="1"/>
  <c r="AR63" i="1"/>
  <c r="AR62" i="1"/>
  <c r="AR59" i="1"/>
  <c r="AR65" i="1"/>
  <c r="AR57" i="1"/>
  <c r="AR56" i="1"/>
  <c r="AR54" i="1"/>
  <c r="AR52" i="1"/>
  <c r="AR51" i="1"/>
  <c r="AR53" i="1"/>
  <c r="AR50" i="1"/>
  <c r="AR46" i="1"/>
  <c r="AR49" i="1"/>
  <c r="AR48" i="1"/>
  <c r="AR47" i="1"/>
  <c r="AR34" i="1"/>
  <c r="AR41" i="1"/>
  <c r="AR43" i="1"/>
  <c r="AR39" i="1"/>
  <c r="AR40" i="1"/>
  <c r="AR42" i="1"/>
  <c r="AR36" i="1"/>
  <c r="AR37" i="1"/>
  <c r="AR27" i="1"/>
  <c r="AR26" i="1"/>
  <c r="AR25" i="1"/>
  <c r="AR21" i="1"/>
  <c r="AR22" i="1"/>
  <c r="AR24" i="1"/>
  <c r="AR23" i="1"/>
  <c r="AR20" i="1"/>
  <c r="AR17" i="1"/>
  <c r="AR19" i="1"/>
  <c r="AR18" i="1"/>
  <c r="AR15" i="1"/>
  <c r="AR14" i="1"/>
  <c r="AR13" i="1"/>
  <c r="AR16" i="1"/>
  <c r="AR12" i="1"/>
  <c r="AR11" i="1"/>
  <c r="AR10" i="1"/>
  <c r="BW78" i="1"/>
  <c r="AM78" i="1"/>
  <c r="AH78" i="1"/>
  <c r="AC78" i="1"/>
  <c r="AM88" i="1"/>
  <c r="AM87" i="1"/>
  <c r="AM84" i="1"/>
  <c r="AM83" i="1"/>
  <c r="AM82" i="1"/>
  <c r="AM81" i="1"/>
  <c r="AM80" i="1"/>
  <c r="AM79" i="1"/>
  <c r="AM77" i="1"/>
  <c r="AM64" i="1"/>
  <c r="AM60" i="1"/>
  <c r="AM63" i="1"/>
  <c r="AM62" i="1"/>
  <c r="AM59" i="1"/>
  <c r="AM65" i="1"/>
  <c r="AM57" i="1"/>
  <c r="AM56" i="1"/>
  <c r="AM54" i="1"/>
  <c r="AM52" i="1"/>
  <c r="AM51" i="1"/>
  <c r="AM53" i="1"/>
  <c r="AM50" i="1"/>
  <c r="AM46" i="1"/>
  <c r="AM49" i="1"/>
  <c r="AM48" i="1"/>
  <c r="AM47" i="1"/>
  <c r="AM34" i="1"/>
  <c r="AM41" i="1"/>
  <c r="AM43" i="1"/>
  <c r="AM39" i="1"/>
  <c r="AM40" i="1"/>
  <c r="AM42" i="1"/>
  <c r="AM36" i="1"/>
  <c r="AM37" i="1"/>
  <c r="AM27" i="1"/>
  <c r="AM26" i="1"/>
  <c r="AM25" i="1"/>
  <c r="AM21" i="1"/>
  <c r="AM22" i="1"/>
  <c r="AM24" i="1"/>
  <c r="AM23" i="1"/>
  <c r="AM20" i="1"/>
  <c r="AM17" i="1"/>
  <c r="AM19" i="1"/>
  <c r="AM18" i="1"/>
  <c r="AM15" i="1"/>
  <c r="AM14" i="1"/>
  <c r="AM13" i="1"/>
  <c r="AM16" i="1"/>
  <c r="AM12" i="1"/>
  <c r="AM11" i="1"/>
  <c r="AM10" i="1"/>
  <c r="AH88" i="1"/>
  <c r="AH87" i="1"/>
  <c r="AH84" i="1"/>
  <c r="AH83" i="1"/>
  <c r="AH82" i="1"/>
  <c r="AH81" i="1"/>
  <c r="AH80" i="1"/>
  <c r="AH79" i="1"/>
  <c r="AH77" i="1"/>
  <c r="AH64" i="1"/>
  <c r="AH60" i="1"/>
  <c r="AH63" i="1"/>
  <c r="AH62" i="1"/>
  <c r="AH59" i="1"/>
  <c r="AH65" i="1"/>
  <c r="AH57" i="1"/>
  <c r="AH56" i="1"/>
  <c r="AH54" i="1"/>
  <c r="AH52" i="1"/>
  <c r="AH51" i="1"/>
  <c r="AH53" i="1"/>
  <c r="AH50" i="1"/>
  <c r="AH46" i="1"/>
  <c r="AH49" i="1"/>
  <c r="AH48" i="1"/>
  <c r="AH47" i="1"/>
  <c r="AH41" i="1"/>
  <c r="AH43" i="1"/>
  <c r="AH39" i="1"/>
  <c r="AH40" i="1"/>
  <c r="AH42" i="1"/>
  <c r="AH36" i="1"/>
  <c r="AH37" i="1"/>
  <c r="AH29" i="1"/>
  <c r="AH27" i="1"/>
  <c r="AH26" i="1"/>
  <c r="AH25" i="1"/>
  <c r="AH21" i="1"/>
  <c r="AH22" i="1"/>
  <c r="AH24" i="1"/>
  <c r="AH23" i="1"/>
  <c r="AH20" i="1"/>
  <c r="AH17" i="1"/>
  <c r="AH19" i="1"/>
  <c r="AH18" i="1"/>
  <c r="AH15" i="1"/>
  <c r="AH14" i="1"/>
  <c r="AH13" i="1"/>
  <c r="AH16" i="1"/>
  <c r="AH12" i="1"/>
  <c r="AH11" i="1"/>
  <c r="AH10" i="1"/>
  <c r="AC88" i="1"/>
  <c r="AC84" i="1"/>
  <c r="AC83" i="1"/>
  <c r="AC82" i="1"/>
  <c r="AC81" i="1"/>
  <c r="AC80" i="1"/>
  <c r="AC79" i="1"/>
  <c r="AC77" i="1"/>
  <c r="AC64" i="1"/>
  <c r="AC60" i="1"/>
  <c r="AC63" i="1"/>
  <c r="AC62" i="1"/>
  <c r="AC59" i="1"/>
  <c r="AC65" i="1"/>
  <c r="AC57" i="1"/>
  <c r="AC56" i="1"/>
  <c r="AC54" i="1"/>
  <c r="AC52" i="1"/>
  <c r="AC51" i="1"/>
  <c r="AC53" i="1"/>
  <c r="AC50" i="1"/>
  <c r="AC46" i="1"/>
  <c r="AC49" i="1"/>
  <c r="AC48" i="1"/>
  <c r="AC47" i="1"/>
  <c r="AC34" i="1"/>
  <c r="AC39" i="1"/>
  <c r="AC40" i="1"/>
  <c r="AC42" i="1"/>
  <c r="AC36" i="1"/>
  <c r="AC37" i="1"/>
  <c r="AC27" i="1"/>
  <c r="AC26" i="1"/>
  <c r="AC25" i="1"/>
  <c r="AC21" i="1"/>
  <c r="AC22" i="1"/>
  <c r="AC24" i="1"/>
  <c r="AC23" i="1"/>
  <c r="AC20" i="1"/>
  <c r="AC17" i="1"/>
  <c r="AC19" i="1"/>
  <c r="AC18" i="1"/>
  <c r="AC15" i="1"/>
  <c r="AC14" i="1"/>
  <c r="AC13" i="1"/>
  <c r="AC16" i="1"/>
  <c r="AC12" i="1"/>
  <c r="AC11" i="1"/>
  <c r="AC10" i="1"/>
  <c r="X84" i="1"/>
  <c r="X83" i="1"/>
  <c r="X82" i="1"/>
  <c r="X81" i="1"/>
  <c r="X80" i="1"/>
  <c r="X79" i="1"/>
  <c r="X78" i="1"/>
  <c r="X77" i="1"/>
  <c r="X27" i="1"/>
  <c r="X26" i="1"/>
  <c r="X25" i="1"/>
  <c r="X21" i="1"/>
  <c r="X22" i="1"/>
  <c r="X24" i="1"/>
  <c r="X23" i="1"/>
  <c r="X20" i="1"/>
  <c r="X17" i="1"/>
  <c r="X19" i="1"/>
  <c r="X18" i="1"/>
  <c r="X15" i="1"/>
  <c r="X14" i="1"/>
  <c r="X13" i="1"/>
  <c r="X16" i="1"/>
  <c r="X12" i="1"/>
  <c r="X11" i="1"/>
  <c r="X10" i="1"/>
  <c r="V78" i="1"/>
  <c r="V84" i="1"/>
  <c r="V83" i="1"/>
  <c r="V82" i="1"/>
  <c r="V81" i="1"/>
  <c r="V80" i="1"/>
  <c r="V79" i="1"/>
  <c r="V77" i="1"/>
  <c r="V65" i="1"/>
  <c r="V64" i="1"/>
  <c r="V60" i="1"/>
  <c r="V63" i="1"/>
  <c r="V62" i="1"/>
  <c r="V59" i="1"/>
  <c r="V57" i="1"/>
  <c r="V56" i="1"/>
  <c r="V54" i="1"/>
  <c r="V50" i="1"/>
  <c r="V49" i="1"/>
  <c r="V47" i="1"/>
  <c r="V41" i="1"/>
  <c r="V43" i="1"/>
  <c r="V39" i="1"/>
  <c r="V40" i="1"/>
  <c r="V42" i="1"/>
  <c r="V36" i="1"/>
  <c r="V37" i="1"/>
  <c r="V29" i="1"/>
  <c r="V27" i="1"/>
  <c r="V26" i="1"/>
  <c r="V25" i="1"/>
  <c r="V21" i="1"/>
  <c r="V22" i="1"/>
  <c r="V24" i="1"/>
  <c r="V23" i="1"/>
  <c r="V20" i="1"/>
  <c r="V17" i="1"/>
  <c r="V19" i="1"/>
  <c r="V18" i="1"/>
  <c r="V15" i="1"/>
  <c r="V14" i="1"/>
  <c r="V13" i="1"/>
  <c r="V16" i="1"/>
  <c r="V12" i="1"/>
  <c r="V11" i="1"/>
  <c r="V10" i="1"/>
  <c r="U88" i="1"/>
  <c r="T88" i="1"/>
  <c r="S88" i="1"/>
  <c r="R88" i="1"/>
  <c r="Q88" i="1"/>
  <c r="P88" i="1"/>
  <c r="O88" i="1"/>
  <c r="T87" i="1"/>
  <c r="S87" i="1"/>
  <c r="R87" i="1"/>
  <c r="P87" i="1"/>
  <c r="O87" i="1"/>
  <c r="U85" i="1"/>
  <c r="T85" i="1"/>
  <c r="S85" i="1"/>
  <c r="R85" i="1"/>
  <c r="Q85" i="1"/>
  <c r="P85" i="1"/>
  <c r="O85" i="1"/>
  <c r="U84" i="1"/>
  <c r="T84" i="1"/>
  <c r="S84" i="1"/>
  <c r="R84" i="1"/>
  <c r="Q84" i="1"/>
  <c r="P84" i="1"/>
  <c r="O84" i="1"/>
  <c r="U83" i="1"/>
  <c r="T83" i="1"/>
  <c r="S83" i="1"/>
  <c r="R83" i="1"/>
  <c r="Q83" i="1"/>
  <c r="P83" i="1"/>
  <c r="O83" i="1"/>
  <c r="U82" i="1"/>
  <c r="T82" i="1"/>
  <c r="S82" i="1"/>
  <c r="R82" i="1"/>
  <c r="Q82" i="1"/>
  <c r="P82" i="1"/>
  <c r="O82" i="1"/>
  <c r="U81" i="1"/>
  <c r="T81" i="1"/>
  <c r="S81" i="1"/>
  <c r="R81" i="1"/>
  <c r="Q81" i="1"/>
  <c r="P81" i="1"/>
  <c r="O81" i="1"/>
  <c r="U80" i="1"/>
  <c r="T80" i="1"/>
  <c r="S80" i="1"/>
  <c r="R80" i="1"/>
  <c r="Q80" i="1"/>
  <c r="P80" i="1"/>
  <c r="O80" i="1"/>
  <c r="U79" i="1"/>
  <c r="T79" i="1"/>
  <c r="S79" i="1"/>
  <c r="R79" i="1"/>
  <c r="Q79" i="1"/>
  <c r="P79" i="1"/>
  <c r="O79" i="1"/>
  <c r="U78" i="1"/>
  <c r="T78" i="1"/>
  <c r="S78" i="1"/>
  <c r="R78" i="1"/>
  <c r="Q78" i="1"/>
  <c r="P78" i="1"/>
  <c r="O78" i="1"/>
  <c r="U77" i="1"/>
  <c r="T77" i="1"/>
  <c r="S77" i="1"/>
  <c r="R77" i="1"/>
  <c r="Q77" i="1"/>
  <c r="P77" i="1"/>
  <c r="O77" i="1"/>
  <c r="U64" i="1"/>
  <c r="T64" i="1"/>
  <c r="S64" i="1"/>
  <c r="R64" i="1"/>
  <c r="Q64" i="1"/>
  <c r="P64" i="1"/>
  <c r="U60" i="1"/>
  <c r="T60" i="1"/>
  <c r="S60" i="1"/>
  <c r="R60" i="1"/>
  <c r="Q60" i="1"/>
  <c r="P60" i="1"/>
  <c r="U63" i="1"/>
  <c r="T63" i="1"/>
  <c r="S63" i="1"/>
  <c r="R63" i="1"/>
  <c r="Q63" i="1"/>
  <c r="P63" i="1"/>
  <c r="U62" i="1"/>
  <c r="T62" i="1"/>
  <c r="S62" i="1"/>
  <c r="R62" i="1"/>
  <c r="Q62" i="1"/>
  <c r="P62" i="1"/>
  <c r="U59" i="1"/>
  <c r="T59" i="1"/>
  <c r="S59" i="1"/>
  <c r="R59" i="1"/>
  <c r="Q59" i="1"/>
  <c r="P59" i="1"/>
  <c r="U65" i="1"/>
  <c r="T65" i="1"/>
  <c r="S65" i="1"/>
  <c r="R65" i="1"/>
  <c r="Q65" i="1"/>
  <c r="P65" i="1"/>
  <c r="U57" i="1"/>
  <c r="T57" i="1"/>
  <c r="S57" i="1"/>
  <c r="R57" i="1"/>
  <c r="Q57" i="1"/>
  <c r="P57" i="1"/>
  <c r="U56" i="1"/>
  <c r="T56" i="1"/>
  <c r="S56" i="1"/>
  <c r="R56" i="1"/>
  <c r="Q56" i="1"/>
  <c r="P56" i="1"/>
  <c r="U54" i="1"/>
  <c r="S54" i="1"/>
  <c r="R54" i="1"/>
  <c r="Q54" i="1"/>
  <c r="P54" i="1"/>
  <c r="T52" i="1"/>
  <c r="R52" i="1"/>
  <c r="P52" i="1"/>
  <c r="U51" i="1"/>
  <c r="T51" i="1"/>
  <c r="S51" i="1"/>
  <c r="R51" i="1"/>
  <c r="P51" i="1"/>
  <c r="U53" i="1"/>
  <c r="T53" i="1"/>
  <c r="S53" i="1"/>
  <c r="R53" i="1"/>
  <c r="Q53" i="1"/>
  <c r="P53" i="1"/>
  <c r="U50" i="1"/>
  <c r="T50" i="1"/>
  <c r="R50" i="1"/>
  <c r="P50" i="1"/>
  <c r="U46" i="1"/>
  <c r="T46" i="1"/>
  <c r="S46" i="1"/>
  <c r="R46" i="1"/>
  <c r="Q46" i="1"/>
  <c r="P46" i="1"/>
  <c r="T49" i="1"/>
  <c r="R49" i="1"/>
  <c r="P49" i="1"/>
  <c r="U48" i="1"/>
  <c r="T48" i="1"/>
  <c r="S48" i="1"/>
  <c r="R48" i="1"/>
  <c r="P48" i="1"/>
  <c r="U34" i="1"/>
  <c r="T34" i="1"/>
  <c r="S34" i="1"/>
  <c r="R34" i="1"/>
  <c r="Q34" i="1"/>
  <c r="P34" i="1"/>
  <c r="U41" i="1"/>
  <c r="T41" i="1"/>
  <c r="S41" i="1"/>
  <c r="R41" i="1"/>
  <c r="Q41" i="1"/>
  <c r="P41" i="1"/>
  <c r="U43" i="1"/>
  <c r="T43" i="1"/>
  <c r="S43" i="1"/>
  <c r="R43" i="1"/>
  <c r="Q43" i="1"/>
  <c r="P43" i="1"/>
  <c r="U39" i="1"/>
  <c r="T39" i="1"/>
  <c r="S39" i="1"/>
  <c r="R39" i="1"/>
  <c r="Q39" i="1"/>
  <c r="P39" i="1"/>
  <c r="U40" i="1"/>
  <c r="T40" i="1"/>
  <c r="S40" i="1"/>
  <c r="R40" i="1"/>
  <c r="Q40" i="1"/>
  <c r="P40" i="1"/>
  <c r="U42" i="1"/>
  <c r="T42" i="1"/>
  <c r="S42" i="1"/>
  <c r="R42" i="1"/>
  <c r="Q42" i="1"/>
  <c r="P42" i="1"/>
  <c r="U36" i="1"/>
  <c r="T36" i="1"/>
  <c r="S36" i="1"/>
  <c r="R36" i="1"/>
  <c r="Q36" i="1"/>
  <c r="P36" i="1"/>
  <c r="U37" i="1"/>
  <c r="T37" i="1"/>
  <c r="S37" i="1"/>
  <c r="R37" i="1"/>
  <c r="Q37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28" i="1"/>
  <c r="T28" i="1"/>
  <c r="S28" i="1"/>
  <c r="R28" i="1"/>
  <c r="Q28" i="1"/>
  <c r="P28" i="1"/>
  <c r="U29" i="1"/>
  <c r="T29" i="1"/>
  <c r="S29" i="1"/>
  <c r="R29" i="1"/>
  <c r="Q29" i="1"/>
  <c r="P29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1" i="1"/>
  <c r="T21" i="1"/>
  <c r="S21" i="1"/>
  <c r="R21" i="1"/>
  <c r="Q21" i="1"/>
  <c r="P21" i="1"/>
  <c r="U22" i="1"/>
  <c r="T22" i="1"/>
  <c r="S22" i="1"/>
  <c r="R22" i="1"/>
  <c r="Q22" i="1"/>
  <c r="P22" i="1"/>
  <c r="U24" i="1"/>
  <c r="T24" i="1"/>
  <c r="S24" i="1"/>
  <c r="R24" i="1"/>
  <c r="Q24" i="1"/>
  <c r="P24" i="1"/>
  <c r="U23" i="1"/>
  <c r="T23" i="1"/>
  <c r="S23" i="1"/>
  <c r="R23" i="1"/>
  <c r="Q23" i="1"/>
  <c r="P23" i="1"/>
  <c r="U20" i="1"/>
  <c r="T20" i="1"/>
  <c r="S20" i="1"/>
  <c r="R20" i="1"/>
  <c r="Q20" i="1"/>
  <c r="P20" i="1"/>
  <c r="U17" i="1"/>
  <c r="T17" i="1"/>
  <c r="S17" i="1"/>
  <c r="R17" i="1"/>
  <c r="Q17" i="1"/>
  <c r="P17" i="1"/>
  <c r="U19" i="1"/>
  <c r="T19" i="1"/>
  <c r="S19" i="1"/>
  <c r="R19" i="1"/>
  <c r="Q19" i="1"/>
  <c r="P19" i="1"/>
  <c r="U18" i="1"/>
  <c r="T18" i="1"/>
  <c r="S18" i="1"/>
  <c r="R18" i="1"/>
  <c r="Q18" i="1"/>
  <c r="P18" i="1"/>
  <c r="U15" i="1"/>
  <c r="T15" i="1"/>
  <c r="S15" i="1"/>
  <c r="R15" i="1"/>
  <c r="Q15" i="1"/>
  <c r="P15" i="1"/>
  <c r="U14" i="1"/>
  <c r="T14" i="1"/>
  <c r="S14" i="1"/>
  <c r="R14" i="1"/>
  <c r="Q14" i="1"/>
  <c r="P14" i="1"/>
  <c r="U13" i="1"/>
  <c r="T13" i="1"/>
  <c r="S13" i="1"/>
  <c r="R13" i="1"/>
  <c r="Q13" i="1"/>
  <c r="P13" i="1"/>
  <c r="U16" i="1"/>
  <c r="T16" i="1"/>
  <c r="S16" i="1"/>
  <c r="R16" i="1"/>
  <c r="Q16" i="1"/>
  <c r="P16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O64" i="1"/>
  <c r="O60" i="1"/>
  <c r="O63" i="1"/>
  <c r="O62" i="1"/>
  <c r="O59" i="1"/>
  <c r="O65" i="1"/>
  <c r="O57" i="1"/>
  <c r="O56" i="1"/>
  <c r="O54" i="1"/>
  <c r="O52" i="1"/>
  <c r="O51" i="1"/>
  <c r="O53" i="1"/>
  <c r="O46" i="1"/>
  <c r="O49" i="1"/>
  <c r="O48" i="1"/>
  <c r="O34" i="1"/>
  <c r="O41" i="1"/>
  <c r="O43" i="1"/>
  <c r="O39" i="1"/>
  <c r="O40" i="1"/>
  <c r="O42" i="1"/>
  <c r="O36" i="1"/>
  <c r="O37" i="1"/>
  <c r="O33" i="1"/>
  <c r="O32" i="1"/>
  <c r="O31" i="1"/>
  <c r="O28" i="1"/>
  <c r="O29" i="1"/>
  <c r="O27" i="1"/>
  <c r="O26" i="1"/>
  <c r="O25" i="1"/>
  <c r="O21" i="1"/>
  <c r="O22" i="1"/>
  <c r="O24" i="1"/>
  <c r="O23" i="1"/>
  <c r="O20" i="1"/>
  <c r="O17" i="1"/>
  <c r="O19" i="1"/>
  <c r="O18" i="1"/>
  <c r="O15" i="1"/>
  <c r="O14" i="1"/>
  <c r="O13" i="1"/>
  <c r="O16" i="1"/>
  <c r="O12" i="1"/>
  <c r="O11" i="1"/>
  <c r="O10" i="1"/>
  <c r="S9" i="1"/>
  <c r="DP9" i="1"/>
  <c r="DJ9" i="1"/>
  <c r="DE9" i="1"/>
  <c r="CZ9" i="1"/>
  <c r="CU9" i="1"/>
  <c r="CP9" i="1"/>
  <c r="CK9" i="1"/>
  <c r="CF9" i="1"/>
  <c r="CA9" i="1"/>
  <c r="BV9" i="1"/>
  <c r="BQ9" i="1"/>
  <c r="BL9" i="1"/>
  <c r="BG9" i="1"/>
  <c r="BB9" i="1"/>
  <c r="AW9" i="1"/>
  <c r="AR9" i="1"/>
  <c r="AM9" i="1"/>
  <c r="AH9" i="1"/>
  <c r="AC9" i="1"/>
  <c r="X9" i="1"/>
  <c r="V9" i="1"/>
  <c r="U9" i="1"/>
  <c r="T9" i="1"/>
  <c r="R9" i="1"/>
  <c r="O9" i="1"/>
  <c r="Q9" i="1"/>
  <c r="P9" i="1"/>
  <c r="D68" i="1"/>
  <c r="D64" i="1"/>
  <c r="D60" i="1"/>
  <c r="D63" i="1"/>
  <c r="D62" i="1"/>
  <c r="F68" i="1"/>
  <c r="F64" i="1"/>
  <c r="F60" i="1"/>
  <c r="F63" i="1"/>
  <c r="F62" i="1"/>
  <c r="F59" i="1"/>
  <c r="F65" i="1"/>
  <c r="F57" i="1"/>
  <c r="F56" i="1"/>
  <c r="D59" i="1"/>
  <c r="DP77" i="1"/>
  <c r="H68" i="1"/>
  <c r="DQ64" i="1"/>
  <c r="DK64" i="1"/>
  <c r="BW64" i="1"/>
  <c r="BM64" i="1"/>
  <c r="BH64" i="1"/>
  <c r="BC64" i="1"/>
  <c r="AX64" i="1"/>
  <c r="AS64" i="1"/>
  <c r="AN64" i="1"/>
  <c r="AI64" i="1"/>
  <c r="AD64" i="1"/>
  <c r="Y64" i="1"/>
  <c r="N64" i="1"/>
  <c r="DO64" i="1" s="1"/>
  <c r="M64" i="1"/>
  <c r="L64" i="1" s="1"/>
  <c r="I64" i="1"/>
  <c r="H64" i="1"/>
  <c r="DQ60" i="1"/>
  <c r="DK60" i="1"/>
  <c r="BW60" i="1"/>
  <c r="BM60" i="1"/>
  <c r="BH60" i="1"/>
  <c r="BC60" i="1"/>
  <c r="AX60" i="1"/>
  <c r="AS60" i="1"/>
  <c r="AN60" i="1"/>
  <c r="AI60" i="1"/>
  <c r="AD60" i="1"/>
  <c r="Y60" i="1"/>
  <c r="N60" i="1"/>
  <c r="DO60" i="1" s="1"/>
  <c r="M60" i="1"/>
  <c r="L60" i="1" s="1"/>
  <c r="I60" i="1"/>
  <c r="H60" i="1"/>
  <c r="DQ63" i="1"/>
  <c r="DK63" i="1"/>
  <c r="BW63" i="1"/>
  <c r="BM63" i="1"/>
  <c r="BH63" i="1"/>
  <c r="BC63" i="1"/>
  <c r="AX63" i="1"/>
  <c r="AS63" i="1"/>
  <c r="AN63" i="1"/>
  <c r="AI63" i="1"/>
  <c r="AD63" i="1"/>
  <c r="Y63" i="1"/>
  <c r="N63" i="1"/>
  <c r="DO63" i="1" s="1"/>
  <c r="M63" i="1"/>
  <c r="L63" i="1" s="1"/>
  <c r="I63" i="1"/>
  <c r="H63" i="1"/>
  <c r="DQ62" i="1"/>
  <c r="DK62" i="1"/>
  <c r="BW62" i="1"/>
  <c r="BM62" i="1"/>
  <c r="BH62" i="1"/>
  <c r="BC62" i="1"/>
  <c r="AX62" i="1"/>
  <c r="AS62" i="1"/>
  <c r="AN62" i="1"/>
  <c r="AI62" i="1"/>
  <c r="AD62" i="1"/>
  <c r="Y62" i="1"/>
  <c r="N62" i="1"/>
  <c r="DO62" i="1" s="1"/>
  <c r="M62" i="1"/>
  <c r="L62" i="1" s="1"/>
  <c r="I62" i="1"/>
  <c r="H62" i="1"/>
  <c r="DQ59" i="1"/>
  <c r="DK59" i="1"/>
  <c r="BW59" i="1"/>
  <c r="BM59" i="1"/>
  <c r="BH59" i="1"/>
  <c r="BC59" i="1"/>
  <c r="AX59" i="1"/>
  <c r="AS59" i="1"/>
  <c r="AN59" i="1"/>
  <c r="AI59" i="1"/>
  <c r="AD59" i="1"/>
  <c r="Y59" i="1"/>
  <c r="N59" i="1"/>
  <c r="DO59" i="1" s="1"/>
  <c r="M59" i="1"/>
  <c r="L59" i="1" s="1"/>
  <c r="I59" i="1"/>
  <c r="H59" i="1"/>
  <c r="DP29" i="1"/>
  <c r="DP27" i="1"/>
  <c r="DP26" i="1"/>
  <c r="DP25" i="1"/>
  <c r="DP21" i="1"/>
  <c r="DP22" i="1"/>
  <c r="DP10" i="1"/>
  <c r="DP11" i="1"/>
  <c r="DP12" i="1"/>
  <c r="DP16" i="1"/>
  <c r="DP13" i="1"/>
  <c r="DP14" i="1"/>
  <c r="DP15" i="1"/>
  <c r="DP18" i="1"/>
  <c r="DP19" i="1"/>
  <c r="DP17" i="1"/>
  <c r="DP20" i="1"/>
  <c r="DP24" i="1"/>
  <c r="DP23" i="1"/>
  <c r="DQ34" i="1"/>
  <c r="DK34" i="1"/>
  <c r="BW34" i="1"/>
  <c r="BM34" i="1"/>
  <c r="BH34" i="1"/>
  <c r="BC34" i="1"/>
  <c r="AX34" i="1"/>
  <c r="AS34" i="1"/>
  <c r="AN34" i="1"/>
  <c r="AI34" i="1"/>
  <c r="AD34" i="1"/>
  <c r="Y34" i="1"/>
  <c r="N34" i="1"/>
  <c r="DO34" i="1" s="1"/>
  <c r="M34" i="1"/>
  <c r="L34" i="1" s="1"/>
  <c r="I34" i="1"/>
  <c r="H34" i="1"/>
  <c r="F34" i="1"/>
  <c r="DQ57" i="1"/>
  <c r="DK57" i="1"/>
  <c r="BW57" i="1"/>
  <c r="BM57" i="1"/>
  <c r="BH57" i="1"/>
  <c r="BC57" i="1"/>
  <c r="AX57" i="1"/>
  <c r="AS57" i="1"/>
  <c r="AN57" i="1"/>
  <c r="AI57" i="1"/>
  <c r="AD57" i="1"/>
  <c r="Y57" i="1"/>
  <c r="N57" i="1"/>
  <c r="DO57" i="1" s="1"/>
  <c r="M57" i="1"/>
  <c r="L57" i="1" s="1"/>
  <c r="I57" i="1"/>
  <c r="H57" i="1"/>
  <c r="DQ56" i="1"/>
  <c r="DK56" i="1"/>
  <c r="BW56" i="1"/>
  <c r="BM56" i="1"/>
  <c r="BH56" i="1"/>
  <c r="BC56" i="1"/>
  <c r="AX56" i="1"/>
  <c r="AS56" i="1"/>
  <c r="AN56" i="1"/>
  <c r="AI56" i="1"/>
  <c r="AD56" i="1"/>
  <c r="Y56" i="1"/>
  <c r="N56" i="1"/>
  <c r="DO56" i="1" s="1"/>
  <c r="M56" i="1"/>
  <c r="I56" i="1"/>
  <c r="H56" i="1"/>
  <c r="DQ65" i="1"/>
  <c r="DK65" i="1"/>
  <c r="BW65" i="1"/>
  <c r="BM65" i="1"/>
  <c r="BH65" i="1"/>
  <c r="BC65" i="1"/>
  <c r="AX65" i="1"/>
  <c r="AS65" i="1"/>
  <c r="AN65" i="1"/>
  <c r="AI65" i="1"/>
  <c r="AD65" i="1"/>
  <c r="Y65" i="1"/>
  <c r="N65" i="1"/>
  <c r="DO65" i="1" s="1"/>
  <c r="M65" i="1"/>
  <c r="L65" i="1" s="1"/>
  <c r="I65" i="1"/>
  <c r="H65" i="1"/>
  <c r="N88" i="1"/>
  <c r="M88" i="1"/>
  <c r="DS88" i="1"/>
  <c r="I88" i="1"/>
  <c r="F88" i="1"/>
  <c r="DQ87" i="1"/>
  <c r="DK87" i="1"/>
  <c r="BW87" i="1"/>
  <c r="BM87" i="1"/>
  <c r="BH87" i="1"/>
  <c r="BC87" i="1"/>
  <c r="AX87" i="1"/>
  <c r="AW87" i="1"/>
  <c r="AS87" i="1"/>
  <c r="AN87" i="1"/>
  <c r="AI87" i="1"/>
  <c r="AD87" i="1"/>
  <c r="Y87" i="1"/>
  <c r="N87" i="1"/>
  <c r="M87" i="1"/>
  <c r="I87" i="1"/>
  <c r="F87" i="1"/>
  <c r="DQ52" i="1"/>
  <c r="DK52" i="1"/>
  <c r="BW52" i="1"/>
  <c r="BM52" i="1"/>
  <c r="BH52" i="1"/>
  <c r="BC52" i="1"/>
  <c r="AX52" i="1"/>
  <c r="AS52" i="1"/>
  <c r="AN52" i="1"/>
  <c r="AI52" i="1"/>
  <c r="AD52" i="1"/>
  <c r="Y52" i="1"/>
  <c r="N52" i="1"/>
  <c r="DO52" i="1" s="1"/>
  <c r="M52" i="1"/>
  <c r="L52" i="1" s="1"/>
  <c r="I52" i="1"/>
  <c r="H52" i="1"/>
  <c r="F52" i="1"/>
  <c r="DQ51" i="1"/>
  <c r="DK51" i="1"/>
  <c r="BW51" i="1"/>
  <c r="BM51" i="1"/>
  <c r="BH51" i="1"/>
  <c r="BC51" i="1"/>
  <c r="AX51" i="1"/>
  <c r="AS51" i="1"/>
  <c r="AN51" i="1"/>
  <c r="AI51" i="1"/>
  <c r="AD51" i="1"/>
  <c r="Y51" i="1"/>
  <c r="N51" i="1"/>
  <c r="DO51" i="1" s="1"/>
  <c r="M51" i="1"/>
  <c r="L51" i="1" s="1"/>
  <c r="I51" i="1"/>
  <c r="H51" i="1"/>
  <c r="F51" i="1"/>
  <c r="DQ50" i="1"/>
  <c r="DK50" i="1"/>
  <c r="BW50" i="1"/>
  <c r="BM50" i="1"/>
  <c r="BH50" i="1"/>
  <c r="BC50" i="1"/>
  <c r="AX50" i="1"/>
  <c r="AS50" i="1"/>
  <c r="AN50" i="1"/>
  <c r="AI50" i="1"/>
  <c r="AD50" i="1"/>
  <c r="Y50" i="1"/>
  <c r="M50" i="1"/>
  <c r="L50" i="1" s="1"/>
  <c r="I50" i="1"/>
  <c r="H50" i="1"/>
  <c r="F50" i="1"/>
  <c r="DQ46" i="1"/>
  <c r="DK46" i="1"/>
  <c r="BW46" i="1"/>
  <c r="BM46" i="1"/>
  <c r="BH46" i="1"/>
  <c r="BC46" i="1"/>
  <c r="AX46" i="1"/>
  <c r="AS46" i="1"/>
  <c r="AN46" i="1"/>
  <c r="AI46" i="1"/>
  <c r="AD46" i="1"/>
  <c r="Y46" i="1"/>
  <c r="DO46" i="1"/>
  <c r="M46" i="1"/>
  <c r="L46" i="1" s="1"/>
  <c r="I46" i="1"/>
  <c r="H46" i="1"/>
  <c r="F46" i="1"/>
  <c r="DQ49" i="1"/>
  <c r="DK49" i="1"/>
  <c r="BW49" i="1"/>
  <c r="BM49" i="1"/>
  <c r="BH49" i="1"/>
  <c r="BC49" i="1"/>
  <c r="AX49" i="1"/>
  <c r="AS49" i="1"/>
  <c r="AN49" i="1"/>
  <c r="AI49" i="1"/>
  <c r="AD49" i="1"/>
  <c r="Y49" i="1"/>
  <c r="M49" i="1"/>
  <c r="L49" i="1" s="1"/>
  <c r="I49" i="1"/>
  <c r="H49" i="1"/>
  <c r="F49" i="1"/>
  <c r="DQ48" i="1"/>
  <c r="DK48" i="1"/>
  <c r="BW48" i="1"/>
  <c r="BM48" i="1"/>
  <c r="BH48" i="1"/>
  <c r="BC48" i="1"/>
  <c r="AX48" i="1"/>
  <c r="AS48" i="1"/>
  <c r="AN48" i="1"/>
  <c r="AI48" i="1"/>
  <c r="AD48" i="1"/>
  <c r="Y48" i="1"/>
  <c r="M48" i="1"/>
  <c r="L48" i="1" s="1"/>
  <c r="I48" i="1"/>
  <c r="H48" i="1"/>
  <c r="F48" i="1"/>
  <c r="DQ47" i="1"/>
  <c r="DK47" i="1"/>
  <c r="BW47" i="1"/>
  <c r="BM47" i="1"/>
  <c r="BH47" i="1"/>
  <c r="BC47" i="1"/>
  <c r="AX47" i="1"/>
  <c r="AS47" i="1"/>
  <c r="AN47" i="1"/>
  <c r="AI47" i="1"/>
  <c r="AD47" i="1"/>
  <c r="Y47" i="1"/>
  <c r="N47" i="1"/>
  <c r="DO47" i="1" s="1"/>
  <c r="M47" i="1"/>
  <c r="L47" i="1" s="1"/>
  <c r="I47" i="1"/>
  <c r="H47" i="1"/>
  <c r="F47" i="1"/>
  <c r="DQ41" i="1"/>
  <c r="DK41" i="1"/>
  <c r="BW41" i="1"/>
  <c r="BM41" i="1"/>
  <c r="BH41" i="1"/>
  <c r="BC41" i="1"/>
  <c r="AX41" i="1"/>
  <c r="AS41" i="1"/>
  <c r="AN41" i="1"/>
  <c r="AI41" i="1"/>
  <c r="AD41" i="1"/>
  <c r="Y41" i="1"/>
  <c r="N41" i="1"/>
  <c r="DO41" i="1" s="1"/>
  <c r="M41" i="1"/>
  <c r="L41" i="1" s="1"/>
  <c r="I41" i="1"/>
  <c r="H41" i="1"/>
  <c r="F41" i="1"/>
  <c r="DQ43" i="1"/>
  <c r="DK43" i="1"/>
  <c r="BW43" i="1"/>
  <c r="BM43" i="1"/>
  <c r="BH43" i="1"/>
  <c r="BC43" i="1"/>
  <c r="AX43" i="1"/>
  <c r="AS43" i="1"/>
  <c r="AN43" i="1"/>
  <c r="AI43" i="1"/>
  <c r="AD43" i="1"/>
  <c r="Y43" i="1"/>
  <c r="N43" i="1"/>
  <c r="DO43" i="1" s="1"/>
  <c r="M43" i="1"/>
  <c r="L43" i="1" s="1"/>
  <c r="I43" i="1"/>
  <c r="H43" i="1"/>
  <c r="F43" i="1"/>
  <c r="DQ39" i="1"/>
  <c r="DK39" i="1"/>
  <c r="BW39" i="1"/>
  <c r="BM39" i="1"/>
  <c r="BH39" i="1"/>
  <c r="BC39" i="1"/>
  <c r="AX39" i="1"/>
  <c r="AS39" i="1"/>
  <c r="AN39" i="1"/>
  <c r="AI39" i="1"/>
  <c r="AD39" i="1"/>
  <c r="Y39" i="1"/>
  <c r="N39" i="1"/>
  <c r="DO39" i="1" s="1"/>
  <c r="M39" i="1"/>
  <c r="L39" i="1" s="1"/>
  <c r="I39" i="1"/>
  <c r="H39" i="1"/>
  <c r="F39" i="1"/>
  <c r="DQ40" i="1"/>
  <c r="DK40" i="1"/>
  <c r="BW40" i="1"/>
  <c r="BM40" i="1"/>
  <c r="BH40" i="1"/>
  <c r="BC40" i="1"/>
  <c r="AX40" i="1"/>
  <c r="AS40" i="1"/>
  <c r="AN40" i="1"/>
  <c r="AI40" i="1"/>
  <c r="AD40" i="1"/>
  <c r="Y40" i="1"/>
  <c r="N40" i="1"/>
  <c r="DO40" i="1" s="1"/>
  <c r="M40" i="1"/>
  <c r="L40" i="1" s="1"/>
  <c r="I40" i="1"/>
  <c r="H40" i="1"/>
  <c r="F40" i="1"/>
  <c r="DQ42" i="1"/>
  <c r="DK42" i="1"/>
  <c r="BW42" i="1"/>
  <c r="BM42" i="1"/>
  <c r="BH42" i="1"/>
  <c r="BC42" i="1"/>
  <c r="AX42" i="1"/>
  <c r="AS42" i="1"/>
  <c r="AN42" i="1"/>
  <c r="AI42" i="1"/>
  <c r="AD42" i="1"/>
  <c r="Y42" i="1"/>
  <c r="N42" i="1"/>
  <c r="DO42" i="1" s="1"/>
  <c r="M42" i="1"/>
  <c r="L42" i="1" s="1"/>
  <c r="I42" i="1"/>
  <c r="H42" i="1"/>
  <c r="F42" i="1"/>
  <c r="DQ53" i="1"/>
  <c r="DK53" i="1"/>
  <c r="BW53" i="1"/>
  <c r="BM53" i="1"/>
  <c r="BH53" i="1"/>
  <c r="BC53" i="1"/>
  <c r="AX53" i="1"/>
  <c r="AS53" i="1"/>
  <c r="AN53" i="1"/>
  <c r="AI53" i="1"/>
  <c r="AD53" i="1"/>
  <c r="Y53" i="1"/>
  <c r="N53" i="1"/>
  <c r="DO53" i="1" s="1"/>
  <c r="M53" i="1"/>
  <c r="L53" i="1" s="1"/>
  <c r="I53" i="1"/>
  <c r="H53" i="1"/>
  <c r="F53" i="1"/>
  <c r="DQ54" i="1"/>
  <c r="DK54" i="1"/>
  <c r="BW54" i="1"/>
  <c r="BM54" i="1"/>
  <c r="BH54" i="1"/>
  <c r="BC54" i="1"/>
  <c r="AX54" i="1"/>
  <c r="AS54" i="1"/>
  <c r="AN54" i="1"/>
  <c r="AI54" i="1"/>
  <c r="AD54" i="1"/>
  <c r="Y54" i="1"/>
  <c r="N54" i="1"/>
  <c r="DO54" i="1" s="1"/>
  <c r="M54" i="1"/>
  <c r="L54" i="1" s="1"/>
  <c r="I54" i="1"/>
  <c r="H54" i="1"/>
  <c r="F54" i="1"/>
  <c r="DQ29" i="1"/>
  <c r="DK29" i="1"/>
  <c r="BW29" i="1"/>
  <c r="BM29" i="1"/>
  <c r="BH29" i="1"/>
  <c r="BC29" i="1"/>
  <c r="AX29" i="1"/>
  <c r="AS29" i="1"/>
  <c r="AN29" i="1"/>
  <c r="AI29" i="1"/>
  <c r="AD29" i="1"/>
  <c r="Y29" i="1"/>
  <c r="N29" i="1"/>
  <c r="DO29" i="1" s="1"/>
  <c r="M29" i="1"/>
  <c r="L29" i="1" s="1"/>
  <c r="I29" i="1"/>
  <c r="H29" i="1"/>
  <c r="F29" i="1"/>
  <c r="F36" i="1"/>
  <c r="H36" i="1"/>
  <c r="I36" i="1"/>
  <c r="M36" i="1"/>
  <c r="L36" i="1" s="1"/>
  <c r="N36" i="1"/>
  <c r="DO36" i="1" s="1"/>
  <c r="Y36" i="1"/>
  <c r="AD36" i="1"/>
  <c r="AI36" i="1"/>
  <c r="AN36" i="1"/>
  <c r="AS36" i="1"/>
  <c r="AX36" i="1"/>
  <c r="BC36" i="1"/>
  <c r="BH36" i="1"/>
  <c r="BM36" i="1"/>
  <c r="BW36" i="1"/>
  <c r="DK36" i="1"/>
  <c r="DQ36" i="1"/>
  <c r="DQ37" i="1"/>
  <c r="DK37" i="1"/>
  <c r="F37" i="1"/>
  <c r="H37" i="1"/>
  <c r="I37" i="1"/>
  <c r="M37" i="1"/>
  <c r="L37" i="1" s="1"/>
  <c r="Y37" i="1"/>
  <c r="AD37" i="1"/>
  <c r="AI37" i="1"/>
  <c r="AN37" i="1"/>
  <c r="AS37" i="1"/>
  <c r="AX37" i="1"/>
  <c r="BC37" i="1"/>
  <c r="BH37" i="1"/>
  <c r="BM37" i="1"/>
  <c r="BW37" i="1"/>
  <c r="DU61" i="2"/>
  <c r="DP61" i="2"/>
  <c r="DJ61" i="2"/>
  <c r="DI61" i="2"/>
  <c r="DE61" i="2"/>
  <c r="DD61" i="2"/>
  <c r="CZ61" i="2"/>
  <c r="CY61" i="2"/>
  <c r="CU61" i="2"/>
  <c r="CT61" i="2"/>
  <c r="CP61" i="2"/>
  <c r="CO61" i="2"/>
  <c r="CJ61" i="2"/>
  <c r="CF61" i="2"/>
  <c r="CE61" i="2"/>
  <c r="CA61" i="2"/>
  <c r="BZ61" i="2"/>
  <c r="BV61" i="2"/>
  <c r="BU61" i="2"/>
  <c r="BQ61" i="2"/>
  <c r="BP61" i="2"/>
  <c r="BL61" i="2"/>
  <c r="BK61" i="2"/>
  <c r="BG61" i="2"/>
  <c r="BF61" i="2"/>
  <c r="BB61" i="2"/>
  <c r="BA61" i="2"/>
  <c r="AW61" i="2"/>
  <c r="AV61" i="2"/>
  <c r="AR61" i="2"/>
  <c r="AQ61" i="2"/>
  <c r="AM61" i="2"/>
  <c r="AL61" i="2"/>
  <c r="AH61" i="2"/>
  <c r="AG61" i="2"/>
  <c r="AC61" i="2"/>
  <c r="AB61" i="2"/>
  <c r="X61" i="2"/>
  <c r="W61" i="2"/>
  <c r="T61" i="2"/>
  <c r="S61" i="2"/>
  <c r="R61" i="2"/>
  <c r="Q61" i="2"/>
  <c r="P61" i="2"/>
  <c r="O61" i="2"/>
  <c r="N61" i="2"/>
  <c r="M61" i="2"/>
  <c r="DN61" i="2" s="1"/>
  <c r="L61" i="2"/>
  <c r="H61" i="2"/>
  <c r="G61" i="2"/>
  <c r="E61" i="2"/>
  <c r="DU60" i="2"/>
  <c r="DP60" i="2"/>
  <c r="DJ60" i="2"/>
  <c r="DI60" i="2"/>
  <c r="DE60" i="2"/>
  <c r="DD60" i="2"/>
  <c r="CZ60" i="2"/>
  <c r="CY60" i="2"/>
  <c r="CU60" i="2"/>
  <c r="CT60" i="2"/>
  <c r="CP60" i="2"/>
  <c r="CO60" i="2"/>
  <c r="CJ60" i="2"/>
  <c r="CF60" i="2"/>
  <c r="CE60" i="2"/>
  <c r="CA60" i="2"/>
  <c r="BZ60" i="2"/>
  <c r="BV60" i="2"/>
  <c r="BU60" i="2"/>
  <c r="BQ60" i="2"/>
  <c r="BP60" i="2"/>
  <c r="BL60" i="2"/>
  <c r="BK60" i="2"/>
  <c r="BG60" i="2"/>
  <c r="BF60" i="2"/>
  <c r="BB60" i="2"/>
  <c r="BA60" i="2"/>
  <c r="AW60" i="2"/>
  <c r="AV60" i="2"/>
  <c r="AR60" i="2"/>
  <c r="AQ60" i="2"/>
  <c r="AM60" i="2"/>
  <c r="AL60" i="2"/>
  <c r="AH60" i="2"/>
  <c r="AG60" i="2"/>
  <c r="AC60" i="2"/>
  <c r="AB60" i="2"/>
  <c r="X60" i="2"/>
  <c r="W60" i="2"/>
  <c r="T60" i="2"/>
  <c r="S60" i="2"/>
  <c r="R60" i="2"/>
  <c r="Q60" i="2"/>
  <c r="P60" i="2"/>
  <c r="O60" i="2"/>
  <c r="N60" i="2"/>
  <c r="M60" i="2"/>
  <c r="DN60" i="2" s="1"/>
  <c r="L60" i="2"/>
  <c r="H60" i="2"/>
  <c r="G60" i="2"/>
  <c r="E60" i="2"/>
  <c r="DU59" i="2"/>
  <c r="DP59" i="2"/>
  <c r="DJ59" i="2"/>
  <c r="DI59" i="2"/>
  <c r="DE59" i="2"/>
  <c r="DD59" i="2"/>
  <c r="CZ59" i="2"/>
  <c r="CY59" i="2"/>
  <c r="CU59" i="2"/>
  <c r="CT59" i="2"/>
  <c r="CP59" i="2"/>
  <c r="CO59" i="2"/>
  <c r="CJ59" i="2"/>
  <c r="CF59" i="2"/>
  <c r="CE59" i="2"/>
  <c r="CA59" i="2"/>
  <c r="BZ59" i="2"/>
  <c r="BV59" i="2"/>
  <c r="BU59" i="2"/>
  <c r="BQ59" i="2"/>
  <c r="BP59" i="2"/>
  <c r="BL59" i="2"/>
  <c r="BK59" i="2"/>
  <c r="BG59" i="2"/>
  <c r="BF59" i="2"/>
  <c r="BB59" i="2"/>
  <c r="BA59" i="2"/>
  <c r="AW59" i="2"/>
  <c r="AV59" i="2"/>
  <c r="AR59" i="2"/>
  <c r="AQ59" i="2"/>
  <c r="AM59" i="2"/>
  <c r="AL59" i="2"/>
  <c r="AH59" i="2"/>
  <c r="AG59" i="2"/>
  <c r="AC59" i="2"/>
  <c r="AB59" i="2"/>
  <c r="X59" i="2"/>
  <c r="W59" i="2"/>
  <c r="T59" i="2"/>
  <c r="S59" i="2"/>
  <c r="R59" i="2"/>
  <c r="Q59" i="2"/>
  <c r="P59" i="2"/>
  <c r="O59" i="2"/>
  <c r="N59" i="2"/>
  <c r="M59" i="2"/>
  <c r="DN59" i="2" s="1"/>
  <c r="L59" i="2"/>
  <c r="H59" i="2"/>
  <c r="G59" i="2"/>
  <c r="E59" i="2"/>
  <c r="DU58" i="2"/>
  <c r="DP58" i="2"/>
  <c r="DJ58" i="2"/>
  <c r="DI58" i="2"/>
  <c r="DE58" i="2"/>
  <c r="DD58" i="2"/>
  <c r="CZ58" i="2"/>
  <c r="CY58" i="2"/>
  <c r="CU58" i="2"/>
  <c r="CT58" i="2"/>
  <c r="CP58" i="2"/>
  <c r="CO58" i="2"/>
  <c r="CJ58" i="2"/>
  <c r="CF58" i="2"/>
  <c r="CE58" i="2"/>
  <c r="CA58" i="2"/>
  <c r="BZ58" i="2"/>
  <c r="BV58" i="2"/>
  <c r="BU58" i="2"/>
  <c r="BQ58" i="2"/>
  <c r="BP58" i="2"/>
  <c r="BL58" i="2"/>
  <c r="BK58" i="2"/>
  <c r="BG58" i="2"/>
  <c r="BF58" i="2"/>
  <c r="BB58" i="2"/>
  <c r="BA58" i="2"/>
  <c r="AW58" i="2"/>
  <c r="AV58" i="2"/>
  <c r="AR58" i="2"/>
  <c r="AQ58" i="2"/>
  <c r="AM58" i="2"/>
  <c r="AL58" i="2"/>
  <c r="AH58" i="2"/>
  <c r="AG58" i="2"/>
  <c r="AC58" i="2"/>
  <c r="AB58" i="2"/>
  <c r="X58" i="2"/>
  <c r="W58" i="2"/>
  <c r="T58" i="2"/>
  <c r="S58" i="2"/>
  <c r="R58" i="2"/>
  <c r="Q58" i="2"/>
  <c r="P58" i="2"/>
  <c r="O58" i="2"/>
  <c r="N58" i="2"/>
  <c r="M58" i="2"/>
  <c r="DN58" i="2" s="1"/>
  <c r="L58" i="2"/>
  <c r="H58" i="2"/>
  <c r="G58" i="2"/>
  <c r="E58" i="2"/>
  <c r="DU57" i="2"/>
  <c r="DQ57" i="2"/>
  <c r="DP57" i="2"/>
  <c r="DJ57" i="2"/>
  <c r="DI57" i="2"/>
  <c r="DH57" i="2"/>
  <c r="DE57" i="2"/>
  <c r="DD57" i="2"/>
  <c r="DC57" i="2"/>
  <c r="CZ57" i="2"/>
  <c r="CY57" i="2"/>
  <c r="CX57" i="2"/>
  <c r="CU57" i="2"/>
  <c r="CT57" i="2"/>
  <c r="CS57" i="2"/>
  <c r="CP57" i="2"/>
  <c r="CO57" i="2"/>
  <c r="CN57" i="2"/>
  <c r="CJ57" i="2"/>
  <c r="CI57" i="2"/>
  <c r="CF57" i="2"/>
  <c r="CE57" i="2"/>
  <c r="CD57" i="2"/>
  <c r="CA57" i="2"/>
  <c r="BZ57" i="2"/>
  <c r="BY57" i="2"/>
  <c r="BV57" i="2"/>
  <c r="BU57" i="2"/>
  <c r="BT57" i="2"/>
  <c r="BQ57" i="2"/>
  <c r="BP57" i="2"/>
  <c r="BO57" i="2"/>
  <c r="BL57" i="2"/>
  <c r="BK57" i="2"/>
  <c r="BJ57" i="2"/>
  <c r="BG57" i="2"/>
  <c r="BF57" i="2"/>
  <c r="BE57" i="2"/>
  <c r="BB57" i="2"/>
  <c r="BA57" i="2"/>
  <c r="AZ57" i="2"/>
  <c r="AW57" i="2"/>
  <c r="AV57" i="2"/>
  <c r="AU57" i="2"/>
  <c r="AR57" i="2"/>
  <c r="AQ57" i="2"/>
  <c r="AP57" i="2"/>
  <c r="AM57" i="2"/>
  <c r="AL57" i="2"/>
  <c r="AK57" i="2"/>
  <c r="AH57" i="2"/>
  <c r="AG57" i="2"/>
  <c r="AF57" i="2"/>
  <c r="AC57" i="2"/>
  <c r="AB57" i="2"/>
  <c r="AA57" i="2"/>
  <c r="X57" i="2"/>
  <c r="W57" i="2"/>
  <c r="V57" i="2"/>
  <c r="T57" i="2"/>
  <c r="S57" i="2"/>
  <c r="R57" i="2"/>
  <c r="Q57" i="2"/>
  <c r="P57" i="2"/>
  <c r="O57" i="2"/>
  <c r="N57" i="2"/>
  <c r="M57" i="2"/>
  <c r="U57" i="2" s="1"/>
  <c r="L57" i="2"/>
  <c r="H57" i="2"/>
  <c r="G57" i="2"/>
  <c r="E57" i="2"/>
  <c r="DP56" i="2"/>
  <c r="DJ56" i="2"/>
  <c r="DI56" i="2"/>
  <c r="DE56" i="2"/>
  <c r="DD56" i="2"/>
  <c r="CZ56" i="2"/>
  <c r="CY56" i="2"/>
  <c r="CU56" i="2"/>
  <c r="CT56" i="2"/>
  <c r="CP56" i="2"/>
  <c r="CO56" i="2"/>
  <c r="CJ56" i="2"/>
  <c r="CF56" i="2"/>
  <c r="CE56" i="2"/>
  <c r="CA56" i="2"/>
  <c r="BZ56" i="2"/>
  <c r="BV56" i="2"/>
  <c r="BU56" i="2"/>
  <c r="BQ56" i="2"/>
  <c r="BP56" i="2"/>
  <c r="BL56" i="2"/>
  <c r="BK56" i="2"/>
  <c r="BG56" i="2"/>
  <c r="BF56" i="2"/>
  <c r="BB56" i="2"/>
  <c r="BA56" i="2"/>
  <c r="AW56" i="2"/>
  <c r="AV56" i="2"/>
  <c r="AR56" i="2"/>
  <c r="AQ56" i="2"/>
  <c r="AM56" i="2"/>
  <c r="AL56" i="2"/>
  <c r="AH56" i="2"/>
  <c r="AG56" i="2"/>
  <c r="AC56" i="2"/>
  <c r="AB56" i="2"/>
  <c r="X56" i="2"/>
  <c r="W56" i="2"/>
  <c r="T56" i="2"/>
  <c r="S56" i="2"/>
  <c r="R56" i="2"/>
  <c r="Q56" i="2"/>
  <c r="P56" i="2"/>
  <c r="O56" i="2"/>
  <c r="N56" i="2"/>
  <c r="M56" i="2"/>
  <c r="U56" i="2" s="1"/>
  <c r="L56" i="2"/>
  <c r="H56" i="2"/>
  <c r="G56" i="2"/>
  <c r="E56" i="2"/>
  <c r="DP55" i="2"/>
  <c r="DJ55" i="2"/>
  <c r="DI55" i="2"/>
  <c r="DE55" i="2"/>
  <c r="DD55" i="2"/>
  <c r="CZ55" i="2"/>
  <c r="CY55" i="2"/>
  <c r="CU55" i="2"/>
  <c r="CT55" i="2"/>
  <c r="CP55" i="2"/>
  <c r="CO55" i="2"/>
  <c r="CJ55" i="2"/>
  <c r="CF55" i="2"/>
  <c r="CE55" i="2"/>
  <c r="CA55" i="2"/>
  <c r="BZ55" i="2"/>
  <c r="BV55" i="2"/>
  <c r="BU55" i="2"/>
  <c r="BQ55" i="2"/>
  <c r="BP55" i="2"/>
  <c r="BL55" i="2"/>
  <c r="BK55" i="2"/>
  <c r="BG55" i="2"/>
  <c r="BF55" i="2"/>
  <c r="BB55" i="2"/>
  <c r="BA55" i="2"/>
  <c r="AW55" i="2"/>
  <c r="AV55" i="2"/>
  <c r="AR55" i="2"/>
  <c r="AQ55" i="2"/>
  <c r="AM55" i="2"/>
  <c r="AL55" i="2"/>
  <c r="AH55" i="2"/>
  <c r="AG55" i="2"/>
  <c r="AC55" i="2"/>
  <c r="AB55" i="2"/>
  <c r="X55" i="2"/>
  <c r="W55" i="2"/>
  <c r="T55" i="2"/>
  <c r="S55" i="2"/>
  <c r="R55" i="2"/>
  <c r="Q55" i="2"/>
  <c r="P55" i="2"/>
  <c r="O55" i="2"/>
  <c r="N55" i="2"/>
  <c r="M55" i="2"/>
  <c r="U55" i="2" s="1"/>
  <c r="L55" i="2"/>
  <c r="H55" i="2"/>
  <c r="G55" i="2"/>
  <c r="E55" i="2"/>
  <c r="DP54" i="2"/>
  <c r="DJ54" i="2"/>
  <c r="DI54" i="2"/>
  <c r="DE54" i="2"/>
  <c r="DD54" i="2"/>
  <c r="CZ54" i="2"/>
  <c r="CY54" i="2"/>
  <c r="CU54" i="2"/>
  <c r="CT54" i="2"/>
  <c r="CP54" i="2"/>
  <c r="CO54" i="2"/>
  <c r="CJ54" i="2"/>
  <c r="CF54" i="2"/>
  <c r="CE54" i="2"/>
  <c r="CA54" i="2"/>
  <c r="BZ54" i="2"/>
  <c r="BV54" i="2"/>
  <c r="BU54" i="2"/>
  <c r="BQ54" i="2"/>
  <c r="BP54" i="2"/>
  <c r="BL54" i="2"/>
  <c r="BK54" i="2"/>
  <c r="BG54" i="2"/>
  <c r="BF54" i="2"/>
  <c r="BB54" i="2"/>
  <c r="BA54" i="2"/>
  <c r="AW54" i="2"/>
  <c r="AV54" i="2"/>
  <c r="AR54" i="2"/>
  <c r="AQ54" i="2"/>
  <c r="AM54" i="2"/>
  <c r="AL54" i="2"/>
  <c r="AH54" i="2"/>
  <c r="AG54" i="2"/>
  <c r="AC54" i="2"/>
  <c r="AB54" i="2"/>
  <c r="X54" i="2"/>
  <c r="W54" i="2"/>
  <c r="T54" i="2"/>
  <c r="S54" i="2"/>
  <c r="R54" i="2"/>
  <c r="Q54" i="2"/>
  <c r="P54" i="2"/>
  <c r="O54" i="2"/>
  <c r="N54" i="2"/>
  <c r="M54" i="2"/>
  <c r="U54" i="2" s="1"/>
  <c r="L54" i="2"/>
  <c r="H54" i="2"/>
  <c r="G54" i="2"/>
  <c r="E54" i="2"/>
  <c r="DP53" i="2"/>
  <c r="DJ53" i="2"/>
  <c r="DI53" i="2"/>
  <c r="DE53" i="2"/>
  <c r="DD53" i="2"/>
  <c r="CZ53" i="2"/>
  <c r="CY53" i="2"/>
  <c r="CU53" i="2"/>
  <c r="CT53" i="2"/>
  <c r="CP53" i="2"/>
  <c r="CO53" i="2"/>
  <c r="CJ53" i="2"/>
  <c r="CF53" i="2"/>
  <c r="CE53" i="2"/>
  <c r="CA53" i="2"/>
  <c r="BZ53" i="2"/>
  <c r="BV53" i="2"/>
  <c r="BU53" i="2"/>
  <c r="BQ53" i="2"/>
  <c r="BP53" i="2"/>
  <c r="BL53" i="2"/>
  <c r="BK53" i="2"/>
  <c r="BG53" i="2"/>
  <c r="BF53" i="2"/>
  <c r="BB53" i="2"/>
  <c r="BA53" i="2"/>
  <c r="AW53" i="2"/>
  <c r="AV53" i="2"/>
  <c r="AR53" i="2"/>
  <c r="AQ53" i="2"/>
  <c r="AM53" i="2"/>
  <c r="AL53" i="2"/>
  <c r="AH53" i="2"/>
  <c r="AG53" i="2"/>
  <c r="AC53" i="2"/>
  <c r="AB53" i="2"/>
  <c r="X53" i="2"/>
  <c r="W53" i="2"/>
  <c r="T53" i="2"/>
  <c r="S53" i="2"/>
  <c r="R53" i="2"/>
  <c r="Q53" i="2"/>
  <c r="P53" i="2"/>
  <c r="O53" i="2"/>
  <c r="N53" i="2"/>
  <c r="M53" i="2"/>
  <c r="U53" i="2" s="1"/>
  <c r="L53" i="2"/>
  <c r="H53" i="2"/>
  <c r="G53" i="2"/>
  <c r="E53" i="2"/>
  <c r="DP52" i="2"/>
  <c r="DJ52" i="2"/>
  <c r="DI52" i="2"/>
  <c r="DE52" i="2"/>
  <c r="DD52" i="2"/>
  <c r="CZ52" i="2"/>
  <c r="CY52" i="2"/>
  <c r="CU52" i="2"/>
  <c r="CT52" i="2"/>
  <c r="CP52" i="2"/>
  <c r="CO52" i="2"/>
  <c r="CJ52" i="2"/>
  <c r="CF52" i="2"/>
  <c r="CE52" i="2"/>
  <c r="CA52" i="2"/>
  <c r="BZ52" i="2"/>
  <c r="BV52" i="2"/>
  <c r="BU52" i="2"/>
  <c r="BQ52" i="2"/>
  <c r="BP52" i="2"/>
  <c r="BL52" i="2"/>
  <c r="BK52" i="2"/>
  <c r="BG52" i="2"/>
  <c r="BF52" i="2"/>
  <c r="BB52" i="2"/>
  <c r="BA52" i="2"/>
  <c r="AW52" i="2"/>
  <c r="AV52" i="2"/>
  <c r="AR52" i="2"/>
  <c r="AQ52" i="2"/>
  <c r="AM52" i="2"/>
  <c r="AL52" i="2"/>
  <c r="AH52" i="2"/>
  <c r="AG52" i="2"/>
  <c r="AC52" i="2"/>
  <c r="AB52" i="2"/>
  <c r="X52" i="2"/>
  <c r="W52" i="2"/>
  <c r="T52" i="2"/>
  <c r="S52" i="2"/>
  <c r="R52" i="2"/>
  <c r="Q52" i="2"/>
  <c r="P52" i="2"/>
  <c r="O52" i="2"/>
  <c r="N52" i="2"/>
  <c r="M52" i="2"/>
  <c r="U52" i="2" s="1"/>
  <c r="L52" i="2"/>
  <c r="H52" i="2"/>
  <c r="G52" i="2"/>
  <c r="E52" i="2"/>
  <c r="DU49" i="2"/>
  <c r="DP49" i="2"/>
  <c r="DJ49" i="2"/>
  <c r="DI49" i="2"/>
  <c r="DE49" i="2"/>
  <c r="DD49" i="2"/>
  <c r="CZ49" i="2"/>
  <c r="CY49" i="2"/>
  <c r="CU49" i="2"/>
  <c r="CT49" i="2"/>
  <c r="CP49" i="2"/>
  <c r="CO49" i="2"/>
  <c r="CJ49" i="2"/>
  <c r="CF49" i="2"/>
  <c r="CE49" i="2"/>
  <c r="CA49" i="2"/>
  <c r="BZ49" i="2"/>
  <c r="BV49" i="2"/>
  <c r="BU49" i="2"/>
  <c r="BQ49" i="2"/>
  <c r="BP49" i="2"/>
  <c r="BL49" i="2"/>
  <c r="BK49" i="2"/>
  <c r="BG49" i="2"/>
  <c r="BF49" i="2"/>
  <c r="BB49" i="2"/>
  <c r="BA49" i="2"/>
  <c r="AW49" i="2"/>
  <c r="AV49" i="2"/>
  <c r="AR49" i="2"/>
  <c r="AQ49" i="2"/>
  <c r="AM49" i="2"/>
  <c r="AL49" i="2"/>
  <c r="AH49" i="2"/>
  <c r="AG49" i="2"/>
  <c r="AC49" i="2"/>
  <c r="AB49" i="2"/>
  <c r="X49" i="2"/>
  <c r="W49" i="2"/>
  <c r="U49" i="2"/>
  <c r="T49" i="2"/>
  <c r="S49" i="2"/>
  <c r="R49" i="2"/>
  <c r="Q49" i="2"/>
  <c r="P49" i="2"/>
  <c r="O49" i="2"/>
  <c r="N49" i="2"/>
  <c r="M49" i="2"/>
  <c r="L49" i="2"/>
  <c r="K49" i="2" s="1"/>
  <c r="G49" i="2"/>
  <c r="DU48" i="2"/>
  <c r="DP48" i="2"/>
  <c r="DJ48" i="2"/>
  <c r="DI48" i="2"/>
  <c r="DE48" i="2"/>
  <c r="DD48" i="2"/>
  <c r="CZ48" i="2"/>
  <c r="CY48" i="2"/>
  <c r="CU48" i="2"/>
  <c r="CT48" i="2"/>
  <c r="CP48" i="2"/>
  <c r="CO48" i="2"/>
  <c r="CJ48" i="2"/>
  <c r="CF48" i="2"/>
  <c r="CE48" i="2"/>
  <c r="CA48" i="2"/>
  <c r="BZ48" i="2"/>
  <c r="BV48" i="2"/>
  <c r="BU48" i="2"/>
  <c r="BQ48" i="2"/>
  <c r="BP48" i="2"/>
  <c r="BL48" i="2"/>
  <c r="BK48" i="2"/>
  <c r="BG48" i="2"/>
  <c r="BF48" i="2"/>
  <c r="BB48" i="2"/>
  <c r="BA48" i="2"/>
  <c r="AW48" i="2"/>
  <c r="AV48" i="2"/>
  <c r="AR48" i="2"/>
  <c r="AQ48" i="2"/>
  <c r="AM48" i="2"/>
  <c r="AL48" i="2"/>
  <c r="AH48" i="2"/>
  <c r="AG48" i="2"/>
  <c r="AC48" i="2"/>
  <c r="AB48" i="2"/>
  <c r="X48" i="2"/>
  <c r="W48" i="2"/>
  <c r="U48" i="2"/>
  <c r="T48" i="2"/>
  <c r="S48" i="2"/>
  <c r="R48" i="2"/>
  <c r="Q48" i="2"/>
  <c r="P48" i="2"/>
  <c r="O48" i="2"/>
  <c r="N48" i="2"/>
  <c r="M48" i="2"/>
  <c r="L48" i="2"/>
  <c r="K48" i="2" s="1"/>
  <c r="G48" i="2"/>
  <c r="DU47" i="2"/>
  <c r="DP47" i="2"/>
  <c r="DJ47" i="2"/>
  <c r="DI47" i="2"/>
  <c r="DE47" i="2"/>
  <c r="DD47" i="2"/>
  <c r="CZ47" i="2"/>
  <c r="CY47" i="2"/>
  <c r="CU47" i="2"/>
  <c r="CT47" i="2"/>
  <c r="CP47" i="2"/>
  <c r="CO47" i="2"/>
  <c r="CJ47" i="2"/>
  <c r="CF47" i="2"/>
  <c r="CE47" i="2"/>
  <c r="CA47" i="2"/>
  <c r="BZ47" i="2"/>
  <c r="BV47" i="2"/>
  <c r="BU47" i="2"/>
  <c r="BQ47" i="2"/>
  <c r="BP47" i="2"/>
  <c r="BL47" i="2"/>
  <c r="BK47" i="2"/>
  <c r="BG47" i="2"/>
  <c r="BF47" i="2"/>
  <c r="BB47" i="2"/>
  <c r="BA47" i="2"/>
  <c r="AW47" i="2"/>
  <c r="AV47" i="2"/>
  <c r="AR47" i="2"/>
  <c r="AQ47" i="2"/>
  <c r="AM47" i="2"/>
  <c r="AL47" i="2"/>
  <c r="AH47" i="2"/>
  <c r="AG47" i="2"/>
  <c r="AC47" i="2"/>
  <c r="AB47" i="2"/>
  <c r="X47" i="2"/>
  <c r="W47" i="2"/>
  <c r="U47" i="2"/>
  <c r="T47" i="2"/>
  <c r="S47" i="2"/>
  <c r="R47" i="2"/>
  <c r="Q47" i="2"/>
  <c r="P47" i="2"/>
  <c r="O47" i="2"/>
  <c r="N47" i="2"/>
  <c r="M47" i="2"/>
  <c r="L47" i="2"/>
  <c r="K47" i="2" s="1"/>
  <c r="G47" i="2"/>
  <c r="DU36" i="2"/>
  <c r="DP36" i="2"/>
  <c r="DJ36" i="2"/>
  <c r="DI36" i="2"/>
  <c r="DE36" i="2"/>
  <c r="DD36" i="2"/>
  <c r="CZ36" i="2"/>
  <c r="CY36" i="2"/>
  <c r="CU36" i="2"/>
  <c r="CT36" i="2"/>
  <c r="CP36" i="2"/>
  <c r="CO36" i="2"/>
  <c r="CJ36" i="2"/>
  <c r="CF36" i="2"/>
  <c r="CE36" i="2"/>
  <c r="CA36" i="2"/>
  <c r="BZ36" i="2"/>
  <c r="BV36" i="2"/>
  <c r="BU36" i="2"/>
  <c r="BQ36" i="2"/>
  <c r="BP36" i="2"/>
  <c r="BL36" i="2"/>
  <c r="BK36" i="2"/>
  <c r="BG36" i="2"/>
  <c r="BF36" i="2"/>
  <c r="BB36" i="2"/>
  <c r="BA36" i="2"/>
  <c r="AW36" i="2"/>
  <c r="AV36" i="2"/>
  <c r="AR36" i="2"/>
  <c r="AQ36" i="2"/>
  <c r="AM36" i="2"/>
  <c r="AL36" i="2"/>
  <c r="AH36" i="2"/>
  <c r="AG36" i="2"/>
  <c r="AC36" i="2"/>
  <c r="AB36" i="2"/>
  <c r="X36" i="2"/>
  <c r="W36" i="2"/>
  <c r="U36" i="2"/>
  <c r="T36" i="2"/>
  <c r="S36" i="2"/>
  <c r="R36" i="2"/>
  <c r="Q36" i="2"/>
  <c r="P36" i="2"/>
  <c r="O36" i="2"/>
  <c r="N36" i="2"/>
  <c r="M36" i="2"/>
  <c r="L36" i="2"/>
  <c r="K36" i="2" s="1"/>
  <c r="G36" i="2"/>
  <c r="DU35" i="2"/>
  <c r="DP35" i="2"/>
  <c r="DJ35" i="2"/>
  <c r="DI35" i="2"/>
  <c r="DE35" i="2"/>
  <c r="DD35" i="2"/>
  <c r="CZ35" i="2"/>
  <c r="CY35" i="2"/>
  <c r="CU35" i="2"/>
  <c r="CT35" i="2"/>
  <c r="CP35" i="2"/>
  <c r="CO35" i="2"/>
  <c r="CJ35" i="2"/>
  <c r="CF35" i="2"/>
  <c r="CE35" i="2"/>
  <c r="CA35" i="2"/>
  <c r="BZ35" i="2"/>
  <c r="BV35" i="2"/>
  <c r="BU35" i="2"/>
  <c r="BQ35" i="2"/>
  <c r="BP35" i="2"/>
  <c r="BL35" i="2"/>
  <c r="BK35" i="2"/>
  <c r="BG35" i="2"/>
  <c r="BF35" i="2"/>
  <c r="BB35" i="2"/>
  <c r="BA35" i="2"/>
  <c r="AW35" i="2"/>
  <c r="AV35" i="2"/>
  <c r="AR35" i="2"/>
  <c r="AQ35" i="2"/>
  <c r="AM35" i="2"/>
  <c r="AL35" i="2"/>
  <c r="AH35" i="2"/>
  <c r="AG35" i="2"/>
  <c r="AC35" i="2"/>
  <c r="AB35" i="2"/>
  <c r="X35" i="2"/>
  <c r="W35" i="2"/>
  <c r="U35" i="2"/>
  <c r="T35" i="2"/>
  <c r="S35" i="2"/>
  <c r="R35" i="2"/>
  <c r="Q35" i="2"/>
  <c r="P35" i="2"/>
  <c r="O35" i="2"/>
  <c r="N35" i="2"/>
  <c r="M35" i="2"/>
  <c r="L35" i="2"/>
  <c r="K35" i="2" s="1"/>
  <c r="G35" i="2"/>
  <c r="DU34" i="2"/>
  <c r="DP34" i="2"/>
  <c r="DJ34" i="2"/>
  <c r="DI34" i="2"/>
  <c r="DE34" i="2"/>
  <c r="DD34" i="2"/>
  <c r="CZ34" i="2"/>
  <c r="CY34" i="2"/>
  <c r="CU34" i="2"/>
  <c r="CT34" i="2"/>
  <c r="CP34" i="2"/>
  <c r="CO34" i="2"/>
  <c r="CJ34" i="2"/>
  <c r="CF34" i="2"/>
  <c r="CE34" i="2"/>
  <c r="CA34" i="2"/>
  <c r="BZ34" i="2"/>
  <c r="BV34" i="2"/>
  <c r="BU34" i="2"/>
  <c r="BQ34" i="2"/>
  <c r="BP34" i="2"/>
  <c r="BL34" i="2"/>
  <c r="BK34" i="2"/>
  <c r="BG34" i="2"/>
  <c r="BF34" i="2"/>
  <c r="BB34" i="2"/>
  <c r="BA34" i="2"/>
  <c r="AW34" i="2"/>
  <c r="AV34" i="2"/>
  <c r="AR34" i="2"/>
  <c r="AQ34" i="2"/>
  <c r="AM34" i="2"/>
  <c r="AL34" i="2"/>
  <c r="AH34" i="2"/>
  <c r="AG34" i="2"/>
  <c r="AC34" i="2"/>
  <c r="AB34" i="2"/>
  <c r="X34" i="2"/>
  <c r="W34" i="2"/>
  <c r="U34" i="2"/>
  <c r="T34" i="2"/>
  <c r="S34" i="2"/>
  <c r="R34" i="2"/>
  <c r="Q34" i="2"/>
  <c r="P34" i="2"/>
  <c r="O34" i="2"/>
  <c r="N34" i="2"/>
  <c r="M34" i="2"/>
  <c r="L34" i="2"/>
  <c r="K34" i="2" s="1"/>
  <c r="G34" i="2"/>
  <c r="DU33" i="2"/>
  <c r="DP33" i="2"/>
  <c r="DJ33" i="2"/>
  <c r="DI33" i="2"/>
  <c r="DE33" i="2"/>
  <c r="DD33" i="2"/>
  <c r="CZ33" i="2"/>
  <c r="CY33" i="2"/>
  <c r="CU33" i="2"/>
  <c r="CT33" i="2"/>
  <c r="CP33" i="2"/>
  <c r="CO33" i="2"/>
  <c r="CJ33" i="2"/>
  <c r="CF33" i="2"/>
  <c r="CE33" i="2"/>
  <c r="CA33" i="2"/>
  <c r="BZ33" i="2"/>
  <c r="BV33" i="2"/>
  <c r="BU33" i="2"/>
  <c r="BQ33" i="2"/>
  <c r="BP33" i="2"/>
  <c r="BL33" i="2"/>
  <c r="BK33" i="2"/>
  <c r="BG33" i="2"/>
  <c r="BF33" i="2"/>
  <c r="BB33" i="2"/>
  <c r="BA33" i="2"/>
  <c r="AW33" i="2"/>
  <c r="AV33" i="2"/>
  <c r="AR33" i="2"/>
  <c r="AQ33" i="2"/>
  <c r="AM33" i="2"/>
  <c r="AL33" i="2"/>
  <c r="AH33" i="2"/>
  <c r="AG33" i="2"/>
  <c r="AC33" i="2"/>
  <c r="AB33" i="2"/>
  <c r="X33" i="2"/>
  <c r="W33" i="2"/>
  <c r="U33" i="2"/>
  <c r="T33" i="2"/>
  <c r="S33" i="2"/>
  <c r="R33" i="2"/>
  <c r="Q33" i="2"/>
  <c r="P33" i="2"/>
  <c r="O33" i="2"/>
  <c r="N33" i="2"/>
  <c r="M33" i="2"/>
  <c r="L33" i="2"/>
  <c r="K33" i="2" s="1"/>
  <c r="H33" i="2"/>
  <c r="G33" i="2"/>
  <c r="E33" i="2"/>
  <c r="DU32" i="2"/>
  <c r="DP32" i="2"/>
  <c r="DJ32" i="2"/>
  <c r="DI32" i="2"/>
  <c r="DE32" i="2"/>
  <c r="DD32" i="2"/>
  <c r="CZ32" i="2"/>
  <c r="CY32" i="2"/>
  <c r="CU32" i="2"/>
  <c r="CT32" i="2"/>
  <c r="CP32" i="2"/>
  <c r="CO32" i="2"/>
  <c r="CJ32" i="2"/>
  <c r="CF32" i="2"/>
  <c r="CE32" i="2"/>
  <c r="CA32" i="2"/>
  <c r="BZ32" i="2"/>
  <c r="BV32" i="2"/>
  <c r="BU32" i="2"/>
  <c r="BQ32" i="2"/>
  <c r="BP32" i="2"/>
  <c r="BL32" i="2"/>
  <c r="BK32" i="2"/>
  <c r="BG32" i="2"/>
  <c r="BF32" i="2"/>
  <c r="BB32" i="2"/>
  <c r="BA32" i="2"/>
  <c r="AW32" i="2"/>
  <c r="AV32" i="2"/>
  <c r="AR32" i="2"/>
  <c r="AQ32" i="2"/>
  <c r="AM32" i="2"/>
  <c r="AL32" i="2"/>
  <c r="AH32" i="2"/>
  <c r="AG32" i="2"/>
  <c r="AC32" i="2"/>
  <c r="AB32" i="2"/>
  <c r="X32" i="2"/>
  <c r="W32" i="2"/>
  <c r="U32" i="2"/>
  <c r="T32" i="2"/>
  <c r="S32" i="2"/>
  <c r="R32" i="2"/>
  <c r="Q32" i="2"/>
  <c r="P32" i="2"/>
  <c r="O32" i="2"/>
  <c r="N32" i="2"/>
  <c r="M32" i="2"/>
  <c r="L32" i="2"/>
  <c r="K32" i="2" s="1"/>
  <c r="H32" i="2"/>
  <c r="G32" i="2"/>
  <c r="E32" i="2"/>
  <c r="DU31" i="2"/>
  <c r="DP31" i="2"/>
  <c r="DJ31" i="2"/>
  <c r="DI31" i="2"/>
  <c r="DE31" i="2"/>
  <c r="DD31" i="2"/>
  <c r="CZ31" i="2"/>
  <c r="CY31" i="2"/>
  <c r="CU31" i="2"/>
  <c r="CT31" i="2"/>
  <c r="CP31" i="2"/>
  <c r="CO31" i="2"/>
  <c r="CJ31" i="2"/>
  <c r="CF31" i="2"/>
  <c r="CE31" i="2"/>
  <c r="CA31" i="2"/>
  <c r="BZ31" i="2"/>
  <c r="BV31" i="2"/>
  <c r="BU31" i="2"/>
  <c r="BQ31" i="2"/>
  <c r="BP31" i="2"/>
  <c r="BL31" i="2"/>
  <c r="BK31" i="2"/>
  <c r="BG31" i="2"/>
  <c r="BF31" i="2"/>
  <c r="BB31" i="2"/>
  <c r="BA31" i="2"/>
  <c r="AW31" i="2"/>
  <c r="AV31" i="2"/>
  <c r="AR31" i="2"/>
  <c r="AQ31" i="2"/>
  <c r="AM31" i="2"/>
  <c r="AL31" i="2"/>
  <c r="AH31" i="2"/>
  <c r="AG31" i="2"/>
  <c r="AC31" i="2"/>
  <c r="AB31" i="2"/>
  <c r="X31" i="2"/>
  <c r="W31" i="2"/>
  <c r="U31" i="2"/>
  <c r="T31" i="2"/>
  <c r="S31" i="2"/>
  <c r="R31" i="2"/>
  <c r="Q31" i="2"/>
  <c r="P31" i="2"/>
  <c r="O31" i="2"/>
  <c r="N31" i="2"/>
  <c r="M31" i="2"/>
  <c r="L31" i="2"/>
  <c r="K31" i="2" s="1"/>
  <c r="H31" i="2"/>
  <c r="G31" i="2"/>
  <c r="E31" i="2"/>
  <c r="DU30" i="2"/>
  <c r="DP30" i="2"/>
  <c r="DJ30" i="2"/>
  <c r="DI30" i="2"/>
  <c r="DE30" i="2"/>
  <c r="DD30" i="2"/>
  <c r="CZ30" i="2"/>
  <c r="CY30" i="2"/>
  <c r="CU30" i="2"/>
  <c r="CT30" i="2"/>
  <c r="CP30" i="2"/>
  <c r="CO30" i="2"/>
  <c r="CJ30" i="2"/>
  <c r="CF30" i="2"/>
  <c r="CE30" i="2"/>
  <c r="CA30" i="2"/>
  <c r="BZ30" i="2"/>
  <c r="BV30" i="2"/>
  <c r="BU30" i="2"/>
  <c r="BQ30" i="2"/>
  <c r="BP30" i="2"/>
  <c r="BL30" i="2"/>
  <c r="BK30" i="2"/>
  <c r="BG30" i="2"/>
  <c r="BF30" i="2"/>
  <c r="BB30" i="2"/>
  <c r="BA30" i="2"/>
  <c r="AW30" i="2"/>
  <c r="AV30" i="2"/>
  <c r="AR30" i="2"/>
  <c r="AQ30" i="2"/>
  <c r="AM30" i="2"/>
  <c r="AL30" i="2"/>
  <c r="AH30" i="2"/>
  <c r="AG30" i="2"/>
  <c r="AC30" i="2"/>
  <c r="AB30" i="2"/>
  <c r="X30" i="2"/>
  <c r="W30" i="2"/>
  <c r="U30" i="2"/>
  <c r="T30" i="2"/>
  <c r="S30" i="2"/>
  <c r="R30" i="2"/>
  <c r="Q30" i="2"/>
  <c r="P30" i="2"/>
  <c r="O30" i="2"/>
  <c r="N30" i="2"/>
  <c r="M30" i="2"/>
  <c r="L30" i="2"/>
  <c r="K30" i="2" s="1"/>
  <c r="H30" i="2"/>
  <c r="G30" i="2"/>
  <c r="E30" i="2"/>
  <c r="DU29" i="2"/>
  <c r="DP29" i="2"/>
  <c r="DJ29" i="2"/>
  <c r="DI29" i="2"/>
  <c r="DE29" i="2"/>
  <c r="DD29" i="2"/>
  <c r="CZ29" i="2"/>
  <c r="CY29" i="2"/>
  <c r="CU29" i="2"/>
  <c r="CT29" i="2"/>
  <c r="CP29" i="2"/>
  <c r="CO29" i="2"/>
  <c r="CJ29" i="2"/>
  <c r="CF29" i="2"/>
  <c r="CE29" i="2"/>
  <c r="CA29" i="2"/>
  <c r="BZ29" i="2"/>
  <c r="BV29" i="2"/>
  <c r="BU29" i="2"/>
  <c r="BQ29" i="2"/>
  <c r="BP29" i="2"/>
  <c r="BL29" i="2"/>
  <c r="BK29" i="2"/>
  <c r="BG29" i="2"/>
  <c r="BF29" i="2"/>
  <c r="BB29" i="2"/>
  <c r="BA29" i="2"/>
  <c r="AW29" i="2"/>
  <c r="AV29" i="2"/>
  <c r="AR29" i="2"/>
  <c r="AQ29" i="2"/>
  <c r="AM29" i="2"/>
  <c r="AL29" i="2"/>
  <c r="AH29" i="2"/>
  <c r="AG29" i="2"/>
  <c r="AC29" i="2"/>
  <c r="AB29" i="2"/>
  <c r="X29" i="2"/>
  <c r="W29" i="2"/>
  <c r="U29" i="2"/>
  <c r="T29" i="2"/>
  <c r="S29" i="2"/>
  <c r="R29" i="2"/>
  <c r="Q29" i="2"/>
  <c r="P29" i="2"/>
  <c r="O29" i="2"/>
  <c r="N29" i="2"/>
  <c r="M29" i="2"/>
  <c r="L29" i="2"/>
  <c r="K29" i="2" s="1"/>
  <c r="H29" i="2"/>
  <c r="G29" i="2"/>
  <c r="E29" i="2"/>
  <c r="DU28" i="2"/>
  <c r="DP28" i="2"/>
  <c r="DJ28" i="2"/>
  <c r="DI28" i="2"/>
  <c r="DE28" i="2"/>
  <c r="DD28" i="2"/>
  <c r="CZ28" i="2"/>
  <c r="CY28" i="2"/>
  <c r="CU28" i="2"/>
  <c r="CT28" i="2"/>
  <c r="CP28" i="2"/>
  <c r="CO28" i="2"/>
  <c r="CJ28" i="2"/>
  <c r="CF28" i="2"/>
  <c r="CE28" i="2"/>
  <c r="CA28" i="2"/>
  <c r="BZ28" i="2"/>
  <c r="BV28" i="2"/>
  <c r="BU28" i="2"/>
  <c r="BQ28" i="2"/>
  <c r="BP28" i="2"/>
  <c r="BL28" i="2"/>
  <c r="BK28" i="2"/>
  <c r="BG28" i="2"/>
  <c r="BF28" i="2"/>
  <c r="BB28" i="2"/>
  <c r="BA28" i="2"/>
  <c r="AW28" i="2"/>
  <c r="AV28" i="2"/>
  <c r="AR28" i="2"/>
  <c r="AQ28" i="2"/>
  <c r="AM28" i="2"/>
  <c r="AL28" i="2"/>
  <c r="AH28" i="2"/>
  <c r="AG28" i="2"/>
  <c r="AC28" i="2"/>
  <c r="AB28" i="2"/>
  <c r="X28" i="2"/>
  <c r="W28" i="2"/>
  <c r="U28" i="2"/>
  <c r="T28" i="2"/>
  <c r="S28" i="2"/>
  <c r="R28" i="2"/>
  <c r="Q28" i="2"/>
  <c r="P28" i="2"/>
  <c r="O28" i="2"/>
  <c r="N28" i="2"/>
  <c r="M28" i="2"/>
  <c r="L28" i="2"/>
  <c r="K28" i="2" s="1"/>
  <c r="H28" i="2"/>
  <c r="G28" i="2"/>
  <c r="E28" i="2"/>
  <c r="DU27" i="2"/>
  <c r="DP27" i="2"/>
  <c r="DJ27" i="2"/>
  <c r="DI27" i="2"/>
  <c r="DE27" i="2"/>
  <c r="DD27" i="2"/>
  <c r="CZ27" i="2"/>
  <c r="CY27" i="2"/>
  <c r="CU27" i="2"/>
  <c r="CT27" i="2"/>
  <c r="CP27" i="2"/>
  <c r="CO27" i="2"/>
  <c r="CJ27" i="2"/>
  <c r="CF27" i="2"/>
  <c r="CE27" i="2"/>
  <c r="CA27" i="2"/>
  <c r="BZ27" i="2"/>
  <c r="BV27" i="2"/>
  <c r="BU27" i="2"/>
  <c r="BQ27" i="2"/>
  <c r="BP27" i="2"/>
  <c r="BL27" i="2"/>
  <c r="BK27" i="2"/>
  <c r="BG27" i="2"/>
  <c r="BF27" i="2"/>
  <c r="BB27" i="2"/>
  <c r="BA27" i="2"/>
  <c r="AW27" i="2"/>
  <c r="AV27" i="2"/>
  <c r="AR27" i="2"/>
  <c r="AQ27" i="2"/>
  <c r="AM27" i="2"/>
  <c r="AL27" i="2"/>
  <c r="AH27" i="2"/>
  <c r="AG27" i="2"/>
  <c r="AC27" i="2"/>
  <c r="AB27" i="2"/>
  <c r="X27" i="2"/>
  <c r="W27" i="2"/>
  <c r="U27" i="2"/>
  <c r="DN27" i="2" s="1"/>
  <c r="T27" i="2"/>
  <c r="S27" i="2"/>
  <c r="R27" i="2"/>
  <c r="Q27" i="2"/>
  <c r="P27" i="2"/>
  <c r="O27" i="2"/>
  <c r="N27" i="2"/>
  <c r="M27" i="2"/>
  <c r="L27" i="2"/>
  <c r="K27" i="2" s="1"/>
  <c r="H27" i="2"/>
  <c r="G27" i="2"/>
  <c r="E27" i="2"/>
  <c r="DU26" i="2"/>
  <c r="DP26" i="2"/>
  <c r="DJ26" i="2"/>
  <c r="DI26" i="2"/>
  <c r="DE26" i="2"/>
  <c r="DD26" i="2"/>
  <c r="CZ26" i="2"/>
  <c r="CY26" i="2"/>
  <c r="CU26" i="2"/>
  <c r="CT26" i="2"/>
  <c r="CP26" i="2"/>
  <c r="CO26" i="2"/>
  <c r="CJ26" i="2"/>
  <c r="CF26" i="2"/>
  <c r="CE26" i="2"/>
  <c r="CA26" i="2"/>
  <c r="BZ26" i="2"/>
  <c r="BV26" i="2"/>
  <c r="BU26" i="2"/>
  <c r="BQ26" i="2"/>
  <c r="BP26" i="2"/>
  <c r="BL26" i="2"/>
  <c r="BK26" i="2"/>
  <c r="BG26" i="2"/>
  <c r="BF26" i="2"/>
  <c r="BB26" i="2"/>
  <c r="BA26" i="2"/>
  <c r="AW26" i="2"/>
  <c r="AV26" i="2"/>
  <c r="AR26" i="2"/>
  <c r="AQ26" i="2"/>
  <c r="AM26" i="2"/>
  <c r="AL26" i="2"/>
  <c r="AH26" i="2"/>
  <c r="AG26" i="2"/>
  <c r="AC26" i="2"/>
  <c r="AB26" i="2"/>
  <c r="X26" i="2"/>
  <c r="W26" i="2"/>
  <c r="U26" i="2"/>
  <c r="DN26" i="2" s="1"/>
  <c r="T26" i="2"/>
  <c r="S26" i="2"/>
  <c r="R26" i="2"/>
  <c r="Q26" i="2"/>
  <c r="P26" i="2"/>
  <c r="O26" i="2"/>
  <c r="N26" i="2"/>
  <c r="M26" i="2"/>
  <c r="L26" i="2"/>
  <c r="K26" i="2" s="1"/>
  <c r="H26" i="2"/>
  <c r="G26" i="2"/>
  <c r="E26" i="2"/>
  <c r="DP25" i="2"/>
  <c r="DJ25" i="2"/>
  <c r="DI25" i="2"/>
  <c r="DE25" i="2"/>
  <c r="DD25" i="2"/>
  <c r="CZ25" i="2"/>
  <c r="CY25" i="2"/>
  <c r="CU25" i="2"/>
  <c r="CT25" i="2"/>
  <c r="CP25" i="2"/>
  <c r="CO25" i="2"/>
  <c r="CJ25" i="2"/>
  <c r="CF25" i="2"/>
  <c r="CE25" i="2"/>
  <c r="CA25" i="2"/>
  <c r="BZ25" i="2"/>
  <c r="BV25" i="2"/>
  <c r="BU25" i="2"/>
  <c r="BQ25" i="2"/>
  <c r="BP25" i="2"/>
  <c r="BL25" i="2"/>
  <c r="BK25" i="2"/>
  <c r="BG25" i="2"/>
  <c r="BF25" i="2"/>
  <c r="BB25" i="2"/>
  <c r="BA25" i="2"/>
  <c r="AW25" i="2"/>
  <c r="AV25" i="2"/>
  <c r="AR25" i="2"/>
  <c r="AQ25" i="2"/>
  <c r="AM25" i="2"/>
  <c r="AL25" i="2"/>
  <c r="AH25" i="2"/>
  <c r="AG25" i="2"/>
  <c r="AC25" i="2"/>
  <c r="AB25" i="2"/>
  <c r="X25" i="2"/>
  <c r="DS25" i="2" s="1"/>
  <c r="DU25" i="2" s="1"/>
  <c r="W25" i="2"/>
  <c r="U25" i="2"/>
  <c r="T25" i="2"/>
  <c r="S25" i="2"/>
  <c r="R25" i="2"/>
  <c r="Q25" i="2"/>
  <c r="P25" i="2"/>
  <c r="O25" i="2"/>
  <c r="N25" i="2"/>
  <c r="M25" i="2"/>
  <c r="L25" i="2"/>
  <c r="K25" i="2" s="1"/>
  <c r="H25" i="2"/>
  <c r="G25" i="2"/>
  <c r="E25" i="2"/>
  <c r="DP24" i="2"/>
  <c r="DJ24" i="2"/>
  <c r="DI24" i="2"/>
  <c r="DE24" i="2"/>
  <c r="DD24" i="2"/>
  <c r="CZ24" i="2"/>
  <c r="CY24" i="2"/>
  <c r="CU24" i="2"/>
  <c r="CT24" i="2"/>
  <c r="CP24" i="2"/>
  <c r="CO24" i="2"/>
  <c r="CJ24" i="2"/>
  <c r="CF24" i="2"/>
  <c r="CE24" i="2"/>
  <c r="CA24" i="2"/>
  <c r="BZ24" i="2"/>
  <c r="BV24" i="2"/>
  <c r="BU24" i="2"/>
  <c r="BQ24" i="2"/>
  <c r="BP24" i="2"/>
  <c r="BL24" i="2"/>
  <c r="BK24" i="2"/>
  <c r="BG24" i="2"/>
  <c r="BF24" i="2"/>
  <c r="BB24" i="2"/>
  <c r="BA24" i="2"/>
  <c r="AW24" i="2"/>
  <c r="AV24" i="2"/>
  <c r="AR24" i="2"/>
  <c r="AQ24" i="2"/>
  <c r="AM24" i="2"/>
  <c r="AL24" i="2"/>
  <c r="AH24" i="2"/>
  <c r="AG24" i="2"/>
  <c r="AC24" i="2"/>
  <c r="AB24" i="2"/>
  <c r="X24" i="2"/>
  <c r="DS24" i="2" s="1"/>
  <c r="DU24" i="2" s="1"/>
  <c r="W24" i="2"/>
  <c r="U24" i="2"/>
  <c r="T24" i="2"/>
  <c r="S24" i="2"/>
  <c r="R24" i="2"/>
  <c r="Q24" i="2"/>
  <c r="P24" i="2"/>
  <c r="O24" i="2"/>
  <c r="N24" i="2"/>
  <c r="M24" i="2"/>
  <c r="L24" i="2"/>
  <c r="K24" i="2" s="1"/>
  <c r="H24" i="2"/>
  <c r="G24" i="2"/>
  <c r="E24" i="2"/>
  <c r="DP23" i="2"/>
  <c r="DJ23" i="2"/>
  <c r="DI23" i="2"/>
  <c r="DE23" i="2"/>
  <c r="DD23" i="2"/>
  <c r="CZ23" i="2"/>
  <c r="CY23" i="2"/>
  <c r="CU23" i="2"/>
  <c r="CT23" i="2"/>
  <c r="CP23" i="2"/>
  <c r="CO23" i="2"/>
  <c r="CJ23" i="2"/>
  <c r="CF23" i="2"/>
  <c r="CE23" i="2"/>
  <c r="CA23" i="2"/>
  <c r="BZ23" i="2"/>
  <c r="BV23" i="2"/>
  <c r="BU23" i="2"/>
  <c r="BQ23" i="2"/>
  <c r="BP23" i="2"/>
  <c r="BL23" i="2"/>
  <c r="BK23" i="2"/>
  <c r="BG23" i="2"/>
  <c r="BF23" i="2"/>
  <c r="BB23" i="2"/>
  <c r="BA23" i="2"/>
  <c r="AW23" i="2"/>
  <c r="AV23" i="2"/>
  <c r="AR23" i="2"/>
  <c r="AQ23" i="2"/>
  <c r="AM23" i="2"/>
  <c r="AL23" i="2"/>
  <c r="AH23" i="2"/>
  <c r="AG23" i="2"/>
  <c r="AC23" i="2"/>
  <c r="AB23" i="2"/>
  <c r="X23" i="2"/>
  <c r="DS23" i="2" s="1"/>
  <c r="DU23" i="2" s="1"/>
  <c r="W23" i="2"/>
  <c r="U23" i="2"/>
  <c r="T23" i="2"/>
  <c r="S23" i="2"/>
  <c r="R23" i="2"/>
  <c r="Q23" i="2"/>
  <c r="P23" i="2"/>
  <c r="O23" i="2"/>
  <c r="N23" i="2"/>
  <c r="M23" i="2"/>
  <c r="L23" i="2"/>
  <c r="K23" i="2" s="1"/>
  <c r="H23" i="2"/>
  <c r="G23" i="2"/>
  <c r="E23" i="2"/>
  <c r="DP22" i="2"/>
  <c r="DJ22" i="2"/>
  <c r="DI22" i="2"/>
  <c r="DE22" i="2"/>
  <c r="DD22" i="2"/>
  <c r="CZ22" i="2"/>
  <c r="CY22" i="2"/>
  <c r="CU22" i="2"/>
  <c r="CT22" i="2"/>
  <c r="CP22" i="2"/>
  <c r="CO22" i="2"/>
  <c r="CJ22" i="2"/>
  <c r="CF22" i="2"/>
  <c r="CE22" i="2"/>
  <c r="CA22" i="2"/>
  <c r="BZ22" i="2"/>
  <c r="BV22" i="2"/>
  <c r="BU22" i="2"/>
  <c r="BQ22" i="2"/>
  <c r="BP22" i="2"/>
  <c r="BL22" i="2"/>
  <c r="BK22" i="2"/>
  <c r="BG22" i="2"/>
  <c r="BF22" i="2"/>
  <c r="BB22" i="2"/>
  <c r="BA22" i="2"/>
  <c r="AW22" i="2"/>
  <c r="AV22" i="2"/>
  <c r="AR22" i="2"/>
  <c r="AQ22" i="2"/>
  <c r="AM22" i="2"/>
  <c r="AL22" i="2"/>
  <c r="AH22" i="2"/>
  <c r="AG22" i="2"/>
  <c r="AC22" i="2"/>
  <c r="AB22" i="2"/>
  <c r="X22" i="2"/>
  <c r="DS22" i="2" s="1"/>
  <c r="DU22" i="2" s="1"/>
  <c r="W22" i="2"/>
  <c r="U22" i="2"/>
  <c r="T22" i="2"/>
  <c r="S22" i="2"/>
  <c r="R22" i="2"/>
  <c r="Q22" i="2"/>
  <c r="P22" i="2"/>
  <c r="O22" i="2"/>
  <c r="N22" i="2"/>
  <c r="M22" i="2"/>
  <c r="L22" i="2"/>
  <c r="K22" i="2" s="1"/>
  <c r="H22" i="2"/>
  <c r="G22" i="2"/>
  <c r="E22" i="2"/>
  <c r="DP21" i="2"/>
  <c r="DJ21" i="2"/>
  <c r="DI21" i="2"/>
  <c r="DE21" i="2"/>
  <c r="DD21" i="2"/>
  <c r="CZ21" i="2"/>
  <c r="CY21" i="2"/>
  <c r="CU21" i="2"/>
  <c r="CT21" i="2"/>
  <c r="CP21" i="2"/>
  <c r="CO21" i="2"/>
  <c r="CJ21" i="2"/>
  <c r="CF21" i="2"/>
  <c r="CE21" i="2"/>
  <c r="CA21" i="2"/>
  <c r="BZ21" i="2"/>
  <c r="BV21" i="2"/>
  <c r="BU21" i="2"/>
  <c r="BQ21" i="2"/>
  <c r="BP21" i="2"/>
  <c r="BL21" i="2"/>
  <c r="BK21" i="2"/>
  <c r="BG21" i="2"/>
  <c r="BF21" i="2"/>
  <c r="BB21" i="2"/>
  <c r="BA21" i="2"/>
  <c r="AW21" i="2"/>
  <c r="AV21" i="2"/>
  <c r="AR21" i="2"/>
  <c r="AQ21" i="2"/>
  <c r="AM21" i="2"/>
  <c r="AL21" i="2"/>
  <c r="AH21" i="2"/>
  <c r="AG21" i="2"/>
  <c r="AC21" i="2"/>
  <c r="AB21" i="2"/>
  <c r="X21" i="2"/>
  <c r="DS21" i="2" s="1"/>
  <c r="DU21" i="2" s="1"/>
  <c r="W21" i="2"/>
  <c r="U21" i="2"/>
  <c r="T21" i="2"/>
  <c r="S21" i="2"/>
  <c r="R21" i="2"/>
  <c r="Q21" i="2"/>
  <c r="P21" i="2"/>
  <c r="O21" i="2"/>
  <c r="N21" i="2"/>
  <c r="M21" i="2"/>
  <c r="L21" i="2"/>
  <c r="K21" i="2" s="1"/>
  <c r="H21" i="2"/>
  <c r="G21" i="2"/>
  <c r="E21" i="2"/>
  <c r="DU20" i="2"/>
  <c r="DP20" i="2"/>
  <c r="DJ20" i="2"/>
  <c r="DI20" i="2"/>
  <c r="DE20" i="2"/>
  <c r="DD20" i="2"/>
  <c r="CZ20" i="2"/>
  <c r="CY20" i="2"/>
  <c r="CU20" i="2"/>
  <c r="CT20" i="2"/>
  <c r="CP20" i="2"/>
  <c r="CO20" i="2"/>
  <c r="CJ20" i="2"/>
  <c r="CF20" i="2"/>
  <c r="CE20" i="2"/>
  <c r="CA20" i="2"/>
  <c r="BZ20" i="2"/>
  <c r="BV20" i="2"/>
  <c r="BU20" i="2"/>
  <c r="BQ20" i="2"/>
  <c r="BP20" i="2"/>
  <c r="BL20" i="2"/>
  <c r="BK20" i="2"/>
  <c r="BG20" i="2"/>
  <c r="BF20" i="2"/>
  <c r="BB20" i="2"/>
  <c r="BA20" i="2"/>
  <c r="AW20" i="2"/>
  <c r="AV20" i="2"/>
  <c r="AR20" i="2"/>
  <c r="AQ20" i="2"/>
  <c r="AM20" i="2"/>
  <c r="AL20" i="2"/>
  <c r="AH20" i="2"/>
  <c r="AG20" i="2"/>
  <c r="AC20" i="2"/>
  <c r="AB20" i="2"/>
  <c r="X20" i="2"/>
  <c r="W20" i="2"/>
  <c r="U20" i="2"/>
  <c r="T20" i="2"/>
  <c r="S20" i="2"/>
  <c r="R20" i="2"/>
  <c r="Q20" i="2"/>
  <c r="P20" i="2"/>
  <c r="O20" i="2"/>
  <c r="N20" i="2"/>
  <c r="M20" i="2"/>
  <c r="L20" i="2"/>
  <c r="K20" i="2" s="1"/>
  <c r="H20" i="2"/>
  <c r="G20" i="2"/>
  <c r="E20" i="2"/>
  <c r="DU19" i="2"/>
  <c r="DP19" i="2"/>
  <c r="DJ19" i="2"/>
  <c r="DI19" i="2"/>
  <c r="DE19" i="2"/>
  <c r="DD19" i="2"/>
  <c r="CZ19" i="2"/>
  <c r="CY19" i="2"/>
  <c r="CU19" i="2"/>
  <c r="CT19" i="2"/>
  <c r="CP19" i="2"/>
  <c r="CO19" i="2"/>
  <c r="CJ19" i="2"/>
  <c r="CF19" i="2"/>
  <c r="CE19" i="2"/>
  <c r="CA19" i="2"/>
  <c r="BZ19" i="2"/>
  <c r="BV19" i="2"/>
  <c r="BU19" i="2"/>
  <c r="BQ19" i="2"/>
  <c r="BP19" i="2"/>
  <c r="BL19" i="2"/>
  <c r="BK19" i="2"/>
  <c r="BG19" i="2"/>
  <c r="BF19" i="2"/>
  <c r="BB19" i="2"/>
  <c r="BA19" i="2"/>
  <c r="AW19" i="2"/>
  <c r="AV19" i="2"/>
  <c r="AR19" i="2"/>
  <c r="AQ19" i="2"/>
  <c r="AM19" i="2"/>
  <c r="AL19" i="2"/>
  <c r="AH19" i="2"/>
  <c r="AG19" i="2"/>
  <c r="AC19" i="2"/>
  <c r="AB19" i="2"/>
  <c r="X19" i="2"/>
  <c r="W19" i="2"/>
  <c r="U19" i="2"/>
  <c r="T19" i="2"/>
  <c r="S19" i="2"/>
  <c r="R19" i="2"/>
  <c r="Q19" i="2"/>
  <c r="P19" i="2"/>
  <c r="O19" i="2"/>
  <c r="N19" i="2"/>
  <c r="M19" i="2"/>
  <c r="L19" i="2"/>
  <c r="K19" i="2" s="1"/>
  <c r="H19" i="2"/>
  <c r="G19" i="2"/>
  <c r="E19" i="2"/>
  <c r="DP18" i="2"/>
  <c r="DJ18" i="2"/>
  <c r="DI18" i="2"/>
  <c r="DE18" i="2"/>
  <c r="DD18" i="2"/>
  <c r="CZ18" i="2"/>
  <c r="CY18" i="2"/>
  <c r="CU18" i="2"/>
  <c r="CT18" i="2"/>
  <c r="CP18" i="2"/>
  <c r="CO18" i="2"/>
  <c r="CJ18" i="2"/>
  <c r="CF18" i="2"/>
  <c r="CE18" i="2"/>
  <c r="CA18" i="2"/>
  <c r="BZ18" i="2"/>
  <c r="BV18" i="2"/>
  <c r="BU18" i="2"/>
  <c r="BQ18" i="2"/>
  <c r="BP18" i="2"/>
  <c r="BL18" i="2"/>
  <c r="BK18" i="2"/>
  <c r="BG18" i="2"/>
  <c r="BF18" i="2"/>
  <c r="BB18" i="2"/>
  <c r="BA18" i="2"/>
  <c r="AW18" i="2"/>
  <c r="AV18" i="2"/>
  <c r="AR18" i="2"/>
  <c r="AQ18" i="2"/>
  <c r="AM18" i="2"/>
  <c r="AL18" i="2"/>
  <c r="AH18" i="2"/>
  <c r="AG18" i="2"/>
  <c r="AC18" i="2"/>
  <c r="AB18" i="2"/>
  <c r="X18" i="2"/>
  <c r="DS18" i="2" s="1"/>
  <c r="DU18" i="2" s="1"/>
  <c r="W18" i="2"/>
  <c r="U18" i="2"/>
  <c r="T18" i="2"/>
  <c r="S18" i="2"/>
  <c r="R18" i="2"/>
  <c r="Q18" i="2"/>
  <c r="P18" i="2"/>
  <c r="O18" i="2"/>
  <c r="N18" i="2"/>
  <c r="M18" i="2"/>
  <c r="L18" i="2"/>
  <c r="K18" i="2" s="1"/>
  <c r="H18" i="2"/>
  <c r="G18" i="2"/>
  <c r="E18" i="2"/>
  <c r="DP17" i="2"/>
  <c r="DJ17" i="2"/>
  <c r="DI17" i="2"/>
  <c r="DE17" i="2"/>
  <c r="DD17" i="2"/>
  <c r="CZ17" i="2"/>
  <c r="CY17" i="2"/>
  <c r="CU17" i="2"/>
  <c r="CT17" i="2"/>
  <c r="CP17" i="2"/>
  <c r="CO17" i="2"/>
  <c r="CJ17" i="2"/>
  <c r="CF17" i="2"/>
  <c r="CE17" i="2"/>
  <c r="CA17" i="2"/>
  <c r="BZ17" i="2"/>
  <c r="BV17" i="2"/>
  <c r="BU17" i="2"/>
  <c r="BQ17" i="2"/>
  <c r="BP17" i="2"/>
  <c r="BL17" i="2"/>
  <c r="BK17" i="2"/>
  <c r="BG17" i="2"/>
  <c r="BF17" i="2"/>
  <c r="BB17" i="2"/>
  <c r="BA17" i="2"/>
  <c r="AW17" i="2"/>
  <c r="AV17" i="2"/>
  <c r="AR17" i="2"/>
  <c r="AQ17" i="2"/>
  <c r="AM17" i="2"/>
  <c r="AL17" i="2"/>
  <c r="AH17" i="2"/>
  <c r="AG17" i="2"/>
  <c r="AC17" i="2"/>
  <c r="AB17" i="2"/>
  <c r="X17" i="2"/>
  <c r="DS17" i="2" s="1"/>
  <c r="DU17" i="2" s="1"/>
  <c r="W17" i="2"/>
  <c r="U17" i="2"/>
  <c r="T17" i="2"/>
  <c r="S17" i="2"/>
  <c r="R17" i="2"/>
  <c r="Q17" i="2"/>
  <c r="P17" i="2"/>
  <c r="O17" i="2"/>
  <c r="N17" i="2"/>
  <c r="M17" i="2"/>
  <c r="L17" i="2"/>
  <c r="K17" i="2" s="1"/>
  <c r="H17" i="2"/>
  <c r="G17" i="2"/>
  <c r="E17" i="2"/>
  <c r="DP16" i="2"/>
  <c r="DJ16" i="2"/>
  <c r="DI16" i="2"/>
  <c r="DE16" i="2"/>
  <c r="DD16" i="2"/>
  <c r="CZ16" i="2"/>
  <c r="CY16" i="2"/>
  <c r="CU16" i="2"/>
  <c r="CT16" i="2"/>
  <c r="CP16" i="2"/>
  <c r="CO16" i="2"/>
  <c r="CJ16" i="2"/>
  <c r="CF16" i="2"/>
  <c r="CE16" i="2"/>
  <c r="CA16" i="2"/>
  <c r="BZ16" i="2"/>
  <c r="BV16" i="2"/>
  <c r="BU16" i="2"/>
  <c r="BQ16" i="2"/>
  <c r="BP16" i="2"/>
  <c r="BL16" i="2"/>
  <c r="BK16" i="2"/>
  <c r="BG16" i="2"/>
  <c r="BF16" i="2"/>
  <c r="BB16" i="2"/>
  <c r="BA16" i="2"/>
  <c r="AW16" i="2"/>
  <c r="AV16" i="2"/>
  <c r="AR16" i="2"/>
  <c r="AQ16" i="2"/>
  <c r="AM16" i="2"/>
  <c r="AL16" i="2"/>
  <c r="AH16" i="2"/>
  <c r="AG16" i="2"/>
  <c r="AC16" i="2"/>
  <c r="AB16" i="2"/>
  <c r="X16" i="2"/>
  <c r="DS16" i="2" s="1"/>
  <c r="DU16" i="2" s="1"/>
  <c r="W16" i="2"/>
  <c r="U16" i="2"/>
  <c r="T16" i="2"/>
  <c r="S16" i="2"/>
  <c r="R16" i="2"/>
  <c r="Q16" i="2"/>
  <c r="P16" i="2"/>
  <c r="O16" i="2"/>
  <c r="N16" i="2"/>
  <c r="M16" i="2"/>
  <c r="L16" i="2"/>
  <c r="K16" i="2" s="1"/>
  <c r="H16" i="2"/>
  <c r="G16" i="2"/>
  <c r="E16" i="2"/>
  <c r="DP15" i="2"/>
  <c r="DJ15" i="2"/>
  <c r="DI15" i="2"/>
  <c r="DE15" i="2"/>
  <c r="DD15" i="2"/>
  <c r="CZ15" i="2"/>
  <c r="CY15" i="2"/>
  <c r="CU15" i="2"/>
  <c r="CT15" i="2"/>
  <c r="CP15" i="2"/>
  <c r="CO15" i="2"/>
  <c r="CJ15" i="2"/>
  <c r="CF15" i="2"/>
  <c r="CE15" i="2"/>
  <c r="CA15" i="2"/>
  <c r="BZ15" i="2"/>
  <c r="BV15" i="2"/>
  <c r="BU15" i="2"/>
  <c r="BQ15" i="2"/>
  <c r="BP15" i="2"/>
  <c r="BL15" i="2"/>
  <c r="BK15" i="2"/>
  <c r="BG15" i="2"/>
  <c r="BF15" i="2"/>
  <c r="BB15" i="2"/>
  <c r="BA15" i="2"/>
  <c r="AW15" i="2"/>
  <c r="AV15" i="2"/>
  <c r="AR15" i="2"/>
  <c r="AM15" i="2"/>
  <c r="AL15" i="2"/>
  <c r="AH15" i="2"/>
  <c r="AC15" i="2"/>
  <c r="AB15" i="2"/>
  <c r="X15" i="2"/>
  <c r="DS15" i="2" s="1"/>
  <c r="W15" i="2"/>
  <c r="U15" i="2"/>
  <c r="T15" i="2"/>
  <c r="S15" i="2"/>
  <c r="R15" i="2"/>
  <c r="Q15" i="2"/>
  <c r="P15" i="2"/>
  <c r="O15" i="2"/>
  <c r="N15" i="2"/>
  <c r="M15" i="2"/>
  <c r="L15" i="2"/>
  <c r="K15" i="2" s="1"/>
  <c r="H15" i="2"/>
  <c r="G15" i="2"/>
  <c r="E15" i="2"/>
  <c r="DP14" i="2"/>
  <c r="DJ14" i="2"/>
  <c r="DI14" i="2"/>
  <c r="DE14" i="2"/>
  <c r="DD14" i="2"/>
  <c r="CZ14" i="2"/>
  <c r="CY14" i="2"/>
  <c r="CU14" i="2"/>
  <c r="CT14" i="2"/>
  <c r="CP14" i="2"/>
  <c r="CO14" i="2"/>
  <c r="CJ14" i="2"/>
  <c r="CF14" i="2"/>
  <c r="CE14" i="2"/>
  <c r="CA14" i="2"/>
  <c r="BZ14" i="2"/>
  <c r="BV14" i="2"/>
  <c r="BU14" i="2"/>
  <c r="BQ14" i="2"/>
  <c r="BL14" i="2"/>
  <c r="BI14" i="2"/>
  <c r="BF14" i="2"/>
  <c r="BD14" i="2"/>
  <c r="BA14" i="2"/>
  <c r="AY14" i="2"/>
  <c r="AV14" i="2"/>
  <c r="AR14" i="2"/>
  <c r="AQ14" i="2"/>
  <c r="AM14" i="2"/>
  <c r="AL14" i="2"/>
  <c r="AH14" i="2"/>
  <c r="AG14" i="2"/>
  <c r="AC14" i="2"/>
  <c r="AB14" i="2"/>
  <c r="X14" i="2"/>
  <c r="DS14" i="2" s="1"/>
  <c r="W14" i="2"/>
  <c r="U14" i="2"/>
  <c r="T14" i="2"/>
  <c r="S14" i="2"/>
  <c r="R14" i="2"/>
  <c r="Q14" i="2"/>
  <c r="P14" i="2"/>
  <c r="O14" i="2"/>
  <c r="N14" i="2"/>
  <c r="M14" i="2"/>
  <c r="L14" i="2"/>
  <c r="K14" i="2" s="1"/>
  <c r="H14" i="2"/>
  <c r="G14" i="2"/>
  <c r="E14" i="2"/>
  <c r="DP13" i="2"/>
  <c r="DJ13" i="2"/>
  <c r="DI13" i="2"/>
  <c r="DE13" i="2"/>
  <c r="DD13" i="2"/>
  <c r="CZ13" i="2"/>
  <c r="CY13" i="2"/>
  <c r="CU13" i="2"/>
  <c r="CT13" i="2"/>
  <c r="CP13" i="2"/>
  <c r="CO13" i="2"/>
  <c r="CJ13" i="2"/>
  <c r="CF13" i="2"/>
  <c r="CE13" i="2"/>
  <c r="CA13" i="2"/>
  <c r="BZ13" i="2"/>
  <c r="BV13" i="2"/>
  <c r="BU13" i="2"/>
  <c r="BQ13" i="2"/>
  <c r="BP13" i="2"/>
  <c r="BL13" i="2"/>
  <c r="BK13" i="2"/>
  <c r="BI13" i="2"/>
  <c r="BF13" i="2"/>
  <c r="BD13" i="2"/>
  <c r="BA13" i="2"/>
  <c r="AY13" i="2"/>
  <c r="AV13" i="2"/>
  <c r="AR13" i="2"/>
  <c r="AQ13" i="2"/>
  <c r="AM13" i="2"/>
  <c r="AL13" i="2"/>
  <c r="AH13" i="2"/>
  <c r="AG13" i="2"/>
  <c r="AC13" i="2"/>
  <c r="AB13" i="2"/>
  <c r="X13" i="2"/>
  <c r="DS13" i="2" s="1"/>
  <c r="U13" i="2"/>
  <c r="T13" i="2"/>
  <c r="S13" i="2"/>
  <c r="R13" i="2"/>
  <c r="Q13" i="2"/>
  <c r="P13" i="2"/>
  <c r="O13" i="2"/>
  <c r="N13" i="2"/>
  <c r="M13" i="2"/>
  <c r="L13" i="2"/>
  <c r="K13" i="2" s="1"/>
  <c r="H13" i="2"/>
  <c r="G13" i="2"/>
  <c r="E13" i="2"/>
  <c r="DP12" i="2"/>
  <c r="DJ12" i="2"/>
  <c r="DI12" i="2"/>
  <c r="DE12" i="2"/>
  <c r="DD12" i="2"/>
  <c r="CZ12" i="2"/>
  <c r="CY12" i="2"/>
  <c r="CU12" i="2"/>
  <c r="CT12" i="2"/>
  <c r="CP12" i="2"/>
  <c r="CO12" i="2"/>
  <c r="CF12" i="2"/>
  <c r="CE12" i="2"/>
  <c r="CA12" i="2"/>
  <c r="BV12" i="2"/>
  <c r="BU12" i="2"/>
  <c r="BQ12" i="2"/>
  <c r="BP12" i="2"/>
  <c r="BL12" i="2"/>
  <c r="BK12" i="2"/>
  <c r="BI12" i="2"/>
  <c r="BF12" i="2"/>
  <c r="BD12" i="2"/>
  <c r="BA12" i="2"/>
  <c r="AY12" i="2"/>
  <c r="AV12" i="2"/>
  <c r="AR12" i="2"/>
  <c r="AQ12" i="2"/>
  <c r="AM12" i="2"/>
  <c r="AL12" i="2"/>
  <c r="AH12" i="2"/>
  <c r="AG12" i="2"/>
  <c r="AC12" i="2"/>
  <c r="AB12" i="2"/>
  <c r="X12" i="2"/>
  <c r="DS12" i="2" s="1"/>
  <c r="W12" i="2"/>
  <c r="U12" i="2"/>
  <c r="T12" i="2"/>
  <c r="S12" i="2"/>
  <c r="R12" i="2"/>
  <c r="Q12" i="2"/>
  <c r="P12" i="2"/>
  <c r="O12" i="2"/>
  <c r="N12" i="2"/>
  <c r="M12" i="2"/>
  <c r="L12" i="2"/>
  <c r="K12" i="2" s="1"/>
  <c r="H12" i="2"/>
  <c r="G12" i="2"/>
  <c r="E12" i="2"/>
  <c r="DP11" i="2"/>
  <c r="DJ11" i="2"/>
  <c r="DI11" i="2"/>
  <c r="DE11" i="2"/>
  <c r="DD11" i="2"/>
  <c r="CZ11" i="2"/>
  <c r="CY11" i="2"/>
  <c r="CU11" i="2"/>
  <c r="CT11" i="2"/>
  <c r="CP11" i="2"/>
  <c r="CO11" i="2"/>
  <c r="CK11" i="2"/>
  <c r="CJ11" i="2"/>
  <c r="CF11" i="2"/>
  <c r="CE11" i="2"/>
  <c r="CA11" i="2"/>
  <c r="BZ11" i="2"/>
  <c r="BV11" i="2"/>
  <c r="BU11" i="2"/>
  <c r="BQ11" i="2"/>
  <c r="BP11" i="2"/>
  <c r="BL11" i="2"/>
  <c r="BN11" i="2" s="1"/>
  <c r="BK11" i="2"/>
  <c r="BI11" i="2"/>
  <c r="BF11" i="2"/>
  <c r="BD11" i="2"/>
  <c r="BA11" i="2"/>
  <c r="AY11" i="2"/>
  <c r="AV11" i="2"/>
  <c r="AR11" i="2"/>
  <c r="AQ11" i="2"/>
  <c r="AM11" i="2"/>
  <c r="AL11" i="2"/>
  <c r="AH11" i="2"/>
  <c r="AG11" i="2"/>
  <c r="AC11" i="2"/>
  <c r="AB11" i="2"/>
  <c r="X11" i="2"/>
  <c r="DS11" i="2" s="1"/>
  <c r="W11" i="2"/>
  <c r="U11" i="2"/>
  <c r="T11" i="2"/>
  <c r="S11" i="2"/>
  <c r="R11" i="2"/>
  <c r="Q11" i="2"/>
  <c r="P11" i="2"/>
  <c r="O11" i="2"/>
  <c r="N11" i="2"/>
  <c r="M11" i="2"/>
  <c r="L11" i="2"/>
  <c r="K11" i="2" s="1"/>
  <c r="H11" i="2"/>
  <c r="G11" i="2"/>
  <c r="E11" i="2"/>
  <c r="DP10" i="2"/>
  <c r="DJ10" i="2"/>
  <c r="DI10" i="2"/>
  <c r="DE10" i="2"/>
  <c r="DD10" i="2"/>
  <c r="CZ10" i="2"/>
  <c r="CY10" i="2"/>
  <c r="CU10" i="2"/>
  <c r="CT10" i="2"/>
  <c r="CP10" i="2"/>
  <c r="CO10" i="2"/>
  <c r="CJ10" i="2"/>
  <c r="CF10" i="2"/>
  <c r="CE10" i="2"/>
  <c r="CA10" i="2"/>
  <c r="BZ10" i="2"/>
  <c r="BV10" i="2"/>
  <c r="BU10" i="2"/>
  <c r="BQ10" i="2"/>
  <c r="BP10" i="2"/>
  <c r="BL10" i="2"/>
  <c r="BK10" i="2"/>
  <c r="BG10" i="2"/>
  <c r="BF10" i="2"/>
  <c r="BB10" i="2"/>
  <c r="BA10" i="2"/>
  <c r="AW10" i="2"/>
  <c r="AV10" i="2"/>
  <c r="AR10" i="2"/>
  <c r="AQ10" i="2"/>
  <c r="AM10" i="2"/>
  <c r="AL10" i="2"/>
  <c r="AH10" i="2"/>
  <c r="AG10" i="2"/>
  <c r="AC10" i="2"/>
  <c r="X10" i="2"/>
  <c r="W10" i="2"/>
  <c r="U10" i="2"/>
  <c r="T10" i="2"/>
  <c r="S10" i="2"/>
  <c r="R10" i="2"/>
  <c r="Q10" i="2"/>
  <c r="P10" i="2"/>
  <c r="O10" i="2"/>
  <c r="N10" i="2"/>
  <c r="M10" i="2"/>
  <c r="L10" i="2"/>
  <c r="K10" i="2" s="1"/>
  <c r="H10" i="2"/>
  <c r="G10" i="2"/>
  <c r="E10" i="2"/>
  <c r="DP9" i="2"/>
  <c r="DJ9" i="2"/>
  <c r="DI9" i="2"/>
  <c r="DE9" i="2"/>
  <c r="DD9" i="2"/>
  <c r="CZ9" i="2"/>
  <c r="CY9" i="2"/>
  <c r="CU9" i="2"/>
  <c r="CT9" i="2"/>
  <c r="CP9" i="2"/>
  <c r="CO9" i="2"/>
  <c r="CJ9" i="2"/>
  <c r="CF9" i="2"/>
  <c r="CE9" i="2"/>
  <c r="CA9" i="2"/>
  <c r="BZ9" i="2"/>
  <c r="BV9" i="2"/>
  <c r="BU9" i="2"/>
  <c r="BQ9" i="2"/>
  <c r="BP9" i="2"/>
  <c r="BL9" i="2"/>
  <c r="BK9" i="2"/>
  <c r="BI9" i="2"/>
  <c r="BF9" i="2"/>
  <c r="BD9" i="2"/>
  <c r="BA9" i="2"/>
  <c r="AY9" i="2"/>
  <c r="AV9" i="2"/>
  <c r="AR9" i="2"/>
  <c r="AQ9" i="2"/>
  <c r="AM9" i="2"/>
  <c r="AL9" i="2"/>
  <c r="AH9" i="2"/>
  <c r="AG9" i="2"/>
  <c r="AC9" i="2"/>
  <c r="AB9" i="2"/>
  <c r="X9" i="2"/>
  <c r="W9" i="2"/>
  <c r="U9" i="2"/>
  <c r="T9" i="2"/>
  <c r="S9" i="2"/>
  <c r="R9" i="2"/>
  <c r="Q9" i="2"/>
  <c r="P9" i="2"/>
  <c r="O9" i="2"/>
  <c r="N9" i="2"/>
  <c r="M9" i="2"/>
  <c r="L9" i="2"/>
  <c r="K9" i="2" s="1"/>
  <c r="H9" i="2"/>
  <c r="G9" i="2"/>
  <c r="E9" i="2"/>
  <c r="DP8" i="2"/>
  <c r="DJ8" i="2"/>
  <c r="DI8" i="2"/>
  <c r="DE8" i="2"/>
  <c r="DD8" i="2"/>
  <c r="CZ8" i="2"/>
  <c r="CY8" i="2"/>
  <c r="CU8" i="2"/>
  <c r="CT8" i="2"/>
  <c r="CP8" i="2"/>
  <c r="CO8" i="2"/>
  <c r="CJ8" i="2"/>
  <c r="CF8" i="2"/>
  <c r="CE8" i="2"/>
  <c r="CA8" i="2"/>
  <c r="BZ8" i="2"/>
  <c r="BV8" i="2"/>
  <c r="BU8" i="2"/>
  <c r="BQ8" i="2"/>
  <c r="BP8" i="2"/>
  <c r="BL8" i="2"/>
  <c r="BK8" i="2"/>
  <c r="BI8" i="2"/>
  <c r="BF8" i="2"/>
  <c r="BD8" i="2"/>
  <c r="BA8" i="2"/>
  <c r="AY8" i="2"/>
  <c r="AV8" i="2"/>
  <c r="AR8" i="2"/>
  <c r="AQ8" i="2"/>
  <c r="AM8" i="2"/>
  <c r="AL8" i="2"/>
  <c r="AH8" i="2"/>
  <c r="AG8" i="2"/>
  <c r="AC8" i="2"/>
  <c r="AB8" i="2"/>
  <c r="X8" i="2"/>
  <c r="W8" i="2"/>
  <c r="U8" i="2"/>
  <c r="T8" i="2"/>
  <c r="S8" i="2"/>
  <c r="R8" i="2"/>
  <c r="Q8" i="2"/>
  <c r="P8" i="2"/>
  <c r="O8" i="2"/>
  <c r="N8" i="2"/>
  <c r="M8" i="2"/>
  <c r="L8" i="2"/>
  <c r="K8" i="2" s="1"/>
  <c r="H8" i="2"/>
  <c r="G8" i="2"/>
  <c r="E8" i="2"/>
  <c r="DS4" i="2"/>
  <c r="DS3" i="2"/>
  <c r="H77" i="1"/>
  <c r="H79" i="1"/>
  <c r="H80" i="1"/>
  <c r="H81" i="1"/>
  <c r="H82" i="1"/>
  <c r="H78" i="1"/>
  <c r="H83" i="1"/>
  <c r="H84" i="1"/>
  <c r="H86" i="1"/>
  <c r="H85" i="1"/>
  <c r="H19" i="1"/>
  <c r="DQ11" i="1"/>
  <c r="N23" i="1"/>
  <c r="DO23" i="1" s="1"/>
  <c r="M78" i="1"/>
  <c r="N78" i="1"/>
  <c r="H17" i="1"/>
  <c r="DQ17" i="1"/>
  <c r="DK17" i="1"/>
  <c r="BW17" i="1"/>
  <c r="BM17" i="1"/>
  <c r="BH17" i="1"/>
  <c r="BC17" i="1"/>
  <c r="AX17" i="1"/>
  <c r="AS17" i="1"/>
  <c r="AN17" i="1"/>
  <c r="AI17" i="1"/>
  <c r="AD17" i="1"/>
  <c r="Y17" i="1"/>
  <c r="N17" i="1"/>
  <c r="DO17" i="1" s="1"/>
  <c r="M17" i="1"/>
  <c r="L17" i="1" s="1"/>
  <c r="I17" i="1"/>
  <c r="F17" i="1"/>
  <c r="DQ20" i="1"/>
  <c r="DK20" i="1"/>
  <c r="BW20" i="1"/>
  <c r="BM20" i="1"/>
  <c r="BH20" i="1"/>
  <c r="BC20" i="1"/>
  <c r="AX20" i="1"/>
  <c r="AS20" i="1"/>
  <c r="AN20" i="1"/>
  <c r="AI20" i="1"/>
  <c r="AD20" i="1"/>
  <c r="Y20" i="1"/>
  <c r="N20" i="1"/>
  <c r="DO20" i="1" s="1"/>
  <c r="M20" i="1"/>
  <c r="L20" i="1" s="1"/>
  <c r="I20" i="1"/>
  <c r="H20" i="1"/>
  <c r="F20" i="1"/>
  <c r="DT5" i="1"/>
  <c r="Y78" i="1"/>
  <c r="AD78" i="1"/>
  <c r="AI78" i="1"/>
  <c r="AN78" i="1"/>
  <c r="AS78" i="1"/>
  <c r="AX78" i="1"/>
  <c r="BC78" i="1"/>
  <c r="H14" i="1"/>
  <c r="N85" i="1"/>
  <c r="M85" i="1"/>
  <c r="N86" i="1"/>
  <c r="M86" i="1"/>
  <c r="N84" i="1"/>
  <c r="M84" i="1"/>
  <c r="N83" i="1"/>
  <c r="M83" i="1"/>
  <c r="N82" i="1"/>
  <c r="M82" i="1"/>
  <c r="N81" i="1"/>
  <c r="M81" i="1"/>
  <c r="N80" i="1"/>
  <c r="M80" i="1"/>
  <c r="N79" i="1"/>
  <c r="M79" i="1"/>
  <c r="N77" i="1"/>
  <c r="M77" i="1"/>
  <c r="DK86" i="1"/>
  <c r="DK84" i="1"/>
  <c r="BW84" i="1"/>
  <c r="BM84" i="1"/>
  <c r="BH84" i="1"/>
  <c r="BC84" i="1"/>
  <c r="AX84" i="1"/>
  <c r="AW84" i="1"/>
  <c r="AS84" i="1"/>
  <c r="AN84" i="1"/>
  <c r="AI84" i="1"/>
  <c r="AD84" i="1"/>
  <c r="Y84" i="1"/>
  <c r="DK83" i="1"/>
  <c r="BW83" i="1"/>
  <c r="BM83" i="1"/>
  <c r="BH83" i="1"/>
  <c r="BC83" i="1"/>
  <c r="AX83" i="1"/>
  <c r="AW83" i="1"/>
  <c r="AS83" i="1"/>
  <c r="AN83" i="1"/>
  <c r="AI83" i="1"/>
  <c r="AD83" i="1"/>
  <c r="Y83" i="1"/>
  <c r="DK78" i="1"/>
  <c r="BM78" i="1"/>
  <c r="BH78" i="1"/>
  <c r="DK82" i="1"/>
  <c r="BW82" i="1"/>
  <c r="BM82" i="1"/>
  <c r="BH82" i="1"/>
  <c r="BC82" i="1"/>
  <c r="AX82" i="1"/>
  <c r="AW82" i="1"/>
  <c r="AS82" i="1"/>
  <c r="AN82" i="1"/>
  <c r="AI82" i="1"/>
  <c r="AD82" i="1"/>
  <c r="Y82" i="1"/>
  <c r="DK81" i="1"/>
  <c r="BW81" i="1"/>
  <c r="BM81" i="1"/>
  <c r="BH81" i="1"/>
  <c r="BC81" i="1"/>
  <c r="AX81" i="1"/>
  <c r="AW81" i="1"/>
  <c r="AS81" i="1"/>
  <c r="AN81" i="1"/>
  <c r="AI81" i="1"/>
  <c r="AD81" i="1"/>
  <c r="Y81" i="1"/>
  <c r="DK80" i="1"/>
  <c r="BW80" i="1"/>
  <c r="BM80" i="1"/>
  <c r="BH80" i="1"/>
  <c r="BC80" i="1"/>
  <c r="AX80" i="1"/>
  <c r="AW80" i="1"/>
  <c r="AS80" i="1"/>
  <c r="AN80" i="1"/>
  <c r="AI80" i="1"/>
  <c r="AD80" i="1"/>
  <c r="Y80" i="1"/>
  <c r="DQ85" i="1"/>
  <c r="DQ86" i="1"/>
  <c r="DQ84" i="1"/>
  <c r="DQ83" i="1"/>
  <c r="DQ82" i="1"/>
  <c r="DQ81" i="1"/>
  <c r="DQ80" i="1"/>
  <c r="DQ78" i="1"/>
  <c r="DQ79" i="1"/>
  <c r="DQ77" i="1"/>
  <c r="F79" i="1"/>
  <c r="F78" i="1"/>
  <c r="F80" i="1"/>
  <c r="F81" i="1"/>
  <c r="F82" i="1"/>
  <c r="F83" i="1"/>
  <c r="F84" i="1"/>
  <c r="F86" i="1"/>
  <c r="F85" i="1"/>
  <c r="I78" i="1"/>
  <c r="I80" i="1"/>
  <c r="I81" i="1"/>
  <c r="I82" i="1"/>
  <c r="I83" i="1"/>
  <c r="I84" i="1"/>
  <c r="I86" i="1"/>
  <c r="I85" i="1"/>
  <c r="H22" i="1"/>
  <c r="H12" i="1"/>
  <c r="BJ12" i="1"/>
  <c r="BE12" i="1"/>
  <c r="AZ12" i="1"/>
  <c r="AS16" i="1"/>
  <c r="AN14" i="1"/>
  <c r="DK79" i="1"/>
  <c r="BW79" i="1"/>
  <c r="BM79" i="1"/>
  <c r="BH79" i="1"/>
  <c r="BC79" i="1"/>
  <c r="AX79" i="1"/>
  <c r="AW79" i="1"/>
  <c r="AS79" i="1"/>
  <c r="AN79" i="1"/>
  <c r="AI79" i="1"/>
  <c r="AD79" i="1"/>
  <c r="Y79" i="1"/>
  <c r="I79" i="1"/>
  <c r="F12" i="1"/>
  <c r="F16" i="1"/>
  <c r="F31" i="1"/>
  <c r="F28" i="1"/>
  <c r="F19" i="1"/>
  <c r="F18" i="1"/>
  <c r="F77" i="1"/>
  <c r="F10" i="1"/>
  <c r="F9" i="1"/>
  <c r="F11" i="1"/>
  <c r="F33" i="1"/>
  <c r="F32" i="1"/>
  <c r="F27" i="1"/>
  <c r="F26" i="1"/>
  <c r="F25" i="1"/>
  <c r="F21" i="1"/>
  <c r="F22" i="1"/>
  <c r="F24" i="1"/>
  <c r="F23" i="1"/>
  <c r="F15" i="1"/>
  <c r="F14" i="1"/>
  <c r="F13" i="1"/>
  <c r="DK77" i="1"/>
  <c r="BW77" i="1"/>
  <c r="BM77" i="1"/>
  <c r="BH77" i="1"/>
  <c r="BC77" i="1"/>
  <c r="AX77" i="1"/>
  <c r="AS77" i="1"/>
  <c r="AN77" i="1"/>
  <c r="AI77" i="1"/>
  <c r="AD77" i="1"/>
  <c r="Y77" i="1"/>
  <c r="I77" i="1"/>
  <c r="DQ31" i="1"/>
  <c r="DK31" i="1"/>
  <c r="BW31" i="1"/>
  <c r="BM31" i="1"/>
  <c r="BH31" i="1"/>
  <c r="BC31" i="1"/>
  <c r="AX31" i="1"/>
  <c r="AS31" i="1"/>
  <c r="AN31" i="1"/>
  <c r="AI31" i="1"/>
  <c r="AD31" i="1"/>
  <c r="Y31" i="1"/>
  <c r="N31" i="1"/>
  <c r="DO31" i="1" s="1"/>
  <c r="M31" i="1"/>
  <c r="L31" i="1" s="1"/>
  <c r="I31" i="1"/>
  <c r="H31" i="1"/>
  <c r="DQ28" i="1"/>
  <c r="DK28" i="1"/>
  <c r="BW28" i="1"/>
  <c r="BM28" i="1"/>
  <c r="BH28" i="1"/>
  <c r="BC28" i="1"/>
  <c r="AX28" i="1"/>
  <c r="AS28" i="1"/>
  <c r="AN28" i="1"/>
  <c r="AI28" i="1"/>
  <c r="AD28" i="1"/>
  <c r="Y28" i="1"/>
  <c r="N28" i="1"/>
  <c r="DO28" i="1" s="1"/>
  <c r="M28" i="1"/>
  <c r="L28" i="1" s="1"/>
  <c r="I28" i="1"/>
  <c r="H28" i="1"/>
  <c r="DQ19" i="1"/>
  <c r="DK19" i="1"/>
  <c r="BW19" i="1"/>
  <c r="BM19" i="1"/>
  <c r="BH19" i="1"/>
  <c r="BC19" i="1"/>
  <c r="AX19" i="1"/>
  <c r="AS19" i="1"/>
  <c r="AN19" i="1"/>
  <c r="AI19" i="1"/>
  <c r="AD19" i="1"/>
  <c r="Y19" i="1"/>
  <c r="N19" i="1"/>
  <c r="DO19" i="1" s="1"/>
  <c r="M19" i="1"/>
  <c r="L19" i="1" s="1"/>
  <c r="I19" i="1"/>
  <c r="H18" i="1"/>
  <c r="DQ18" i="1"/>
  <c r="DK18" i="1"/>
  <c r="BW18" i="1"/>
  <c r="BM18" i="1"/>
  <c r="BH18" i="1"/>
  <c r="BC18" i="1"/>
  <c r="AX18" i="1"/>
  <c r="AS18" i="1"/>
  <c r="AN18" i="1"/>
  <c r="AI18" i="1"/>
  <c r="AD18" i="1"/>
  <c r="Y18" i="1"/>
  <c r="N18" i="1"/>
  <c r="DO18" i="1" s="1"/>
  <c r="M18" i="1"/>
  <c r="L18" i="1" s="1"/>
  <c r="I18" i="1"/>
  <c r="N10" i="1"/>
  <c r="DO10" i="1" s="1"/>
  <c r="M10" i="1"/>
  <c r="L10" i="1" s="1"/>
  <c r="N9" i="1"/>
  <c r="DO9" i="1" s="1"/>
  <c r="M9" i="1"/>
  <c r="L9" i="1" s="1"/>
  <c r="N11" i="1"/>
  <c r="DO11" i="1" s="1"/>
  <c r="M11" i="1"/>
  <c r="L11" i="1" s="1"/>
  <c r="N33" i="1"/>
  <c r="M33" i="1"/>
  <c r="L33" i="1" s="1"/>
  <c r="N32" i="1"/>
  <c r="M32" i="1"/>
  <c r="L32" i="1" s="1"/>
  <c r="N27" i="1"/>
  <c r="M27" i="1"/>
  <c r="L27" i="1" s="1"/>
  <c r="N26" i="1"/>
  <c r="M26" i="1"/>
  <c r="L26" i="1" s="1"/>
  <c r="N25" i="1"/>
  <c r="DO25" i="1" s="1"/>
  <c r="M25" i="1"/>
  <c r="L25" i="1" s="1"/>
  <c r="N21" i="1"/>
  <c r="DO21" i="1" s="1"/>
  <c r="M21" i="1"/>
  <c r="L21" i="1" s="1"/>
  <c r="N22" i="1"/>
  <c r="M22" i="1"/>
  <c r="L22" i="1" s="1"/>
  <c r="N24" i="1"/>
  <c r="DO24" i="1" s="1"/>
  <c r="M24" i="1"/>
  <c r="L24" i="1" s="1"/>
  <c r="M23" i="1"/>
  <c r="L23" i="1" s="1"/>
  <c r="N15" i="1"/>
  <c r="M15" i="1"/>
  <c r="L15" i="1" s="1"/>
  <c r="N14" i="1"/>
  <c r="M14" i="1"/>
  <c r="L14" i="1" s="1"/>
  <c r="N13" i="1"/>
  <c r="M13" i="1"/>
  <c r="L13" i="1" s="1"/>
  <c r="N16" i="1"/>
  <c r="M16" i="1"/>
  <c r="L16" i="1" s="1"/>
  <c r="N12" i="1"/>
  <c r="M12" i="1"/>
  <c r="L12" i="1" s="1"/>
  <c r="I10" i="1"/>
  <c r="H10" i="1"/>
  <c r="I9" i="1"/>
  <c r="H9" i="1"/>
  <c r="I11" i="1"/>
  <c r="H11" i="1"/>
  <c r="I33" i="1"/>
  <c r="H33" i="1"/>
  <c r="I32" i="1"/>
  <c r="H32" i="1"/>
  <c r="I27" i="1"/>
  <c r="H27" i="1"/>
  <c r="I26" i="1"/>
  <c r="H26" i="1"/>
  <c r="I25" i="1"/>
  <c r="H25" i="1"/>
  <c r="I21" i="1"/>
  <c r="H21" i="1"/>
  <c r="I22" i="1"/>
  <c r="I24" i="1"/>
  <c r="H24" i="1"/>
  <c r="I23" i="1"/>
  <c r="H23" i="1"/>
  <c r="I15" i="1"/>
  <c r="H15" i="1"/>
  <c r="I14" i="1"/>
  <c r="I13" i="1"/>
  <c r="H13" i="1"/>
  <c r="I16" i="1"/>
  <c r="H16" i="1"/>
  <c r="I12" i="1"/>
  <c r="DQ10" i="1"/>
  <c r="DK10" i="1"/>
  <c r="BW10" i="1"/>
  <c r="BM10" i="1"/>
  <c r="AS10" i="1"/>
  <c r="AN10" i="1"/>
  <c r="AI10" i="1"/>
  <c r="AD10" i="1"/>
  <c r="Y10" i="1"/>
  <c r="DQ9" i="1"/>
  <c r="DK9" i="1"/>
  <c r="DF9" i="1"/>
  <c r="DA9" i="1"/>
  <c r="CV9" i="1"/>
  <c r="CQ9" i="1"/>
  <c r="CG9" i="1"/>
  <c r="CB9" i="1"/>
  <c r="BW9" i="1"/>
  <c r="BR9" i="1"/>
  <c r="BM9" i="1"/>
  <c r="AS9" i="1"/>
  <c r="AN9" i="1"/>
  <c r="AI9" i="1"/>
  <c r="AD9" i="1"/>
  <c r="Y9" i="1"/>
  <c r="Y11" i="1"/>
  <c r="AD11" i="1"/>
  <c r="AI11" i="1"/>
  <c r="AN11" i="1"/>
  <c r="AS11" i="1"/>
  <c r="AX11" i="1"/>
  <c r="BC11" i="1"/>
  <c r="BH11" i="1"/>
  <c r="BM11" i="1"/>
  <c r="BW11" i="1"/>
  <c r="DK11" i="1"/>
  <c r="DO91" i="1" l="1"/>
  <c r="DI91" i="1" s="1"/>
  <c r="DO92" i="1"/>
  <c r="DI92" i="1" s="1"/>
  <c r="DO93" i="1"/>
  <c r="DI93" i="1" s="1"/>
  <c r="DV91" i="1"/>
  <c r="DV92" i="1"/>
  <c r="DR92" i="1"/>
  <c r="DS92" i="1" s="1"/>
  <c r="DV93" i="1"/>
  <c r="DR93" i="1"/>
  <c r="DS93" i="1" s="1"/>
  <c r="L56" i="1"/>
  <c r="DU44" i="1"/>
  <c r="DV44" i="1" s="1"/>
  <c r="DU45" i="1"/>
  <c r="L75" i="1"/>
  <c r="CE76" i="1"/>
  <c r="BZ76" i="1" s="1"/>
  <c r="BU76" i="1" s="1"/>
  <c r="CM76" i="1"/>
  <c r="CN76" i="1" s="1"/>
  <c r="DL76" i="1"/>
  <c r="DM76" i="1" s="1"/>
  <c r="DG76" i="1"/>
  <c r="DH76" i="1" s="1"/>
  <c r="DB76" i="1"/>
  <c r="DC76" i="1" s="1"/>
  <c r="CW76" i="1"/>
  <c r="CX76" i="1" s="1"/>
  <c r="CR76" i="1"/>
  <c r="CS76" i="1" s="1"/>
  <c r="DR76" i="1"/>
  <c r="DS76" i="1" s="1"/>
  <c r="DU77" i="1"/>
  <c r="DV77" i="1" s="1"/>
  <c r="DU79" i="1"/>
  <c r="DV79" i="1" s="1"/>
  <c r="DU80" i="1"/>
  <c r="DV80" i="1" s="1"/>
  <c r="DU81" i="1"/>
  <c r="DU82" i="1"/>
  <c r="DV82" i="1" s="1"/>
  <c r="DU83" i="1"/>
  <c r="DV83" i="1" s="1"/>
  <c r="DU84" i="1"/>
  <c r="DV84" i="1" s="1"/>
  <c r="DU85" i="1"/>
  <c r="DV85" i="1" s="1"/>
  <c r="DU78" i="1"/>
  <c r="DV78" i="1" s="1"/>
  <c r="DU69" i="1"/>
  <c r="DV69" i="1" s="1"/>
  <c r="DU70" i="1"/>
  <c r="DV70" i="1" s="1"/>
  <c r="DU71" i="1"/>
  <c r="DV71" i="1" s="1"/>
  <c r="DU72" i="1"/>
  <c r="DV72" i="1" s="1"/>
  <c r="DU73" i="1"/>
  <c r="DV73" i="1" s="1"/>
  <c r="DU74" i="1"/>
  <c r="DV74" i="1" s="1"/>
  <c r="DU75" i="1"/>
  <c r="DV75" i="1" s="1"/>
  <c r="Z90" i="1"/>
  <c r="AA90" i="1" s="1"/>
  <c r="AE90" i="1"/>
  <c r="AF90" i="1" s="1"/>
  <c r="AJ90" i="1"/>
  <c r="AK90" i="1" s="1"/>
  <c r="AO90" i="1"/>
  <c r="AP90" i="1" s="1"/>
  <c r="AT90" i="1"/>
  <c r="AU90" i="1" s="1"/>
  <c r="AY90" i="1"/>
  <c r="AZ90" i="1" s="1"/>
  <c r="BD90" i="1"/>
  <c r="BE90" i="1" s="1"/>
  <c r="BI90" i="1"/>
  <c r="BJ90" i="1" s="1"/>
  <c r="BN90" i="1"/>
  <c r="BO90" i="1" s="1"/>
  <c r="BS90" i="1"/>
  <c r="BT90" i="1" s="1"/>
  <c r="BX90" i="1"/>
  <c r="BY90" i="1" s="1"/>
  <c r="CC90" i="1"/>
  <c r="CD90" i="1" s="1"/>
  <c r="CH90" i="1"/>
  <c r="CI90" i="1" s="1"/>
  <c r="CM90" i="1"/>
  <c r="CN90" i="1" s="1"/>
  <c r="CR90" i="1"/>
  <c r="CS90" i="1" s="1"/>
  <c r="CW90" i="1"/>
  <c r="CX90" i="1" s="1"/>
  <c r="DB90" i="1"/>
  <c r="DC90" i="1" s="1"/>
  <c r="DG90" i="1"/>
  <c r="DH90" i="1" s="1"/>
  <c r="DL90" i="1"/>
  <c r="DM90" i="1" s="1"/>
  <c r="DU90" i="1"/>
  <c r="DV90" i="1" s="1"/>
  <c r="DR90" i="1"/>
  <c r="DS90" i="1" s="1"/>
  <c r="Z75" i="1"/>
  <c r="AA75" i="1" s="1"/>
  <c r="AE75" i="1"/>
  <c r="AF75" i="1" s="1"/>
  <c r="AJ75" i="1"/>
  <c r="AK75" i="1" s="1"/>
  <c r="AO75" i="1"/>
  <c r="AP75" i="1" s="1"/>
  <c r="AT75" i="1"/>
  <c r="AU75" i="1" s="1"/>
  <c r="AY75" i="1"/>
  <c r="AZ75" i="1" s="1"/>
  <c r="BD75" i="1"/>
  <c r="BE75" i="1" s="1"/>
  <c r="BI75" i="1"/>
  <c r="BJ75" i="1" s="1"/>
  <c r="BN75" i="1"/>
  <c r="BO75" i="1" s="1"/>
  <c r="BS75" i="1"/>
  <c r="BT75" i="1" s="1"/>
  <c r="BX75" i="1"/>
  <c r="BY75" i="1" s="1"/>
  <c r="CC75" i="1"/>
  <c r="CD75" i="1" s="1"/>
  <c r="CH75" i="1"/>
  <c r="CI75" i="1" s="1"/>
  <c r="CM75" i="1"/>
  <c r="CN75" i="1" s="1"/>
  <c r="CR75" i="1"/>
  <c r="CS75" i="1" s="1"/>
  <c r="CW75" i="1"/>
  <c r="CX75" i="1" s="1"/>
  <c r="DB75" i="1"/>
  <c r="DC75" i="1" s="1"/>
  <c r="DG75" i="1"/>
  <c r="DH75" i="1" s="1"/>
  <c r="DL75" i="1"/>
  <c r="DM75" i="1" s="1"/>
  <c r="DR75" i="1"/>
  <c r="DS75" i="1" s="1"/>
  <c r="Z74" i="1"/>
  <c r="AA74" i="1" s="1"/>
  <c r="AE74" i="1"/>
  <c r="AF74" i="1" s="1"/>
  <c r="AJ74" i="1"/>
  <c r="AK74" i="1" s="1"/>
  <c r="AO74" i="1"/>
  <c r="AP74" i="1" s="1"/>
  <c r="AT74" i="1"/>
  <c r="AU74" i="1" s="1"/>
  <c r="AY74" i="1"/>
  <c r="AZ74" i="1" s="1"/>
  <c r="BD74" i="1"/>
  <c r="BE74" i="1" s="1"/>
  <c r="BI74" i="1"/>
  <c r="BJ74" i="1" s="1"/>
  <c r="BN74" i="1"/>
  <c r="BO74" i="1" s="1"/>
  <c r="BS74" i="1"/>
  <c r="BT74" i="1" s="1"/>
  <c r="BX74" i="1"/>
  <c r="BY74" i="1" s="1"/>
  <c r="CC74" i="1"/>
  <c r="CD74" i="1" s="1"/>
  <c r="CH74" i="1"/>
  <c r="CI74" i="1" s="1"/>
  <c r="CM74" i="1"/>
  <c r="CN74" i="1" s="1"/>
  <c r="CR74" i="1"/>
  <c r="CS74" i="1" s="1"/>
  <c r="CW74" i="1"/>
  <c r="CX74" i="1" s="1"/>
  <c r="DB74" i="1"/>
  <c r="DC74" i="1" s="1"/>
  <c r="DG74" i="1"/>
  <c r="DH74" i="1" s="1"/>
  <c r="DL74" i="1"/>
  <c r="DM74" i="1" s="1"/>
  <c r="DR74" i="1"/>
  <c r="DS74" i="1" s="1"/>
  <c r="Z72" i="1"/>
  <c r="AA72" i="1" s="1"/>
  <c r="AE72" i="1"/>
  <c r="AF72" i="1" s="1"/>
  <c r="AJ72" i="1"/>
  <c r="AK72" i="1" s="1"/>
  <c r="AO72" i="1"/>
  <c r="AP72" i="1" s="1"/>
  <c r="AT72" i="1"/>
  <c r="AU72" i="1" s="1"/>
  <c r="AY72" i="1"/>
  <c r="AZ72" i="1" s="1"/>
  <c r="BD72" i="1"/>
  <c r="BE72" i="1" s="1"/>
  <c r="BI72" i="1"/>
  <c r="BJ72" i="1" s="1"/>
  <c r="BN72" i="1"/>
  <c r="BO72" i="1" s="1"/>
  <c r="BS72" i="1"/>
  <c r="BT72" i="1" s="1"/>
  <c r="BX72" i="1"/>
  <c r="BY72" i="1" s="1"/>
  <c r="CC72" i="1"/>
  <c r="CD72" i="1" s="1"/>
  <c r="CH72" i="1"/>
  <c r="CI72" i="1" s="1"/>
  <c r="CM72" i="1"/>
  <c r="CN72" i="1" s="1"/>
  <c r="CR72" i="1"/>
  <c r="CS72" i="1" s="1"/>
  <c r="CW72" i="1"/>
  <c r="CX72" i="1" s="1"/>
  <c r="DB72" i="1"/>
  <c r="DC72" i="1" s="1"/>
  <c r="DG72" i="1"/>
  <c r="DH72" i="1" s="1"/>
  <c r="DL72" i="1"/>
  <c r="DM72" i="1" s="1"/>
  <c r="DR72" i="1"/>
  <c r="DS72" i="1" s="1"/>
  <c r="Z73" i="1"/>
  <c r="AA73" i="1" s="1"/>
  <c r="AE73" i="1"/>
  <c r="AF73" i="1" s="1"/>
  <c r="AJ73" i="1"/>
  <c r="AK73" i="1" s="1"/>
  <c r="AO73" i="1"/>
  <c r="AP73" i="1" s="1"/>
  <c r="AT73" i="1"/>
  <c r="AU73" i="1" s="1"/>
  <c r="AY73" i="1"/>
  <c r="AZ73" i="1" s="1"/>
  <c r="BD73" i="1"/>
  <c r="BE73" i="1" s="1"/>
  <c r="BI73" i="1"/>
  <c r="BJ73" i="1" s="1"/>
  <c r="BN73" i="1"/>
  <c r="BO73" i="1" s="1"/>
  <c r="BS73" i="1"/>
  <c r="BT73" i="1" s="1"/>
  <c r="BX73" i="1"/>
  <c r="BY73" i="1" s="1"/>
  <c r="CC73" i="1"/>
  <c r="CD73" i="1" s="1"/>
  <c r="CH73" i="1"/>
  <c r="CI73" i="1" s="1"/>
  <c r="CM73" i="1"/>
  <c r="CN73" i="1" s="1"/>
  <c r="CR73" i="1"/>
  <c r="CS73" i="1" s="1"/>
  <c r="CW73" i="1"/>
  <c r="CX73" i="1" s="1"/>
  <c r="DB73" i="1"/>
  <c r="DC73" i="1" s="1"/>
  <c r="DG73" i="1"/>
  <c r="DH73" i="1" s="1"/>
  <c r="DL73" i="1"/>
  <c r="DM73" i="1" s="1"/>
  <c r="DR73" i="1"/>
  <c r="DS73" i="1" s="1"/>
  <c r="DI37" i="1"/>
  <c r="DD37" i="1" s="1"/>
  <c r="CY37" i="1" s="1"/>
  <c r="CT37" i="1" s="1"/>
  <c r="CO37" i="1" s="1"/>
  <c r="CJ37" i="1" s="1"/>
  <c r="CE37" i="1" s="1"/>
  <c r="CH37" i="1" s="1"/>
  <c r="CI37" i="1" s="1"/>
  <c r="DU58" i="1"/>
  <c r="DV58" i="1" s="1"/>
  <c r="Z71" i="1"/>
  <c r="AA71" i="1" s="1"/>
  <c r="AE71" i="1"/>
  <c r="AF71" i="1" s="1"/>
  <c r="AJ71" i="1"/>
  <c r="AK71" i="1" s="1"/>
  <c r="AO71" i="1"/>
  <c r="AP71" i="1" s="1"/>
  <c r="AT71" i="1"/>
  <c r="AU71" i="1" s="1"/>
  <c r="AY71" i="1"/>
  <c r="AZ71" i="1" s="1"/>
  <c r="BD71" i="1"/>
  <c r="BE71" i="1" s="1"/>
  <c r="BI71" i="1"/>
  <c r="BJ71" i="1" s="1"/>
  <c r="BN71" i="1"/>
  <c r="BO71" i="1" s="1"/>
  <c r="BS71" i="1"/>
  <c r="BT71" i="1" s="1"/>
  <c r="BX71" i="1"/>
  <c r="BY71" i="1" s="1"/>
  <c r="CC71" i="1"/>
  <c r="CD71" i="1" s="1"/>
  <c r="CH71" i="1"/>
  <c r="CI71" i="1" s="1"/>
  <c r="CM71" i="1"/>
  <c r="CN71" i="1" s="1"/>
  <c r="CR71" i="1"/>
  <c r="CS71" i="1" s="1"/>
  <c r="CW71" i="1"/>
  <c r="CX71" i="1" s="1"/>
  <c r="DB71" i="1"/>
  <c r="DC71" i="1" s="1"/>
  <c r="DG71" i="1"/>
  <c r="DH71" i="1" s="1"/>
  <c r="DL71" i="1"/>
  <c r="DM71" i="1" s="1"/>
  <c r="DR71" i="1"/>
  <c r="DS71" i="1" s="1"/>
  <c r="Z70" i="1"/>
  <c r="AA70" i="1" s="1"/>
  <c r="AE70" i="1"/>
  <c r="AF70" i="1" s="1"/>
  <c r="AJ70" i="1"/>
  <c r="AK70" i="1" s="1"/>
  <c r="AO70" i="1"/>
  <c r="AP70" i="1" s="1"/>
  <c r="AT70" i="1"/>
  <c r="AU70" i="1" s="1"/>
  <c r="AY70" i="1"/>
  <c r="AZ70" i="1" s="1"/>
  <c r="BD70" i="1"/>
  <c r="BE70" i="1" s="1"/>
  <c r="BI70" i="1"/>
  <c r="BJ70" i="1" s="1"/>
  <c r="BN70" i="1"/>
  <c r="BO70" i="1" s="1"/>
  <c r="BS70" i="1"/>
  <c r="BT70" i="1" s="1"/>
  <c r="BX70" i="1"/>
  <c r="BY70" i="1" s="1"/>
  <c r="CC70" i="1"/>
  <c r="CD70" i="1" s="1"/>
  <c r="CH70" i="1"/>
  <c r="CI70" i="1" s="1"/>
  <c r="CM70" i="1"/>
  <c r="CN70" i="1" s="1"/>
  <c r="CR70" i="1"/>
  <c r="CS70" i="1" s="1"/>
  <c r="CW70" i="1"/>
  <c r="CX70" i="1" s="1"/>
  <c r="DB70" i="1"/>
  <c r="DC70" i="1" s="1"/>
  <c r="DG70" i="1"/>
  <c r="DH70" i="1" s="1"/>
  <c r="DL70" i="1"/>
  <c r="DM70" i="1" s="1"/>
  <c r="DR70" i="1"/>
  <c r="DS70" i="1" s="1"/>
  <c r="DO83" i="1"/>
  <c r="DI83" i="1" s="1"/>
  <c r="DD83" i="1" s="1"/>
  <c r="CY83" i="1" s="1"/>
  <c r="CT83" i="1" s="1"/>
  <c r="CO83" i="1" s="1"/>
  <c r="CJ83" i="1" s="1"/>
  <c r="CE83" i="1" s="1"/>
  <c r="BZ83" i="1" s="1"/>
  <c r="DU55" i="1"/>
  <c r="DV55" i="1" s="1"/>
  <c r="DO158" i="1"/>
  <c r="DI158" i="1" s="1"/>
  <c r="DD158" i="1" s="1"/>
  <c r="CY158" i="1" s="1"/>
  <c r="CT158" i="1" s="1"/>
  <c r="CO158" i="1" s="1"/>
  <c r="CJ158" i="1" s="1"/>
  <c r="CE158" i="1" s="1"/>
  <c r="BZ158" i="1" s="1"/>
  <c r="BU158" i="1" s="1"/>
  <c r="BP158" i="1" s="1"/>
  <c r="BK158" i="1" s="1"/>
  <c r="BF158" i="1" s="1"/>
  <c r="BA158" i="1" s="1"/>
  <c r="AV158" i="1" s="1"/>
  <c r="AQ158" i="1" s="1"/>
  <c r="AL158" i="1" s="1"/>
  <c r="AG158" i="1" s="1"/>
  <c r="AB158" i="1" s="1"/>
  <c r="W158" i="1" s="1"/>
  <c r="Z158" i="1" s="1"/>
  <c r="AA158" i="1" s="1"/>
  <c r="DU158" i="1"/>
  <c r="DV158" i="1" s="1"/>
  <c r="DO159" i="1"/>
  <c r="DI159" i="1" s="1"/>
  <c r="DD159" i="1" s="1"/>
  <c r="CY159" i="1" s="1"/>
  <c r="CT159" i="1" s="1"/>
  <c r="CO159" i="1" s="1"/>
  <c r="CJ159" i="1" s="1"/>
  <c r="CE159" i="1" s="1"/>
  <c r="BZ159" i="1" s="1"/>
  <c r="BU159" i="1" s="1"/>
  <c r="BP159" i="1" s="1"/>
  <c r="BK159" i="1" s="1"/>
  <c r="BF159" i="1" s="1"/>
  <c r="BA159" i="1" s="1"/>
  <c r="AV159" i="1" s="1"/>
  <c r="AQ159" i="1" s="1"/>
  <c r="AL159" i="1" s="1"/>
  <c r="AG159" i="1" s="1"/>
  <c r="AB159" i="1" s="1"/>
  <c r="W159" i="1" s="1"/>
  <c r="Z159" i="1" s="1"/>
  <c r="AA159" i="1" s="1"/>
  <c r="DU159" i="1"/>
  <c r="DV159" i="1" s="1"/>
  <c r="DO160" i="1"/>
  <c r="DI160" i="1" s="1"/>
  <c r="DD160" i="1" s="1"/>
  <c r="CY160" i="1" s="1"/>
  <c r="CT160" i="1" s="1"/>
  <c r="CO160" i="1" s="1"/>
  <c r="CJ160" i="1" s="1"/>
  <c r="CE160" i="1" s="1"/>
  <c r="BZ160" i="1" s="1"/>
  <c r="BU160" i="1" s="1"/>
  <c r="BP160" i="1" s="1"/>
  <c r="BK160" i="1" s="1"/>
  <c r="BF160" i="1" s="1"/>
  <c r="BA160" i="1" s="1"/>
  <c r="AV160" i="1" s="1"/>
  <c r="AQ160" i="1" s="1"/>
  <c r="AL160" i="1" s="1"/>
  <c r="AG160" i="1" s="1"/>
  <c r="AB160" i="1" s="1"/>
  <c r="W160" i="1" s="1"/>
  <c r="Z160" i="1" s="1"/>
  <c r="AA160" i="1" s="1"/>
  <c r="DU160" i="1"/>
  <c r="DV160" i="1" s="1"/>
  <c r="DO161" i="1"/>
  <c r="DI161" i="1" s="1"/>
  <c r="DD161" i="1" s="1"/>
  <c r="CY161" i="1" s="1"/>
  <c r="CT161" i="1" s="1"/>
  <c r="CO161" i="1" s="1"/>
  <c r="CJ161" i="1" s="1"/>
  <c r="CE161" i="1" s="1"/>
  <c r="BZ161" i="1" s="1"/>
  <c r="BU161" i="1" s="1"/>
  <c r="BP161" i="1" s="1"/>
  <c r="BK161" i="1" s="1"/>
  <c r="BF161" i="1" s="1"/>
  <c r="BA161" i="1" s="1"/>
  <c r="AV161" i="1" s="1"/>
  <c r="AQ161" i="1" s="1"/>
  <c r="AL161" i="1" s="1"/>
  <c r="AG161" i="1" s="1"/>
  <c r="AB161" i="1" s="1"/>
  <c r="W161" i="1" s="1"/>
  <c r="Z161" i="1" s="1"/>
  <c r="AA161" i="1" s="1"/>
  <c r="DU161" i="1"/>
  <c r="DV161" i="1" s="1"/>
  <c r="DO162" i="1"/>
  <c r="DI162" i="1" s="1"/>
  <c r="DD162" i="1" s="1"/>
  <c r="CY162" i="1" s="1"/>
  <c r="CT162" i="1" s="1"/>
  <c r="CO162" i="1" s="1"/>
  <c r="CJ162" i="1" s="1"/>
  <c r="CE162" i="1" s="1"/>
  <c r="BZ162" i="1" s="1"/>
  <c r="BU162" i="1" s="1"/>
  <c r="BP162" i="1" s="1"/>
  <c r="BK162" i="1" s="1"/>
  <c r="BF162" i="1" s="1"/>
  <c r="BA162" i="1" s="1"/>
  <c r="AV162" i="1" s="1"/>
  <c r="AQ162" i="1" s="1"/>
  <c r="AL162" i="1" s="1"/>
  <c r="AG162" i="1" s="1"/>
  <c r="AB162" i="1" s="1"/>
  <c r="W162" i="1" s="1"/>
  <c r="Z162" i="1" s="1"/>
  <c r="AA162" i="1" s="1"/>
  <c r="DU162" i="1"/>
  <c r="DV162" i="1" s="1"/>
  <c r="DO163" i="1"/>
  <c r="DI163" i="1" s="1"/>
  <c r="DD163" i="1" s="1"/>
  <c r="CY163" i="1" s="1"/>
  <c r="CT163" i="1" s="1"/>
  <c r="CO163" i="1" s="1"/>
  <c r="CJ163" i="1" s="1"/>
  <c r="CE163" i="1" s="1"/>
  <c r="BZ163" i="1" s="1"/>
  <c r="BU163" i="1" s="1"/>
  <c r="BP163" i="1" s="1"/>
  <c r="BK163" i="1" s="1"/>
  <c r="BF163" i="1" s="1"/>
  <c r="BA163" i="1" s="1"/>
  <c r="AV163" i="1" s="1"/>
  <c r="AQ163" i="1" s="1"/>
  <c r="AL163" i="1" s="1"/>
  <c r="AG163" i="1" s="1"/>
  <c r="AB163" i="1" s="1"/>
  <c r="W163" i="1" s="1"/>
  <c r="Z163" i="1" s="1"/>
  <c r="AA163" i="1" s="1"/>
  <c r="DU163" i="1"/>
  <c r="DV163" i="1" s="1"/>
  <c r="DO164" i="1"/>
  <c r="DI164" i="1" s="1"/>
  <c r="DD164" i="1" s="1"/>
  <c r="CY164" i="1" s="1"/>
  <c r="CT164" i="1" s="1"/>
  <c r="CO164" i="1" s="1"/>
  <c r="CJ164" i="1" s="1"/>
  <c r="CE164" i="1" s="1"/>
  <c r="BZ164" i="1" s="1"/>
  <c r="BU164" i="1" s="1"/>
  <c r="BP164" i="1" s="1"/>
  <c r="BK164" i="1" s="1"/>
  <c r="BF164" i="1" s="1"/>
  <c r="BA164" i="1" s="1"/>
  <c r="AV164" i="1" s="1"/>
  <c r="AQ164" i="1" s="1"/>
  <c r="AL164" i="1" s="1"/>
  <c r="AG164" i="1" s="1"/>
  <c r="AB164" i="1" s="1"/>
  <c r="W164" i="1" s="1"/>
  <c r="Z164" i="1" s="1"/>
  <c r="AA164" i="1" s="1"/>
  <c r="DU164" i="1"/>
  <c r="DV164" i="1" s="1"/>
  <c r="DO165" i="1"/>
  <c r="DI165" i="1" s="1"/>
  <c r="DD165" i="1" s="1"/>
  <c r="CY165" i="1" s="1"/>
  <c r="CT165" i="1" s="1"/>
  <c r="CO165" i="1" s="1"/>
  <c r="CJ165" i="1" s="1"/>
  <c r="CE165" i="1" s="1"/>
  <c r="BZ165" i="1" s="1"/>
  <c r="BU165" i="1" s="1"/>
  <c r="BP165" i="1" s="1"/>
  <c r="BK165" i="1" s="1"/>
  <c r="BF165" i="1" s="1"/>
  <c r="BA165" i="1" s="1"/>
  <c r="AV165" i="1" s="1"/>
  <c r="AQ165" i="1" s="1"/>
  <c r="AL165" i="1" s="1"/>
  <c r="AG165" i="1" s="1"/>
  <c r="AB165" i="1" s="1"/>
  <c r="W165" i="1" s="1"/>
  <c r="Z165" i="1" s="1"/>
  <c r="AA165" i="1" s="1"/>
  <c r="DU165" i="1"/>
  <c r="DV165" i="1" s="1"/>
  <c r="DO166" i="1"/>
  <c r="DI166" i="1" s="1"/>
  <c r="DD166" i="1" s="1"/>
  <c r="CY166" i="1" s="1"/>
  <c r="CT166" i="1" s="1"/>
  <c r="CO166" i="1" s="1"/>
  <c r="CJ166" i="1" s="1"/>
  <c r="CE166" i="1" s="1"/>
  <c r="BZ166" i="1" s="1"/>
  <c r="BU166" i="1" s="1"/>
  <c r="BP166" i="1" s="1"/>
  <c r="BK166" i="1" s="1"/>
  <c r="BF166" i="1" s="1"/>
  <c r="BA166" i="1" s="1"/>
  <c r="AV166" i="1" s="1"/>
  <c r="AQ166" i="1" s="1"/>
  <c r="AL166" i="1" s="1"/>
  <c r="AG166" i="1" s="1"/>
  <c r="AB166" i="1" s="1"/>
  <c r="W166" i="1" s="1"/>
  <c r="Z166" i="1" s="1"/>
  <c r="AA166" i="1" s="1"/>
  <c r="DU166" i="1"/>
  <c r="DV166" i="1" s="1"/>
  <c r="DO167" i="1"/>
  <c r="DI167" i="1" s="1"/>
  <c r="DD167" i="1" s="1"/>
  <c r="CY167" i="1" s="1"/>
  <c r="CT167" i="1" s="1"/>
  <c r="CO167" i="1" s="1"/>
  <c r="CJ167" i="1" s="1"/>
  <c r="CE167" i="1" s="1"/>
  <c r="BZ167" i="1" s="1"/>
  <c r="BU167" i="1" s="1"/>
  <c r="BP167" i="1" s="1"/>
  <c r="BK167" i="1" s="1"/>
  <c r="BF167" i="1" s="1"/>
  <c r="BA167" i="1" s="1"/>
  <c r="AV167" i="1" s="1"/>
  <c r="AQ167" i="1" s="1"/>
  <c r="AL167" i="1" s="1"/>
  <c r="AG167" i="1" s="1"/>
  <c r="AB167" i="1" s="1"/>
  <c r="W167" i="1" s="1"/>
  <c r="Z167" i="1" s="1"/>
  <c r="AA167" i="1" s="1"/>
  <c r="DU167" i="1"/>
  <c r="DV167" i="1" s="1"/>
  <c r="DO148" i="1"/>
  <c r="DI148" i="1" s="1"/>
  <c r="DD148" i="1" s="1"/>
  <c r="CY148" i="1" s="1"/>
  <c r="CT148" i="1" s="1"/>
  <c r="CO148" i="1" s="1"/>
  <c r="CJ148" i="1" s="1"/>
  <c r="CE148" i="1" s="1"/>
  <c r="BZ148" i="1" s="1"/>
  <c r="BU148" i="1" s="1"/>
  <c r="BP148" i="1" s="1"/>
  <c r="BK148" i="1" s="1"/>
  <c r="BF148" i="1" s="1"/>
  <c r="BA148" i="1" s="1"/>
  <c r="AV148" i="1" s="1"/>
  <c r="AQ148" i="1" s="1"/>
  <c r="AL148" i="1" s="1"/>
  <c r="AG148" i="1" s="1"/>
  <c r="AB148" i="1" s="1"/>
  <c r="W148" i="1" s="1"/>
  <c r="Z148" i="1" s="1"/>
  <c r="AA148" i="1" s="1"/>
  <c r="DU148" i="1"/>
  <c r="DV148" i="1" s="1"/>
  <c r="DO149" i="1"/>
  <c r="DI149" i="1" s="1"/>
  <c r="DD149" i="1" s="1"/>
  <c r="CY149" i="1" s="1"/>
  <c r="CT149" i="1" s="1"/>
  <c r="CO149" i="1" s="1"/>
  <c r="CJ149" i="1" s="1"/>
  <c r="CE149" i="1" s="1"/>
  <c r="BZ149" i="1" s="1"/>
  <c r="BU149" i="1" s="1"/>
  <c r="BP149" i="1" s="1"/>
  <c r="BK149" i="1" s="1"/>
  <c r="BF149" i="1" s="1"/>
  <c r="BA149" i="1" s="1"/>
  <c r="AV149" i="1" s="1"/>
  <c r="AQ149" i="1" s="1"/>
  <c r="AL149" i="1" s="1"/>
  <c r="AG149" i="1" s="1"/>
  <c r="AB149" i="1" s="1"/>
  <c r="W149" i="1" s="1"/>
  <c r="Z149" i="1" s="1"/>
  <c r="AA149" i="1" s="1"/>
  <c r="DU149" i="1"/>
  <c r="DV149" i="1" s="1"/>
  <c r="DO150" i="1"/>
  <c r="DI150" i="1" s="1"/>
  <c r="DD150" i="1" s="1"/>
  <c r="CY150" i="1" s="1"/>
  <c r="CT150" i="1" s="1"/>
  <c r="CO150" i="1" s="1"/>
  <c r="CJ150" i="1" s="1"/>
  <c r="CE150" i="1" s="1"/>
  <c r="BZ150" i="1" s="1"/>
  <c r="BU150" i="1" s="1"/>
  <c r="BP150" i="1" s="1"/>
  <c r="BK150" i="1" s="1"/>
  <c r="BF150" i="1" s="1"/>
  <c r="BA150" i="1" s="1"/>
  <c r="AV150" i="1" s="1"/>
  <c r="AQ150" i="1" s="1"/>
  <c r="AL150" i="1" s="1"/>
  <c r="AG150" i="1" s="1"/>
  <c r="AB150" i="1" s="1"/>
  <c r="W150" i="1" s="1"/>
  <c r="Z150" i="1" s="1"/>
  <c r="AA150" i="1" s="1"/>
  <c r="DU150" i="1"/>
  <c r="DV150" i="1" s="1"/>
  <c r="DO151" i="1"/>
  <c r="DI151" i="1" s="1"/>
  <c r="DD151" i="1" s="1"/>
  <c r="CY151" i="1" s="1"/>
  <c r="CT151" i="1" s="1"/>
  <c r="CO151" i="1" s="1"/>
  <c r="CJ151" i="1" s="1"/>
  <c r="CE151" i="1" s="1"/>
  <c r="BZ151" i="1" s="1"/>
  <c r="BU151" i="1" s="1"/>
  <c r="BP151" i="1" s="1"/>
  <c r="BK151" i="1" s="1"/>
  <c r="BF151" i="1" s="1"/>
  <c r="BA151" i="1" s="1"/>
  <c r="AV151" i="1" s="1"/>
  <c r="AQ151" i="1" s="1"/>
  <c r="AL151" i="1" s="1"/>
  <c r="AG151" i="1" s="1"/>
  <c r="AB151" i="1" s="1"/>
  <c r="W151" i="1" s="1"/>
  <c r="Z151" i="1" s="1"/>
  <c r="AA151" i="1" s="1"/>
  <c r="DU151" i="1"/>
  <c r="DV151" i="1" s="1"/>
  <c r="DO152" i="1"/>
  <c r="DI152" i="1" s="1"/>
  <c r="DD152" i="1" s="1"/>
  <c r="CY152" i="1" s="1"/>
  <c r="CT152" i="1" s="1"/>
  <c r="CO152" i="1" s="1"/>
  <c r="CJ152" i="1" s="1"/>
  <c r="CE152" i="1" s="1"/>
  <c r="BZ152" i="1" s="1"/>
  <c r="BU152" i="1" s="1"/>
  <c r="BP152" i="1" s="1"/>
  <c r="BK152" i="1" s="1"/>
  <c r="BF152" i="1" s="1"/>
  <c r="BA152" i="1" s="1"/>
  <c r="AV152" i="1" s="1"/>
  <c r="AQ152" i="1" s="1"/>
  <c r="AL152" i="1" s="1"/>
  <c r="AG152" i="1" s="1"/>
  <c r="AB152" i="1" s="1"/>
  <c r="W152" i="1" s="1"/>
  <c r="Z152" i="1" s="1"/>
  <c r="AA152" i="1" s="1"/>
  <c r="DU152" i="1"/>
  <c r="DV152" i="1" s="1"/>
  <c r="DO153" i="1"/>
  <c r="DI153" i="1" s="1"/>
  <c r="DU153" i="1"/>
  <c r="DV153" i="1" s="1"/>
  <c r="DO154" i="1"/>
  <c r="DI154" i="1" s="1"/>
  <c r="DD154" i="1" s="1"/>
  <c r="CY154" i="1" s="1"/>
  <c r="CT154" i="1" s="1"/>
  <c r="CO154" i="1" s="1"/>
  <c r="CJ154" i="1" s="1"/>
  <c r="CE154" i="1" s="1"/>
  <c r="BZ154" i="1" s="1"/>
  <c r="BU154" i="1" s="1"/>
  <c r="BP154" i="1" s="1"/>
  <c r="BK154" i="1" s="1"/>
  <c r="BF154" i="1" s="1"/>
  <c r="BA154" i="1" s="1"/>
  <c r="AV154" i="1" s="1"/>
  <c r="AQ154" i="1" s="1"/>
  <c r="AL154" i="1" s="1"/>
  <c r="AG154" i="1" s="1"/>
  <c r="AB154" i="1" s="1"/>
  <c r="W154" i="1" s="1"/>
  <c r="Z154" i="1" s="1"/>
  <c r="AA154" i="1" s="1"/>
  <c r="DU154" i="1"/>
  <c r="DV154" i="1" s="1"/>
  <c r="DO155" i="1"/>
  <c r="DI155" i="1" s="1"/>
  <c r="DD155" i="1" s="1"/>
  <c r="CY155" i="1" s="1"/>
  <c r="CT155" i="1" s="1"/>
  <c r="CO155" i="1" s="1"/>
  <c r="CJ155" i="1" s="1"/>
  <c r="CE155" i="1" s="1"/>
  <c r="BZ155" i="1" s="1"/>
  <c r="BU155" i="1" s="1"/>
  <c r="BP155" i="1" s="1"/>
  <c r="BK155" i="1" s="1"/>
  <c r="BF155" i="1" s="1"/>
  <c r="BA155" i="1" s="1"/>
  <c r="AV155" i="1" s="1"/>
  <c r="AQ155" i="1" s="1"/>
  <c r="AL155" i="1" s="1"/>
  <c r="AG155" i="1" s="1"/>
  <c r="AB155" i="1" s="1"/>
  <c r="W155" i="1" s="1"/>
  <c r="Z155" i="1" s="1"/>
  <c r="AA155" i="1" s="1"/>
  <c r="DU155" i="1"/>
  <c r="DV155" i="1" s="1"/>
  <c r="DO156" i="1"/>
  <c r="DI156" i="1" s="1"/>
  <c r="DD156" i="1" s="1"/>
  <c r="CY156" i="1" s="1"/>
  <c r="DU156" i="1"/>
  <c r="DV156" i="1" s="1"/>
  <c r="DO157" i="1"/>
  <c r="DI157" i="1" s="1"/>
  <c r="DU157" i="1"/>
  <c r="DV157" i="1" s="1"/>
  <c r="DO147" i="1"/>
  <c r="DI147" i="1" s="1"/>
  <c r="DD147" i="1" s="1"/>
  <c r="CY147" i="1" s="1"/>
  <c r="CT147" i="1" s="1"/>
  <c r="CO147" i="1" s="1"/>
  <c r="CJ147" i="1" s="1"/>
  <c r="CE147" i="1" s="1"/>
  <c r="BZ147" i="1" s="1"/>
  <c r="BU147" i="1" s="1"/>
  <c r="BP147" i="1" s="1"/>
  <c r="BK147" i="1" s="1"/>
  <c r="BF147" i="1" s="1"/>
  <c r="BA147" i="1" s="1"/>
  <c r="AV147" i="1" s="1"/>
  <c r="AQ147" i="1" s="1"/>
  <c r="AL147" i="1" s="1"/>
  <c r="AG147" i="1" s="1"/>
  <c r="AB147" i="1" s="1"/>
  <c r="W147" i="1" s="1"/>
  <c r="Z147" i="1" s="1"/>
  <c r="AA147" i="1" s="1"/>
  <c r="DO146" i="1"/>
  <c r="DI146" i="1" s="1"/>
  <c r="DD146" i="1" s="1"/>
  <c r="CY146" i="1" s="1"/>
  <c r="CT146" i="1" s="1"/>
  <c r="CO146" i="1" s="1"/>
  <c r="CJ146" i="1" s="1"/>
  <c r="CE146" i="1" s="1"/>
  <c r="BZ146" i="1" s="1"/>
  <c r="BU146" i="1" s="1"/>
  <c r="BP146" i="1" s="1"/>
  <c r="BK146" i="1" s="1"/>
  <c r="BF146" i="1" s="1"/>
  <c r="BA146" i="1" s="1"/>
  <c r="AV146" i="1" s="1"/>
  <c r="AQ146" i="1" s="1"/>
  <c r="AL146" i="1" s="1"/>
  <c r="AG146" i="1" s="1"/>
  <c r="AB146" i="1" s="1"/>
  <c r="W146" i="1" s="1"/>
  <c r="Z146" i="1" s="1"/>
  <c r="AA146" i="1" s="1"/>
  <c r="DO145" i="1"/>
  <c r="DI145" i="1" s="1"/>
  <c r="DD145" i="1" s="1"/>
  <c r="CY145" i="1" s="1"/>
  <c r="CT145" i="1" s="1"/>
  <c r="CO145" i="1" s="1"/>
  <c r="CJ145" i="1" s="1"/>
  <c r="CE145" i="1" s="1"/>
  <c r="BZ145" i="1" s="1"/>
  <c r="BU145" i="1" s="1"/>
  <c r="BP145" i="1" s="1"/>
  <c r="BK145" i="1" s="1"/>
  <c r="BF145" i="1" s="1"/>
  <c r="BA145" i="1" s="1"/>
  <c r="AV145" i="1" s="1"/>
  <c r="AQ145" i="1" s="1"/>
  <c r="AL145" i="1" s="1"/>
  <c r="AG145" i="1" s="1"/>
  <c r="AB145" i="1" s="1"/>
  <c r="W145" i="1" s="1"/>
  <c r="Z145" i="1" s="1"/>
  <c r="AA145" i="1" s="1"/>
  <c r="DO144" i="1"/>
  <c r="DI144" i="1" s="1"/>
  <c r="DD144" i="1" s="1"/>
  <c r="CY144" i="1" s="1"/>
  <c r="CT144" i="1" s="1"/>
  <c r="CO144" i="1" s="1"/>
  <c r="CJ144" i="1" s="1"/>
  <c r="CE144" i="1" s="1"/>
  <c r="BZ144" i="1" s="1"/>
  <c r="BU144" i="1" s="1"/>
  <c r="BP144" i="1" s="1"/>
  <c r="BK144" i="1" s="1"/>
  <c r="BF144" i="1" s="1"/>
  <c r="BA144" i="1" s="1"/>
  <c r="AV144" i="1" s="1"/>
  <c r="AQ144" i="1" s="1"/>
  <c r="AL144" i="1" s="1"/>
  <c r="AG144" i="1" s="1"/>
  <c r="AB144" i="1" s="1"/>
  <c r="W144" i="1" s="1"/>
  <c r="Z144" i="1" s="1"/>
  <c r="AA144" i="1" s="1"/>
  <c r="DO143" i="1"/>
  <c r="DI143" i="1" s="1"/>
  <c r="DD143" i="1" s="1"/>
  <c r="CY143" i="1" s="1"/>
  <c r="CT143" i="1" s="1"/>
  <c r="CO143" i="1" s="1"/>
  <c r="CJ143" i="1" s="1"/>
  <c r="CE143" i="1" s="1"/>
  <c r="BZ143" i="1" s="1"/>
  <c r="BU143" i="1" s="1"/>
  <c r="BP143" i="1" s="1"/>
  <c r="BK143" i="1" s="1"/>
  <c r="BF143" i="1" s="1"/>
  <c r="BA143" i="1" s="1"/>
  <c r="AV143" i="1" s="1"/>
  <c r="AQ143" i="1" s="1"/>
  <c r="AL143" i="1" s="1"/>
  <c r="AG143" i="1" s="1"/>
  <c r="AB143" i="1" s="1"/>
  <c r="W143" i="1" s="1"/>
  <c r="Z143" i="1" s="1"/>
  <c r="AA143" i="1" s="1"/>
  <c r="DO142" i="1"/>
  <c r="DI142" i="1" s="1"/>
  <c r="DD142" i="1" s="1"/>
  <c r="CY142" i="1" s="1"/>
  <c r="CT142" i="1" s="1"/>
  <c r="CO142" i="1" s="1"/>
  <c r="CJ142" i="1" s="1"/>
  <c r="CE142" i="1" s="1"/>
  <c r="BZ142" i="1" s="1"/>
  <c r="BU142" i="1" s="1"/>
  <c r="BP142" i="1" s="1"/>
  <c r="BK142" i="1" s="1"/>
  <c r="BF142" i="1" s="1"/>
  <c r="BA142" i="1" s="1"/>
  <c r="AV142" i="1" s="1"/>
  <c r="AQ142" i="1" s="1"/>
  <c r="AL142" i="1" s="1"/>
  <c r="AG142" i="1" s="1"/>
  <c r="AB142" i="1" s="1"/>
  <c r="W142" i="1" s="1"/>
  <c r="Z142" i="1" s="1"/>
  <c r="AA142" i="1" s="1"/>
  <c r="DU142" i="1"/>
  <c r="DV142" i="1" s="1"/>
  <c r="DU143" i="1"/>
  <c r="DV143" i="1" s="1"/>
  <c r="DU144" i="1"/>
  <c r="DV144" i="1" s="1"/>
  <c r="DU145" i="1"/>
  <c r="DV145" i="1" s="1"/>
  <c r="DU146" i="1"/>
  <c r="DV146" i="1" s="1"/>
  <c r="DU147" i="1"/>
  <c r="DV147" i="1" s="1"/>
  <c r="Z141" i="1"/>
  <c r="AA141" i="1" s="1"/>
  <c r="AE141" i="1"/>
  <c r="AF141" i="1" s="1"/>
  <c r="AJ141" i="1"/>
  <c r="AK141" i="1" s="1"/>
  <c r="AO141" i="1"/>
  <c r="AP141" i="1" s="1"/>
  <c r="AT141" i="1"/>
  <c r="AU141" i="1" s="1"/>
  <c r="AY141" i="1"/>
  <c r="AZ141" i="1" s="1"/>
  <c r="BD141" i="1"/>
  <c r="BE141" i="1" s="1"/>
  <c r="BI141" i="1"/>
  <c r="BJ141" i="1" s="1"/>
  <c r="BN141" i="1"/>
  <c r="BO141" i="1" s="1"/>
  <c r="BS141" i="1"/>
  <c r="BT141" i="1" s="1"/>
  <c r="BX141" i="1"/>
  <c r="BY141" i="1" s="1"/>
  <c r="CC141" i="1"/>
  <c r="CD141" i="1" s="1"/>
  <c r="CH141" i="1"/>
  <c r="CI141" i="1" s="1"/>
  <c r="CM141" i="1"/>
  <c r="CN141" i="1" s="1"/>
  <c r="CR141" i="1"/>
  <c r="CS141" i="1" s="1"/>
  <c r="CW141" i="1"/>
  <c r="CX141" i="1" s="1"/>
  <c r="DB141" i="1"/>
  <c r="DC141" i="1" s="1"/>
  <c r="DG141" i="1"/>
  <c r="DH141" i="1" s="1"/>
  <c r="DL141" i="1"/>
  <c r="DM141" i="1" s="1"/>
  <c r="DU141" i="1"/>
  <c r="DV141" i="1" s="1"/>
  <c r="DR141" i="1"/>
  <c r="DS141" i="1" s="1"/>
  <c r="Z140" i="1"/>
  <c r="AA140" i="1" s="1"/>
  <c r="AE140" i="1"/>
  <c r="AF140" i="1" s="1"/>
  <c r="AJ140" i="1"/>
  <c r="AK140" i="1" s="1"/>
  <c r="AO140" i="1"/>
  <c r="AP140" i="1" s="1"/>
  <c r="AT140" i="1"/>
  <c r="AU140" i="1" s="1"/>
  <c r="AY140" i="1"/>
  <c r="AZ140" i="1" s="1"/>
  <c r="BD140" i="1"/>
  <c r="BE140" i="1" s="1"/>
  <c r="BI140" i="1"/>
  <c r="BJ140" i="1" s="1"/>
  <c r="BN140" i="1"/>
  <c r="BO140" i="1" s="1"/>
  <c r="BS140" i="1"/>
  <c r="BT140" i="1" s="1"/>
  <c r="BX140" i="1"/>
  <c r="BY140" i="1" s="1"/>
  <c r="CC140" i="1"/>
  <c r="CD140" i="1" s="1"/>
  <c r="CH140" i="1"/>
  <c r="CI140" i="1" s="1"/>
  <c r="CM140" i="1"/>
  <c r="CN140" i="1" s="1"/>
  <c r="CR140" i="1"/>
  <c r="CS140" i="1" s="1"/>
  <c r="CW140" i="1"/>
  <c r="CX140" i="1" s="1"/>
  <c r="DB140" i="1"/>
  <c r="DC140" i="1" s="1"/>
  <c r="DG140" i="1"/>
  <c r="DH140" i="1" s="1"/>
  <c r="DL140" i="1"/>
  <c r="DM140" i="1" s="1"/>
  <c r="DU140" i="1"/>
  <c r="DV140" i="1" s="1"/>
  <c r="DR140" i="1"/>
  <c r="DS140" i="1" s="1"/>
  <c r="Z139" i="1"/>
  <c r="AA139" i="1" s="1"/>
  <c r="AE139" i="1"/>
  <c r="AF139" i="1" s="1"/>
  <c r="AJ139" i="1"/>
  <c r="AK139" i="1" s="1"/>
  <c r="AO139" i="1"/>
  <c r="AP139" i="1" s="1"/>
  <c r="AT139" i="1"/>
  <c r="AU139" i="1" s="1"/>
  <c r="AY139" i="1"/>
  <c r="AZ139" i="1" s="1"/>
  <c r="BD139" i="1"/>
  <c r="BE139" i="1" s="1"/>
  <c r="BI139" i="1"/>
  <c r="BJ139" i="1" s="1"/>
  <c r="BN139" i="1"/>
  <c r="BO139" i="1" s="1"/>
  <c r="BS139" i="1"/>
  <c r="BT139" i="1" s="1"/>
  <c r="BX139" i="1"/>
  <c r="BY139" i="1" s="1"/>
  <c r="CC139" i="1"/>
  <c r="CD139" i="1" s="1"/>
  <c r="CH139" i="1"/>
  <c r="CI139" i="1" s="1"/>
  <c r="CM139" i="1"/>
  <c r="CN139" i="1" s="1"/>
  <c r="CR139" i="1"/>
  <c r="CS139" i="1" s="1"/>
  <c r="CW139" i="1"/>
  <c r="CX139" i="1" s="1"/>
  <c r="DB139" i="1"/>
  <c r="DC139" i="1" s="1"/>
  <c r="DG139" i="1"/>
  <c r="DH139" i="1" s="1"/>
  <c r="DL139" i="1"/>
  <c r="DM139" i="1" s="1"/>
  <c r="DU139" i="1"/>
  <c r="DV139" i="1" s="1"/>
  <c r="DR139" i="1"/>
  <c r="DS139" i="1" s="1"/>
  <c r="DV45" i="1"/>
  <c r="DI30" i="1"/>
  <c r="DI11" i="1"/>
  <c r="DD11" i="1" s="1"/>
  <c r="CY11" i="1" s="1"/>
  <c r="CT11" i="1" s="1"/>
  <c r="CO11" i="1" s="1"/>
  <c r="CJ11" i="1" s="1"/>
  <c r="CE11" i="1" s="1"/>
  <c r="CH11" i="1" s="1"/>
  <c r="CI11" i="1" s="1"/>
  <c r="DU108" i="1"/>
  <c r="DV108" i="1" s="1"/>
  <c r="DU103" i="1"/>
  <c r="DV103" i="1" s="1"/>
  <c r="DU101" i="1"/>
  <c r="DV101" i="1" s="1"/>
  <c r="DU102" i="1"/>
  <c r="DV102" i="1" s="1"/>
  <c r="DU106" i="1"/>
  <c r="DV106" i="1" s="1"/>
  <c r="DU107" i="1"/>
  <c r="DV107" i="1" s="1"/>
  <c r="DU99" i="1"/>
  <c r="DV99" i="1" s="1"/>
  <c r="DU104" i="1"/>
  <c r="DV104" i="1" s="1"/>
  <c r="DU100" i="1"/>
  <c r="DV100" i="1" s="1"/>
  <c r="DU105" i="1"/>
  <c r="DV105" i="1" s="1"/>
  <c r="DU109" i="1"/>
  <c r="DV109" i="1" s="1"/>
  <c r="DU110" i="1"/>
  <c r="DV110" i="1" s="1"/>
  <c r="DU113" i="1"/>
  <c r="DV113" i="1" s="1"/>
  <c r="DU111" i="1"/>
  <c r="DV111" i="1" s="1"/>
  <c r="DU118" i="1"/>
  <c r="DV118" i="1" s="1"/>
  <c r="DU115" i="1"/>
  <c r="DV115" i="1" s="1"/>
  <c r="DU119" i="1"/>
  <c r="DV119" i="1" s="1"/>
  <c r="DU112" i="1"/>
  <c r="DV112" i="1" s="1"/>
  <c r="DU124" i="1"/>
  <c r="DV124" i="1" s="1"/>
  <c r="DU125" i="1"/>
  <c r="DV125" i="1" s="1"/>
  <c r="DU116" i="1"/>
  <c r="DV116" i="1" s="1"/>
  <c r="DU120" i="1"/>
  <c r="DV120" i="1" s="1"/>
  <c r="DU128" i="1"/>
  <c r="DV128" i="1" s="1"/>
  <c r="DU114" i="1"/>
  <c r="DV114" i="1" s="1"/>
  <c r="DU121" i="1"/>
  <c r="DV121" i="1" s="1"/>
  <c r="DU123" i="1"/>
  <c r="DV123" i="1" s="1"/>
  <c r="DU126" i="1"/>
  <c r="DV126" i="1" s="1"/>
  <c r="DU117" i="1"/>
  <c r="DV117" i="1" s="1"/>
  <c r="DU127" i="1"/>
  <c r="DV127" i="1" s="1"/>
  <c r="DU122" i="1"/>
  <c r="DV122" i="1" s="1"/>
  <c r="DU133" i="1"/>
  <c r="DV133" i="1" s="1"/>
  <c r="DU130" i="1"/>
  <c r="DV130" i="1" s="1"/>
  <c r="DU131" i="1"/>
  <c r="DV131" i="1" s="1"/>
  <c r="DU129" i="1"/>
  <c r="DV129" i="1" s="1"/>
  <c r="DU132" i="1"/>
  <c r="DV132" i="1" s="1"/>
  <c r="DU134" i="1"/>
  <c r="DV134" i="1" s="1"/>
  <c r="DU135" i="1"/>
  <c r="DV135" i="1" s="1"/>
  <c r="DU138" i="1"/>
  <c r="DV138" i="1" s="1"/>
  <c r="DU136" i="1"/>
  <c r="DV136" i="1" s="1"/>
  <c r="DU137" i="1"/>
  <c r="DV137" i="1" s="1"/>
  <c r="DU23" i="1"/>
  <c r="DU17" i="1"/>
  <c r="DV17" i="1" s="1"/>
  <c r="DU15" i="1"/>
  <c r="DU16" i="1"/>
  <c r="DU10" i="1"/>
  <c r="DV10" i="1" s="1"/>
  <c r="DU25" i="1"/>
  <c r="DV25" i="1" s="1"/>
  <c r="DU29" i="1"/>
  <c r="DV29" i="1" s="1"/>
  <c r="DU24" i="1"/>
  <c r="DU19" i="1"/>
  <c r="DV19" i="1" s="1"/>
  <c r="DU14" i="1"/>
  <c r="DU12" i="1"/>
  <c r="DU22" i="1"/>
  <c r="DU26" i="1"/>
  <c r="DI34" i="1"/>
  <c r="DD34" i="1" s="1"/>
  <c r="CY34" i="1" s="1"/>
  <c r="CT34" i="1" s="1"/>
  <c r="CO34" i="1" s="1"/>
  <c r="CJ34" i="1" s="1"/>
  <c r="CE34" i="1" s="1"/>
  <c r="CH34" i="1" s="1"/>
  <c r="CI34" i="1" s="1"/>
  <c r="DU34" i="1"/>
  <c r="DU20" i="1"/>
  <c r="DV20" i="1" s="1"/>
  <c r="DU18" i="1"/>
  <c r="DV18" i="1" s="1"/>
  <c r="DU13" i="1"/>
  <c r="DU11" i="1"/>
  <c r="DV11" i="1" s="1"/>
  <c r="DU21" i="1"/>
  <c r="DV21" i="1" s="1"/>
  <c r="DU27" i="1"/>
  <c r="DU30" i="1"/>
  <c r="DV30" i="1" s="1"/>
  <c r="DU28" i="1"/>
  <c r="DV28" i="1" s="1"/>
  <c r="DU32" i="1"/>
  <c r="DU31" i="1"/>
  <c r="DV31" i="1" s="1"/>
  <c r="DU33" i="1"/>
  <c r="DV81" i="1"/>
  <c r="DU87" i="1"/>
  <c r="DV87" i="1" s="1"/>
  <c r="DV88" i="1"/>
  <c r="DU86" i="1"/>
  <c r="DV86" i="1" s="1"/>
  <c r="DU36" i="1"/>
  <c r="DV36" i="1" s="1"/>
  <c r="DU42" i="1"/>
  <c r="DV42" i="1" s="1"/>
  <c r="DU40" i="1"/>
  <c r="DV40" i="1" s="1"/>
  <c r="DU39" i="1"/>
  <c r="DU43" i="1"/>
  <c r="DV43" i="1" s="1"/>
  <c r="DU41" i="1"/>
  <c r="DV41" i="1" s="1"/>
  <c r="DU37" i="1"/>
  <c r="DV37" i="1" s="1"/>
  <c r="DU47" i="1"/>
  <c r="DV47" i="1" s="1"/>
  <c r="DU48" i="1"/>
  <c r="DV48" i="1" s="1"/>
  <c r="DU49" i="1"/>
  <c r="DV49" i="1" s="1"/>
  <c r="DU46" i="1"/>
  <c r="DU50" i="1"/>
  <c r="DV50" i="1" s="1"/>
  <c r="DU51" i="1"/>
  <c r="DV51" i="1" s="1"/>
  <c r="DU52" i="1"/>
  <c r="DV52" i="1" s="1"/>
  <c r="DU53" i="1"/>
  <c r="DV53" i="1" s="1"/>
  <c r="DU54" i="1"/>
  <c r="DV54" i="1" s="1"/>
  <c r="DU56" i="1"/>
  <c r="DV56" i="1" s="1"/>
  <c r="DU57" i="1"/>
  <c r="DV57" i="1" s="1"/>
  <c r="DU59" i="1"/>
  <c r="DV59" i="1" s="1"/>
  <c r="DU62" i="1"/>
  <c r="DV62" i="1" s="1"/>
  <c r="DU63" i="1"/>
  <c r="DV63" i="1" s="1"/>
  <c r="DU60" i="1"/>
  <c r="DV60" i="1" s="1"/>
  <c r="DU64" i="1"/>
  <c r="DV64" i="1" s="1"/>
  <c r="DU65" i="1"/>
  <c r="DV65" i="1" s="1"/>
  <c r="DU35" i="1"/>
  <c r="DV35" i="1" s="1"/>
  <c r="DU61" i="1"/>
  <c r="DV61" i="1" s="1"/>
  <c r="DU66" i="1"/>
  <c r="DV66" i="1" s="1"/>
  <c r="DU67" i="1"/>
  <c r="DV67" i="1" s="1"/>
  <c r="DU68" i="1"/>
  <c r="DV68" i="1" s="1"/>
  <c r="DU38" i="1"/>
  <c r="DV38" i="1" s="1"/>
  <c r="DU9" i="1"/>
  <c r="DV9" i="1" s="1"/>
  <c r="DV34" i="1"/>
  <c r="Z44" i="1"/>
  <c r="AA44" i="1" s="1"/>
  <c r="AE44" i="1"/>
  <c r="AF44" i="1" s="1"/>
  <c r="AJ44" i="1"/>
  <c r="AK44" i="1" s="1"/>
  <c r="AO44" i="1"/>
  <c r="AP44" i="1" s="1"/>
  <c r="AT44" i="1"/>
  <c r="AU44" i="1" s="1"/>
  <c r="AY44" i="1"/>
  <c r="AZ44" i="1" s="1"/>
  <c r="BD44" i="1"/>
  <c r="BE44" i="1" s="1"/>
  <c r="BI44" i="1"/>
  <c r="BJ44" i="1" s="1"/>
  <c r="BN44" i="1"/>
  <c r="BO44" i="1" s="1"/>
  <c r="BS44" i="1"/>
  <c r="BT44" i="1" s="1"/>
  <c r="BX44" i="1"/>
  <c r="BY44" i="1" s="1"/>
  <c r="CC44" i="1"/>
  <c r="CD44" i="1" s="1"/>
  <c r="CH44" i="1"/>
  <c r="CI44" i="1" s="1"/>
  <c r="CM44" i="1"/>
  <c r="CN44" i="1" s="1"/>
  <c r="CR44" i="1"/>
  <c r="CS44" i="1" s="1"/>
  <c r="CW44" i="1"/>
  <c r="CX44" i="1" s="1"/>
  <c r="DB44" i="1"/>
  <c r="DC44" i="1" s="1"/>
  <c r="DG44" i="1"/>
  <c r="DH44" i="1" s="1"/>
  <c r="DL44" i="1"/>
  <c r="DM44" i="1" s="1"/>
  <c r="DR44" i="1"/>
  <c r="DS44" i="1" s="1"/>
  <c r="Z69" i="1"/>
  <c r="AA69" i="1" s="1"/>
  <c r="AE69" i="1"/>
  <c r="AF69" i="1" s="1"/>
  <c r="AJ69" i="1"/>
  <c r="AK69" i="1" s="1"/>
  <c r="AO69" i="1"/>
  <c r="AP69" i="1" s="1"/>
  <c r="AT69" i="1"/>
  <c r="AU69" i="1" s="1"/>
  <c r="AY69" i="1"/>
  <c r="AZ69" i="1" s="1"/>
  <c r="BD69" i="1"/>
  <c r="BE69" i="1" s="1"/>
  <c r="BI69" i="1"/>
  <c r="BJ69" i="1" s="1"/>
  <c r="BN69" i="1"/>
  <c r="BO69" i="1" s="1"/>
  <c r="BS69" i="1"/>
  <c r="BT69" i="1" s="1"/>
  <c r="BX69" i="1"/>
  <c r="BY69" i="1" s="1"/>
  <c r="CC69" i="1"/>
  <c r="CD69" i="1" s="1"/>
  <c r="CH69" i="1"/>
  <c r="CI69" i="1" s="1"/>
  <c r="CM69" i="1"/>
  <c r="CN69" i="1" s="1"/>
  <c r="CR69" i="1"/>
  <c r="CS69" i="1" s="1"/>
  <c r="CW69" i="1"/>
  <c r="CX69" i="1" s="1"/>
  <c r="DB69" i="1"/>
  <c r="DC69" i="1" s="1"/>
  <c r="DG69" i="1"/>
  <c r="DH69" i="1" s="1"/>
  <c r="DL69" i="1"/>
  <c r="DM69" i="1" s="1"/>
  <c r="DR69" i="1"/>
  <c r="DS69" i="1" s="1"/>
  <c r="Z38" i="1"/>
  <c r="AA38" i="1" s="1"/>
  <c r="AE38" i="1"/>
  <c r="AF38" i="1" s="1"/>
  <c r="AJ38" i="1"/>
  <c r="AK38" i="1" s="1"/>
  <c r="AO38" i="1"/>
  <c r="AP38" i="1" s="1"/>
  <c r="AT38" i="1"/>
  <c r="AU38" i="1" s="1"/>
  <c r="AY38" i="1"/>
  <c r="AZ38" i="1" s="1"/>
  <c r="BD38" i="1"/>
  <c r="BE38" i="1" s="1"/>
  <c r="BI38" i="1"/>
  <c r="BJ38" i="1" s="1"/>
  <c r="BN38" i="1"/>
  <c r="BO38" i="1" s="1"/>
  <c r="BS38" i="1"/>
  <c r="BT38" i="1" s="1"/>
  <c r="BX38" i="1"/>
  <c r="BY38" i="1" s="1"/>
  <c r="CC38" i="1"/>
  <c r="CD38" i="1" s="1"/>
  <c r="CH38" i="1"/>
  <c r="CI38" i="1" s="1"/>
  <c r="CM38" i="1"/>
  <c r="CN38" i="1" s="1"/>
  <c r="CR38" i="1"/>
  <c r="CS38" i="1" s="1"/>
  <c r="CW38" i="1"/>
  <c r="CX38" i="1" s="1"/>
  <c r="DB38" i="1"/>
  <c r="DC38" i="1" s="1"/>
  <c r="DG38" i="1"/>
  <c r="DH38" i="1" s="1"/>
  <c r="DL38" i="1"/>
  <c r="DM38" i="1" s="1"/>
  <c r="DR38" i="1"/>
  <c r="DS38" i="1" s="1"/>
  <c r="Z58" i="1"/>
  <c r="AA58" i="1" s="1"/>
  <c r="AE58" i="1"/>
  <c r="AF58" i="1" s="1"/>
  <c r="AJ58" i="1"/>
  <c r="AK58" i="1" s="1"/>
  <c r="AO58" i="1"/>
  <c r="AP58" i="1" s="1"/>
  <c r="AT58" i="1"/>
  <c r="AU58" i="1" s="1"/>
  <c r="AY58" i="1"/>
  <c r="AZ58" i="1" s="1"/>
  <c r="BD58" i="1"/>
  <c r="BE58" i="1" s="1"/>
  <c r="BI58" i="1"/>
  <c r="BJ58" i="1" s="1"/>
  <c r="BN58" i="1"/>
  <c r="BO58" i="1" s="1"/>
  <c r="BS58" i="1"/>
  <c r="BT58" i="1" s="1"/>
  <c r="BX58" i="1"/>
  <c r="BY58" i="1" s="1"/>
  <c r="CC58" i="1"/>
  <c r="CD58" i="1" s="1"/>
  <c r="CH58" i="1"/>
  <c r="CI58" i="1" s="1"/>
  <c r="CM58" i="1"/>
  <c r="CN58" i="1" s="1"/>
  <c r="CR58" i="1"/>
  <c r="CS58" i="1" s="1"/>
  <c r="CW58" i="1"/>
  <c r="CX58" i="1" s="1"/>
  <c r="DB58" i="1"/>
  <c r="DC58" i="1" s="1"/>
  <c r="DG58" i="1"/>
  <c r="DH58" i="1" s="1"/>
  <c r="DL58" i="1"/>
  <c r="DM58" i="1" s="1"/>
  <c r="DR58" i="1"/>
  <c r="DS58" i="1" s="1"/>
  <c r="Z45" i="1"/>
  <c r="AA45" i="1" s="1"/>
  <c r="AE45" i="1"/>
  <c r="AF45" i="1" s="1"/>
  <c r="AJ45" i="1"/>
  <c r="AK45" i="1" s="1"/>
  <c r="AO45" i="1"/>
  <c r="AP45" i="1" s="1"/>
  <c r="AT45" i="1"/>
  <c r="AU45" i="1" s="1"/>
  <c r="AY45" i="1"/>
  <c r="AZ45" i="1" s="1"/>
  <c r="BD45" i="1"/>
  <c r="BE45" i="1" s="1"/>
  <c r="BI45" i="1"/>
  <c r="BJ45" i="1" s="1"/>
  <c r="BN45" i="1"/>
  <c r="BO45" i="1" s="1"/>
  <c r="BS45" i="1"/>
  <c r="BT45" i="1" s="1"/>
  <c r="BX45" i="1"/>
  <c r="BY45" i="1" s="1"/>
  <c r="CC45" i="1"/>
  <c r="CD45" i="1" s="1"/>
  <c r="CH45" i="1"/>
  <c r="CI45" i="1" s="1"/>
  <c r="CM45" i="1"/>
  <c r="CN45" i="1" s="1"/>
  <c r="CR45" i="1"/>
  <c r="CS45" i="1" s="1"/>
  <c r="CW45" i="1"/>
  <c r="CX45" i="1" s="1"/>
  <c r="DB45" i="1"/>
  <c r="DC45" i="1" s="1"/>
  <c r="DG45" i="1"/>
  <c r="DH45" i="1" s="1"/>
  <c r="DL45" i="1"/>
  <c r="DM45" i="1" s="1"/>
  <c r="DR45" i="1"/>
  <c r="DS45" i="1" s="1"/>
  <c r="Z55" i="1"/>
  <c r="AA55" i="1" s="1"/>
  <c r="AE55" i="1"/>
  <c r="AF55" i="1" s="1"/>
  <c r="AJ55" i="1"/>
  <c r="AK55" i="1" s="1"/>
  <c r="AO55" i="1"/>
  <c r="AP55" i="1" s="1"/>
  <c r="AT55" i="1"/>
  <c r="AU55" i="1" s="1"/>
  <c r="AY55" i="1"/>
  <c r="AZ55" i="1" s="1"/>
  <c r="BD55" i="1"/>
  <c r="BE55" i="1" s="1"/>
  <c r="BI55" i="1"/>
  <c r="BJ55" i="1" s="1"/>
  <c r="BN55" i="1"/>
  <c r="BO55" i="1" s="1"/>
  <c r="BS55" i="1"/>
  <c r="BT55" i="1" s="1"/>
  <c r="BX55" i="1"/>
  <c r="BY55" i="1" s="1"/>
  <c r="CC55" i="1"/>
  <c r="CD55" i="1" s="1"/>
  <c r="CH55" i="1"/>
  <c r="CI55" i="1" s="1"/>
  <c r="CM55" i="1"/>
  <c r="CN55" i="1" s="1"/>
  <c r="CR55" i="1"/>
  <c r="CS55" i="1" s="1"/>
  <c r="CW55" i="1"/>
  <c r="CX55" i="1" s="1"/>
  <c r="DB55" i="1"/>
  <c r="DC55" i="1" s="1"/>
  <c r="DG55" i="1"/>
  <c r="DH55" i="1" s="1"/>
  <c r="DL55" i="1"/>
  <c r="DM55" i="1" s="1"/>
  <c r="DR55" i="1"/>
  <c r="DS55" i="1" s="1"/>
  <c r="DI61" i="1"/>
  <c r="DD61" i="1" s="1"/>
  <c r="CY61" i="1" s="1"/>
  <c r="CT61" i="1" s="1"/>
  <c r="CO61" i="1" s="1"/>
  <c r="CJ61" i="1" s="1"/>
  <c r="CE61" i="1" s="1"/>
  <c r="BZ61" i="1" s="1"/>
  <c r="BU61" i="1" s="1"/>
  <c r="BP61" i="1" s="1"/>
  <c r="BK61" i="1" s="1"/>
  <c r="BF61" i="1" s="1"/>
  <c r="BA61" i="1" s="1"/>
  <c r="AV61" i="1" s="1"/>
  <c r="AQ61" i="1" s="1"/>
  <c r="AL61" i="1" s="1"/>
  <c r="AG61" i="1" s="1"/>
  <c r="AB61" i="1" s="1"/>
  <c r="W61" i="1" s="1"/>
  <c r="Z61" i="1" s="1"/>
  <c r="AA61" i="1" s="1"/>
  <c r="DI66" i="1"/>
  <c r="DD66" i="1" s="1"/>
  <c r="CY66" i="1" s="1"/>
  <c r="CT66" i="1" s="1"/>
  <c r="CO66" i="1" s="1"/>
  <c r="CJ66" i="1" s="1"/>
  <c r="CE66" i="1" s="1"/>
  <c r="BZ66" i="1" s="1"/>
  <c r="BU66" i="1" s="1"/>
  <c r="BP66" i="1" s="1"/>
  <c r="BK66" i="1" s="1"/>
  <c r="BF66" i="1" s="1"/>
  <c r="BA66" i="1" s="1"/>
  <c r="AV66" i="1" s="1"/>
  <c r="AQ66" i="1" s="1"/>
  <c r="AL66" i="1" s="1"/>
  <c r="AG66" i="1" s="1"/>
  <c r="AB66" i="1" s="1"/>
  <c r="W66" i="1" s="1"/>
  <c r="Z66" i="1" s="1"/>
  <c r="AA66" i="1" s="1"/>
  <c r="DI36" i="1"/>
  <c r="DO77" i="1"/>
  <c r="DI77" i="1" s="1"/>
  <c r="DD77" i="1" s="1"/>
  <c r="CY77" i="1" s="1"/>
  <c r="CT77" i="1" s="1"/>
  <c r="CO77" i="1" s="1"/>
  <c r="CJ77" i="1" s="1"/>
  <c r="CE77" i="1" s="1"/>
  <c r="CH77" i="1" s="1"/>
  <c r="CI77" i="1" s="1"/>
  <c r="DR101" i="1"/>
  <c r="DS101" i="1" s="1"/>
  <c r="DI101" i="1"/>
  <c r="DD101" i="1" s="1"/>
  <c r="CY101" i="1" s="1"/>
  <c r="CT101" i="1" s="1"/>
  <c r="CO101" i="1" s="1"/>
  <c r="CJ101" i="1" s="1"/>
  <c r="CE101" i="1" s="1"/>
  <c r="BZ101" i="1" s="1"/>
  <c r="BU101" i="1" s="1"/>
  <c r="BP101" i="1" s="1"/>
  <c r="BK101" i="1" s="1"/>
  <c r="BF101" i="1" s="1"/>
  <c r="BA101" i="1" s="1"/>
  <c r="AV101" i="1" s="1"/>
  <c r="AQ101" i="1" s="1"/>
  <c r="AL101" i="1" s="1"/>
  <c r="AG101" i="1" s="1"/>
  <c r="AB101" i="1" s="1"/>
  <c r="W101" i="1" s="1"/>
  <c r="Z101" i="1" s="1"/>
  <c r="AA101" i="1" s="1"/>
  <c r="DR102" i="1"/>
  <c r="DS102" i="1" s="1"/>
  <c r="DI102" i="1"/>
  <c r="DD102" i="1" s="1"/>
  <c r="CY102" i="1" s="1"/>
  <c r="CT102" i="1" s="1"/>
  <c r="CO102" i="1" s="1"/>
  <c r="CJ102" i="1" s="1"/>
  <c r="CE102" i="1" s="1"/>
  <c r="BZ102" i="1" s="1"/>
  <c r="BU102" i="1" s="1"/>
  <c r="BP102" i="1" s="1"/>
  <c r="BK102" i="1" s="1"/>
  <c r="BF102" i="1" s="1"/>
  <c r="BA102" i="1" s="1"/>
  <c r="AV102" i="1" s="1"/>
  <c r="AQ102" i="1" s="1"/>
  <c r="AL102" i="1" s="1"/>
  <c r="AG102" i="1" s="1"/>
  <c r="AB102" i="1" s="1"/>
  <c r="W102" i="1" s="1"/>
  <c r="Z102" i="1" s="1"/>
  <c r="AA102" i="1" s="1"/>
  <c r="DR106" i="1"/>
  <c r="DS106" i="1" s="1"/>
  <c r="DI106" i="1"/>
  <c r="DR107" i="1"/>
  <c r="DS107" i="1" s="1"/>
  <c r="DI107" i="1"/>
  <c r="DR105" i="1"/>
  <c r="DS105" i="1" s="1"/>
  <c r="DI105" i="1"/>
  <c r="DR99" i="1"/>
  <c r="DS99" i="1" s="1"/>
  <c r="DI99" i="1"/>
  <c r="DR104" i="1"/>
  <c r="DS104" i="1" s="1"/>
  <c r="DI104" i="1"/>
  <c r="DR108" i="1"/>
  <c r="DS108" i="1" s="1"/>
  <c r="DI108" i="1"/>
  <c r="DD108" i="1" s="1"/>
  <c r="CY108" i="1" s="1"/>
  <c r="CT108" i="1" s="1"/>
  <c r="CO108" i="1" s="1"/>
  <c r="CJ108" i="1" s="1"/>
  <c r="CE108" i="1" s="1"/>
  <c r="BZ108" i="1" s="1"/>
  <c r="BU108" i="1" s="1"/>
  <c r="BP108" i="1" s="1"/>
  <c r="DR103" i="1"/>
  <c r="DS103" i="1" s="1"/>
  <c r="DI103" i="1"/>
  <c r="DD103" i="1" s="1"/>
  <c r="CY103" i="1" s="1"/>
  <c r="CT103" i="1" s="1"/>
  <c r="CO103" i="1" s="1"/>
  <c r="CJ103" i="1" s="1"/>
  <c r="CE103" i="1" s="1"/>
  <c r="BZ103" i="1" s="1"/>
  <c r="BU103" i="1" s="1"/>
  <c r="BP103" i="1" s="1"/>
  <c r="BK103" i="1" s="1"/>
  <c r="BF103" i="1" s="1"/>
  <c r="BA103" i="1" s="1"/>
  <c r="AV103" i="1" s="1"/>
  <c r="AQ103" i="1" s="1"/>
  <c r="AL103" i="1" s="1"/>
  <c r="AG103" i="1" s="1"/>
  <c r="AB103" i="1" s="1"/>
  <c r="W103" i="1" s="1"/>
  <c r="Z103" i="1" s="1"/>
  <c r="AA103" i="1" s="1"/>
  <c r="DR100" i="1"/>
  <c r="DS100" i="1" s="1"/>
  <c r="DI100" i="1"/>
  <c r="DD100" i="1" s="1"/>
  <c r="CY100" i="1" s="1"/>
  <c r="CT100" i="1" s="1"/>
  <c r="CO100" i="1" s="1"/>
  <c r="CJ100" i="1" s="1"/>
  <c r="CE100" i="1" s="1"/>
  <c r="BZ100" i="1" s="1"/>
  <c r="BU100" i="1" s="1"/>
  <c r="BP100" i="1" s="1"/>
  <c r="BK100" i="1" s="1"/>
  <c r="BF100" i="1" s="1"/>
  <c r="BA100" i="1" s="1"/>
  <c r="AV100" i="1" s="1"/>
  <c r="AQ100" i="1" s="1"/>
  <c r="AL100" i="1" s="1"/>
  <c r="AG100" i="1" s="1"/>
  <c r="AB100" i="1" s="1"/>
  <c r="W100" i="1" s="1"/>
  <c r="Z100" i="1" s="1"/>
  <c r="AA100" i="1" s="1"/>
  <c r="DR109" i="1"/>
  <c r="DS109" i="1" s="1"/>
  <c r="DI109" i="1"/>
  <c r="DD109" i="1" s="1"/>
  <c r="CY109" i="1" s="1"/>
  <c r="CT109" i="1" s="1"/>
  <c r="CO109" i="1" s="1"/>
  <c r="CJ109" i="1" s="1"/>
  <c r="CE109" i="1" s="1"/>
  <c r="BZ109" i="1" s="1"/>
  <c r="BU109" i="1" s="1"/>
  <c r="BP109" i="1" s="1"/>
  <c r="BK109" i="1" s="1"/>
  <c r="BF109" i="1" s="1"/>
  <c r="BA109" i="1" s="1"/>
  <c r="AV109" i="1" s="1"/>
  <c r="AQ109" i="1" s="1"/>
  <c r="AL109" i="1" s="1"/>
  <c r="AG109" i="1" s="1"/>
  <c r="AB109" i="1" s="1"/>
  <c r="W109" i="1" s="1"/>
  <c r="Z109" i="1" s="1"/>
  <c r="AA109" i="1" s="1"/>
  <c r="DR110" i="1"/>
  <c r="DS110" i="1" s="1"/>
  <c r="DI110" i="1"/>
  <c r="DD110" i="1" s="1"/>
  <c r="CY110" i="1" s="1"/>
  <c r="CT110" i="1" s="1"/>
  <c r="CO110" i="1" s="1"/>
  <c r="CJ110" i="1" s="1"/>
  <c r="CE110" i="1" s="1"/>
  <c r="BZ110" i="1" s="1"/>
  <c r="BU110" i="1" s="1"/>
  <c r="BP110" i="1" s="1"/>
  <c r="BK110" i="1" s="1"/>
  <c r="BF110" i="1" s="1"/>
  <c r="BA110" i="1" s="1"/>
  <c r="AV110" i="1" s="1"/>
  <c r="AQ110" i="1" s="1"/>
  <c r="AL110" i="1" s="1"/>
  <c r="AG110" i="1" s="1"/>
  <c r="AB110" i="1" s="1"/>
  <c r="W110" i="1" s="1"/>
  <c r="Z110" i="1" s="1"/>
  <c r="AA110" i="1" s="1"/>
  <c r="DR113" i="1"/>
  <c r="DS113" i="1" s="1"/>
  <c r="DI113" i="1"/>
  <c r="DD113" i="1" s="1"/>
  <c r="CY113" i="1" s="1"/>
  <c r="CT113" i="1" s="1"/>
  <c r="CO113" i="1" s="1"/>
  <c r="CJ113" i="1" s="1"/>
  <c r="CE113" i="1" s="1"/>
  <c r="BZ113" i="1" s="1"/>
  <c r="BU113" i="1" s="1"/>
  <c r="BP113" i="1" s="1"/>
  <c r="BK113" i="1" s="1"/>
  <c r="BF113" i="1" s="1"/>
  <c r="BA113" i="1" s="1"/>
  <c r="AV113" i="1" s="1"/>
  <c r="AQ113" i="1" s="1"/>
  <c r="AL113" i="1" s="1"/>
  <c r="AG113" i="1" s="1"/>
  <c r="AB113" i="1" s="1"/>
  <c r="W113" i="1" s="1"/>
  <c r="Z113" i="1" s="1"/>
  <c r="AA113" i="1" s="1"/>
  <c r="DR111" i="1"/>
  <c r="DS111" i="1" s="1"/>
  <c r="DI111" i="1"/>
  <c r="DD111" i="1" s="1"/>
  <c r="CY111" i="1" s="1"/>
  <c r="CT111" i="1" s="1"/>
  <c r="CO111" i="1" s="1"/>
  <c r="CJ111" i="1" s="1"/>
  <c r="CE111" i="1" s="1"/>
  <c r="BZ111" i="1" s="1"/>
  <c r="BU111" i="1" s="1"/>
  <c r="BP111" i="1" s="1"/>
  <c r="BK111" i="1" s="1"/>
  <c r="BF111" i="1" s="1"/>
  <c r="BA111" i="1" s="1"/>
  <c r="AV111" i="1" s="1"/>
  <c r="AQ111" i="1" s="1"/>
  <c r="AL111" i="1" s="1"/>
  <c r="AG111" i="1" s="1"/>
  <c r="AB111" i="1" s="1"/>
  <c r="W111" i="1" s="1"/>
  <c r="Z111" i="1" s="1"/>
  <c r="AA111" i="1" s="1"/>
  <c r="DR118" i="1"/>
  <c r="DS118" i="1" s="1"/>
  <c r="DI118" i="1"/>
  <c r="DD118" i="1" s="1"/>
  <c r="CY118" i="1" s="1"/>
  <c r="CT118" i="1" s="1"/>
  <c r="CO118" i="1" s="1"/>
  <c r="CJ118" i="1" s="1"/>
  <c r="CE118" i="1" s="1"/>
  <c r="BZ118" i="1" s="1"/>
  <c r="BU118" i="1" s="1"/>
  <c r="BP118" i="1" s="1"/>
  <c r="BK118" i="1" s="1"/>
  <c r="BF118" i="1" s="1"/>
  <c r="BA118" i="1" s="1"/>
  <c r="AV118" i="1" s="1"/>
  <c r="AQ118" i="1" s="1"/>
  <c r="AL118" i="1" s="1"/>
  <c r="AG118" i="1" s="1"/>
  <c r="AB118" i="1" s="1"/>
  <c r="W118" i="1" s="1"/>
  <c r="Z118" i="1" s="1"/>
  <c r="AA118" i="1" s="1"/>
  <c r="DR115" i="1"/>
  <c r="DS115" i="1" s="1"/>
  <c r="DI115" i="1"/>
  <c r="DD115" i="1" s="1"/>
  <c r="CY115" i="1" s="1"/>
  <c r="CT115" i="1" s="1"/>
  <c r="CO115" i="1" s="1"/>
  <c r="CJ115" i="1" s="1"/>
  <c r="CE115" i="1" s="1"/>
  <c r="BZ115" i="1" s="1"/>
  <c r="BU115" i="1" s="1"/>
  <c r="BP115" i="1" s="1"/>
  <c r="BK115" i="1" s="1"/>
  <c r="BF115" i="1" s="1"/>
  <c r="BA115" i="1" s="1"/>
  <c r="AV115" i="1" s="1"/>
  <c r="AQ115" i="1" s="1"/>
  <c r="AL115" i="1" s="1"/>
  <c r="AG115" i="1" s="1"/>
  <c r="AB115" i="1" s="1"/>
  <c r="W115" i="1" s="1"/>
  <c r="Z115" i="1" s="1"/>
  <c r="AA115" i="1" s="1"/>
  <c r="DR119" i="1"/>
  <c r="DS119" i="1" s="1"/>
  <c r="DI119" i="1"/>
  <c r="DD119" i="1" s="1"/>
  <c r="CY119" i="1" s="1"/>
  <c r="CT119" i="1" s="1"/>
  <c r="CO119" i="1" s="1"/>
  <c r="CJ119" i="1" s="1"/>
  <c r="CE119" i="1" s="1"/>
  <c r="BZ119" i="1" s="1"/>
  <c r="BU119" i="1" s="1"/>
  <c r="BP119" i="1" s="1"/>
  <c r="BK119" i="1" s="1"/>
  <c r="BF119" i="1" s="1"/>
  <c r="BA119" i="1" s="1"/>
  <c r="AV119" i="1" s="1"/>
  <c r="AQ119" i="1" s="1"/>
  <c r="AL119" i="1" s="1"/>
  <c r="AG119" i="1" s="1"/>
  <c r="AB119" i="1" s="1"/>
  <c r="W119" i="1" s="1"/>
  <c r="Z119" i="1" s="1"/>
  <c r="AA119" i="1" s="1"/>
  <c r="DR112" i="1"/>
  <c r="DS112" i="1" s="1"/>
  <c r="DI112" i="1"/>
  <c r="DR124" i="1"/>
  <c r="DS124" i="1" s="1"/>
  <c r="DI124" i="1"/>
  <c r="DR125" i="1"/>
  <c r="DS125" i="1" s="1"/>
  <c r="DI125" i="1"/>
  <c r="DD125" i="1" s="1"/>
  <c r="DR116" i="1"/>
  <c r="DS116" i="1" s="1"/>
  <c r="DI116" i="1"/>
  <c r="DD116" i="1" s="1"/>
  <c r="CY116" i="1" s="1"/>
  <c r="CT116" i="1" s="1"/>
  <c r="CO116" i="1" s="1"/>
  <c r="CJ116" i="1" s="1"/>
  <c r="CE116" i="1" s="1"/>
  <c r="BZ116" i="1" s="1"/>
  <c r="BU116" i="1" s="1"/>
  <c r="BP116" i="1" s="1"/>
  <c r="BK116" i="1" s="1"/>
  <c r="BF116" i="1" s="1"/>
  <c r="BA116" i="1" s="1"/>
  <c r="AV116" i="1" s="1"/>
  <c r="AQ116" i="1" s="1"/>
  <c r="AL116" i="1" s="1"/>
  <c r="AG116" i="1" s="1"/>
  <c r="AB116" i="1" s="1"/>
  <c r="W116" i="1" s="1"/>
  <c r="Z116" i="1" s="1"/>
  <c r="AA116" i="1" s="1"/>
  <c r="DR120" i="1"/>
  <c r="DS120" i="1" s="1"/>
  <c r="DI120" i="1"/>
  <c r="DD120" i="1" s="1"/>
  <c r="CY120" i="1" s="1"/>
  <c r="CT120" i="1" s="1"/>
  <c r="CO120" i="1" s="1"/>
  <c r="CJ120" i="1" s="1"/>
  <c r="CE120" i="1" s="1"/>
  <c r="BZ120" i="1" s="1"/>
  <c r="BU120" i="1" s="1"/>
  <c r="BP120" i="1" s="1"/>
  <c r="BK120" i="1" s="1"/>
  <c r="BF120" i="1" s="1"/>
  <c r="BA120" i="1" s="1"/>
  <c r="AV120" i="1" s="1"/>
  <c r="AQ120" i="1" s="1"/>
  <c r="AL120" i="1" s="1"/>
  <c r="AG120" i="1" s="1"/>
  <c r="AB120" i="1" s="1"/>
  <c r="W120" i="1" s="1"/>
  <c r="Z120" i="1" s="1"/>
  <c r="AA120" i="1" s="1"/>
  <c r="DR128" i="1"/>
  <c r="DS128" i="1" s="1"/>
  <c r="DI128" i="1"/>
  <c r="DD128" i="1" s="1"/>
  <c r="CY128" i="1" s="1"/>
  <c r="CT128" i="1" s="1"/>
  <c r="CO128" i="1" s="1"/>
  <c r="DR114" i="1"/>
  <c r="DS114" i="1" s="1"/>
  <c r="DI114" i="1"/>
  <c r="DD114" i="1" s="1"/>
  <c r="CY114" i="1" s="1"/>
  <c r="CT114" i="1" s="1"/>
  <c r="CO114" i="1" s="1"/>
  <c r="CJ114" i="1" s="1"/>
  <c r="CE114" i="1" s="1"/>
  <c r="BZ114" i="1" s="1"/>
  <c r="BU114" i="1" s="1"/>
  <c r="BP114" i="1" s="1"/>
  <c r="BK114" i="1" s="1"/>
  <c r="BF114" i="1" s="1"/>
  <c r="BA114" i="1" s="1"/>
  <c r="AV114" i="1" s="1"/>
  <c r="AQ114" i="1" s="1"/>
  <c r="AL114" i="1" s="1"/>
  <c r="AG114" i="1" s="1"/>
  <c r="AB114" i="1" s="1"/>
  <c r="W114" i="1" s="1"/>
  <c r="Z114" i="1" s="1"/>
  <c r="AA114" i="1" s="1"/>
  <c r="DR121" i="1"/>
  <c r="DS121" i="1" s="1"/>
  <c r="DI121" i="1"/>
  <c r="DR123" i="1"/>
  <c r="DS123" i="1" s="1"/>
  <c r="DI123" i="1"/>
  <c r="DR126" i="1"/>
  <c r="DS126" i="1" s="1"/>
  <c r="DI126" i="1"/>
  <c r="DR117" i="1"/>
  <c r="DS117" i="1" s="1"/>
  <c r="DI117" i="1"/>
  <c r="DR127" i="1"/>
  <c r="DS127" i="1" s="1"/>
  <c r="DI127" i="1"/>
  <c r="DR122" i="1"/>
  <c r="DS122" i="1" s="1"/>
  <c r="DI122" i="1"/>
  <c r="DD122" i="1" s="1"/>
  <c r="CY122" i="1" s="1"/>
  <c r="CT122" i="1" s="1"/>
  <c r="CO122" i="1" s="1"/>
  <c r="CJ122" i="1" s="1"/>
  <c r="CE122" i="1" s="1"/>
  <c r="BZ122" i="1" s="1"/>
  <c r="BU122" i="1" s="1"/>
  <c r="BP122" i="1" s="1"/>
  <c r="BK122" i="1" s="1"/>
  <c r="BF122" i="1" s="1"/>
  <c r="BA122" i="1" s="1"/>
  <c r="AV122" i="1" s="1"/>
  <c r="AQ122" i="1" s="1"/>
  <c r="AL122" i="1" s="1"/>
  <c r="AG122" i="1" s="1"/>
  <c r="AB122" i="1" s="1"/>
  <c r="W122" i="1" s="1"/>
  <c r="Z122" i="1" s="1"/>
  <c r="AA122" i="1" s="1"/>
  <c r="DR133" i="1"/>
  <c r="DS133" i="1" s="1"/>
  <c r="DI133" i="1"/>
  <c r="DR130" i="1"/>
  <c r="DS130" i="1" s="1"/>
  <c r="DI130" i="1"/>
  <c r="DR131" i="1"/>
  <c r="DS131" i="1" s="1"/>
  <c r="DI131" i="1"/>
  <c r="DD131" i="1" s="1"/>
  <c r="CY131" i="1" s="1"/>
  <c r="CT131" i="1" s="1"/>
  <c r="CO131" i="1" s="1"/>
  <c r="CJ131" i="1" s="1"/>
  <c r="CE131" i="1" s="1"/>
  <c r="BZ131" i="1" s="1"/>
  <c r="BU131" i="1" s="1"/>
  <c r="BP131" i="1" s="1"/>
  <c r="BK131" i="1" s="1"/>
  <c r="BF131" i="1" s="1"/>
  <c r="BA131" i="1" s="1"/>
  <c r="AV131" i="1" s="1"/>
  <c r="AQ131" i="1" s="1"/>
  <c r="AL131" i="1" s="1"/>
  <c r="DR129" i="1"/>
  <c r="DS129" i="1" s="1"/>
  <c r="DI129" i="1"/>
  <c r="DD129" i="1" s="1"/>
  <c r="CY129" i="1" s="1"/>
  <c r="CT129" i="1" s="1"/>
  <c r="CO129" i="1" s="1"/>
  <c r="CJ129" i="1" s="1"/>
  <c r="CE129" i="1" s="1"/>
  <c r="BZ129" i="1" s="1"/>
  <c r="BU129" i="1" s="1"/>
  <c r="BP129" i="1" s="1"/>
  <c r="BK129" i="1" s="1"/>
  <c r="BF129" i="1" s="1"/>
  <c r="BA129" i="1" s="1"/>
  <c r="AV129" i="1" s="1"/>
  <c r="AQ129" i="1" s="1"/>
  <c r="AL129" i="1" s="1"/>
  <c r="AG129" i="1" s="1"/>
  <c r="AB129" i="1" s="1"/>
  <c r="W129" i="1" s="1"/>
  <c r="Z129" i="1" s="1"/>
  <c r="AA129" i="1" s="1"/>
  <c r="DR132" i="1"/>
  <c r="DS132" i="1" s="1"/>
  <c r="DI132" i="1"/>
  <c r="DD132" i="1" s="1"/>
  <c r="CY132" i="1" s="1"/>
  <c r="CT132" i="1" s="1"/>
  <c r="CO132" i="1" s="1"/>
  <c r="CJ132" i="1" s="1"/>
  <c r="CE132" i="1" s="1"/>
  <c r="BZ132" i="1" s="1"/>
  <c r="BU132" i="1" s="1"/>
  <c r="BP132" i="1" s="1"/>
  <c r="BK132" i="1" s="1"/>
  <c r="BF132" i="1" s="1"/>
  <c r="BA132" i="1" s="1"/>
  <c r="AV132" i="1" s="1"/>
  <c r="AQ132" i="1" s="1"/>
  <c r="AL132" i="1" s="1"/>
  <c r="AG132" i="1" s="1"/>
  <c r="AB132" i="1" s="1"/>
  <c r="W132" i="1" s="1"/>
  <c r="Z132" i="1" s="1"/>
  <c r="AA132" i="1" s="1"/>
  <c r="DR134" i="1"/>
  <c r="DS134" i="1" s="1"/>
  <c r="DI134" i="1"/>
  <c r="DD134" i="1" s="1"/>
  <c r="CY134" i="1" s="1"/>
  <c r="CT134" i="1" s="1"/>
  <c r="CO134" i="1" s="1"/>
  <c r="CJ134" i="1" s="1"/>
  <c r="CE134" i="1" s="1"/>
  <c r="BZ134" i="1" s="1"/>
  <c r="BU134" i="1" s="1"/>
  <c r="BP134" i="1" s="1"/>
  <c r="BK134" i="1" s="1"/>
  <c r="BF134" i="1" s="1"/>
  <c r="BA134" i="1" s="1"/>
  <c r="AV134" i="1" s="1"/>
  <c r="AQ134" i="1" s="1"/>
  <c r="AL134" i="1" s="1"/>
  <c r="AG134" i="1" s="1"/>
  <c r="AB134" i="1" s="1"/>
  <c r="W134" i="1" s="1"/>
  <c r="Z134" i="1" s="1"/>
  <c r="AA134" i="1" s="1"/>
  <c r="DR135" i="1"/>
  <c r="DS135" i="1" s="1"/>
  <c r="DI135" i="1"/>
  <c r="DD135" i="1" s="1"/>
  <c r="CY135" i="1" s="1"/>
  <c r="CT135" i="1" s="1"/>
  <c r="CO135" i="1" s="1"/>
  <c r="CJ135" i="1" s="1"/>
  <c r="CE135" i="1" s="1"/>
  <c r="BZ135" i="1" s="1"/>
  <c r="BU135" i="1" s="1"/>
  <c r="BP135" i="1" s="1"/>
  <c r="BK135" i="1" s="1"/>
  <c r="BF135" i="1" s="1"/>
  <c r="BA135" i="1" s="1"/>
  <c r="AV135" i="1" s="1"/>
  <c r="AQ135" i="1" s="1"/>
  <c r="AL135" i="1" s="1"/>
  <c r="AG135" i="1" s="1"/>
  <c r="AB135" i="1" s="1"/>
  <c r="W135" i="1" s="1"/>
  <c r="Z135" i="1" s="1"/>
  <c r="AA135" i="1" s="1"/>
  <c r="DR138" i="1"/>
  <c r="DS138" i="1" s="1"/>
  <c r="DI138" i="1"/>
  <c r="DD138" i="1" s="1"/>
  <c r="CY138" i="1" s="1"/>
  <c r="CT138" i="1" s="1"/>
  <c r="CO138" i="1" s="1"/>
  <c r="CJ138" i="1" s="1"/>
  <c r="CE138" i="1" s="1"/>
  <c r="BZ138" i="1" s="1"/>
  <c r="BU138" i="1" s="1"/>
  <c r="BP138" i="1" s="1"/>
  <c r="BK138" i="1" s="1"/>
  <c r="BF138" i="1" s="1"/>
  <c r="BA138" i="1" s="1"/>
  <c r="AV138" i="1" s="1"/>
  <c r="AQ138" i="1" s="1"/>
  <c r="AL138" i="1" s="1"/>
  <c r="AG138" i="1" s="1"/>
  <c r="AB138" i="1" s="1"/>
  <c r="W138" i="1" s="1"/>
  <c r="Z138" i="1" s="1"/>
  <c r="AA138" i="1" s="1"/>
  <c r="DR136" i="1"/>
  <c r="DS136" i="1" s="1"/>
  <c r="DI136" i="1"/>
  <c r="DD136" i="1" s="1"/>
  <c r="CY136" i="1" s="1"/>
  <c r="CT136" i="1" s="1"/>
  <c r="CO136" i="1" s="1"/>
  <c r="CJ136" i="1" s="1"/>
  <c r="CE136" i="1" s="1"/>
  <c r="BZ136" i="1" s="1"/>
  <c r="BU136" i="1" s="1"/>
  <c r="BP136" i="1" s="1"/>
  <c r="BK136" i="1" s="1"/>
  <c r="BF136" i="1" s="1"/>
  <c r="BA136" i="1" s="1"/>
  <c r="AV136" i="1" s="1"/>
  <c r="AQ136" i="1" s="1"/>
  <c r="AL136" i="1" s="1"/>
  <c r="AG136" i="1" s="1"/>
  <c r="AB136" i="1" s="1"/>
  <c r="W136" i="1" s="1"/>
  <c r="Z136" i="1" s="1"/>
  <c r="AA136" i="1" s="1"/>
  <c r="DR137" i="1"/>
  <c r="DS137" i="1" s="1"/>
  <c r="DI137" i="1"/>
  <c r="DD137" i="1" s="1"/>
  <c r="CY137" i="1" s="1"/>
  <c r="CT137" i="1" s="1"/>
  <c r="CO137" i="1" s="1"/>
  <c r="CJ137" i="1" s="1"/>
  <c r="CE137" i="1" s="1"/>
  <c r="BZ137" i="1" s="1"/>
  <c r="BU137" i="1" s="1"/>
  <c r="BP137" i="1" s="1"/>
  <c r="BK137" i="1" s="1"/>
  <c r="BF137" i="1" s="1"/>
  <c r="BA137" i="1" s="1"/>
  <c r="AV137" i="1" s="1"/>
  <c r="AQ137" i="1" s="1"/>
  <c r="AL137" i="1" s="1"/>
  <c r="AG137" i="1" s="1"/>
  <c r="AB137" i="1" s="1"/>
  <c r="W137" i="1" s="1"/>
  <c r="Z137" i="1" s="1"/>
  <c r="AA137" i="1" s="1"/>
  <c r="DR30" i="1"/>
  <c r="DS30" i="1" s="1"/>
  <c r="Z85" i="1"/>
  <c r="AA85" i="1" s="1"/>
  <c r="AE85" i="1"/>
  <c r="AF85" i="1" s="1"/>
  <c r="AJ85" i="1"/>
  <c r="AK85" i="1" s="1"/>
  <c r="AO85" i="1"/>
  <c r="AP85" i="1" s="1"/>
  <c r="AT85" i="1"/>
  <c r="AU85" i="1" s="1"/>
  <c r="AY85" i="1"/>
  <c r="AZ85" i="1" s="1"/>
  <c r="BD85" i="1"/>
  <c r="BE85" i="1" s="1"/>
  <c r="BI85" i="1"/>
  <c r="BJ85" i="1" s="1"/>
  <c r="BN85" i="1"/>
  <c r="BO85" i="1" s="1"/>
  <c r="BS85" i="1"/>
  <c r="BT85" i="1" s="1"/>
  <c r="BX85" i="1"/>
  <c r="BY85" i="1" s="1"/>
  <c r="CC85" i="1"/>
  <c r="CD85" i="1" s="1"/>
  <c r="CH85" i="1"/>
  <c r="CI85" i="1" s="1"/>
  <c r="CM85" i="1"/>
  <c r="CN85" i="1" s="1"/>
  <c r="CR85" i="1"/>
  <c r="CS85" i="1" s="1"/>
  <c r="CW85" i="1"/>
  <c r="CX85" i="1" s="1"/>
  <c r="DB85" i="1"/>
  <c r="DC85" i="1" s="1"/>
  <c r="DG85" i="1"/>
  <c r="DH85" i="1" s="1"/>
  <c r="DL85" i="1"/>
  <c r="CC78" i="1"/>
  <c r="CD78" i="1" s="1"/>
  <c r="CH78" i="1"/>
  <c r="CI78" i="1" s="1"/>
  <c r="CM78" i="1"/>
  <c r="CN78" i="1" s="1"/>
  <c r="CR78" i="1"/>
  <c r="CS78" i="1" s="1"/>
  <c r="CW78" i="1"/>
  <c r="CX78" i="1" s="1"/>
  <c r="DB78" i="1"/>
  <c r="DC78" i="1" s="1"/>
  <c r="DG78" i="1"/>
  <c r="DH78" i="1" s="1"/>
  <c r="BX78" i="1"/>
  <c r="BY78" i="1" s="1"/>
  <c r="DO84" i="1"/>
  <c r="DI84" i="1" s="1"/>
  <c r="DD84" i="1" s="1"/>
  <c r="CY84" i="1" s="1"/>
  <c r="CT84" i="1" s="1"/>
  <c r="CO84" i="1" s="1"/>
  <c r="CJ84" i="1" s="1"/>
  <c r="CE84" i="1" s="1"/>
  <c r="CH84" i="1" s="1"/>
  <c r="CI84" i="1" s="1"/>
  <c r="DO86" i="1"/>
  <c r="DI86" i="1" s="1"/>
  <c r="DD86" i="1" s="1"/>
  <c r="DI57" i="1"/>
  <c r="DD57" i="1" s="1"/>
  <c r="CY57" i="1" s="1"/>
  <c r="CT57" i="1" s="1"/>
  <c r="CO57" i="1" s="1"/>
  <c r="CJ57" i="1" s="1"/>
  <c r="CE57" i="1" s="1"/>
  <c r="CH57" i="1" s="1"/>
  <c r="CI57" i="1" s="1"/>
  <c r="DI56" i="1"/>
  <c r="DD56" i="1" s="1"/>
  <c r="CY56" i="1" s="1"/>
  <c r="CT56" i="1" s="1"/>
  <c r="CO56" i="1" s="1"/>
  <c r="CJ56" i="1" s="1"/>
  <c r="CE56" i="1" s="1"/>
  <c r="CH56" i="1" s="1"/>
  <c r="CI56" i="1" s="1"/>
  <c r="DI65" i="1"/>
  <c r="DD65" i="1" s="1"/>
  <c r="CY65" i="1" s="1"/>
  <c r="CT65" i="1" s="1"/>
  <c r="CO65" i="1" s="1"/>
  <c r="CJ65" i="1" s="1"/>
  <c r="CE65" i="1" s="1"/>
  <c r="CH65" i="1" s="1"/>
  <c r="CI65" i="1" s="1"/>
  <c r="E63" i="2"/>
  <c r="DO87" i="1"/>
  <c r="DI87" i="1" s="1"/>
  <c r="DD87" i="1" s="1"/>
  <c r="CY87" i="1" s="1"/>
  <c r="CT87" i="1" s="1"/>
  <c r="CO87" i="1" s="1"/>
  <c r="CJ87" i="1" s="1"/>
  <c r="CE87" i="1" s="1"/>
  <c r="CH87" i="1" s="1"/>
  <c r="CI87" i="1" s="1"/>
  <c r="DI53" i="1"/>
  <c r="DD53" i="1" s="1"/>
  <c r="CY53" i="1" s="1"/>
  <c r="CT53" i="1" s="1"/>
  <c r="CO53" i="1" s="1"/>
  <c r="CJ53" i="1" s="1"/>
  <c r="CE53" i="1" s="1"/>
  <c r="CH53" i="1" s="1"/>
  <c r="CI53" i="1" s="1"/>
  <c r="DI42" i="1"/>
  <c r="DD42" i="1" s="1"/>
  <c r="CY42" i="1" s="1"/>
  <c r="CT42" i="1" s="1"/>
  <c r="CO42" i="1" s="1"/>
  <c r="CJ42" i="1" s="1"/>
  <c r="CE42" i="1" s="1"/>
  <c r="CH42" i="1" s="1"/>
  <c r="CI42" i="1" s="1"/>
  <c r="DI40" i="1"/>
  <c r="DD40" i="1" s="1"/>
  <c r="CY40" i="1" s="1"/>
  <c r="CT40" i="1" s="1"/>
  <c r="CO40" i="1" s="1"/>
  <c r="CJ40" i="1" s="1"/>
  <c r="CE40" i="1" s="1"/>
  <c r="CH40" i="1" s="1"/>
  <c r="CI40" i="1" s="1"/>
  <c r="DI39" i="1"/>
  <c r="DD39" i="1" s="1"/>
  <c r="CY39" i="1" s="1"/>
  <c r="CT39" i="1" s="1"/>
  <c r="CO39" i="1" s="1"/>
  <c r="CJ39" i="1" s="1"/>
  <c r="CE39" i="1" s="1"/>
  <c r="CH39" i="1" s="1"/>
  <c r="CI39" i="1" s="1"/>
  <c r="DI43" i="1"/>
  <c r="DD43" i="1" s="1"/>
  <c r="CY43" i="1" s="1"/>
  <c r="CT43" i="1" s="1"/>
  <c r="CO43" i="1" s="1"/>
  <c r="CJ43" i="1" s="1"/>
  <c r="CE43" i="1" s="1"/>
  <c r="CH43" i="1" s="1"/>
  <c r="CI43" i="1" s="1"/>
  <c r="DI41" i="1"/>
  <c r="DD41" i="1" s="1"/>
  <c r="CY41" i="1" s="1"/>
  <c r="CT41" i="1" s="1"/>
  <c r="CO41" i="1" s="1"/>
  <c r="CJ41" i="1" s="1"/>
  <c r="CE41" i="1" s="1"/>
  <c r="CH41" i="1" s="1"/>
  <c r="CI41" i="1" s="1"/>
  <c r="DI47" i="1"/>
  <c r="DD47" i="1" s="1"/>
  <c r="CY47" i="1" s="1"/>
  <c r="CT47" i="1" s="1"/>
  <c r="CO47" i="1" s="1"/>
  <c r="CJ47" i="1" s="1"/>
  <c r="CE47" i="1" s="1"/>
  <c r="CH47" i="1" s="1"/>
  <c r="CI47" i="1" s="1"/>
  <c r="DI48" i="1"/>
  <c r="DD48" i="1" s="1"/>
  <c r="CY48" i="1" s="1"/>
  <c r="CT48" i="1" s="1"/>
  <c r="CO48" i="1" s="1"/>
  <c r="CJ48" i="1" s="1"/>
  <c r="CE48" i="1" s="1"/>
  <c r="CH48" i="1" s="1"/>
  <c r="CI48" i="1" s="1"/>
  <c r="DI49" i="1"/>
  <c r="DD49" i="1" s="1"/>
  <c r="CY49" i="1" s="1"/>
  <c r="CT49" i="1" s="1"/>
  <c r="CO49" i="1" s="1"/>
  <c r="CJ49" i="1" s="1"/>
  <c r="CE49" i="1" s="1"/>
  <c r="CH49" i="1" s="1"/>
  <c r="CI49" i="1" s="1"/>
  <c r="DI46" i="1"/>
  <c r="DD46" i="1" s="1"/>
  <c r="CY46" i="1" s="1"/>
  <c r="CT46" i="1" s="1"/>
  <c r="CO46" i="1" s="1"/>
  <c r="CJ46" i="1" s="1"/>
  <c r="CE46" i="1" s="1"/>
  <c r="CH46" i="1" s="1"/>
  <c r="CI46" i="1" s="1"/>
  <c r="DI50" i="1"/>
  <c r="DD50" i="1" s="1"/>
  <c r="CY50" i="1" s="1"/>
  <c r="CT50" i="1" s="1"/>
  <c r="CO50" i="1" s="1"/>
  <c r="CJ50" i="1" s="1"/>
  <c r="CE50" i="1" s="1"/>
  <c r="CH50" i="1" s="1"/>
  <c r="CI50" i="1" s="1"/>
  <c r="DI51" i="1"/>
  <c r="DD51" i="1" s="1"/>
  <c r="CY51" i="1" s="1"/>
  <c r="CT51" i="1" s="1"/>
  <c r="CO51" i="1" s="1"/>
  <c r="CJ51" i="1" s="1"/>
  <c r="CE51" i="1" s="1"/>
  <c r="CH51" i="1" s="1"/>
  <c r="CI51" i="1" s="1"/>
  <c r="DI52" i="1"/>
  <c r="DD52" i="1" s="1"/>
  <c r="CY52" i="1" s="1"/>
  <c r="CT52" i="1" s="1"/>
  <c r="CO52" i="1" s="1"/>
  <c r="CJ52" i="1" s="1"/>
  <c r="CE52" i="1" s="1"/>
  <c r="CH52" i="1" s="1"/>
  <c r="CI52" i="1" s="1"/>
  <c r="DI54" i="1"/>
  <c r="DD54" i="1" s="1"/>
  <c r="CY54" i="1" s="1"/>
  <c r="CT54" i="1" s="1"/>
  <c r="CO54" i="1" s="1"/>
  <c r="CJ54" i="1" s="1"/>
  <c r="CE54" i="1" s="1"/>
  <c r="CH54" i="1" s="1"/>
  <c r="CI54" i="1" s="1"/>
  <c r="DI24" i="1"/>
  <c r="DD24" i="1" s="1"/>
  <c r="CY24" i="1" s="1"/>
  <c r="CT24" i="1" s="1"/>
  <c r="CO24" i="1" s="1"/>
  <c r="CJ24" i="1" s="1"/>
  <c r="CE24" i="1" s="1"/>
  <c r="CH24" i="1" s="1"/>
  <c r="CI24" i="1" s="1"/>
  <c r="DI29" i="1"/>
  <c r="DD29" i="1" s="1"/>
  <c r="CY29" i="1" s="1"/>
  <c r="CT29" i="1" s="1"/>
  <c r="CO29" i="1" s="1"/>
  <c r="CJ29" i="1" s="1"/>
  <c r="CE29" i="1" s="1"/>
  <c r="CH29" i="1" s="1"/>
  <c r="CI29" i="1" s="1"/>
  <c r="DR37" i="1"/>
  <c r="DS37" i="1" s="1"/>
  <c r="DT8" i="2"/>
  <c r="DU8" i="2" s="1"/>
  <c r="DN8" i="2"/>
  <c r="DT9" i="2"/>
  <c r="DU9" i="2" s="1"/>
  <c r="DN9" i="2"/>
  <c r="DT10" i="2"/>
  <c r="DU10" i="2" s="1"/>
  <c r="DN10" i="2"/>
  <c r="DT11" i="2"/>
  <c r="DU11" i="2" s="1"/>
  <c r="DN11" i="2"/>
  <c r="DT12" i="2"/>
  <c r="DU12" i="2" s="1"/>
  <c r="DN12" i="2"/>
  <c r="DT13" i="2"/>
  <c r="DU13" i="2" s="1"/>
  <c r="DN13" i="2"/>
  <c r="DT14" i="2"/>
  <c r="DU14" i="2" s="1"/>
  <c r="DN14" i="2"/>
  <c r="DT15" i="2"/>
  <c r="DU15" i="2" s="1"/>
  <c r="DN15" i="2"/>
  <c r="DN16" i="2"/>
  <c r="DN17" i="2"/>
  <c r="DN18" i="2"/>
  <c r="DN19" i="2"/>
  <c r="DN20" i="2"/>
  <c r="DN21" i="2"/>
  <c r="DN22" i="2"/>
  <c r="DN23" i="2"/>
  <c r="DN24" i="2"/>
  <c r="DN25" i="2"/>
  <c r="DQ26" i="2"/>
  <c r="DR26" i="2" s="1"/>
  <c r="DH26" i="2"/>
  <c r="DC26" i="2" s="1"/>
  <c r="CX26" i="2" s="1"/>
  <c r="CS26" i="2" s="1"/>
  <c r="CN26" i="2" s="1"/>
  <c r="CI26" i="2" s="1"/>
  <c r="CD26" i="2" s="1"/>
  <c r="BY26" i="2" s="1"/>
  <c r="BT26" i="2" s="1"/>
  <c r="BO26" i="2" s="1"/>
  <c r="BJ26" i="2" s="1"/>
  <c r="BE26" i="2" s="1"/>
  <c r="AZ26" i="2" s="1"/>
  <c r="AU26" i="2" s="1"/>
  <c r="AP26" i="2" s="1"/>
  <c r="AK26" i="2" s="1"/>
  <c r="AF26" i="2" s="1"/>
  <c r="AA26" i="2" s="1"/>
  <c r="V26" i="2" s="1"/>
  <c r="Y26" i="2" s="1"/>
  <c r="Z26" i="2" s="1"/>
  <c r="DQ27" i="2"/>
  <c r="DR27" i="2" s="1"/>
  <c r="DH27" i="2"/>
  <c r="DC27" i="2" s="1"/>
  <c r="CX27" i="2" s="1"/>
  <c r="CS27" i="2" s="1"/>
  <c r="CN27" i="2" s="1"/>
  <c r="CI27" i="2" s="1"/>
  <c r="CD27" i="2" s="1"/>
  <c r="BY27" i="2" s="1"/>
  <c r="BT27" i="2" s="1"/>
  <c r="BO27" i="2" s="1"/>
  <c r="BJ27" i="2" s="1"/>
  <c r="BE27" i="2" s="1"/>
  <c r="AZ27" i="2" s="1"/>
  <c r="AU27" i="2" s="1"/>
  <c r="AP27" i="2" s="1"/>
  <c r="AK27" i="2" s="1"/>
  <c r="AF27" i="2" s="1"/>
  <c r="AA27" i="2" s="1"/>
  <c r="V27" i="2" s="1"/>
  <c r="Y27" i="2" s="1"/>
  <c r="Z27" i="2" s="1"/>
  <c r="DN28" i="2"/>
  <c r="DN29" i="2"/>
  <c r="DN30" i="2"/>
  <c r="DN31" i="2"/>
  <c r="DN32" i="2"/>
  <c r="DN33" i="2"/>
  <c r="DN34" i="2"/>
  <c r="DN35" i="2"/>
  <c r="DN36" i="2"/>
  <c r="DN47" i="2"/>
  <c r="DN48" i="2"/>
  <c r="DN49" i="2"/>
  <c r="DT52" i="2"/>
  <c r="DU52" i="2" s="1"/>
  <c r="DN52" i="2"/>
  <c r="DT53" i="2"/>
  <c r="DU53" i="2" s="1"/>
  <c r="DN53" i="2"/>
  <c r="DT54" i="2"/>
  <c r="DU54" i="2" s="1"/>
  <c r="DN54" i="2"/>
  <c r="DT55" i="2"/>
  <c r="DU55" i="2" s="1"/>
  <c r="DN55" i="2"/>
  <c r="DT56" i="2"/>
  <c r="DU56" i="2" s="1"/>
  <c r="DN56" i="2"/>
  <c r="Y57" i="2"/>
  <c r="Z57" i="2" s="1"/>
  <c r="AD57" i="2"/>
  <c r="AE57" i="2" s="1"/>
  <c r="AI57" i="2"/>
  <c r="AJ57" i="2" s="1"/>
  <c r="AN57" i="2"/>
  <c r="AO57" i="2" s="1"/>
  <c r="AS57" i="2"/>
  <c r="AT57" i="2" s="1"/>
  <c r="AX57" i="2"/>
  <c r="AY57" i="2" s="1"/>
  <c r="BC57" i="2"/>
  <c r="BD57" i="2" s="1"/>
  <c r="BH57" i="2"/>
  <c r="BI57" i="2" s="1"/>
  <c r="BM57" i="2"/>
  <c r="BN57" i="2" s="1"/>
  <c r="BR57" i="2"/>
  <c r="BS57" i="2" s="1"/>
  <c r="BW57" i="2"/>
  <c r="BX57" i="2" s="1"/>
  <c r="CB57" i="2"/>
  <c r="CC57" i="2" s="1"/>
  <c r="CG57" i="2"/>
  <c r="CH57" i="2" s="1"/>
  <c r="CL57" i="2"/>
  <c r="CM57" i="2" s="1"/>
  <c r="CQ57" i="2"/>
  <c r="CR57" i="2" s="1"/>
  <c r="CV57" i="2"/>
  <c r="CW57" i="2" s="1"/>
  <c r="DA57" i="2"/>
  <c r="DB57" i="2" s="1"/>
  <c r="DF57" i="2"/>
  <c r="DG57" i="2" s="1"/>
  <c r="DK57" i="2"/>
  <c r="DR57" i="2"/>
  <c r="DQ58" i="2"/>
  <c r="DR58" i="2" s="1"/>
  <c r="DH58" i="2"/>
  <c r="DC58" i="2" s="1"/>
  <c r="CX58" i="2" s="1"/>
  <c r="CS58" i="2" s="1"/>
  <c r="CN58" i="2" s="1"/>
  <c r="CI58" i="2" s="1"/>
  <c r="CD58" i="2" s="1"/>
  <c r="BY58" i="2" s="1"/>
  <c r="BT58" i="2" s="1"/>
  <c r="BO58" i="2" s="1"/>
  <c r="BJ58" i="2" s="1"/>
  <c r="BE58" i="2" s="1"/>
  <c r="AZ58" i="2" s="1"/>
  <c r="AU58" i="2" s="1"/>
  <c r="AP58" i="2" s="1"/>
  <c r="AK58" i="2" s="1"/>
  <c r="AF58" i="2" s="1"/>
  <c r="AA58" i="2" s="1"/>
  <c r="V58" i="2" s="1"/>
  <c r="Y58" i="2" s="1"/>
  <c r="Z58" i="2" s="1"/>
  <c r="DQ59" i="2"/>
  <c r="DR59" i="2" s="1"/>
  <c r="DH59" i="2"/>
  <c r="DC59" i="2" s="1"/>
  <c r="CX59" i="2" s="1"/>
  <c r="CS59" i="2" s="1"/>
  <c r="CN59" i="2" s="1"/>
  <c r="CI59" i="2" s="1"/>
  <c r="CD59" i="2" s="1"/>
  <c r="BY59" i="2" s="1"/>
  <c r="BT59" i="2" s="1"/>
  <c r="BO59" i="2" s="1"/>
  <c r="BJ59" i="2" s="1"/>
  <c r="BE59" i="2" s="1"/>
  <c r="AZ59" i="2" s="1"/>
  <c r="AU59" i="2" s="1"/>
  <c r="AP59" i="2" s="1"/>
  <c r="AK59" i="2" s="1"/>
  <c r="AF59" i="2" s="1"/>
  <c r="AA59" i="2" s="1"/>
  <c r="V59" i="2" s="1"/>
  <c r="Y59" i="2" s="1"/>
  <c r="Z59" i="2" s="1"/>
  <c r="DQ60" i="2"/>
  <c r="DR60" i="2" s="1"/>
  <c r="DH60" i="2"/>
  <c r="DC60" i="2" s="1"/>
  <c r="CX60" i="2" s="1"/>
  <c r="CS60" i="2" s="1"/>
  <c r="CN60" i="2" s="1"/>
  <c r="CI60" i="2" s="1"/>
  <c r="CD60" i="2" s="1"/>
  <c r="BY60" i="2" s="1"/>
  <c r="BT60" i="2" s="1"/>
  <c r="BO60" i="2" s="1"/>
  <c r="BJ60" i="2" s="1"/>
  <c r="BE60" i="2" s="1"/>
  <c r="AZ60" i="2" s="1"/>
  <c r="AU60" i="2" s="1"/>
  <c r="AP60" i="2" s="1"/>
  <c r="AK60" i="2" s="1"/>
  <c r="AF60" i="2" s="1"/>
  <c r="AA60" i="2" s="1"/>
  <c r="V60" i="2" s="1"/>
  <c r="Y60" i="2" s="1"/>
  <c r="Z60" i="2" s="1"/>
  <c r="DQ61" i="2"/>
  <c r="DR61" i="2" s="1"/>
  <c r="DH61" i="2"/>
  <c r="DC61" i="2" s="1"/>
  <c r="CX61" i="2" s="1"/>
  <c r="CS61" i="2" s="1"/>
  <c r="CN61" i="2" s="1"/>
  <c r="CI61" i="2" s="1"/>
  <c r="CD61" i="2" s="1"/>
  <c r="BY61" i="2" s="1"/>
  <c r="BT61" i="2" s="1"/>
  <c r="BO61" i="2" s="1"/>
  <c r="BJ61" i="2" s="1"/>
  <c r="BE61" i="2" s="1"/>
  <c r="AZ61" i="2" s="1"/>
  <c r="AU61" i="2" s="1"/>
  <c r="AP61" i="2" s="1"/>
  <c r="AK61" i="2" s="1"/>
  <c r="AF61" i="2" s="1"/>
  <c r="AA61" i="2" s="1"/>
  <c r="V61" i="2" s="1"/>
  <c r="Y61" i="2" s="1"/>
  <c r="Z61" i="2" s="1"/>
  <c r="DO79" i="1"/>
  <c r="DI79" i="1" s="1"/>
  <c r="DD79" i="1" s="1"/>
  <c r="CY79" i="1" s="1"/>
  <c r="CT79" i="1" s="1"/>
  <c r="CO79" i="1" s="1"/>
  <c r="CJ79" i="1" s="1"/>
  <c r="CE79" i="1" s="1"/>
  <c r="CH79" i="1" s="1"/>
  <c r="CI79" i="1" s="1"/>
  <c r="DO81" i="1"/>
  <c r="DI81" i="1" s="1"/>
  <c r="DD81" i="1" s="1"/>
  <c r="CY81" i="1" s="1"/>
  <c r="CT81" i="1" s="1"/>
  <c r="CO81" i="1" s="1"/>
  <c r="CJ81" i="1" s="1"/>
  <c r="CE81" i="1" s="1"/>
  <c r="CH81" i="1" s="1"/>
  <c r="CI81" i="1" s="1"/>
  <c r="DO82" i="1"/>
  <c r="DI82" i="1" s="1"/>
  <c r="DD82" i="1" s="1"/>
  <c r="CY82" i="1" s="1"/>
  <c r="CT82" i="1" s="1"/>
  <c r="CO82" i="1" s="1"/>
  <c r="CJ82" i="1" s="1"/>
  <c r="CE82" i="1" s="1"/>
  <c r="CH82" i="1" s="1"/>
  <c r="CI82" i="1" s="1"/>
  <c r="DO80" i="1"/>
  <c r="DI80" i="1" s="1"/>
  <c r="DD80" i="1" s="1"/>
  <c r="CY80" i="1" s="1"/>
  <c r="CT80" i="1" s="1"/>
  <c r="CO80" i="1" s="1"/>
  <c r="CJ80" i="1" s="1"/>
  <c r="CE80" i="1" s="1"/>
  <c r="CH80" i="1" s="1"/>
  <c r="CI80" i="1" s="1"/>
  <c r="DM78" i="1"/>
  <c r="DI17" i="1"/>
  <c r="DD17" i="1" s="1"/>
  <c r="CY17" i="1" s="1"/>
  <c r="CT17" i="1" s="1"/>
  <c r="CO17" i="1" s="1"/>
  <c r="CJ17" i="1" s="1"/>
  <c r="CE17" i="1" s="1"/>
  <c r="CH17" i="1" s="1"/>
  <c r="CI17" i="1" s="1"/>
  <c r="DI20" i="1"/>
  <c r="DD20" i="1" s="1"/>
  <c r="CY20" i="1" s="1"/>
  <c r="CT20" i="1" s="1"/>
  <c r="CO20" i="1" s="1"/>
  <c r="CJ20" i="1" s="1"/>
  <c r="CE20" i="1" s="1"/>
  <c r="CH20" i="1" s="1"/>
  <c r="CI20" i="1" s="1"/>
  <c r="DR85" i="1"/>
  <c r="DS85" i="1" s="1"/>
  <c r="DR78" i="1"/>
  <c r="DS78" i="1" s="1"/>
  <c r="DI21" i="1"/>
  <c r="DD21" i="1" s="1"/>
  <c r="CY21" i="1" s="1"/>
  <c r="CT21" i="1" s="1"/>
  <c r="CO21" i="1" s="1"/>
  <c r="CJ21" i="1" s="1"/>
  <c r="CE21" i="1" s="1"/>
  <c r="CH21" i="1" s="1"/>
  <c r="CI21" i="1" s="1"/>
  <c r="DI25" i="1"/>
  <c r="DD25" i="1" s="1"/>
  <c r="CY25" i="1" s="1"/>
  <c r="CT25" i="1" s="1"/>
  <c r="CO25" i="1" s="1"/>
  <c r="CJ25" i="1" s="1"/>
  <c r="CE25" i="1" s="1"/>
  <c r="CH25" i="1" s="1"/>
  <c r="CI25" i="1" s="1"/>
  <c r="DI18" i="1"/>
  <c r="DD18" i="1" s="1"/>
  <c r="CY18" i="1" s="1"/>
  <c r="CT18" i="1" s="1"/>
  <c r="CO18" i="1" s="1"/>
  <c r="CJ18" i="1" s="1"/>
  <c r="CE18" i="1" s="1"/>
  <c r="CH18" i="1" s="1"/>
  <c r="CI18" i="1" s="1"/>
  <c r="DI19" i="1"/>
  <c r="DD19" i="1" s="1"/>
  <c r="CY19" i="1" s="1"/>
  <c r="CT19" i="1" s="1"/>
  <c r="CO19" i="1" s="1"/>
  <c r="CJ19" i="1" s="1"/>
  <c r="CE19" i="1" s="1"/>
  <c r="CH19" i="1" s="1"/>
  <c r="CI19" i="1" s="1"/>
  <c r="DI28" i="1"/>
  <c r="DD28" i="1" s="1"/>
  <c r="CY28" i="1" s="1"/>
  <c r="CT28" i="1" s="1"/>
  <c r="CO28" i="1" s="1"/>
  <c r="CJ28" i="1" s="1"/>
  <c r="CE28" i="1" s="1"/>
  <c r="CH28" i="1" s="1"/>
  <c r="CI28" i="1" s="1"/>
  <c r="DI31" i="1"/>
  <c r="DD31" i="1" s="1"/>
  <c r="CY31" i="1" s="1"/>
  <c r="CT31" i="1" s="1"/>
  <c r="CO31" i="1" s="1"/>
  <c r="CJ31" i="1" s="1"/>
  <c r="CE31" i="1" s="1"/>
  <c r="CH31" i="1" s="1"/>
  <c r="CI31" i="1" s="1"/>
  <c r="DD92" i="1" l="1"/>
  <c r="DL92" i="1"/>
  <c r="DM92" i="1" s="1"/>
  <c r="DD93" i="1"/>
  <c r="DL93" i="1"/>
  <c r="DM93" i="1" s="1"/>
  <c r="DD91" i="1"/>
  <c r="DL91" i="1"/>
  <c r="DM91" i="1" s="1"/>
  <c r="DR91" i="1"/>
  <c r="DS91" i="1" s="1"/>
  <c r="CC76" i="1"/>
  <c r="CD76" i="1" s="1"/>
  <c r="CH76" i="1"/>
  <c r="CI76" i="1" s="1"/>
  <c r="CR37" i="1"/>
  <c r="CS37" i="1" s="1"/>
  <c r="BP76" i="1"/>
  <c r="BX76" i="1"/>
  <c r="BY76" i="1" s="1"/>
  <c r="DG37" i="1"/>
  <c r="DH37" i="1" s="1"/>
  <c r="CM37" i="1"/>
  <c r="CN37" i="1" s="1"/>
  <c r="DB37" i="1"/>
  <c r="DC37" i="1" s="1"/>
  <c r="CW37" i="1"/>
  <c r="CX37" i="1" s="1"/>
  <c r="DR83" i="1"/>
  <c r="DS83" i="1" s="1"/>
  <c r="DB83" i="1"/>
  <c r="DC83" i="1" s="1"/>
  <c r="CM83" i="1"/>
  <c r="CN83" i="1" s="1"/>
  <c r="DB11" i="1"/>
  <c r="DC11" i="1" s="1"/>
  <c r="CW145" i="1"/>
  <c r="CX145" i="1" s="1"/>
  <c r="CW83" i="1"/>
  <c r="CX83" i="1" s="1"/>
  <c r="CH83" i="1"/>
  <c r="CI83" i="1" s="1"/>
  <c r="CM11" i="1"/>
  <c r="CN11" i="1" s="1"/>
  <c r="DG83" i="1"/>
  <c r="DH83" i="1" s="1"/>
  <c r="CR83" i="1"/>
  <c r="CS83" i="1" s="1"/>
  <c r="DG158" i="1"/>
  <c r="DH158" i="1" s="1"/>
  <c r="DR158" i="1"/>
  <c r="DS158" i="1" s="1"/>
  <c r="CR158" i="1"/>
  <c r="CS158" i="1" s="1"/>
  <c r="CC158" i="1"/>
  <c r="CD158" i="1" s="1"/>
  <c r="DG11" i="1"/>
  <c r="DH11" i="1" s="1"/>
  <c r="CR11" i="1"/>
  <c r="CS11" i="1" s="1"/>
  <c r="CW11" i="1"/>
  <c r="CX11" i="1" s="1"/>
  <c r="BI145" i="1"/>
  <c r="BJ145" i="1" s="1"/>
  <c r="AE145" i="1"/>
  <c r="AF145" i="1" s="1"/>
  <c r="DG146" i="1"/>
  <c r="DH146" i="1" s="1"/>
  <c r="DL158" i="1"/>
  <c r="DM158" i="1" s="1"/>
  <c r="CW158" i="1"/>
  <c r="CX158" i="1" s="1"/>
  <c r="CH158" i="1"/>
  <c r="CI158" i="1" s="1"/>
  <c r="BS158" i="1"/>
  <c r="BT158" i="1" s="1"/>
  <c r="DB158" i="1"/>
  <c r="DC158" i="1" s="1"/>
  <c r="CM158" i="1"/>
  <c r="CN158" i="1" s="1"/>
  <c r="BX158" i="1"/>
  <c r="BY158" i="1" s="1"/>
  <c r="CC146" i="1"/>
  <c r="CD146" i="1" s="1"/>
  <c r="DR165" i="1"/>
  <c r="DS165" i="1" s="1"/>
  <c r="BN158" i="1"/>
  <c r="BO158" i="1" s="1"/>
  <c r="AJ146" i="1"/>
  <c r="AK146" i="1" s="1"/>
  <c r="BX165" i="1"/>
  <c r="BY165" i="1" s="1"/>
  <c r="BI158" i="1"/>
  <c r="BJ158" i="1" s="1"/>
  <c r="BD158" i="1"/>
  <c r="BE158" i="1" s="1"/>
  <c r="CH146" i="1"/>
  <c r="CI146" i="1" s="1"/>
  <c r="BD146" i="1"/>
  <c r="BE146" i="1" s="1"/>
  <c r="DB150" i="1"/>
  <c r="DC150" i="1" s="1"/>
  <c r="DR146" i="1"/>
  <c r="DS146" i="1" s="1"/>
  <c r="CW146" i="1"/>
  <c r="CX146" i="1" s="1"/>
  <c r="BN146" i="1"/>
  <c r="BO146" i="1" s="1"/>
  <c r="AE146" i="1"/>
  <c r="AF146" i="1" s="1"/>
  <c r="DR143" i="1"/>
  <c r="DS143" i="1" s="1"/>
  <c r="DR159" i="1"/>
  <c r="DS159" i="1" s="1"/>
  <c r="BN143" i="1"/>
  <c r="BO143" i="1" s="1"/>
  <c r="CH159" i="1"/>
  <c r="CI159" i="1" s="1"/>
  <c r="DG165" i="1"/>
  <c r="DH165" i="1" s="1"/>
  <c r="DG159" i="1"/>
  <c r="DH159" i="1" s="1"/>
  <c r="CH145" i="1"/>
  <c r="CI145" i="1" s="1"/>
  <c r="BD145" i="1"/>
  <c r="BE145" i="1" s="1"/>
  <c r="DL142" i="1"/>
  <c r="DM142" i="1" s="1"/>
  <c r="DR152" i="1"/>
  <c r="DS152" i="1" s="1"/>
  <c r="DL167" i="1"/>
  <c r="DM167" i="1" s="1"/>
  <c r="CW165" i="1"/>
  <c r="CX165" i="1" s="1"/>
  <c r="BS165" i="1"/>
  <c r="BT165" i="1" s="1"/>
  <c r="DB145" i="1"/>
  <c r="DC145" i="1" s="1"/>
  <c r="BX145" i="1"/>
  <c r="BY145" i="1" s="1"/>
  <c r="AO145" i="1"/>
  <c r="AP145" i="1" s="1"/>
  <c r="BN142" i="1"/>
  <c r="BO142" i="1" s="1"/>
  <c r="CR167" i="1"/>
  <c r="CS167" i="1" s="1"/>
  <c r="DL165" i="1"/>
  <c r="DM165" i="1" s="1"/>
  <c r="CM165" i="1"/>
  <c r="CN165" i="1" s="1"/>
  <c r="BD165" i="1"/>
  <c r="BE165" i="1" s="1"/>
  <c r="CW159" i="1"/>
  <c r="CX159" i="1" s="1"/>
  <c r="BI159" i="1"/>
  <c r="BJ159" i="1" s="1"/>
  <c r="AE147" i="1"/>
  <c r="AF147" i="1" s="1"/>
  <c r="DL146" i="1"/>
  <c r="DM146" i="1" s="1"/>
  <c r="CR146" i="1"/>
  <c r="CS146" i="1" s="1"/>
  <c r="BS146" i="1"/>
  <c r="BT146" i="1" s="1"/>
  <c r="AY146" i="1"/>
  <c r="AZ146" i="1" s="1"/>
  <c r="DG143" i="1"/>
  <c r="DH143" i="1" s="1"/>
  <c r="DR167" i="1"/>
  <c r="DS167" i="1" s="1"/>
  <c r="CW167" i="1"/>
  <c r="CX167" i="1" s="1"/>
  <c r="DB165" i="1"/>
  <c r="DC165" i="1" s="1"/>
  <c r="CH165" i="1"/>
  <c r="CI165" i="1" s="1"/>
  <c r="BI165" i="1"/>
  <c r="BJ165" i="1" s="1"/>
  <c r="CR163" i="1"/>
  <c r="CS163" i="1" s="1"/>
  <c r="DG162" i="1"/>
  <c r="DH162" i="1" s="1"/>
  <c r="DG161" i="1"/>
  <c r="DH161" i="1" s="1"/>
  <c r="CC159" i="1"/>
  <c r="CD159" i="1" s="1"/>
  <c r="DB147" i="1"/>
  <c r="DC147" i="1" s="1"/>
  <c r="CH143" i="1"/>
  <c r="CI143" i="1" s="1"/>
  <c r="CR152" i="1"/>
  <c r="CS152" i="1" s="1"/>
  <c r="BI150" i="1"/>
  <c r="BJ150" i="1" s="1"/>
  <c r="DR148" i="1"/>
  <c r="DS148" i="1" s="1"/>
  <c r="DG167" i="1"/>
  <c r="DH167" i="1" s="1"/>
  <c r="BN167" i="1"/>
  <c r="BO167" i="1" s="1"/>
  <c r="DG166" i="1"/>
  <c r="DH166" i="1" s="1"/>
  <c r="AJ165" i="1"/>
  <c r="AK165" i="1" s="1"/>
  <c r="DL163" i="1"/>
  <c r="DM163" i="1" s="1"/>
  <c r="CH163" i="1"/>
  <c r="CI163" i="1" s="1"/>
  <c r="DR162" i="1"/>
  <c r="DS162" i="1" s="1"/>
  <c r="CR162" i="1"/>
  <c r="CS162" i="1" s="1"/>
  <c r="DR161" i="1"/>
  <c r="DS161" i="1" s="1"/>
  <c r="CR161" i="1"/>
  <c r="CS161" i="1" s="1"/>
  <c r="BI147" i="1"/>
  <c r="BJ147" i="1" s="1"/>
  <c r="BN166" i="1"/>
  <c r="BO166" i="1" s="1"/>
  <c r="DR163" i="1"/>
  <c r="DS163" i="1" s="1"/>
  <c r="DG163" i="1"/>
  <c r="DH163" i="1" s="1"/>
  <c r="BN163" i="1"/>
  <c r="BO163" i="1" s="1"/>
  <c r="BS162" i="1"/>
  <c r="BT162" i="1" s="1"/>
  <c r="AY161" i="1"/>
  <c r="AZ161" i="1" s="1"/>
  <c r="DL159" i="1"/>
  <c r="DM159" i="1" s="1"/>
  <c r="CR159" i="1"/>
  <c r="CS159" i="1" s="1"/>
  <c r="BS159" i="1"/>
  <c r="BT159" i="1" s="1"/>
  <c r="CH144" i="1"/>
  <c r="CI144" i="1" s="1"/>
  <c r="DB149" i="1"/>
  <c r="DC149" i="1" s="1"/>
  <c r="CR164" i="1"/>
  <c r="CS164" i="1" s="1"/>
  <c r="DB162" i="1"/>
  <c r="DC162" i="1" s="1"/>
  <c r="CM162" i="1"/>
  <c r="CN162" i="1" s="1"/>
  <c r="BN162" i="1"/>
  <c r="BO162" i="1" s="1"/>
  <c r="BX147" i="1"/>
  <c r="BY147" i="1" s="1"/>
  <c r="DL145" i="1"/>
  <c r="DM145" i="1" s="1"/>
  <c r="CM145" i="1"/>
  <c r="CN145" i="1" s="1"/>
  <c r="BS145" i="1"/>
  <c r="BT145" i="1" s="1"/>
  <c r="AT145" i="1"/>
  <c r="AU145" i="1" s="1"/>
  <c r="BI144" i="1"/>
  <c r="BJ144" i="1" s="1"/>
  <c r="CR142" i="1"/>
  <c r="CS142" i="1" s="1"/>
  <c r="DR150" i="1"/>
  <c r="DS150" i="1" s="1"/>
  <c r="CC150" i="1"/>
  <c r="CD150" i="1" s="1"/>
  <c r="DR149" i="1"/>
  <c r="DS149" i="1" s="1"/>
  <c r="CM149" i="1"/>
  <c r="CN149" i="1" s="1"/>
  <c r="CR148" i="1"/>
  <c r="CS148" i="1" s="1"/>
  <c r="DB167" i="1"/>
  <c r="DC167" i="1" s="1"/>
  <c r="CC167" i="1"/>
  <c r="CD167" i="1" s="1"/>
  <c r="DR166" i="1"/>
  <c r="DS166" i="1" s="1"/>
  <c r="CH166" i="1"/>
  <c r="CI166" i="1" s="1"/>
  <c r="CR165" i="1"/>
  <c r="CS165" i="1" s="1"/>
  <c r="CC165" i="1"/>
  <c r="CD165" i="1" s="1"/>
  <c r="BN165" i="1"/>
  <c r="BO165" i="1" s="1"/>
  <c r="AT165" i="1"/>
  <c r="AU165" i="1" s="1"/>
  <c r="DR164" i="1"/>
  <c r="DS164" i="1" s="1"/>
  <c r="CC164" i="1"/>
  <c r="CD164" i="1" s="1"/>
  <c r="DL162" i="1"/>
  <c r="DM162" i="1" s="1"/>
  <c r="CW162" i="1"/>
  <c r="CX162" i="1" s="1"/>
  <c r="CH162" i="1"/>
  <c r="CI162" i="1" s="1"/>
  <c r="AY162" i="1"/>
  <c r="AZ162" i="1" s="1"/>
  <c r="BX161" i="1"/>
  <c r="BY161" i="1" s="1"/>
  <c r="CW143" i="1"/>
  <c r="CX143" i="1" s="1"/>
  <c r="CC143" i="1"/>
  <c r="CD143" i="1" s="1"/>
  <c r="BD143" i="1"/>
  <c r="BE143" i="1" s="1"/>
  <c r="DG155" i="1"/>
  <c r="DH155" i="1" s="1"/>
  <c r="BN152" i="1"/>
  <c r="BO152" i="1" s="1"/>
  <c r="CR150" i="1"/>
  <c r="CS150" i="1" s="1"/>
  <c r="BX150" i="1"/>
  <c r="BY150" i="1" s="1"/>
  <c r="AY150" i="1"/>
  <c r="AZ150" i="1" s="1"/>
  <c r="DL160" i="1"/>
  <c r="DM160" i="1" s="1"/>
  <c r="AY158" i="1"/>
  <c r="AZ158" i="1" s="1"/>
  <c r="CM147" i="1"/>
  <c r="CN147" i="1" s="1"/>
  <c r="AT147" i="1"/>
  <c r="AU147" i="1" s="1"/>
  <c r="DB146" i="1"/>
  <c r="DC146" i="1" s="1"/>
  <c r="CM146" i="1"/>
  <c r="CN146" i="1" s="1"/>
  <c r="BX146" i="1"/>
  <c r="BY146" i="1" s="1"/>
  <c r="BI146" i="1"/>
  <c r="BJ146" i="1" s="1"/>
  <c r="AT146" i="1"/>
  <c r="AU146" i="1" s="1"/>
  <c r="DB144" i="1"/>
  <c r="DC144" i="1" s="1"/>
  <c r="AO144" i="1"/>
  <c r="AP144" i="1" s="1"/>
  <c r="DL143" i="1"/>
  <c r="DM143" i="1" s="1"/>
  <c r="CR143" i="1"/>
  <c r="CS143" i="1" s="1"/>
  <c r="BS143" i="1"/>
  <c r="BT143" i="1" s="1"/>
  <c r="AY143" i="1"/>
  <c r="AZ143" i="1" s="1"/>
  <c r="BN155" i="1"/>
  <c r="BO155" i="1" s="1"/>
  <c r="CM154" i="1"/>
  <c r="CN154" i="1" s="1"/>
  <c r="DG152" i="1"/>
  <c r="DH152" i="1" s="1"/>
  <c r="AY152" i="1"/>
  <c r="AZ152" i="1" s="1"/>
  <c r="DG150" i="1"/>
  <c r="DH150" i="1" s="1"/>
  <c r="CM150" i="1"/>
  <c r="CN150" i="1" s="1"/>
  <c r="BN150" i="1"/>
  <c r="BO150" i="1" s="1"/>
  <c r="AJ150" i="1"/>
  <c r="AK150" i="1" s="1"/>
  <c r="BI149" i="1"/>
  <c r="BJ149" i="1" s="1"/>
  <c r="DG148" i="1"/>
  <c r="DH148" i="1" s="1"/>
  <c r="DG164" i="1"/>
  <c r="DH164" i="1" s="1"/>
  <c r="BI164" i="1"/>
  <c r="BJ164" i="1" s="1"/>
  <c r="CW163" i="1"/>
  <c r="CX163" i="1" s="1"/>
  <c r="BS163" i="1"/>
  <c r="BT163" i="1" s="1"/>
  <c r="CC162" i="1"/>
  <c r="CD162" i="1" s="1"/>
  <c r="BD162" i="1"/>
  <c r="BE162" i="1" s="1"/>
  <c r="CC160" i="1"/>
  <c r="CD160" i="1" s="1"/>
  <c r="DB159" i="1"/>
  <c r="DC159" i="1" s="1"/>
  <c r="CM159" i="1"/>
  <c r="CN159" i="1" s="1"/>
  <c r="BX159" i="1"/>
  <c r="BY159" i="1" s="1"/>
  <c r="AY159" i="1"/>
  <c r="AZ159" i="1" s="1"/>
  <c r="DL147" i="1"/>
  <c r="DM147" i="1" s="1"/>
  <c r="CW147" i="1"/>
  <c r="CX147" i="1" s="1"/>
  <c r="CH147" i="1"/>
  <c r="CI147" i="1" s="1"/>
  <c r="BS147" i="1"/>
  <c r="BT147" i="1" s="1"/>
  <c r="BD147" i="1"/>
  <c r="BE147" i="1" s="1"/>
  <c r="AO147" i="1"/>
  <c r="AP147" i="1" s="1"/>
  <c r="AO146" i="1"/>
  <c r="AP146" i="1" s="1"/>
  <c r="CW144" i="1"/>
  <c r="CX144" i="1" s="1"/>
  <c r="BX144" i="1"/>
  <c r="BY144" i="1" s="1"/>
  <c r="BD144" i="1"/>
  <c r="BE144" i="1" s="1"/>
  <c r="AE144" i="1"/>
  <c r="AF144" i="1" s="1"/>
  <c r="DB143" i="1"/>
  <c r="DC143" i="1" s="1"/>
  <c r="CM143" i="1"/>
  <c r="CN143" i="1" s="1"/>
  <c r="BX143" i="1"/>
  <c r="BY143" i="1" s="1"/>
  <c r="BI143" i="1"/>
  <c r="BJ143" i="1" s="1"/>
  <c r="AO143" i="1"/>
  <c r="AP143" i="1" s="1"/>
  <c r="DR157" i="1"/>
  <c r="DS157" i="1" s="1"/>
  <c r="DR156" i="1"/>
  <c r="DS156" i="1" s="1"/>
  <c r="DR155" i="1"/>
  <c r="DS155" i="1" s="1"/>
  <c r="CR155" i="1"/>
  <c r="CS155" i="1" s="1"/>
  <c r="AY155" i="1"/>
  <c r="AZ155" i="1" s="1"/>
  <c r="BN154" i="1"/>
  <c r="BO154" i="1" s="1"/>
  <c r="CC152" i="1"/>
  <c r="CD152" i="1" s="1"/>
  <c r="AJ152" i="1"/>
  <c r="AK152" i="1" s="1"/>
  <c r="DG151" i="1"/>
  <c r="DH151" i="1" s="1"/>
  <c r="BN148" i="1"/>
  <c r="BO148" i="1" s="1"/>
  <c r="CH167" i="1"/>
  <c r="CI167" i="1" s="1"/>
  <c r="BI167" i="1"/>
  <c r="BJ167" i="1" s="1"/>
  <c r="CW166" i="1"/>
  <c r="CX166" i="1" s="1"/>
  <c r="CC166" i="1"/>
  <c r="CD166" i="1" s="1"/>
  <c r="AY166" i="1"/>
  <c r="AZ166" i="1" s="1"/>
  <c r="AY165" i="1"/>
  <c r="AZ165" i="1" s="1"/>
  <c r="AE165" i="1"/>
  <c r="AF165" i="1" s="1"/>
  <c r="DB164" i="1"/>
  <c r="DC164" i="1" s="1"/>
  <c r="CM164" i="1"/>
  <c r="CN164" i="1" s="1"/>
  <c r="BX164" i="1"/>
  <c r="BY164" i="1" s="1"/>
  <c r="AT164" i="1"/>
  <c r="AU164" i="1" s="1"/>
  <c r="AJ162" i="1"/>
  <c r="AK162" i="1" s="1"/>
  <c r="DB161" i="1"/>
  <c r="DC161" i="1" s="1"/>
  <c r="CM161" i="1"/>
  <c r="CN161" i="1" s="1"/>
  <c r="BN161" i="1"/>
  <c r="BO161" i="1" s="1"/>
  <c r="AT161" i="1"/>
  <c r="AU161" i="1" s="1"/>
  <c r="DR160" i="1"/>
  <c r="DS160" i="1" s="1"/>
  <c r="DG160" i="1"/>
  <c r="DH160" i="1" s="1"/>
  <c r="BN160" i="1"/>
  <c r="BO160" i="1" s="1"/>
  <c r="BN159" i="1"/>
  <c r="BO159" i="1" s="1"/>
  <c r="AT158" i="1"/>
  <c r="AU158" i="1" s="1"/>
  <c r="DR147" i="1"/>
  <c r="DS147" i="1" s="1"/>
  <c r="DG147" i="1"/>
  <c r="DH147" i="1" s="1"/>
  <c r="CR147" i="1"/>
  <c r="CS147" i="1" s="1"/>
  <c r="CC147" i="1"/>
  <c r="CD147" i="1" s="1"/>
  <c r="BN147" i="1"/>
  <c r="BO147" i="1" s="1"/>
  <c r="AY147" i="1"/>
  <c r="AZ147" i="1" s="1"/>
  <c r="AJ147" i="1"/>
  <c r="AK147" i="1" s="1"/>
  <c r="DL144" i="1"/>
  <c r="DM144" i="1" s="1"/>
  <c r="CM144" i="1"/>
  <c r="CN144" i="1" s="1"/>
  <c r="BS144" i="1"/>
  <c r="BT144" i="1" s="1"/>
  <c r="AT144" i="1"/>
  <c r="AU144" i="1" s="1"/>
  <c r="CC155" i="1"/>
  <c r="CD155" i="1" s="1"/>
  <c r="AJ155" i="1"/>
  <c r="AK155" i="1" s="1"/>
  <c r="DG154" i="1"/>
  <c r="DH154" i="1" s="1"/>
  <c r="AT154" i="1"/>
  <c r="AU154" i="1" s="1"/>
  <c r="BN151" i="1"/>
  <c r="BO151" i="1" s="1"/>
  <c r="DL166" i="1"/>
  <c r="DM166" i="1" s="1"/>
  <c r="CR166" i="1"/>
  <c r="CS166" i="1" s="1"/>
  <c r="BS166" i="1"/>
  <c r="BT166" i="1" s="1"/>
  <c r="AJ166" i="1"/>
  <c r="AK166" i="1" s="1"/>
  <c r="DL164" i="1"/>
  <c r="DM164" i="1" s="1"/>
  <c r="CW164" i="1"/>
  <c r="CX164" i="1" s="1"/>
  <c r="CH164" i="1"/>
  <c r="CI164" i="1" s="1"/>
  <c r="BN164" i="1"/>
  <c r="BO164" i="1" s="1"/>
  <c r="AJ164" i="1"/>
  <c r="AK164" i="1" s="1"/>
  <c r="DL161" i="1"/>
  <c r="DM161" i="1" s="1"/>
  <c r="CW161" i="1"/>
  <c r="CX161" i="1" s="1"/>
  <c r="CC161" i="1"/>
  <c r="CD161" i="1" s="1"/>
  <c r="BI161" i="1"/>
  <c r="BJ161" i="1" s="1"/>
  <c r="AJ161" i="1"/>
  <c r="AK161" i="1" s="1"/>
  <c r="CW160" i="1"/>
  <c r="CX160" i="1" s="1"/>
  <c r="AJ160" i="1"/>
  <c r="AK160" i="1" s="1"/>
  <c r="AY148" i="1"/>
  <c r="AZ148" i="1" s="1"/>
  <c r="DR145" i="1"/>
  <c r="DS145" i="1" s="1"/>
  <c r="DG145" i="1"/>
  <c r="DH145" i="1" s="1"/>
  <c r="CR145" i="1"/>
  <c r="CS145" i="1" s="1"/>
  <c r="CC145" i="1"/>
  <c r="CD145" i="1" s="1"/>
  <c r="BN145" i="1"/>
  <c r="BO145" i="1" s="1"/>
  <c r="AY145" i="1"/>
  <c r="AZ145" i="1" s="1"/>
  <c r="AJ145" i="1"/>
  <c r="AK145" i="1" s="1"/>
  <c r="DR144" i="1"/>
  <c r="DS144" i="1" s="1"/>
  <c r="DG144" i="1"/>
  <c r="DH144" i="1" s="1"/>
  <c r="CR144" i="1"/>
  <c r="CS144" i="1" s="1"/>
  <c r="CC144" i="1"/>
  <c r="CD144" i="1" s="1"/>
  <c r="BN144" i="1"/>
  <c r="BO144" i="1" s="1"/>
  <c r="AY144" i="1"/>
  <c r="AZ144" i="1" s="1"/>
  <c r="AJ144" i="1"/>
  <c r="AK144" i="1" s="1"/>
  <c r="DR142" i="1"/>
  <c r="DS142" i="1" s="1"/>
  <c r="DG142" i="1"/>
  <c r="DH142" i="1" s="1"/>
  <c r="CH142" i="1"/>
  <c r="CI142" i="1" s="1"/>
  <c r="AY142" i="1"/>
  <c r="AZ142" i="1" s="1"/>
  <c r="DB155" i="1"/>
  <c r="DC155" i="1" s="1"/>
  <c r="CM155" i="1"/>
  <c r="CN155" i="1" s="1"/>
  <c r="BX155" i="1"/>
  <c r="BY155" i="1" s="1"/>
  <c r="BI155" i="1"/>
  <c r="BJ155" i="1" s="1"/>
  <c r="AT155" i="1"/>
  <c r="AU155" i="1" s="1"/>
  <c r="AE155" i="1"/>
  <c r="AF155" i="1" s="1"/>
  <c r="DR154" i="1"/>
  <c r="DS154" i="1" s="1"/>
  <c r="DB154" i="1"/>
  <c r="DC154" i="1" s="1"/>
  <c r="CC154" i="1"/>
  <c r="CD154" i="1" s="1"/>
  <c r="BI154" i="1"/>
  <c r="BJ154" i="1" s="1"/>
  <c r="AJ154" i="1"/>
  <c r="AK154" i="1" s="1"/>
  <c r="DB152" i="1"/>
  <c r="DC152" i="1" s="1"/>
  <c r="CM152" i="1"/>
  <c r="CN152" i="1" s="1"/>
  <c r="BX152" i="1"/>
  <c r="BY152" i="1" s="1"/>
  <c r="BI152" i="1"/>
  <c r="BJ152" i="1" s="1"/>
  <c r="AT152" i="1"/>
  <c r="AU152" i="1" s="1"/>
  <c r="AE152" i="1"/>
  <c r="AF152" i="1" s="1"/>
  <c r="DR151" i="1"/>
  <c r="DS151" i="1" s="1"/>
  <c r="CR151" i="1"/>
  <c r="CS151" i="1" s="1"/>
  <c r="AY151" i="1"/>
  <c r="AZ151" i="1" s="1"/>
  <c r="DG149" i="1"/>
  <c r="DH149" i="1" s="1"/>
  <c r="CC149" i="1"/>
  <c r="CD149" i="1" s="1"/>
  <c r="AT149" i="1"/>
  <c r="AU149" i="1" s="1"/>
  <c r="DL148" i="1"/>
  <c r="DM148" i="1" s="1"/>
  <c r="CC148" i="1"/>
  <c r="CD148" i="1" s="1"/>
  <c r="AJ148" i="1"/>
  <c r="AK148" i="1" s="1"/>
  <c r="CM167" i="1"/>
  <c r="CN167" i="1" s="1"/>
  <c r="BX167" i="1"/>
  <c r="BY167" i="1" s="1"/>
  <c r="AY167" i="1"/>
  <c r="AZ167" i="1" s="1"/>
  <c r="AO165" i="1"/>
  <c r="AP165" i="1" s="1"/>
  <c r="AY164" i="1"/>
  <c r="AZ164" i="1" s="1"/>
  <c r="AE164" i="1"/>
  <c r="AF164" i="1" s="1"/>
  <c r="CC163" i="1"/>
  <c r="CD163" i="1" s="1"/>
  <c r="AJ163" i="1"/>
  <c r="AK163" i="1" s="1"/>
  <c r="BX162" i="1"/>
  <c r="BY162" i="1" s="1"/>
  <c r="BI162" i="1"/>
  <c r="BJ162" i="1" s="1"/>
  <c r="AT162" i="1"/>
  <c r="AU162" i="1" s="1"/>
  <c r="AE162" i="1"/>
  <c r="AF162" i="1" s="1"/>
  <c r="AE161" i="1"/>
  <c r="AF161" i="1" s="1"/>
  <c r="AO158" i="1"/>
  <c r="AP158" i="1" s="1"/>
  <c r="CW142" i="1"/>
  <c r="CX142" i="1" s="1"/>
  <c r="BS142" i="1"/>
  <c r="BT142" i="1" s="1"/>
  <c r="AO142" i="1"/>
  <c r="AP142" i="1" s="1"/>
  <c r="DL155" i="1"/>
  <c r="DM155" i="1" s="1"/>
  <c r="CW155" i="1"/>
  <c r="CX155" i="1" s="1"/>
  <c r="CH155" i="1"/>
  <c r="CI155" i="1" s="1"/>
  <c r="BS155" i="1"/>
  <c r="BT155" i="1" s="1"/>
  <c r="BD155" i="1"/>
  <c r="BE155" i="1" s="1"/>
  <c r="AO155" i="1"/>
  <c r="AP155" i="1" s="1"/>
  <c r="CR154" i="1"/>
  <c r="CS154" i="1" s="1"/>
  <c r="BX154" i="1"/>
  <c r="BY154" i="1" s="1"/>
  <c r="AY154" i="1"/>
  <c r="AZ154" i="1" s="1"/>
  <c r="AE154" i="1"/>
  <c r="AF154" i="1" s="1"/>
  <c r="DL152" i="1"/>
  <c r="DM152" i="1" s="1"/>
  <c r="CW152" i="1"/>
  <c r="CX152" i="1" s="1"/>
  <c r="CH152" i="1"/>
  <c r="CI152" i="1" s="1"/>
  <c r="BS152" i="1"/>
  <c r="BT152" i="1" s="1"/>
  <c r="BD152" i="1"/>
  <c r="BE152" i="1" s="1"/>
  <c r="AO152" i="1"/>
  <c r="AP152" i="1" s="1"/>
  <c r="CC151" i="1"/>
  <c r="CD151" i="1" s="1"/>
  <c r="AJ151" i="1"/>
  <c r="AK151" i="1" s="1"/>
  <c r="BN149" i="1"/>
  <c r="BO149" i="1" s="1"/>
  <c r="AJ149" i="1"/>
  <c r="AK149" i="1" s="1"/>
  <c r="AT167" i="1"/>
  <c r="AU167" i="1" s="1"/>
  <c r="AO162" i="1"/>
  <c r="AP162" i="1" s="1"/>
  <c r="CR160" i="1"/>
  <c r="CS160" i="1" s="1"/>
  <c r="AY160" i="1"/>
  <c r="AZ160" i="1" s="1"/>
  <c r="AO159" i="1"/>
  <c r="AP159" i="1" s="1"/>
  <c r="AJ143" i="1"/>
  <c r="AK143" i="1" s="1"/>
  <c r="CC142" i="1"/>
  <c r="CD142" i="1" s="1"/>
  <c r="BD142" i="1"/>
  <c r="BE142" i="1" s="1"/>
  <c r="AJ142" i="1"/>
  <c r="AK142" i="1" s="1"/>
  <c r="DL156" i="1"/>
  <c r="DM156" i="1" s="1"/>
  <c r="DL150" i="1"/>
  <c r="DM150" i="1" s="1"/>
  <c r="CW150" i="1"/>
  <c r="CX150" i="1" s="1"/>
  <c r="CH150" i="1"/>
  <c r="CI150" i="1" s="1"/>
  <c r="BS150" i="1"/>
  <c r="BT150" i="1" s="1"/>
  <c r="BD150" i="1"/>
  <c r="BE150" i="1" s="1"/>
  <c r="AO150" i="1"/>
  <c r="AP150" i="1" s="1"/>
  <c r="CR149" i="1"/>
  <c r="CS149" i="1" s="1"/>
  <c r="BX149" i="1"/>
  <c r="BY149" i="1" s="1"/>
  <c r="AY149" i="1"/>
  <c r="AZ149" i="1" s="1"/>
  <c r="AE149" i="1"/>
  <c r="AF149" i="1" s="1"/>
  <c r="DB148" i="1"/>
  <c r="DC148" i="1" s="1"/>
  <c r="CM148" i="1"/>
  <c r="CN148" i="1" s="1"/>
  <c r="BX148" i="1"/>
  <c r="BY148" i="1" s="1"/>
  <c r="BI148" i="1"/>
  <c r="BJ148" i="1" s="1"/>
  <c r="AT148" i="1"/>
  <c r="AU148" i="1" s="1"/>
  <c r="AE148" i="1"/>
  <c r="AF148" i="1" s="1"/>
  <c r="AJ167" i="1"/>
  <c r="AK167" i="1" s="1"/>
  <c r="AY163" i="1"/>
  <c r="AZ163" i="1" s="1"/>
  <c r="DG156" i="1"/>
  <c r="DH156" i="1" s="1"/>
  <c r="CW148" i="1"/>
  <c r="CX148" i="1" s="1"/>
  <c r="CH148" i="1"/>
  <c r="CI148" i="1" s="1"/>
  <c r="BS148" i="1"/>
  <c r="BT148" i="1" s="1"/>
  <c r="BD148" i="1"/>
  <c r="BE148" i="1" s="1"/>
  <c r="AO148" i="1"/>
  <c r="AP148" i="1" s="1"/>
  <c r="AE167" i="1"/>
  <c r="AF167" i="1" s="1"/>
  <c r="BD159" i="1"/>
  <c r="BE159" i="1" s="1"/>
  <c r="AJ159" i="1"/>
  <c r="AK159" i="1" s="1"/>
  <c r="AJ158" i="1"/>
  <c r="AK158" i="1" s="1"/>
  <c r="AT150" i="1"/>
  <c r="AU150" i="1" s="1"/>
  <c r="AE150" i="1"/>
  <c r="AF150" i="1" s="1"/>
  <c r="AT143" i="1"/>
  <c r="AU143" i="1" s="1"/>
  <c r="AE143" i="1"/>
  <c r="AF143" i="1" s="1"/>
  <c r="DB142" i="1"/>
  <c r="DC142" i="1" s="1"/>
  <c r="CM142" i="1"/>
  <c r="CN142" i="1" s="1"/>
  <c r="BX142" i="1"/>
  <c r="BY142" i="1" s="1"/>
  <c r="BI142" i="1"/>
  <c r="BJ142" i="1" s="1"/>
  <c r="AT142" i="1"/>
  <c r="AU142" i="1" s="1"/>
  <c r="AE142" i="1"/>
  <c r="AF142" i="1" s="1"/>
  <c r="DD157" i="1"/>
  <c r="DL157" i="1"/>
  <c r="DM157" i="1" s="1"/>
  <c r="DR153" i="1"/>
  <c r="DS153" i="1" s="1"/>
  <c r="CT156" i="1"/>
  <c r="DB156" i="1"/>
  <c r="DC156" i="1" s="1"/>
  <c r="DD153" i="1"/>
  <c r="DL153" i="1"/>
  <c r="DM153" i="1" s="1"/>
  <c r="AE158" i="1"/>
  <c r="AF158" i="1" s="1"/>
  <c r="DL154" i="1"/>
  <c r="DM154" i="1" s="1"/>
  <c r="CW154" i="1"/>
  <c r="CX154" i="1" s="1"/>
  <c r="CH154" i="1"/>
  <c r="CI154" i="1" s="1"/>
  <c r="BS154" i="1"/>
  <c r="BT154" i="1" s="1"/>
  <c r="BD154" i="1"/>
  <c r="BE154" i="1" s="1"/>
  <c r="AO154" i="1"/>
  <c r="AP154" i="1" s="1"/>
  <c r="DB151" i="1"/>
  <c r="DC151" i="1" s="1"/>
  <c r="CM151" i="1"/>
  <c r="CN151" i="1" s="1"/>
  <c r="BX151" i="1"/>
  <c r="BY151" i="1" s="1"/>
  <c r="BI151" i="1"/>
  <c r="BJ151" i="1" s="1"/>
  <c r="AT151" i="1"/>
  <c r="AU151" i="1" s="1"/>
  <c r="AE151" i="1"/>
  <c r="AF151" i="1" s="1"/>
  <c r="DL149" i="1"/>
  <c r="DM149" i="1" s="1"/>
  <c r="CW149" i="1"/>
  <c r="CX149" i="1" s="1"/>
  <c r="CH149" i="1"/>
  <c r="CI149" i="1" s="1"/>
  <c r="BS149" i="1"/>
  <c r="BT149" i="1" s="1"/>
  <c r="BD149" i="1"/>
  <c r="BE149" i="1" s="1"/>
  <c r="AO149" i="1"/>
  <c r="AP149" i="1" s="1"/>
  <c r="BS167" i="1"/>
  <c r="BT167" i="1" s="1"/>
  <c r="BD167" i="1"/>
  <c r="BE167" i="1" s="1"/>
  <c r="AO167" i="1"/>
  <c r="AP167" i="1" s="1"/>
  <c r="DB166" i="1"/>
  <c r="DC166" i="1" s="1"/>
  <c r="CM166" i="1"/>
  <c r="CN166" i="1" s="1"/>
  <c r="BX166" i="1"/>
  <c r="BY166" i="1" s="1"/>
  <c r="BI166" i="1"/>
  <c r="BJ166" i="1" s="1"/>
  <c r="AT166" i="1"/>
  <c r="AU166" i="1" s="1"/>
  <c r="AE166" i="1"/>
  <c r="AF166" i="1" s="1"/>
  <c r="BS164" i="1"/>
  <c r="BT164" i="1" s="1"/>
  <c r="BD164" i="1"/>
  <c r="BE164" i="1" s="1"/>
  <c r="AO164" i="1"/>
  <c r="AP164" i="1" s="1"/>
  <c r="DB163" i="1"/>
  <c r="DC163" i="1" s="1"/>
  <c r="CM163" i="1"/>
  <c r="CN163" i="1" s="1"/>
  <c r="BX163" i="1"/>
  <c r="BY163" i="1" s="1"/>
  <c r="BI163" i="1"/>
  <c r="BJ163" i="1" s="1"/>
  <c r="AT163" i="1"/>
  <c r="AU163" i="1" s="1"/>
  <c r="AE163" i="1"/>
  <c r="AF163" i="1" s="1"/>
  <c r="CH161" i="1"/>
  <c r="CI161" i="1" s="1"/>
  <c r="BS161" i="1"/>
  <c r="BT161" i="1" s="1"/>
  <c r="BD161" i="1"/>
  <c r="BE161" i="1" s="1"/>
  <c r="AO161" i="1"/>
  <c r="AP161" i="1" s="1"/>
  <c r="DB160" i="1"/>
  <c r="DC160" i="1" s="1"/>
  <c r="CM160" i="1"/>
  <c r="CN160" i="1" s="1"/>
  <c r="BX160" i="1"/>
  <c r="BY160" i="1" s="1"/>
  <c r="BI160" i="1"/>
  <c r="BJ160" i="1" s="1"/>
  <c r="AT160" i="1"/>
  <c r="AU160" i="1" s="1"/>
  <c r="AE160" i="1"/>
  <c r="AF160" i="1" s="1"/>
  <c r="DL151" i="1"/>
  <c r="DM151" i="1" s="1"/>
  <c r="CW151" i="1"/>
  <c r="CX151" i="1" s="1"/>
  <c r="CH151" i="1"/>
  <c r="CI151" i="1" s="1"/>
  <c r="BS151" i="1"/>
  <c r="BT151" i="1" s="1"/>
  <c r="BD151" i="1"/>
  <c r="BE151" i="1" s="1"/>
  <c r="AO151" i="1"/>
  <c r="AP151" i="1" s="1"/>
  <c r="BD166" i="1"/>
  <c r="BE166" i="1" s="1"/>
  <c r="AO166" i="1"/>
  <c r="AP166" i="1" s="1"/>
  <c r="BD163" i="1"/>
  <c r="BE163" i="1" s="1"/>
  <c r="AO163" i="1"/>
  <c r="AP163" i="1" s="1"/>
  <c r="CH160" i="1"/>
  <c r="CI160" i="1" s="1"/>
  <c r="BS160" i="1"/>
  <c r="BT160" i="1" s="1"/>
  <c r="BD160" i="1"/>
  <c r="BE160" i="1" s="1"/>
  <c r="AO160" i="1"/>
  <c r="AP160" i="1" s="1"/>
  <c r="AT159" i="1"/>
  <c r="AU159" i="1" s="1"/>
  <c r="AE159" i="1"/>
  <c r="AF159" i="1" s="1"/>
  <c r="DV39" i="1"/>
  <c r="DV46" i="1"/>
  <c r="DD30" i="1"/>
  <c r="DL30" i="1"/>
  <c r="DM30" i="1" s="1"/>
  <c r="DD36" i="1"/>
  <c r="CY36" i="1" s="1"/>
  <c r="CT36" i="1" s="1"/>
  <c r="CO36" i="1" s="1"/>
  <c r="CJ36" i="1" s="1"/>
  <c r="CE36" i="1" s="1"/>
  <c r="CH36" i="1" s="1"/>
  <c r="CI36" i="1" s="1"/>
  <c r="DL36" i="1"/>
  <c r="DM36" i="1" s="1"/>
  <c r="DG77" i="1"/>
  <c r="DH77" i="1" s="1"/>
  <c r="CR77" i="1"/>
  <c r="CS77" i="1" s="1"/>
  <c r="DR68" i="1"/>
  <c r="DS68" i="1" s="1"/>
  <c r="DI68" i="1"/>
  <c r="DL61" i="1"/>
  <c r="DM61" i="1" s="1"/>
  <c r="DB61" i="1"/>
  <c r="DC61" i="1" s="1"/>
  <c r="CW61" i="1"/>
  <c r="CX61" i="1" s="1"/>
  <c r="CM61" i="1"/>
  <c r="CN61" i="1" s="1"/>
  <c r="DR61" i="1"/>
  <c r="DS61" i="1" s="1"/>
  <c r="DG61" i="1"/>
  <c r="DH61" i="1" s="1"/>
  <c r="CR61" i="1"/>
  <c r="CS61" i="1" s="1"/>
  <c r="CC61" i="1"/>
  <c r="CD61" i="1" s="1"/>
  <c r="BN61" i="1"/>
  <c r="BO61" i="1" s="1"/>
  <c r="AY61" i="1"/>
  <c r="AZ61" i="1" s="1"/>
  <c r="DL66" i="1"/>
  <c r="DM66" i="1" s="1"/>
  <c r="CW66" i="1"/>
  <c r="CX66" i="1" s="1"/>
  <c r="AJ61" i="1"/>
  <c r="AK61" i="1" s="1"/>
  <c r="BX61" i="1"/>
  <c r="BY61" i="1" s="1"/>
  <c r="BI61" i="1"/>
  <c r="BJ61" i="1" s="1"/>
  <c r="AT61" i="1"/>
  <c r="AU61" i="1" s="1"/>
  <c r="AE61" i="1"/>
  <c r="AF61" i="1" s="1"/>
  <c r="CH61" i="1"/>
  <c r="CI61" i="1" s="1"/>
  <c r="BS61" i="1"/>
  <c r="BT61" i="1" s="1"/>
  <c r="BD61" i="1"/>
  <c r="BE61" i="1" s="1"/>
  <c r="AO61" i="1"/>
  <c r="AP61" i="1" s="1"/>
  <c r="DI67" i="1"/>
  <c r="DR67" i="1"/>
  <c r="DS67" i="1" s="1"/>
  <c r="DB66" i="1"/>
  <c r="DC66" i="1" s="1"/>
  <c r="BD66" i="1"/>
  <c r="BE66" i="1" s="1"/>
  <c r="DR66" i="1"/>
  <c r="DS66" i="1" s="1"/>
  <c r="DG66" i="1"/>
  <c r="DH66" i="1" s="1"/>
  <c r="CH66" i="1"/>
  <c r="CI66" i="1" s="1"/>
  <c r="BS66" i="1"/>
  <c r="BT66" i="1" s="1"/>
  <c r="CM66" i="1"/>
  <c r="CN66" i="1" s="1"/>
  <c r="BX66" i="1"/>
  <c r="BY66" i="1" s="1"/>
  <c r="BI66" i="1"/>
  <c r="BJ66" i="1" s="1"/>
  <c r="AO66" i="1"/>
  <c r="AP66" i="1" s="1"/>
  <c r="CR66" i="1"/>
  <c r="CS66" i="1" s="1"/>
  <c r="CC66" i="1"/>
  <c r="CD66" i="1" s="1"/>
  <c r="BN66" i="1"/>
  <c r="BO66" i="1" s="1"/>
  <c r="AY66" i="1"/>
  <c r="AZ66" i="1" s="1"/>
  <c r="AJ66" i="1"/>
  <c r="AK66" i="1" s="1"/>
  <c r="AT66" i="1"/>
  <c r="AU66" i="1" s="1"/>
  <c r="AE66" i="1"/>
  <c r="AF66" i="1" s="1"/>
  <c r="DB77" i="1"/>
  <c r="DC77" i="1" s="1"/>
  <c r="CM77" i="1"/>
  <c r="CN77" i="1" s="1"/>
  <c r="DR77" i="1"/>
  <c r="DS77" i="1" s="1"/>
  <c r="CW77" i="1"/>
  <c r="CX77" i="1" s="1"/>
  <c r="DR36" i="1"/>
  <c r="DS36" i="1" s="1"/>
  <c r="DG132" i="1"/>
  <c r="DH132" i="1" s="1"/>
  <c r="CR113" i="1"/>
  <c r="CS113" i="1" s="1"/>
  <c r="DG111" i="1"/>
  <c r="DH111" i="1" s="1"/>
  <c r="CC136" i="1"/>
  <c r="CD136" i="1" s="1"/>
  <c r="DG138" i="1"/>
  <c r="DH138" i="1" s="1"/>
  <c r="BI132" i="1"/>
  <c r="BJ132" i="1" s="1"/>
  <c r="CC114" i="1"/>
  <c r="CD114" i="1" s="1"/>
  <c r="CR120" i="1"/>
  <c r="CS120" i="1" s="1"/>
  <c r="DG109" i="1"/>
  <c r="DH109" i="1" s="1"/>
  <c r="CC132" i="1"/>
  <c r="CD132" i="1" s="1"/>
  <c r="DG120" i="1"/>
  <c r="DH120" i="1" s="1"/>
  <c r="BI109" i="1"/>
  <c r="BJ109" i="1" s="1"/>
  <c r="CW103" i="1"/>
  <c r="CX103" i="1" s="1"/>
  <c r="DB135" i="1"/>
  <c r="DC135" i="1" s="1"/>
  <c r="BN134" i="1"/>
  <c r="BO134" i="1" s="1"/>
  <c r="CM132" i="1"/>
  <c r="CN132" i="1" s="1"/>
  <c r="AT132" i="1"/>
  <c r="AU132" i="1" s="1"/>
  <c r="BX131" i="1"/>
  <c r="BY131" i="1" s="1"/>
  <c r="BN120" i="1"/>
  <c r="BO120" i="1" s="1"/>
  <c r="DG100" i="1"/>
  <c r="DH100" i="1" s="1"/>
  <c r="CH103" i="1"/>
  <c r="CI103" i="1" s="1"/>
  <c r="CM122" i="1"/>
  <c r="CN122" i="1" s="1"/>
  <c r="CM109" i="1"/>
  <c r="CN109" i="1" s="1"/>
  <c r="AY100" i="1"/>
  <c r="AZ100" i="1" s="1"/>
  <c r="DL103" i="1"/>
  <c r="DM103" i="1" s="1"/>
  <c r="BN103" i="1"/>
  <c r="BO103" i="1" s="1"/>
  <c r="BN102" i="1"/>
  <c r="BO102" i="1" s="1"/>
  <c r="DG101" i="1"/>
  <c r="DH101" i="1" s="1"/>
  <c r="DG135" i="1"/>
  <c r="DH135" i="1" s="1"/>
  <c r="BN135" i="1"/>
  <c r="BO135" i="1" s="1"/>
  <c r="CM134" i="1"/>
  <c r="CN134" i="1" s="1"/>
  <c r="CM129" i="1"/>
  <c r="CN129" i="1" s="1"/>
  <c r="DB131" i="1"/>
  <c r="DC131" i="1" s="1"/>
  <c r="CR122" i="1"/>
  <c r="CS122" i="1" s="1"/>
  <c r="AY122" i="1"/>
  <c r="AZ122" i="1" s="1"/>
  <c r="DG119" i="1"/>
  <c r="DH119" i="1" s="1"/>
  <c r="BN111" i="1"/>
  <c r="BO111" i="1" s="1"/>
  <c r="DG113" i="1"/>
  <c r="DH113" i="1" s="1"/>
  <c r="AY113" i="1"/>
  <c r="AZ113" i="1" s="1"/>
  <c r="CR109" i="1"/>
  <c r="CS109" i="1" s="1"/>
  <c r="BN109" i="1"/>
  <c r="BO109" i="1" s="1"/>
  <c r="AJ109" i="1"/>
  <c r="AK109" i="1" s="1"/>
  <c r="CM100" i="1"/>
  <c r="CN100" i="1" s="1"/>
  <c r="DB103" i="1"/>
  <c r="DC103" i="1" s="1"/>
  <c r="CM103" i="1"/>
  <c r="CN103" i="1" s="1"/>
  <c r="BS103" i="1"/>
  <c r="BT103" i="1" s="1"/>
  <c r="AO103" i="1"/>
  <c r="AP103" i="1" s="1"/>
  <c r="DG102" i="1"/>
  <c r="DH102" i="1" s="1"/>
  <c r="BN101" i="1"/>
  <c r="BO101" i="1" s="1"/>
  <c r="CC135" i="1"/>
  <c r="CD135" i="1" s="1"/>
  <c r="DG122" i="1"/>
  <c r="DH122" i="1" s="1"/>
  <c r="BN122" i="1"/>
  <c r="BO122" i="1" s="1"/>
  <c r="CH111" i="1"/>
  <c r="CI111" i="1" s="1"/>
  <c r="BS113" i="1"/>
  <c r="BT113" i="1" s="1"/>
  <c r="DB109" i="1"/>
  <c r="DC109" i="1" s="1"/>
  <c r="CC109" i="1"/>
  <c r="CD109" i="1" s="1"/>
  <c r="AT109" i="1"/>
  <c r="AU109" i="1" s="1"/>
  <c r="DG103" i="1"/>
  <c r="DH103" i="1" s="1"/>
  <c r="CR103" i="1"/>
  <c r="CS103" i="1" s="1"/>
  <c r="CC103" i="1"/>
  <c r="CD103" i="1" s="1"/>
  <c r="AY103" i="1"/>
  <c r="AZ103" i="1" s="1"/>
  <c r="CC101" i="1"/>
  <c r="CD101" i="1" s="1"/>
  <c r="DG129" i="1"/>
  <c r="DH129" i="1" s="1"/>
  <c r="AT129" i="1"/>
  <c r="AU129" i="1" s="1"/>
  <c r="DG114" i="1"/>
  <c r="DH114" i="1" s="1"/>
  <c r="AJ114" i="1"/>
  <c r="AK114" i="1" s="1"/>
  <c r="BN116" i="1"/>
  <c r="BO116" i="1" s="1"/>
  <c r="BN119" i="1"/>
  <c r="BO119" i="1" s="1"/>
  <c r="CC118" i="1"/>
  <c r="CD118" i="1" s="1"/>
  <c r="DL111" i="1"/>
  <c r="DM111" i="1" s="1"/>
  <c r="CR111" i="1"/>
  <c r="CS111" i="1" s="1"/>
  <c r="BS111" i="1"/>
  <c r="BT111" i="1" s="1"/>
  <c r="AJ111" i="1"/>
  <c r="AK111" i="1" s="1"/>
  <c r="DL113" i="1"/>
  <c r="DM113" i="1" s="1"/>
  <c r="CW113" i="1"/>
  <c r="CX113" i="1" s="1"/>
  <c r="CC113" i="1"/>
  <c r="CD113" i="1" s="1"/>
  <c r="BD113" i="1"/>
  <c r="BE113" i="1" s="1"/>
  <c r="AJ113" i="1"/>
  <c r="AK113" i="1" s="1"/>
  <c r="CH108" i="1"/>
  <c r="CI108" i="1" s="1"/>
  <c r="CC137" i="1"/>
  <c r="CD137" i="1" s="1"/>
  <c r="BN138" i="1"/>
  <c r="BO138" i="1" s="1"/>
  <c r="CM135" i="1"/>
  <c r="CN135" i="1" s="1"/>
  <c r="AT135" i="1"/>
  <c r="AU135" i="1" s="1"/>
  <c r="DG134" i="1"/>
  <c r="DH134" i="1" s="1"/>
  <c r="AT134" i="1"/>
  <c r="AU134" i="1" s="1"/>
  <c r="DB132" i="1"/>
  <c r="DC132" i="1" s="1"/>
  <c r="BN132" i="1"/>
  <c r="BO132" i="1" s="1"/>
  <c r="AJ132" i="1"/>
  <c r="AK132" i="1" s="1"/>
  <c r="BN129" i="1"/>
  <c r="BO129" i="1" s="1"/>
  <c r="BX122" i="1"/>
  <c r="BY122" i="1" s="1"/>
  <c r="AT122" i="1"/>
  <c r="AU122" i="1" s="1"/>
  <c r="BN114" i="1"/>
  <c r="BO114" i="1" s="1"/>
  <c r="AY120" i="1"/>
  <c r="AZ120" i="1" s="1"/>
  <c r="CC116" i="1"/>
  <c r="CD116" i="1" s="1"/>
  <c r="CC119" i="1"/>
  <c r="CD119" i="1" s="1"/>
  <c r="DG118" i="1"/>
  <c r="DH118" i="1" s="1"/>
  <c r="CW111" i="1"/>
  <c r="CX111" i="1" s="1"/>
  <c r="CC111" i="1"/>
  <c r="CD111" i="1" s="1"/>
  <c r="BD111" i="1"/>
  <c r="BE111" i="1" s="1"/>
  <c r="DB113" i="1"/>
  <c r="DC113" i="1" s="1"/>
  <c r="CH113" i="1"/>
  <c r="CI113" i="1" s="1"/>
  <c r="BN113" i="1"/>
  <c r="BO113" i="1" s="1"/>
  <c r="AO113" i="1"/>
  <c r="AP113" i="1" s="1"/>
  <c r="CM110" i="1"/>
  <c r="CN110" i="1" s="1"/>
  <c r="BD103" i="1"/>
  <c r="BE103" i="1" s="1"/>
  <c r="AJ103" i="1"/>
  <c r="AK103" i="1" s="1"/>
  <c r="CR101" i="1"/>
  <c r="CS101" i="1" s="1"/>
  <c r="AJ101" i="1"/>
  <c r="AK101" i="1" s="1"/>
  <c r="BN137" i="1"/>
  <c r="BO137" i="1" s="1"/>
  <c r="BN136" i="1"/>
  <c r="BO136" i="1" s="1"/>
  <c r="DB134" i="1"/>
  <c r="DC134" i="1" s="1"/>
  <c r="CC134" i="1"/>
  <c r="CD134" i="1" s="1"/>
  <c r="BI134" i="1"/>
  <c r="BJ134" i="1" s="1"/>
  <c r="AJ134" i="1"/>
  <c r="AK134" i="1" s="1"/>
  <c r="CR132" i="1"/>
  <c r="CS132" i="1" s="1"/>
  <c r="BX132" i="1"/>
  <c r="BY132" i="1" s="1"/>
  <c r="AY132" i="1"/>
  <c r="AZ132" i="1" s="1"/>
  <c r="AE132" i="1"/>
  <c r="AF132" i="1" s="1"/>
  <c r="DB129" i="1"/>
  <c r="DC129" i="1" s="1"/>
  <c r="CC129" i="1"/>
  <c r="CD129" i="1" s="1"/>
  <c r="BI129" i="1"/>
  <c r="BJ129" i="1" s="1"/>
  <c r="AJ129" i="1"/>
  <c r="AK129" i="1" s="1"/>
  <c r="CR131" i="1"/>
  <c r="CS131" i="1" s="1"/>
  <c r="BI131" i="1"/>
  <c r="BJ131" i="1" s="1"/>
  <c r="DB122" i="1"/>
  <c r="DC122" i="1" s="1"/>
  <c r="CC122" i="1"/>
  <c r="CD122" i="1" s="1"/>
  <c r="BI122" i="1"/>
  <c r="BJ122" i="1" s="1"/>
  <c r="AJ122" i="1"/>
  <c r="AK122" i="1" s="1"/>
  <c r="AE122" i="1"/>
  <c r="AF122" i="1" s="1"/>
  <c r="CC120" i="1"/>
  <c r="CD120" i="1" s="1"/>
  <c r="AJ120" i="1"/>
  <c r="AK120" i="1" s="1"/>
  <c r="DG116" i="1"/>
  <c r="DH116" i="1" s="1"/>
  <c r="AJ116" i="1"/>
  <c r="AK116" i="1" s="1"/>
  <c r="DL125" i="1"/>
  <c r="DM125" i="1" s="1"/>
  <c r="AJ119" i="1"/>
  <c r="AK119" i="1" s="1"/>
  <c r="DG115" i="1"/>
  <c r="DH115" i="1" s="1"/>
  <c r="CW118" i="1"/>
  <c r="CX118" i="1" s="1"/>
  <c r="BN118" i="1"/>
  <c r="BO118" i="1" s="1"/>
  <c r="BN110" i="1"/>
  <c r="BO110" i="1" s="1"/>
  <c r="BX109" i="1"/>
  <c r="BY109" i="1" s="1"/>
  <c r="AY109" i="1"/>
  <c r="AZ109" i="1" s="1"/>
  <c r="AE109" i="1"/>
  <c r="AF109" i="1" s="1"/>
  <c r="DB100" i="1"/>
  <c r="DC100" i="1" s="1"/>
  <c r="BX100" i="1"/>
  <c r="BY100" i="1" s="1"/>
  <c r="AT100" i="1"/>
  <c r="AU100" i="1" s="1"/>
  <c r="DR86" i="1"/>
  <c r="DS86" i="1" s="1"/>
  <c r="DG137" i="1"/>
  <c r="DH137" i="1" s="1"/>
  <c r="AJ137" i="1"/>
  <c r="AK137" i="1" s="1"/>
  <c r="DG136" i="1"/>
  <c r="DH136" i="1" s="1"/>
  <c r="AJ136" i="1"/>
  <c r="AK136" i="1" s="1"/>
  <c r="CR134" i="1"/>
  <c r="CS134" i="1" s="1"/>
  <c r="BX134" i="1"/>
  <c r="BY134" i="1" s="1"/>
  <c r="AY134" i="1"/>
  <c r="AZ134" i="1" s="1"/>
  <c r="AE134" i="1"/>
  <c r="AF134" i="1" s="1"/>
  <c r="DL129" i="1"/>
  <c r="DM129" i="1" s="1"/>
  <c r="CR129" i="1"/>
  <c r="CS129" i="1" s="1"/>
  <c r="BX129" i="1"/>
  <c r="BY129" i="1" s="1"/>
  <c r="AY129" i="1"/>
  <c r="AZ129" i="1" s="1"/>
  <c r="AE129" i="1"/>
  <c r="AF129" i="1" s="1"/>
  <c r="DG131" i="1"/>
  <c r="DH131" i="1" s="1"/>
  <c r="CM131" i="1"/>
  <c r="CN131" i="1" s="1"/>
  <c r="AT131" i="1"/>
  <c r="AU131" i="1" s="1"/>
  <c r="BN115" i="1"/>
  <c r="BO115" i="1" s="1"/>
  <c r="DL118" i="1"/>
  <c r="DM118" i="1" s="1"/>
  <c r="CR118" i="1"/>
  <c r="CS118" i="1" s="1"/>
  <c r="AJ118" i="1"/>
  <c r="AK118" i="1" s="1"/>
  <c r="AY111" i="1"/>
  <c r="AZ111" i="1" s="1"/>
  <c r="DG110" i="1"/>
  <c r="DH110" i="1" s="1"/>
  <c r="AT110" i="1"/>
  <c r="AU110" i="1" s="1"/>
  <c r="DL100" i="1"/>
  <c r="DM100" i="1" s="1"/>
  <c r="CR100" i="1"/>
  <c r="CS100" i="1" s="1"/>
  <c r="BN100" i="1"/>
  <c r="BO100" i="1" s="1"/>
  <c r="AE100" i="1"/>
  <c r="AF100" i="1" s="1"/>
  <c r="DL108" i="1"/>
  <c r="DM108" i="1" s="1"/>
  <c r="AY101" i="1"/>
  <c r="AZ101" i="1" s="1"/>
  <c r="CR138" i="1"/>
  <c r="CS138" i="1" s="1"/>
  <c r="AY138" i="1"/>
  <c r="AZ138" i="1" s="1"/>
  <c r="BI135" i="1"/>
  <c r="BJ135" i="1" s="1"/>
  <c r="AJ135" i="1"/>
  <c r="AK135" i="1" s="1"/>
  <c r="AG131" i="1"/>
  <c r="AO131" i="1"/>
  <c r="AP131" i="1" s="1"/>
  <c r="DD127" i="1"/>
  <c r="DL127" i="1"/>
  <c r="DM127" i="1" s="1"/>
  <c r="CJ128" i="1"/>
  <c r="CE128" i="1" s="1"/>
  <c r="BZ128" i="1" s="1"/>
  <c r="CR128" i="1"/>
  <c r="CS128" i="1" s="1"/>
  <c r="CR137" i="1"/>
  <c r="CS137" i="1" s="1"/>
  <c r="AY137" i="1"/>
  <c r="AZ137" i="1" s="1"/>
  <c r="CR136" i="1"/>
  <c r="CS136" i="1" s="1"/>
  <c r="AY136" i="1"/>
  <c r="AZ136" i="1" s="1"/>
  <c r="CC138" i="1"/>
  <c r="CD138" i="1" s="1"/>
  <c r="AJ138" i="1"/>
  <c r="AK138" i="1" s="1"/>
  <c r="CR135" i="1"/>
  <c r="CS135" i="1" s="1"/>
  <c r="BX135" i="1"/>
  <c r="BY135" i="1" s="1"/>
  <c r="AY135" i="1"/>
  <c r="AZ135" i="1" s="1"/>
  <c r="AE135" i="1"/>
  <c r="AF135" i="1" s="1"/>
  <c r="CW129" i="1"/>
  <c r="CX129" i="1" s="1"/>
  <c r="CH129" i="1"/>
  <c r="CI129" i="1" s="1"/>
  <c r="BS129" i="1"/>
  <c r="BT129" i="1" s="1"/>
  <c r="BD129" i="1"/>
  <c r="BE129" i="1" s="1"/>
  <c r="AO129" i="1"/>
  <c r="AP129" i="1" s="1"/>
  <c r="DL131" i="1"/>
  <c r="DM131" i="1" s="1"/>
  <c r="CW131" i="1"/>
  <c r="CX131" i="1" s="1"/>
  <c r="CH131" i="1"/>
  <c r="CI131" i="1" s="1"/>
  <c r="BS131" i="1"/>
  <c r="BT131" i="1" s="1"/>
  <c r="BD131" i="1"/>
  <c r="BE131" i="1" s="1"/>
  <c r="DG128" i="1"/>
  <c r="DH128" i="1" s="1"/>
  <c r="CY125" i="1"/>
  <c r="CT125" i="1" s="1"/>
  <c r="DG125" i="1"/>
  <c r="DH125" i="1" s="1"/>
  <c r="DD124" i="1"/>
  <c r="DL124" i="1"/>
  <c r="DM124" i="1" s="1"/>
  <c r="DD112" i="1"/>
  <c r="DL112" i="1"/>
  <c r="DM112" i="1" s="1"/>
  <c r="CC131" i="1"/>
  <c r="CD131" i="1" s="1"/>
  <c r="BN131" i="1"/>
  <c r="BO131" i="1" s="1"/>
  <c r="AY131" i="1"/>
  <c r="AZ131" i="1" s="1"/>
  <c r="DD130" i="1"/>
  <c r="DL130" i="1"/>
  <c r="DM130" i="1" s="1"/>
  <c r="DD133" i="1"/>
  <c r="CY133" i="1" s="1"/>
  <c r="DL133" i="1"/>
  <c r="DM133" i="1" s="1"/>
  <c r="DL122" i="1"/>
  <c r="DM122" i="1" s="1"/>
  <c r="CW122" i="1"/>
  <c r="CX122" i="1" s="1"/>
  <c r="CH122" i="1"/>
  <c r="CI122" i="1" s="1"/>
  <c r="BS122" i="1"/>
  <c r="BT122" i="1" s="1"/>
  <c r="BD122" i="1"/>
  <c r="BE122" i="1" s="1"/>
  <c r="AO122" i="1"/>
  <c r="AP122" i="1" s="1"/>
  <c r="CR114" i="1"/>
  <c r="CS114" i="1" s="1"/>
  <c r="AY114" i="1"/>
  <c r="AZ114" i="1" s="1"/>
  <c r="CR116" i="1"/>
  <c r="CS116" i="1" s="1"/>
  <c r="AY116" i="1"/>
  <c r="AZ116" i="1" s="1"/>
  <c r="CR119" i="1"/>
  <c r="CS119" i="1" s="1"/>
  <c r="AY119" i="1"/>
  <c r="AZ119" i="1" s="1"/>
  <c r="CC115" i="1"/>
  <c r="CD115" i="1" s="1"/>
  <c r="AJ115" i="1"/>
  <c r="AK115" i="1" s="1"/>
  <c r="AY118" i="1"/>
  <c r="AZ118" i="1" s="1"/>
  <c r="CR110" i="1"/>
  <c r="CS110" i="1" s="1"/>
  <c r="BX110" i="1"/>
  <c r="BY110" i="1" s="1"/>
  <c r="AY110" i="1"/>
  <c r="AZ110" i="1" s="1"/>
  <c r="AE110" i="1"/>
  <c r="AF110" i="1" s="1"/>
  <c r="CW100" i="1"/>
  <c r="CX100" i="1" s="1"/>
  <c r="CC100" i="1"/>
  <c r="CD100" i="1" s="1"/>
  <c r="BI100" i="1"/>
  <c r="BJ100" i="1" s="1"/>
  <c r="AJ100" i="1"/>
  <c r="AK100" i="1" s="1"/>
  <c r="BX103" i="1"/>
  <c r="BY103" i="1" s="1"/>
  <c r="BI103" i="1"/>
  <c r="BJ103" i="1" s="1"/>
  <c r="AT103" i="1"/>
  <c r="AU103" i="1" s="1"/>
  <c r="AE103" i="1"/>
  <c r="AF103" i="1" s="1"/>
  <c r="CW108" i="1"/>
  <c r="CX108" i="1" s="1"/>
  <c r="CC102" i="1"/>
  <c r="CD102" i="1" s="1"/>
  <c r="AJ102" i="1"/>
  <c r="AK102" i="1" s="1"/>
  <c r="CR115" i="1"/>
  <c r="CS115" i="1" s="1"/>
  <c r="AY115" i="1"/>
  <c r="AZ115" i="1" s="1"/>
  <c r="DB110" i="1"/>
  <c r="DC110" i="1" s="1"/>
  <c r="CC110" i="1"/>
  <c r="CD110" i="1" s="1"/>
  <c r="BI110" i="1"/>
  <c r="BJ110" i="1" s="1"/>
  <c r="AJ110" i="1"/>
  <c r="AK110" i="1" s="1"/>
  <c r="CR102" i="1"/>
  <c r="CS102" i="1" s="1"/>
  <c r="AY102" i="1"/>
  <c r="AZ102" i="1" s="1"/>
  <c r="DD117" i="1"/>
  <c r="DL117" i="1"/>
  <c r="DM117" i="1" s="1"/>
  <c r="DD121" i="1"/>
  <c r="DL121" i="1"/>
  <c r="DM121" i="1" s="1"/>
  <c r="DB137" i="1"/>
  <c r="DC137" i="1" s="1"/>
  <c r="CM137" i="1"/>
  <c r="CN137" i="1" s="1"/>
  <c r="BX137" i="1"/>
  <c r="BY137" i="1" s="1"/>
  <c r="BI137" i="1"/>
  <c r="BJ137" i="1" s="1"/>
  <c r="AT137" i="1"/>
  <c r="AU137" i="1" s="1"/>
  <c r="AE137" i="1"/>
  <c r="AF137" i="1" s="1"/>
  <c r="DB136" i="1"/>
  <c r="DC136" i="1" s="1"/>
  <c r="CM136" i="1"/>
  <c r="CN136" i="1" s="1"/>
  <c r="BX136" i="1"/>
  <c r="BY136" i="1" s="1"/>
  <c r="BI136" i="1"/>
  <c r="BJ136" i="1" s="1"/>
  <c r="AT136" i="1"/>
  <c r="AU136" i="1" s="1"/>
  <c r="AE136" i="1"/>
  <c r="AF136" i="1" s="1"/>
  <c r="DB138" i="1"/>
  <c r="DC138" i="1" s="1"/>
  <c r="CM138" i="1"/>
  <c r="CN138" i="1" s="1"/>
  <c r="BX138" i="1"/>
  <c r="BY138" i="1" s="1"/>
  <c r="BI138" i="1"/>
  <c r="BJ138" i="1" s="1"/>
  <c r="AT138" i="1"/>
  <c r="AU138" i="1" s="1"/>
  <c r="AE138" i="1"/>
  <c r="AF138" i="1" s="1"/>
  <c r="DL135" i="1"/>
  <c r="DM135" i="1" s="1"/>
  <c r="CW135" i="1"/>
  <c r="CX135" i="1" s="1"/>
  <c r="CH135" i="1"/>
  <c r="CI135" i="1" s="1"/>
  <c r="BS135" i="1"/>
  <c r="BT135" i="1" s="1"/>
  <c r="BD135" i="1"/>
  <c r="BE135" i="1" s="1"/>
  <c r="AO135" i="1"/>
  <c r="AP135" i="1" s="1"/>
  <c r="DL134" i="1"/>
  <c r="DM134" i="1" s="1"/>
  <c r="CW134" i="1"/>
  <c r="CX134" i="1" s="1"/>
  <c r="CH134" i="1"/>
  <c r="CI134" i="1" s="1"/>
  <c r="BS134" i="1"/>
  <c r="BT134" i="1" s="1"/>
  <c r="BD134" i="1"/>
  <c r="BE134" i="1" s="1"/>
  <c r="AO134" i="1"/>
  <c r="AP134" i="1" s="1"/>
  <c r="DL132" i="1"/>
  <c r="DM132" i="1" s="1"/>
  <c r="CW132" i="1"/>
  <c r="CX132" i="1" s="1"/>
  <c r="CH132" i="1"/>
  <c r="CI132" i="1" s="1"/>
  <c r="BS132" i="1"/>
  <c r="BT132" i="1" s="1"/>
  <c r="BD132" i="1"/>
  <c r="BE132" i="1" s="1"/>
  <c r="AO132" i="1"/>
  <c r="AP132" i="1" s="1"/>
  <c r="DD123" i="1"/>
  <c r="DL123" i="1"/>
  <c r="DM123" i="1" s="1"/>
  <c r="DL137" i="1"/>
  <c r="DM137" i="1" s="1"/>
  <c r="CW137" i="1"/>
  <c r="CX137" i="1" s="1"/>
  <c r="CH137" i="1"/>
  <c r="CI137" i="1" s="1"/>
  <c r="BS137" i="1"/>
  <c r="BT137" i="1" s="1"/>
  <c r="BD137" i="1"/>
  <c r="BE137" i="1" s="1"/>
  <c r="AO137" i="1"/>
  <c r="AP137" i="1" s="1"/>
  <c r="DL136" i="1"/>
  <c r="DM136" i="1" s="1"/>
  <c r="CW136" i="1"/>
  <c r="CX136" i="1" s="1"/>
  <c r="CH136" i="1"/>
  <c r="CI136" i="1" s="1"/>
  <c r="BS136" i="1"/>
  <c r="BT136" i="1" s="1"/>
  <c r="BD136" i="1"/>
  <c r="BE136" i="1" s="1"/>
  <c r="AO136" i="1"/>
  <c r="AP136" i="1" s="1"/>
  <c r="DL138" i="1"/>
  <c r="DM138" i="1" s="1"/>
  <c r="CW138" i="1"/>
  <c r="CX138" i="1" s="1"/>
  <c r="CH138" i="1"/>
  <c r="CI138" i="1" s="1"/>
  <c r="BS138" i="1"/>
  <c r="BT138" i="1" s="1"/>
  <c r="BD138" i="1"/>
  <c r="BE138" i="1" s="1"/>
  <c r="AO138" i="1"/>
  <c r="AP138" i="1" s="1"/>
  <c r="DD126" i="1"/>
  <c r="DL126" i="1"/>
  <c r="DM126" i="1" s="1"/>
  <c r="DL114" i="1"/>
  <c r="DM114" i="1" s="1"/>
  <c r="CW114" i="1"/>
  <c r="CX114" i="1" s="1"/>
  <c r="CH114" i="1"/>
  <c r="CI114" i="1" s="1"/>
  <c r="BS114" i="1"/>
  <c r="BT114" i="1" s="1"/>
  <c r="BD114" i="1"/>
  <c r="BE114" i="1" s="1"/>
  <c r="AO114" i="1"/>
  <c r="AP114" i="1" s="1"/>
  <c r="DL128" i="1"/>
  <c r="DM128" i="1" s="1"/>
  <c r="CW128" i="1"/>
  <c r="CX128" i="1" s="1"/>
  <c r="DL120" i="1"/>
  <c r="DM120" i="1" s="1"/>
  <c r="CW120" i="1"/>
  <c r="CX120" i="1" s="1"/>
  <c r="CH120" i="1"/>
  <c r="CI120" i="1" s="1"/>
  <c r="BS120" i="1"/>
  <c r="BT120" i="1" s="1"/>
  <c r="BD120" i="1"/>
  <c r="BE120" i="1" s="1"/>
  <c r="AO120" i="1"/>
  <c r="AP120" i="1" s="1"/>
  <c r="DL116" i="1"/>
  <c r="DM116" i="1" s="1"/>
  <c r="CW116" i="1"/>
  <c r="CX116" i="1" s="1"/>
  <c r="CH116" i="1"/>
  <c r="CI116" i="1" s="1"/>
  <c r="BS116" i="1"/>
  <c r="BT116" i="1" s="1"/>
  <c r="BD116" i="1"/>
  <c r="BE116" i="1" s="1"/>
  <c r="AO116" i="1"/>
  <c r="AP116" i="1" s="1"/>
  <c r="DL110" i="1"/>
  <c r="DM110" i="1" s="1"/>
  <c r="CW110" i="1"/>
  <c r="CX110" i="1" s="1"/>
  <c r="CH110" i="1"/>
  <c r="CI110" i="1" s="1"/>
  <c r="BS110" i="1"/>
  <c r="BT110" i="1" s="1"/>
  <c r="BD110" i="1"/>
  <c r="BE110" i="1" s="1"/>
  <c r="AO110" i="1"/>
  <c r="AP110" i="1" s="1"/>
  <c r="DL109" i="1"/>
  <c r="DM109" i="1" s="1"/>
  <c r="CW109" i="1"/>
  <c r="CX109" i="1" s="1"/>
  <c r="CH109" i="1"/>
  <c r="CI109" i="1" s="1"/>
  <c r="BS109" i="1"/>
  <c r="BT109" i="1" s="1"/>
  <c r="BD109" i="1"/>
  <c r="BE109" i="1" s="1"/>
  <c r="AO109" i="1"/>
  <c r="AP109" i="1" s="1"/>
  <c r="CH100" i="1"/>
  <c r="CI100" i="1" s="1"/>
  <c r="BS100" i="1"/>
  <c r="BT100" i="1" s="1"/>
  <c r="BD100" i="1"/>
  <c r="BE100" i="1" s="1"/>
  <c r="AO100" i="1"/>
  <c r="AP100" i="1" s="1"/>
  <c r="DG108" i="1"/>
  <c r="DH108" i="1" s="1"/>
  <c r="CR108" i="1"/>
  <c r="CS108" i="1" s="1"/>
  <c r="CC108" i="1"/>
  <c r="CD108" i="1" s="1"/>
  <c r="DD99" i="1"/>
  <c r="DL99" i="1"/>
  <c r="DM99" i="1" s="1"/>
  <c r="DD107" i="1"/>
  <c r="DL107" i="1"/>
  <c r="DM107" i="1" s="1"/>
  <c r="DB119" i="1"/>
  <c r="DC119" i="1" s="1"/>
  <c r="CM119" i="1"/>
  <c r="CN119" i="1" s="1"/>
  <c r="BX119" i="1"/>
  <c r="BY119" i="1" s="1"/>
  <c r="BI119" i="1"/>
  <c r="BJ119" i="1" s="1"/>
  <c r="AT119" i="1"/>
  <c r="AU119" i="1" s="1"/>
  <c r="AE119" i="1"/>
  <c r="AF119" i="1" s="1"/>
  <c r="DB115" i="1"/>
  <c r="DC115" i="1" s="1"/>
  <c r="CM115" i="1"/>
  <c r="CN115" i="1" s="1"/>
  <c r="BX115" i="1"/>
  <c r="BY115" i="1" s="1"/>
  <c r="BI115" i="1"/>
  <c r="BJ115" i="1" s="1"/>
  <c r="AT115" i="1"/>
  <c r="AU115" i="1" s="1"/>
  <c r="AE115" i="1"/>
  <c r="AF115" i="1" s="1"/>
  <c r="DB118" i="1"/>
  <c r="DC118" i="1" s="1"/>
  <c r="CM118" i="1"/>
  <c r="CN118" i="1" s="1"/>
  <c r="BX118" i="1"/>
  <c r="BY118" i="1" s="1"/>
  <c r="BI118" i="1"/>
  <c r="BJ118" i="1" s="1"/>
  <c r="AT118" i="1"/>
  <c r="AU118" i="1" s="1"/>
  <c r="AE118" i="1"/>
  <c r="AF118" i="1" s="1"/>
  <c r="DB111" i="1"/>
  <c r="DC111" i="1" s="1"/>
  <c r="CM111" i="1"/>
  <c r="CN111" i="1" s="1"/>
  <c r="BX111" i="1"/>
  <c r="BY111" i="1" s="1"/>
  <c r="BI111" i="1"/>
  <c r="BJ111" i="1" s="1"/>
  <c r="AT111" i="1"/>
  <c r="AU111" i="1" s="1"/>
  <c r="AE111" i="1"/>
  <c r="AF111" i="1" s="1"/>
  <c r="CM113" i="1"/>
  <c r="CN113" i="1" s="1"/>
  <c r="BX113" i="1"/>
  <c r="BY113" i="1" s="1"/>
  <c r="BI113" i="1"/>
  <c r="BJ113" i="1" s="1"/>
  <c r="AT113" i="1"/>
  <c r="AU113" i="1" s="1"/>
  <c r="AE113" i="1"/>
  <c r="AF113" i="1" s="1"/>
  <c r="DB108" i="1"/>
  <c r="DC108" i="1" s="1"/>
  <c r="CM108" i="1"/>
  <c r="CN108" i="1" s="1"/>
  <c r="BX108" i="1"/>
  <c r="BY108" i="1" s="1"/>
  <c r="DD104" i="1"/>
  <c r="DL104" i="1"/>
  <c r="DM104" i="1" s="1"/>
  <c r="DB114" i="1"/>
  <c r="DC114" i="1" s="1"/>
  <c r="CM114" i="1"/>
  <c r="CN114" i="1" s="1"/>
  <c r="BX114" i="1"/>
  <c r="BY114" i="1" s="1"/>
  <c r="BI114" i="1"/>
  <c r="BJ114" i="1" s="1"/>
  <c r="AT114" i="1"/>
  <c r="AU114" i="1" s="1"/>
  <c r="AE114" i="1"/>
  <c r="AF114" i="1" s="1"/>
  <c r="DB128" i="1"/>
  <c r="DC128" i="1" s="1"/>
  <c r="DB120" i="1"/>
  <c r="DC120" i="1" s="1"/>
  <c r="CM120" i="1"/>
  <c r="CN120" i="1" s="1"/>
  <c r="BX120" i="1"/>
  <c r="BY120" i="1" s="1"/>
  <c r="BI120" i="1"/>
  <c r="BJ120" i="1" s="1"/>
  <c r="AT120" i="1"/>
  <c r="AU120" i="1" s="1"/>
  <c r="AE120" i="1"/>
  <c r="AF120" i="1" s="1"/>
  <c r="DB116" i="1"/>
  <c r="DC116" i="1" s="1"/>
  <c r="CM116" i="1"/>
  <c r="CN116" i="1" s="1"/>
  <c r="BX116" i="1"/>
  <c r="BY116" i="1" s="1"/>
  <c r="BI116" i="1"/>
  <c r="BJ116" i="1" s="1"/>
  <c r="AT116" i="1"/>
  <c r="AU116" i="1" s="1"/>
  <c r="AE116" i="1"/>
  <c r="AF116" i="1" s="1"/>
  <c r="DL119" i="1"/>
  <c r="DM119" i="1" s="1"/>
  <c r="CW119" i="1"/>
  <c r="CX119" i="1" s="1"/>
  <c r="CH119" i="1"/>
  <c r="CI119" i="1" s="1"/>
  <c r="BS119" i="1"/>
  <c r="BT119" i="1" s="1"/>
  <c r="BD119" i="1"/>
  <c r="BE119" i="1" s="1"/>
  <c r="AO119" i="1"/>
  <c r="AP119" i="1" s="1"/>
  <c r="DL115" i="1"/>
  <c r="DM115" i="1" s="1"/>
  <c r="CW115" i="1"/>
  <c r="CX115" i="1" s="1"/>
  <c r="CH115" i="1"/>
  <c r="CI115" i="1" s="1"/>
  <c r="BS115" i="1"/>
  <c r="BT115" i="1" s="1"/>
  <c r="BD115" i="1"/>
  <c r="BE115" i="1" s="1"/>
  <c r="AO115" i="1"/>
  <c r="AP115" i="1" s="1"/>
  <c r="CH118" i="1"/>
  <c r="CI118" i="1" s="1"/>
  <c r="BS118" i="1"/>
  <c r="BT118" i="1" s="1"/>
  <c r="BD118" i="1"/>
  <c r="BE118" i="1" s="1"/>
  <c r="AO118" i="1"/>
  <c r="AP118" i="1" s="1"/>
  <c r="AO111" i="1"/>
  <c r="AP111" i="1" s="1"/>
  <c r="BK108" i="1"/>
  <c r="BS108" i="1"/>
  <c r="BT108" i="1" s="1"/>
  <c r="DD105" i="1"/>
  <c r="DL105" i="1"/>
  <c r="DM105" i="1" s="1"/>
  <c r="DD106" i="1"/>
  <c r="DL106" i="1"/>
  <c r="DM106" i="1" s="1"/>
  <c r="DB102" i="1"/>
  <c r="DC102" i="1" s="1"/>
  <c r="CM102" i="1"/>
  <c r="CN102" i="1" s="1"/>
  <c r="BX102" i="1"/>
  <c r="BY102" i="1" s="1"/>
  <c r="BI102" i="1"/>
  <c r="BJ102" i="1" s="1"/>
  <c r="AT102" i="1"/>
  <c r="AU102" i="1" s="1"/>
  <c r="AE102" i="1"/>
  <c r="AF102" i="1" s="1"/>
  <c r="DB101" i="1"/>
  <c r="DC101" i="1" s="1"/>
  <c r="CM101" i="1"/>
  <c r="CN101" i="1" s="1"/>
  <c r="BX101" i="1"/>
  <c r="BY101" i="1" s="1"/>
  <c r="BI101" i="1"/>
  <c r="BJ101" i="1" s="1"/>
  <c r="AT101" i="1"/>
  <c r="AU101" i="1" s="1"/>
  <c r="AE101" i="1"/>
  <c r="AF101" i="1" s="1"/>
  <c r="DL102" i="1"/>
  <c r="DM102" i="1" s="1"/>
  <c r="CW102" i="1"/>
  <c r="CX102" i="1" s="1"/>
  <c r="CH102" i="1"/>
  <c r="CI102" i="1" s="1"/>
  <c r="BS102" i="1"/>
  <c r="BT102" i="1" s="1"/>
  <c r="BD102" i="1"/>
  <c r="BE102" i="1" s="1"/>
  <c r="AO102" i="1"/>
  <c r="AP102" i="1" s="1"/>
  <c r="DL101" i="1"/>
  <c r="DM101" i="1" s="1"/>
  <c r="CW101" i="1"/>
  <c r="CX101" i="1" s="1"/>
  <c r="CH101" i="1"/>
  <c r="CI101" i="1" s="1"/>
  <c r="BS101" i="1"/>
  <c r="BT101" i="1" s="1"/>
  <c r="BD101" i="1"/>
  <c r="BE101" i="1" s="1"/>
  <c r="AO101" i="1"/>
  <c r="AP101" i="1" s="1"/>
  <c r="DR84" i="1"/>
  <c r="DS84" i="1" s="1"/>
  <c r="DI63" i="1"/>
  <c r="DR63" i="1"/>
  <c r="DS63" i="1" s="1"/>
  <c r="DI64" i="1"/>
  <c r="DR64" i="1"/>
  <c r="DS64" i="1" s="1"/>
  <c r="DI62" i="1"/>
  <c r="DR62" i="1"/>
  <c r="DS62" i="1" s="1"/>
  <c r="DI60" i="1"/>
  <c r="DR60" i="1"/>
  <c r="DS60" i="1" s="1"/>
  <c r="DI59" i="1"/>
  <c r="DR59" i="1"/>
  <c r="DS59" i="1" s="1"/>
  <c r="DR35" i="1"/>
  <c r="DS35" i="1" s="1"/>
  <c r="DI35" i="1"/>
  <c r="CY86" i="1"/>
  <c r="DG86" i="1"/>
  <c r="DH86" i="1" s="1"/>
  <c r="DI10" i="1"/>
  <c r="DD10" i="1" s="1"/>
  <c r="CW87" i="1"/>
  <c r="CX87" i="1" s="1"/>
  <c r="CW84" i="1"/>
  <c r="CX84" i="1" s="1"/>
  <c r="CW82" i="1"/>
  <c r="CX82" i="1" s="1"/>
  <c r="CW81" i="1"/>
  <c r="CX81" i="1" s="1"/>
  <c r="CW80" i="1"/>
  <c r="CX80" i="1" s="1"/>
  <c r="CW79" i="1"/>
  <c r="CX79" i="1" s="1"/>
  <c r="CW65" i="1"/>
  <c r="CX65" i="1" s="1"/>
  <c r="CW57" i="1"/>
  <c r="CX57" i="1" s="1"/>
  <c r="CW56" i="1"/>
  <c r="CX56" i="1" s="1"/>
  <c r="CW54" i="1"/>
  <c r="CX54" i="1" s="1"/>
  <c r="CW52" i="1"/>
  <c r="CX52" i="1" s="1"/>
  <c r="CW51" i="1"/>
  <c r="CX51" i="1" s="1"/>
  <c r="CW53" i="1"/>
  <c r="CX53" i="1" s="1"/>
  <c r="CW50" i="1"/>
  <c r="CX50" i="1" s="1"/>
  <c r="CW46" i="1"/>
  <c r="CX46" i="1" s="1"/>
  <c r="CW49" i="1"/>
  <c r="CX49" i="1" s="1"/>
  <c r="CW48" i="1"/>
  <c r="CX48" i="1" s="1"/>
  <c r="CW47" i="1"/>
  <c r="CX47" i="1" s="1"/>
  <c r="CW34" i="1"/>
  <c r="CX34" i="1" s="1"/>
  <c r="CW41" i="1"/>
  <c r="CX41" i="1" s="1"/>
  <c r="CW43" i="1"/>
  <c r="CX43" i="1" s="1"/>
  <c r="CW39" i="1"/>
  <c r="CX39" i="1" s="1"/>
  <c r="CW40" i="1"/>
  <c r="CX40" i="1" s="1"/>
  <c r="CW42" i="1"/>
  <c r="CX42" i="1" s="1"/>
  <c r="CW31" i="1"/>
  <c r="CX31" i="1" s="1"/>
  <c r="CW28" i="1"/>
  <c r="CX28" i="1" s="1"/>
  <c r="CW29" i="1"/>
  <c r="CX29" i="1" s="1"/>
  <c r="CW25" i="1"/>
  <c r="CX25" i="1" s="1"/>
  <c r="CW21" i="1"/>
  <c r="CX21" i="1" s="1"/>
  <c r="CW24" i="1"/>
  <c r="CX24" i="1" s="1"/>
  <c r="CW20" i="1"/>
  <c r="CX20" i="1" s="1"/>
  <c r="CW17" i="1"/>
  <c r="CX17" i="1" s="1"/>
  <c r="CW19" i="1"/>
  <c r="CX19" i="1" s="1"/>
  <c r="CW18" i="1"/>
  <c r="CX18" i="1" s="1"/>
  <c r="DG87" i="1"/>
  <c r="DH87" i="1" s="1"/>
  <c r="CR87" i="1"/>
  <c r="CS87" i="1" s="1"/>
  <c r="DG84" i="1"/>
  <c r="DH84" i="1" s="1"/>
  <c r="CR84" i="1"/>
  <c r="CS84" i="1" s="1"/>
  <c r="DG82" i="1"/>
  <c r="DH82" i="1" s="1"/>
  <c r="CR82" i="1"/>
  <c r="CS82" i="1" s="1"/>
  <c r="DG81" i="1"/>
  <c r="DH81" i="1" s="1"/>
  <c r="CR81" i="1"/>
  <c r="CS81" i="1" s="1"/>
  <c r="DG80" i="1"/>
  <c r="DH80" i="1" s="1"/>
  <c r="CR80" i="1"/>
  <c r="CS80" i="1" s="1"/>
  <c r="DG79" i="1"/>
  <c r="DH79" i="1" s="1"/>
  <c r="CR79" i="1"/>
  <c r="CS79" i="1" s="1"/>
  <c r="DG65" i="1"/>
  <c r="DH65" i="1" s="1"/>
  <c r="CR65" i="1"/>
  <c r="CS65" i="1" s="1"/>
  <c r="DG57" i="1"/>
  <c r="DH57" i="1" s="1"/>
  <c r="CR57" i="1"/>
  <c r="CS57" i="1" s="1"/>
  <c r="DG56" i="1"/>
  <c r="DH56" i="1" s="1"/>
  <c r="CR56" i="1"/>
  <c r="CS56" i="1" s="1"/>
  <c r="DG54" i="1"/>
  <c r="DH54" i="1" s="1"/>
  <c r="CR54" i="1"/>
  <c r="CS54" i="1" s="1"/>
  <c r="DG52" i="1"/>
  <c r="DH52" i="1" s="1"/>
  <c r="CR52" i="1"/>
  <c r="CS52" i="1" s="1"/>
  <c r="DG51" i="1"/>
  <c r="DH51" i="1" s="1"/>
  <c r="CR51" i="1"/>
  <c r="CS51" i="1" s="1"/>
  <c r="DG53" i="1"/>
  <c r="DH53" i="1" s="1"/>
  <c r="CR53" i="1"/>
  <c r="CS53" i="1" s="1"/>
  <c r="DG50" i="1"/>
  <c r="DH50" i="1" s="1"/>
  <c r="CR50" i="1"/>
  <c r="CS50" i="1" s="1"/>
  <c r="DG46" i="1"/>
  <c r="DH46" i="1" s="1"/>
  <c r="CR46" i="1"/>
  <c r="CS46" i="1" s="1"/>
  <c r="DG49" i="1"/>
  <c r="DH49" i="1" s="1"/>
  <c r="CR49" i="1"/>
  <c r="CS49" i="1" s="1"/>
  <c r="DG48" i="1"/>
  <c r="DH48" i="1" s="1"/>
  <c r="CR48" i="1"/>
  <c r="CS48" i="1" s="1"/>
  <c r="DG47" i="1"/>
  <c r="DH47" i="1" s="1"/>
  <c r="CR47" i="1"/>
  <c r="CS47" i="1" s="1"/>
  <c r="DG34" i="1"/>
  <c r="DH34" i="1" s="1"/>
  <c r="CR34" i="1"/>
  <c r="CS34" i="1" s="1"/>
  <c r="DG41" i="1"/>
  <c r="DH41" i="1" s="1"/>
  <c r="CR41" i="1"/>
  <c r="CS41" i="1" s="1"/>
  <c r="DG43" i="1"/>
  <c r="DH43" i="1" s="1"/>
  <c r="CR43" i="1"/>
  <c r="CS43" i="1" s="1"/>
  <c r="DG39" i="1"/>
  <c r="DH39" i="1" s="1"/>
  <c r="CR39" i="1"/>
  <c r="CS39" i="1" s="1"/>
  <c r="DG40" i="1"/>
  <c r="DH40" i="1" s="1"/>
  <c r="CR40" i="1"/>
  <c r="CS40" i="1" s="1"/>
  <c r="DG42" i="1"/>
  <c r="DH42" i="1" s="1"/>
  <c r="CR42" i="1"/>
  <c r="CS42" i="1" s="1"/>
  <c r="DG31" i="1"/>
  <c r="DH31" i="1" s="1"/>
  <c r="CR31" i="1"/>
  <c r="CS31" i="1" s="1"/>
  <c r="DG28" i="1"/>
  <c r="DH28" i="1" s="1"/>
  <c r="CR28" i="1"/>
  <c r="CS28" i="1" s="1"/>
  <c r="DG29" i="1"/>
  <c r="DH29" i="1" s="1"/>
  <c r="CR29" i="1"/>
  <c r="CS29" i="1" s="1"/>
  <c r="DG25" i="1"/>
  <c r="DH25" i="1" s="1"/>
  <c r="CR25" i="1"/>
  <c r="CS25" i="1" s="1"/>
  <c r="DG21" i="1"/>
  <c r="DH21" i="1" s="1"/>
  <c r="CR21" i="1"/>
  <c r="CS21" i="1" s="1"/>
  <c r="DG24" i="1"/>
  <c r="DH24" i="1" s="1"/>
  <c r="CR24" i="1"/>
  <c r="CS24" i="1" s="1"/>
  <c r="DG20" i="1"/>
  <c r="DH20" i="1" s="1"/>
  <c r="CR20" i="1"/>
  <c r="CS20" i="1" s="1"/>
  <c r="DG17" i="1"/>
  <c r="DH17" i="1" s="1"/>
  <c r="CR17" i="1"/>
  <c r="CS17" i="1" s="1"/>
  <c r="DG19" i="1"/>
  <c r="DH19" i="1" s="1"/>
  <c r="CR19" i="1"/>
  <c r="CS19" i="1" s="1"/>
  <c r="DG18" i="1"/>
  <c r="DH18" i="1" s="1"/>
  <c r="CR18" i="1"/>
  <c r="CS18" i="1" s="1"/>
  <c r="DB87" i="1"/>
  <c r="DC87" i="1" s="1"/>
  <c r="CM87" i="1"/>
  <c r="CN87" i="1" s="1"/>
  <c r="DB84" i="1"/>
  <c r="DC84" i="1" s="1"/>
  <c r="CM84" i="1"/>
  <c r="CN84" i="1" s="1"/>
  <c r="DB82" i="1"/>
  <c r="DC82" i="1" s="1"/>
  <c r="CM82" i="1"/>
  <c r="CN82" i="1" s="1"/>
  <c r="DB81" i="1"/>
  <c r="DC81" i="1" s="1"/>
  <c r="CM81" i="1"/>
  <c r="CN81" i="1" s="1"/>
  <c r="DB80" i="1"/>
  <c r="DC80" i="1" s="1"/>
  <c r="CM80" i="1"/>
  <c r="CN80" i="1" s="1"/>
  <c r="DB79" i="1"/>
  <c r="DC79" i="1" s="1"/>
  <c r="CM79" i="1"/>
  <c r="CN79" i="1" s="1"/>
  <c r="DB65" i="1"/>
  <c r="DC65" i="1" s="1"/>
  <c r="CM65" i="1"/>
  <c r="CN65" i="1" s="1"/>
  <c r="DB57" i="1"/>
  <c r="DC57" i="1" s="1"/>
  <c r="CM57" i="1"/>
  <c r="CN57" i="1" s="1"/>
  <c r="DB56" i="1"/>
  <c r="DC56" i="1" s="1"/>
  <c r="CM56" i="1"/>
  <c r="CN56" i="1" s="1"/>
  <c r="DB54" i="1"/>
  <c r="DC54" i="1" s="1"/>
  <c r="CM54" i="1"/>
  <c r="CN54" i="1" s="1"/>
  <c r="DB52" i="1"/>
  <c r="DC52" i="1" s="1"/>
  <c r="CM52" i="1"/>
  <c r="CN52" i="1" s="1"/>
  <c r="DB51" i="1"/>
  <c r="DC51" i="1" s="1"/>
  <c r="CM51" i="1"/>
  <c r="CN51" i="1" s="1"/>
  <c r="DB53" i="1"/>
  <c r="DC53" i="1" s="1"/>
  <c r="CM53" i="1"/>
  <c r="CN53" i="1" s="1"/>
  <c r="DB50" i="1"/>
  <c r="DC50" i="1" s="1"/>
  <c r="CM50" i="1"/>
  <c r="CN50" i="1" s="1"/>
  <c r="DB46" i="1"/>
  <c r="DC46" i="1" s="1"/>
  <c r="CM46" i="1"/>
  <c r="CN46" i="1" s="1"/>
  <c r="DB49" i="1"/>
  <c r="DC49" i="1" s="1"/>
  <c r="CM49" i="1"/>
  <c r="CN49" i="1" s="1"/>
  <c r="DB48" i="1"/>
  <c r="DC48" i="1" s="1"/>
  <c r="CM48" i="1"/>
  <c r="CN48" i="1" s="1"/>
  <c r="DB47" i="1"/>
  <c r="DC47" i="1" s="1"/>
  <c r="CM47" i="1"/>
  <c r="CN47" i="1" s="1"/>
  <c r="DB34" i="1"/>
  <c r="DC34" i="1" s="1"/>
  <c r="CM34" i="1"/>
  <c r="CN34" i="1" s="1"/>
  <c r="DB41" i="1"/>
  <c r="DC41" i="1" s="1"/>
  <c r="CM41" i="1"/>
  <c r="CN41" i="1" s="1"/>
  <c r="DB43" i="1"/>
  <c r="DC43" i="1" s="1"/>
  <c r="CM43" i="1"/>
  <c r="CN43" i="1" s="1"/>
  <c r="DB39" i="1"/>
  <c r="DC39" i="1" s="1"/>
  <c r="CM39" i="1"/>
  <c r="CN39" i="1" s="1"/>
  <c r="DB40" i="1"/>
  <c r="DC40" i="1" s="1"/>
  <c r="CM40" i="1"/>
  <c r="CN40" i="1" s="1"/>
  <c r="DB42" i="1"/>
  <c r="DC42" i="1" s="1"/>
  <c r="CM42" i="1"/>
  <c r="CN42" i="1" s="1"/>
  <c r="DB31" i="1"/>
  <c r="DC31" i="1" s="1"/>
  <c r="CM31" i="1"/>
  <c r="CN31" i="1" s="1"/>
  <c r="DB28" i="1"/>
  <c r="DC28" i="1" s="1"/>
  <c r="CM28" i="1"/>
  <c r="CN28" i="1" s="1"/>
  <c r="DB29" i="1"/>
  <c r="DC29" i="1" s="1"/>
  <c r="CM29" i="1"/>
  <c r="CN29" i="1" s="1"/>
  <c r="DB25" i="1"/>
  <c r="DC25" i="1" s="1"/>
  <c r="CM25" i="1"/>
  <c r="CN25" i="1" s="1"/>
  <c r="DB21" i="1"/>
  <c r="DC21" i="1" s="1"/>
  <c r="CM21" i="1"/>
  <c r="CN21" i="1" s="1"/>
  <c r="DB24" i="1"/>
  <c r="DC24" i="1" s="1"/>
  <c r="CM24" i="1"/>
  <c r="CN24" i="1" s="1"/>
  <c r="DB20" i="1"/>
  <c r="DC20" i="1" s="1"/>
  <c r="CM20" i="1"/>
  <c r="CN20" i="1" s="1"/>
  <c r="DB17" i="1"/>
  <c r="DC17" i="1" s="1"/>
  <c r="CM17" i="1"/>
  <c r="CN17" i="1" s="1"/>
  <c r="DB19" i="1"/>
  <c r="DC19" i="1" s="1"/>
  <c r="CM19" i="1"/>
  <c r="CN19" i="1" s="1"/>
  <c r="DB18" i="1"/>
  <c r="DC18" i="1" s="1"/>
  <c r="CM18" i="1"/>
  <c r="CN18" i="1" s="1"/>
  <c r="BU83" i="1"/>
  <c r="BP83" i="1" s="1"/>
  <c r="BK83" i="1" s="1"/>
  <c r="CC83" i="1"/>
  <c r="CD83" i="1" s="1"/>
  <c r="DR34" i="1"/>
  <c r="DS34" i="1" s="1"/>
  <c r="DR57" i="1"/>
  <c r="DS57" i="1" s="1"/>
  <c r="DR56" i="1"/>
  <c r="DS56" i="1" s="1"/>
  <c r="DR65" i="1"/>
  <c r="DS65" i="1" s="1"/>
  <c r="DR87" i="1"/>
  <c r="DS87" i="1" s="1"/>
  <c r="DR52" i="1"/>
  <c r="DS52" i="1" s="1"/>
  <c r="DR51" i="1"/>
  <c r="DS51" i="1" s="1"/>
  <c r="DR50" i="1"/>
  <c r="DS50" i="1" s="1"/>
  <c r="DR46" i="1"/>
  <c r="DS46" i="1" s="1"/>
  <c r="DR49" i="1"/>
  <c r="DS49" i="1" s="1"/>
  <c r="DR48" i="1"/>
  <c r="DS48" i="1" s="1"/>
  <c r="DR47" i="1"/>
  <c r="DS47" i="1" s="1"/>
  <c r="DR41" i="1"/>
  <c r="DS41" i="1" s="1"/>
  <c r="DR43" i="1"/>
  <c r="DS43" i="1" s="1"/>
  <c r="DR39" i="1"/>
  <c r="DS39" i="1" s="1"/>
  <c r="DR40" i="1"/>
  <c r="DS40" i="1" s="1"/>
  <c r="DR42" i="1"/>
  <c r="DS42" i="1" s="1"/>
  <c r="DR53" i="1"/>
  <c r="DS53" i="1" s="1"/>
  <c r="DR54" i="1"/>
  <c r="DS54" i="1" s="1"/>
  <c r="DR29" i="1"/>
  <c r="DS29" i="1" s="1"/>
  <c r="DK26" i="2"/>
  <c r="DL26" i="2" s="1"/>
  <c r="DA26" i="2"/>
  <c r="DB26" i="2" s="1"/>
  <c r="DL37" i="1"/>
  <c r="DM37" i="1" s="1"/>
  <c r="CV26" i="2"/>
  <c r="CW26" i="2" s="1"/>
  <c r="DF26" i="2"/>
  <c r="DG26" i="2" s="1"/>
  <c r="CQ26" i="2"/>
  <c r="CR26" i="2" s="1"/>
  <c r="DL86" i="1"/>
  <c r="DM86" i="1" s="1"/>
  <c r="DL83" i="1"/>
  <c r="DL84" i="1"/>
  <c r="DR82" i="1"/>
  <c r="DS82" i="1" s="1"/>
  <c r="CL26" i="2"/>
  <c r="CM26" i="2" s="1"/>
  <c r="CB26" i="2"/>
  <c r="CC26" i="2" s="1"/>
  <c r="BM26" i="2"/>
  <c r="BN26" i="2" s="1"/>
  <c r="AX26" i="2"/>
  <c r="AY26" i="2" s="1"/>
  <c r="DK27" i="2"/>
  <c r="DL27" i="2" s="1"/>
  <c r="CV27" i="2"/>
  <c r="CW27" i="2" s="1"/>
  <c r="DF61" i="2"/>
  <c r="DG61" i="2" s="1"/>
  <c r="DA60" i="2"/>
  <c r="DB60" i="2" s="1"/>
  <c r="DF58" i="2"/>
  <c r="DG58" i="2" s="1"/>
  <c r="DK58" i="2"/>
  <c r="CG27" i="2"/>
  <c r="CH27" i="2" s="1"/>
  <c r="CQ61" i="2"/>
  <c r="CR61" i="2" s="1"/>
  <c r="DK60" i="2"/>
  <c r="DR81" i="1"/>
  <c r="DS81" i="1" s="1"/>
  <c r="DF59" i="2"/>
  <c r="DG59" i="2" s="1"/>
  <c r="DF27" i="2"/>
  <c r="DG27" i="2" s="1"/>
  <c r="CQ27" i="2"/>
  <c r="CR27" i="2" s="1"/>
  <c r="CB27" i="2"/>
  <c r="CC27" i="2" s="1"/>
  <c r="BW26" i="2"/>
  <c r="BX26" i="2" s="1"/>
  <c r="BH26" i="2"/>
  <c r="BI26" i="2" s="1"/>
  <c r="AS26" i="2"/>
  <c r="AT26" i="2" s="1"/>
  <c r="CV59" i="2"/>
  <c r="CW59" i="2" s="1"/>
  <c r="DA27" i="2"/>
  <c r="DB27" i="2" s="1"/>
  <c r="CL27" i="2"/>
  <c r="CM27" i="2" s="1"/>
  <c r="BW27" i="2"/>
  <c r="BX27" i="2" s="1"/>
  <c r="CG26" i="2"/>
  <c r="CH26" i="2" s="1"/>
  <c r="BR26" i="2"/>
  <c r="BS26" i="2" s="1"/>
  <c r="BC26" i="2"/>
  <c r="BD26" i="2" s="1"/>
  <c r="AN26" i="2"/>
  <c r="AO26" i="2" s="1"/>
  <c r="CL61" i="2"/>
  <c r="CM61" i="2" s="1"/>
  <c r="DA61" i="2"/>
  <c r="DB61" i="2" s="1"/>
  <c r="BW61" i="2"/>
  <c r="BX61" i="2" s="1"/>
  <c r="BM59" i="2"/>
  <c r="BN59" i="2" s="1"/>
  <c r="DK61" i="2"/>
  <c r="CV61" i="2"/>
  <c r="CW61" i="2" s="1"/>
  <c r="CB61" i="2"/>
  <c r="CC61" i="2" s="1"/>
  <c r="CV60" i="2"/>
  <c r="CW60" i="2" s="1"/>
  <c r="DK59" i="2"/>
  <c r="CL59" i="2"/>
  <c r="CM59" i="2" s="1"/>
  <c r="CV58" i="2"/>
  <c r="CW58" i="2" s="1"/>
  <c r="AI26" i="2"/>
  <c r="AJ26" i="2" s="1"/>
  <c r="DF60" i="2"/>
  <c r="DG60" i="2" s="1"/>
  <c r="CQ60" i="2"/>
  <c r="CR60" i="2" s="1"/>
  <c r="DA59" i="2"/>
  <c r="DB59" i="2" s="1"/>
  <c r="CG59" i="2"/>
  <c r="CH59" i="2" s="1"/>
  <c r="DA58" i="2"/>
  <c r="DB58" i="2" s="1"/>
  <c r="CG58" i="2"/>
  <c r="CH58" i="2" s="1"/>
  <c r="BR27" i="2"/>
  <c r="BS27" i="2" s="1"/>
  <c r="CL60" i="2"/>
  <c r="CM60" i="2" s="1"/>
  <c r="CL58" i="2"/>
  <c r="CM58" i="2" s="1"/>
  <c r="CQ58" i="2"/>
  <c r="CR58" i="2" s="1"/>
  <c r="CB58" i="2"/>
  <c r="CC58" i="2" s="1"/>
  <c r="AX27" i="2"/>
  <c r="AY27" i="2" s="1"/>
  <c r="CG61" i="2"/>
  <c r="CH61" i="2" s="1"/>
  <c r="BR61" i="2"/>
  <c r="BS61" i="2" s="1"/>
  <c r="CB60" i="2"/>
  <c r="CC60" i="2" s="1"/>
  <c r="BM58" i="2"/>
  <c r="BN58" i="2" s="1"/>
  <c r="BM60" i="2"/>
  <c r="BN60" i="2" s="1"/>
  <c r="BM27" i="2"/>
  <c r="BN27" i="2" s="1"/>
  <c r="BH58" i="2"/>
  <c r="BI58" i="2" s="1"/>
  <c r="BM61" i="2"/>
  <c r="BN61" i="2" s="1"/>
  <c r="CQ59" i="2"/>
  <c r="CR59" i="2" s="1"/>
  <c r="CB59" i="2"/>
  <c r="CC59" i="2" s="1"/>
  <c r="BW58" i="2"/>
  <c r="BX58" i="2" s="1"/>
  <c r="AX58" i="2"/>
  <c r="AY58" i="2" s="1"/>
  <c r="AX61" i="2"/>
  <c r="AY61" i="2" s="1"/>
  <c r="AI60" i="2"/>
  <c r="AJ60" i="2" s="1"/>
  <c r="AX59" i="2"/>
  <c r="AY59" i="2" s="1"/>
  <c r="AD26" i="2"/>
  <c r="AE26" i="2" s="1"/>
  <c r="AI61" i="2"/>
  <c r="AJ61" i="2" s="1"/>
  <c r="CG60" i="2"/>
  <c r="CH60" i="2" s="1"/>
  <c r="AX60" i="2"/>
  <c r="AY60" i="2" s="1"/>
  <c r="BW59" i="2"/>
  <c r="BX59" i="2" s="1"/>
  <c r="AI59" i="2"/>
  <c r="AJ59" i="2" s="1"/>
  <c r="AI58" i="2"/>
  <c r="AJ58" i="2" s="1"/>
  <c r="AI27" i="2"/>
  <c r="AJ27" i="2" s="1"/>
  <c r="BC61" i="2"/>
  <c r="BD61" i="2" s="1"/>
  <c r="AN61" i="2"/>
  <c r="AO61" i="2" s="1"/>
  <c r="BR60" i="2"/>
  <c r="BS60" i="2" s="1"/>
  <c r="BC60" i="2"/>
  <c r="BD60" i="2" s="1"/>
  <c r="AN60" i="2"/>
  <c r="AO60" i="2" s="1"/>
  <c r="BR59" i="2"/>
  <c r="BS59" i="2" s="1"/>
  <c r="BC59" i="2"/>
  <c r="BD59" i="2" s="1"/>
  <c r="AN59" i="2"/>
  <c r="AO59" i="2" s="1"/>
  <c r="BR58" i="2"/>
  <c r="BS58" i="2" s="1"/>
  <c r="BC58" i="2"/>
  <c r="BD58" i="2" s="1"/>
  <c r="AN58" i="2"/>
  <c r="AO58" i="2" s="1"/>
  <c r="BC27" i="2"/>
  <c r="BD27" i="2" s="1"/>
  <c r="AN27" i="2"/>
  <c r="AO27" i="2" s="1"/>
  <c r="BH61" i="2"/>
  <c r="BI61" i="2" s="1"/>
  <c r="AS61" i="2"/>
  <c r="AT61" i="2" s="1"/>
  <c r="AD61" i="2"/>
  <c r="AE61" i="2" s="1"/>
  <c r="BW60" i="2"/>
  <c r="BX60" i="2" s="1"/>
  <c r="BH60" i="2"/>
  <c r="BI60" i="2" s="1"/>
  <c r="AS60" i="2"/>
  <c r="AT60" i="2" s="1"/>
  <c r="AD60" i="2"/>
  <c r="AE60" i="2" s="1"/>
  <c r="BH59" i="2"/>
  <c r="BI59" i="2" s="1"/>
  <c r="AS59" i="2"/>
  <c r="AT59" i="2" s="1"/>
  <c r="AD59" i="2"/>
  <c r="AE59" i="2" s="1"/>
  <c r="AS58" i="2"/>
  <c r="AT58" i="2" s="1"/>
  <c r="AD58" i="2"/>
  <c r="AE58" i="2" s="1"/>
  <c r="BH27" i="2"/>
  <c r="BI27" i="2" s="1"/>
  <c r="AS27" i="2"/>
  <c r="AT27" i="2" s="1"/>
  <c r="AD27" i="2"/>
  <c r="AE27" i="2" s="1"/>
  <c r="DQ56" i="2"/>
  <c r="DR56" i="2" s="1"/>
  <c r="DH56" i="2"/>
  <c r="DQ55" i="2"/>
  <c r="DR55" i="2" s="1"/>
  <c r="DH55" i="2"/>
  <c r="DQ54" i="2"/>
  <c r="DR54" i="2" s="1"/>
  <c r="DH54" i="2"/>
  <c r="DQ53" i="2"/>
  <c r="DR53" i="2" s="1"/>
  <c r="DH53" i="2"/>
  <c r="DQ52" i="2"/>
  <c r="DR52" i="2" s="1"/>
  <c r="DH52" i="2"/>
  <c r="DQ49" i="2"/>
  <c r="DR49" i="2" s="1"/>
  <c r="DH49" i="2"/>
  <c r="DQ48" i="2"/>
  <c r="DR48" i="2" s="1"/>
  <c r="DH48" i="2"/>
  <c r="DQ47" i="2"/>
  <c r="DR47" i="2" s="1"/>
  <c r="DH47" i="2"/>
  <c r="DQ36" i="2"/>
  <c r="DR36" i="2" s="1"/>
  <c r="DH36" i="2"/>
  <c r="DQ35" i="2"/>
  <c r="DR35" i="2" s="1"/>
  <c r="DH35" i="2"/>
  <c r="DQ34" i="2"/>
  <c r="DR34" i="2" s="1"/>
  <c r="DH34" i="2"/>
  <c r="DQ33" i="2"/>
  <c r="DR33" i="2" s="1"/>
  <c r="DH33" i="2"/>
  <c r="DQ32" i="2"/>
  <c r="DR32" i="2" s="1"/>
  <c r="DH32" i="2"/>
  <c r="DQ31" i="2"/>
  <c r="DR31" i="2" s="1"/>
  <c r="DH31" i="2"/>
  <c r="DQ30" i="2"/>
  <c r="DR30" i="2" s="1"/>
  <c r="DH30" i="2"/>
  <c r="DQ29" i="2"/>
  <c r="DR29" i="2" s="1"/>
  <c r="DH29" i="2"/>
  <c r="DQ28" i="2"/>
  <c r="DR28" i="2" s="1"/>
  <c r="DH28" i="2"/>
  <c r="DQ25" i="2"/>
  <c r="DR25" i="2" s="1"/>
  <c r="DH25" i="2"/>
  <c r="DQ24" i="2"/>
  <c r="DR24" i="2" s="1"/>
  <c r="DH24" i="2"/>
  <c r="DQ23" i="2"/>
  <c r="DR23" i="2" s="1"/>
  <c r="DH23" i="2"/>
  <c r="DQ22" i="2"/>
  <c r="DR22" i="2" s="1"/>
  <c r="DH22" i="2"/>
  <c r="DQ21" i="2"/>
  <c r="DR21" i="2" s="1"/>
  <c r="DH21" i="2"/>
  <c r="DQ20" i="2"/>
  <c r="DR20" i="2" s="1"/>
  <c r="DH20" i="2"/>
  <c r="DQ19" i="2"/>
  <c r="DR19" i="2" s="1"/>
  <c r="DH19" i="2"/>
  <c r="DQ18" i="2"/>
  <c r="DR18" i="2" s="1"/>
  <c r="DH18" i="2"/>
  <c r="DQ17" i="2"/>
  <c r="DR17" i="2" s="1"/>
  <c r="DH17" i="2"/>
  <c r="DQ16" i="2"/>
  <c r="DR16" i="2" s="1"/>
  <c r="DH16" i="2"/>
  <c r="DQ15" i="2"/>
  <c r="DR15" i="2" s="1"/>
  <c r="DH15" i="2"/>
  <c r="DQ14" i="2"/>
  <c r="DR14" i="2" s="1"/>
  <c r="DH14" i="2"/>
  <c r="DQ13" i="2"/>
  <c r="DR13" i="2" s="1"/>
  <c r="DH13" i="2"/>
  <c r="DQ12" i="2"/>
  <c r="DR12" i="2" s="1"/>
  <c r="DH12" i="2"/>
  <c r="DQ11" i="2"/>
  <c r="DR11" i="2" s="1"/>
  <c r="DH11" i="2"/>
  <c r="DQ10" i="2"/>
  <c r="DR10" i="2" s="1"/>
  <c r="DH10" i="2"/>
  <c r="DQ9" i="2"/>
  <c r="DR9" i="2" s="1"/>
  <c r="DH9" i="2"/>
  <c r="DQ8" i="2"/>
  <c r="DR8" i="2" s="1"/>
  <c r="DH8" i="2"/>
  <c r="DL28" i="1"/>
  <c r="DM28" i="1" s="1"/>
  <c r="DR28" i="1"/>
  <c r="DS28" i="1" s="1"/>
  <c r="DR19" i="1"/>
  <c r="DS19" i="1" s="1"/>
  <c r="DR31" i="1"/>
  <c r="DS31" i="1" s="1"/>
  <c r="DL82" i="1"/>
  <c r="DL81" i="1"/>
  <c r="DR79" i="1"/>
  <c r="DS79" i="1" s="1"/>
  <c r="DR80" i="1"/>
  <c r="DS80" i="1" s="1"/>
  <c r="DR10" i="1"/>
  <c r="DS10" i="1" s="1"/>
  <c r="DL31" i="1"/>
  <c r="DM31" i="1" s="1"/>
  <c r="DR17" i="1"/>
  <c r="DS17" i="1" s="1"/>
  <c r="DR20" i="1"/>
  <c r="DS20" i="1" s="1"/>
  <c r="DR9" i="1"/>
  <c r="DS9" i="1" s="1"/>
  <c r="DI9" i="1"/>
  <c r="DR21" i="1"/>
  <c r="DL19" i="1"/>
  <c r="DM19" i="1" s="1"/>
  <c r="DR18" i="1"/>
  <c r="DS18" i="1" s="1"/>
  <c r="DQ24" i="1"/>
  <c r="DK24" i="1"/>
  <c r="BW24" i="1"/>
  <c r="BM24" i="1"/>
  <c r="BH24" i="1"/>
  <c r="BC24" i="1"/>
  <c r="AX24" i="1"/>
  <c r="AS24" i="1"/>
  <c r="AN24" i="1"/>
  <c r="AI24" i="1"/>
  <c r="AD24" i="1"/>
  <c r="Y24" i="1"/>
  <c r="DQ33" i="1"/>
  <c r="DK33" i="1"/>
  <c r="BM33" i="1"/>
  <c r="BH33" i="1"/>
  <c r="BC33" i="1"/>
  <c r="AX33" i="1"/>
  <c r="AS33" i="1"/>
  <c r="AN33" i="1"/>
  <c r="AI33" i="1"/>
  <c r="AD33" i="1"/>
  <c r="Y33" i="1"/>
  <c r="DQ32" i="1"/>
  <c r="DK32" i="1"/>
  <c r="BW32" i="1"/>
  <c r="BM32" i="1"/>
  <c r="BH32" i="1"/>
  <c r="BC32" i="1"/>
  <c r="AX32" i="1"/>
  <c r="AS32" i="1"/>
  <c r="AN32" i="1"/>
  <c r="AI32" i="1"/>
  <c r="AD32" i="1"/>
  <c r="Y32" i="1"/>
  <c r="DQ27" i="1"/>
  <c r="DK27" i="1"/>
  <c r="BW27" i="1"/>
  <c r="BM27" i="1"/>
  <c r="BH27" i="1"/>
  <c r="BC27" i="1"/>
  <c r="AX27" i="1"/>
  <c r="AS27" i="1"/>
  <c r="AN27" i="1"/>
  <c r="AI27" i="1"/>
  <c r="AD27" i="1"/>
  <c r="Y27" i="1"/>
  <c r="DQ22" i="1"/>
  <c r="DK22" i="1"/>
  <c r="BW22" i="1"/>
  <c r="BM22" i="1"/>
  <c r="BH22" i="1"/>
  <c r="BC22" i="1"/>
  <c r="AX22" i="1"/>
  <c r="AS22" i="1"/>
  <c r="AN22" i="1"/>
  <c r="AI22" i="1"/>
  <c r="AD22" i="1"/>
  <c r="Y22" i="1"/>
  <c r="DQ26" i="1"/>
  <c r="DK26" i="1"/>
  <c r="BW26" i="1"/>
  <c r="BM26" i="1"/>
  <c r="BH26" i="1"/>
  <c r="BC26" i="1"/>
  <c r="AX26" i="1"/>
  <c r="AS26" i="1"/>
  <c r="AN26" i="1"/>
  <c r="AI26" i="1"/>
  <c r="AD26" i="1"/>
  <c r="Y26" i="1"/>
  <c r="DQ23" i="1"/>
  <c r="DK23" i="1"/>
  <c r="BW23" i="1"/>
  <c r="BM23" i="1"/>
  <c r="BH23" i="1"/>
  <c r="BC23" i="1"/>
  <c r="AX23" i="1"/>
  <c r="AS23" i="1"/>
  <c r="AN23" i="1"/>
  <c r="AI23" i="1"/>
  <c r="AD23" i="1"/>
  <c r="Y23" i="1"/>
  <c r="DQ14" i="1"/>
  <c r="DK14" i="1"/>
  <c r="BW14" i="1"/>
  <c r="BM14" i="1"/>
  <c r="AS14" i="1"/>
  <c r="AI14" i="1"/>
  <c r="AD14" i="1"/>
  <c r="Y14" i="1"/>
  <c r="DQ15" i="1"/>
  <c r="DK15" i="1"/>
  <c r="BW15" i="1"/>
  <c r="BM15" i="1"/>
  <c r="BH15" i="1"/>
  <c r="BC15" i="1"/>
  <c r="AX15" i="1"/>
  <c r="AS15" i="1"/>
  <c r="AN15" i="1"/>
  <c r="AI15" i="1"/>
  <c r="AD15" i="1"/>
  <c r="Y15" i="1"/>
  <c r="DQ13" i="1"/>
  <c r="DK13" i="1"/>
  <c r="BW13" i="1"/>
  <c r="BM13" i="1"/>
  <c r="AS13" i="1"/>
  <c r="AN13" i="1"/>
  <c r="AI13" i="1"/>
  <c r="AD13" i="1"/>
  <c r="Y13" i="1"/>
  <c r="BW16" i="1"/>
  <c r="BM16" i="1"/>
  <c r="AN16" i="1"/>
  <c r="AI16" i="1"/>
  <c r="AD16" i="1"/>
  <c r="Y16" i="1"/>
  <c r="Y12" i="1"/>
  <c r="CY92" i="1" l="1"/>
  <c r="DG92" i="1"/>
  <c r="DH92" i="1" s="1"/>
  <c r="CY93" i="1"/>
  <c r="DG93" i="1"/>
  <c r="DH93" i="1" s="1"/>
  <c r="CY91" i="1"/>
  <c r="DG91" i="1"/>
  <c r="DH91" i="1" s="1"/>
  <c r="BK76" i="1"/>
  <c r="BS76" i="1"/>
  <c r="BT76" i="1" s="1"/>
  <c r="CW36" i="1"/>
  <c r="CX36" i="1" s="1"/>
  <c r="CO156" i="1"/>
  <c r="CW156" i="1"/>
  <c r="CX156" i="1" s="1"/>
  <c r="CY157" i="1"/>
  <c r="DG157" i="1"/>
  <c r="DH157" i="1" s="1"/>
  <c r="CY153" i="1"/>
  <c r="DG153" i="1"/>
  <c r="DH153" i="1" s="1"/>
  <c r="DB36" i="1"/>
  <c r="DC36" i="1" s="1"/>
  <c r="CR36" i="1"/>
  <c r="CS36" i="1" s="1"/>
  <c r="CM36" i="1"/>
  <c r="CN36" i="1" s="1"/>
  <c r="DG36" i="1"/>
  <c r="DH36" i="1" s="1"/>
  <c r="DG30" i="1"/>
  <c r="DH30" i="1" s="1"/>
  <c r="CY30" i="1"/>
  <c r="DL68" i="1"/>
  <c r="DM68" i="1" s="1"/>
  <c r="DD68" i="1"/>
  <c r="DD67" i="1"/>
  <c r="DL67" i="1"/>
  <c r="DM67" i="1" s="1"/>
  <c r="DG133" i="1"/>
  <c r="DH133" i="1" s="1"/>
  <c r="DB125" i="1"/>
  <c r="DC125" i="1" s="1"/>
  <c r="CM128" i="1"/>
  <c r="CN128" i="1" s="1"/>
  <c r="CH128" i="1"/>
  <c r="CI128" i="1" s="1"/>
  <c r="CT133" i="1"/>
  <c r="DB133" i="1"/>
  <c r="DC133" i="1" s="1"/>
  <c r="CY124" i="1"/>
  <c r="DG124" i="1"/>
  <c r="DH124" i="1" s="1"/>
  <c r="AB131" i="1"/>
  <c r="AJ131" i="1"/>
  <c r="AK131" i="1" s="1"/>
  <c r="CY112" i="1"/>
  <c r="DG112" i="1"/>
  <c r="DH112" i="1" s="1"/>
  <c r="CY127" i="1"/>
  <c r="DG127" i="1"/>
  <c r="DH127" i="1" s="1"/>
  <c r="CY130" i="1"/>
  <c r="DG130" i="1"/>
  <c r="DH130" i="1" s="1"/>
  <c r="CO125" i="1"/>
  <c r="CW125" i="1"/>
  <c r="CX125" i="1" s="1"/>
  <c r="BU128" i="1"/>
  <c r="CC128" i="1"/>
  <c r="CD128" i="1" s="1"/>
  <c r="CY105" i="1"/>
  <c r="DG105" i="1"/>
  <c r="DH105" i="1" s="1"/>
  <c r="CY99" i="1"/>
  <c r="DG99" i="1"/>
  <c r="DH99" i="1" s="1"/>
  <c r="CY121" i="1"/>
  <c r="DG121" i="1"/>
  <c r="DH121" i="1" s="1"/>
  <c r="BF108" i="1"/>
  <c r="BN108" i="1"/>
  <c r="BO108" i="1" s="1"/>
  <c r="CY104" i="1"/>
  <c r="DG104" i="1"/>
  <c r="DH104" i="1" s="1"/>
  <c r="CY126" i="1"/>
  <c r="DG126" i="1"/>
  <c r="DH126" i="1" s="1"/>
  <c r="CY123" i="1"/>
  <c r="DG123" i="1"/>
  <c r="DH123" i="1" s="1"/>
  <c r="CY106" i="1"/>
  <c r="DG106" i="1"/>
  <c r="DH106" i="1" s="1"/>
  <c r="CY107" i="1"/>
  <c r="DG107" i="1"/>
  <c r="DH107" i="1" s="1"/>
  <c r="CY117" i="1"/>
  <c r="DG117" i="1"/>
  <c r="DH117" i="1" s="1"/>
  <c r="DD59" i="1"/>
  <c r="DL59" i="1"/>
  <c r="DM59" i="1" s="1"/>
  <c r="DD64" i="1"/>
  <c r="DL64" i="1"/>
  <c r="DM64" i="1" s="1"/>
  <c r="DD62" i="1"/>
  <c r="DL62" i="1"/>
  <c r="DM62" i="1" s="1"/>
  <c r="DD60" i="1"/>
  <c r="DL60" i="1"/>
  <c r="DM60" i="1" s="1"/>
  <c r="DD63" i="1"/>
  <c r="DL63" i="1"/>
  <c r="DM63" i="1" s="1"/>
  <c r="DD35" i="1"/>
  <c r="DL35" i="1"/>
  <c r="DM35" i="1" s="1"/>
  <c r="BS83" i="1"/>
  <c r="BT83" i="1" s="1"/>
  <c r="BF83" i="1"/>
  <c r="BN83" i="1"/>
  <c r="BO83" i="1" s="1"/>
  <c r="BX83" i="1"/>
  <c r="BY83" i="1" s="1"/>
  <c r="CT86" i="1"/>
  <c r="DB86" i="1"/>
  <c r="DC86" i="1" s="1"/>
  <c r="CY10" i="1"/>
  <c r="DG10" i="1"/>
  <c r="DH10" i="1" s="1"/>
  <c r="DL10" i="1"/>
  <c r="DM10" i="1" s="1"/>
  <c r="DT22" i="1"/>
  <c r="DO22" i="1" s="1"/>
  <c r="DL34" i="1"/>
  <c r="DM34" i="1" s="1"/>
  <c r="DL57" i="1"/>
  <c r="DM57" i="1" s="1"/>
  <c r="DL56" i="1"/>
  <c r="DM56" i="1" s="1"/>
  <c r="DL65" i="1"/>
  <c r="DM65" i="1" s="1"/>
  <c r="DL87" i="1"/>
  <c r="DM87" i="1" s="1"/>
  <c r="DL53" i="1"/>
  <c r="DM53" i="1" s="1"/>
  <c r="DL42" i="1"/>
  <c r="DM42" i="1" s="1"/>
  <c r="DL40" i="1"/>
  <c r="DM40" i="1" s="1"/>
  <c r="DL39" i="1"/>
  <c r="DM39" i="1" s="1"/>
  <c r="DL43" i="1"/>
  <c r="DM43" i="1" s="1"/>
  <c r="DL41" i="1"/>
  <c r="DM41" i="1" s="1"/>
  <c r="DL47" i="1"/>
  <c r="DM47" i="1" s="1"/>
  <c r="DL48" i="1"/>
  <c r="DM48" i="1" s="1"/>
  <c r="DL49" i="1"/>
  <c r="DM49" i="1" s="1"/>
  <c r="DL46" i="1"/>
  <c r="DM46" i="1" s="1"/>
  <c r="DL50" i="1"/>
  <c r="DM50" i="1" s="1"/>
  <c r="DL51" i="1"/>
  <c r="DM51" i="1" s="1"/>
  <c r="DL52" i="1"/>
  <c r="DM52" i="1" s="1"/>
  <c r="DL54" i="1"/>
  <c r="DM54" i="1" s="1"/>
  <c r="DL29" i="1"/>
  <c r="DM29" i="1" s="1"/>
  <c r="DC8" i="2"/>
  <c r="DK8" i="2"/>
  <c r="DL8" i="2" s="1"/>
  <c r="DC9" i="2"/>
  <c r="DK9" i="2"/>
  <c r="DL9" i="2" s="1"/>
  <c r="DC10" i="2"/>
  <c r="DK10" i="2"/>
  <c r="DL10" i="2" s="1"/>
  <c r="DC11" i="2"/>
  <c r="DK11" i="2"/>
  <c r="DL11" i="2" s="1"/>
  <c r="DC12" i="2"/>
  <c r="DK12" i="2"/>
  <c r="DL12" i="2" s="1"/>
  <c r="DC13" i="2"/>
  <c r="DK13" i="2"/>
  <c r="DL13" i="2" s="1"/>
  <c r="DC14" i="2"/>
  <c r="DK14" i="2"/>
  <c r="DL14" i="2" s="1"/>
  <c r="DC15" i="2"/>
  <c r="DK15" i="2"/>
  <c r="DL15" i="2" s="1"/>
  <c r="DC16" i="2"/>
  <c r="DK16" i="2"/>
  <c r="DL16" i="2" s="1"/>
  <c r="DC17" i="2"/>
  <c r="DK17" i="2"/>
  <c r="DL17" i="2" s="1"/>
  <c r="DC18" i="2"/>
  <c r="DK18" i="2"/>
  <c r="DL18" i="2" s="1"/>
  <c r="DC19" i="2"/>
  <c r="DK19" i="2"/>
  <c r="DL19" i="2" s="1"/>
  <c r="DC20" i="2"/>
  <c r="DK20" i="2"/>
  <c r="DL20" i="2" s="1"/>
  <c r="DC21" i="2"/>
  <c r="DK21" i="2"/>
  <c r="DL21" i="2" s="1"/>
  <c r="DC22" i="2"/>
  <c r="DK22" i="2"/>
  <c r="DL22" i="2" s="1"/>
  <c r="DC23" i="2"/>
  <c r="DK23" i="2"/>
  <c r="DL23" i="2" s="1"/>
  <c r="DC24" i="2"/>
  <c r="DK24" i="2"/>
  <c r="DL24" i="2" s="1"/>
  <c r="DC25" i="2"/>
  <c r="DK25" i="2"/>
  <c r="DL25" i="2" s="1"/>
  <c r="DC28" i="2"/>
  <c r="DK28" i="2"/>
  <c r="DL28" i="2" s="1"/>
  <c r="DC29" i="2"/>
  <c r="DK29" i="2"/>
  <c r="DL29" i="2" s="1"/>
  <c r="DC30" i="2"/>
  <c r="DK30" i="2"/>
  <c r="DL30" i="2" s="1"/>
  <c r="DC31" i="2"/>
  <c r="DK31" i="2"/>
  <c r="DL31" i="2" s="1"/>
  <c r="DC32" i="2"/>
  <c r="DK32" i="2"/>
  <c r="DL32" i="2" s="1"/>
  <c r="DC33" i="2"/>
  <c r="DK33" i="2"/>
  <c r="DL33" i="2" s="1"/>
  <c r="DC34" i="2"/>
  <c r="DK34" i="2"/>
  <c r="DL34" i="2" s="1"/>
  <c r="DC35" i="2"/>
  <c r="DK35" i="2"/>
  <c r="DL35" i="2" s="1"/>
  <c r="DC36" i="2"/>
  <c r="DK36" i="2"/>
  <c r="DL36" i="2" s="1"/>
  <c r="DC47" i="2"/>
  <c r="DK47" i="2"/>
  <c r="DL47" i="2" s="1"/>
  <c r="DC48" i="2"/>
  <c r="DK48" i="2"/>
  <c r="DL48" i="2" s="1"/>
  <c r="DC49" i="2"/>
  <c r="DK49" i="2"/>
  <c r="DL49" i="2" s="1"/>
  <c r="DC52" i="2"/>
  <c r="DK52" i="2"/>
  <c r="DL52" i="2" s="1"/>
  <c r="DC53" i="2"/>
  <c r="DK53" i="2"/>
  <c r="DL53" i="2" s="1"/>
  <c r="DC54" i="2"/>
  <c r="DK54" i="2"/>
  <c r="DC55" i="2"/>
  <c r="DK55" i="2"/>
  <c r="DC56" i="2"/>
  <c r="DK56" i="2"/>
  <c r="DL79" i="1"/>
  <c r="DM79" i="1" s="1"/>
  <c r="DL80" i="1"/>
  <c r="DL17" i="1"/>
  <c r="DM17" i="1" s="1"/>
  <c r="DL20" i="1"/>
  <c r="DM20" i="1" s="1"/>
  <c r="DL21" i="1"/>
  <c r="DL9" i="1"/>
  <c r="DM9" i="1" s="1"/>
  <c r="DD9" i="1"/>
  <c r="DL77" i="1"/>
  <c r="DM77" i="1" s="1"/>
  <c r="DL18" i="1"/>
  <c r="DM18" i="1" s="1"/>
  <c r="CT92" i="1" l="1"/>
  <c r="DB92" i="1"/>
  <c r="DC92" i="1" s="1"/>
  <c r="CT93" i="1"/>
  <c r="DB93" i="1"/>
  <c r="DC93" i="1" s="1"/>
  <c r="CT91" i="1"/>
  <c r="DB91" i="1"/>
  <c r="DC91" i="1" s="1"/>
  <c r="BF76" i="1"/>
  <c r="BN76" i="1"/>
  <c r="BO76" i="1" s="1"/>
  <c r="CT157" i="1"/>
  <c r="DB157" i="1"/>
  <c r="DC157" i="1" s="1"/>
  <c r="CT153" i="1"/>
  <c r="DB153" i="1"/>
  <c r="DC153" i="1" s="1"/>
  <c r="CJ156" i="1"/>
  <c r="CR156" i="1"/>
  <c r="CS156" i="1" s="1"/>
  <c r="DB30" i="1"/>
  <c r="DC30" i="1" s="1"/>
  <c r="CT30" i="1"/>
  <c r="CY68" i="1"/>
  <c r="DG68" i="1"/>
  <c r="DH68" i="1" s="1"/>
  <c r="CY67" i="1"/>
  <c r="DG67" i="1"/>
  <c r="DH67" i="1" s="1"/>
  <c r="CT112" i="1"/>
  <c r="DB112" i="1"/>
  <c r="DC112" i="1" s="1"/>
  <c r="CT124" i="1"/>
  <c r="DB124" i="1"/>
  <c r="DC124" i="1" s="1"/>
  <c r="CJ125" i="1"/>
  <c r="CR125" i="1"/>
  <c r="CS125" i="1" s="1"/>
  <c r="CT127" i="1"/>
  <c r="DB127" i="1"/>
  <c r="DC127" i="1" s="1"/>
  <c r="BP128" i="1"/>
  <c r="BX128" i="1"/>
  <c r="BY128" i="1" s="1"/>
  <c r="CT130" i="1"/>
  <c r="DB130" i="1"/>
  <c r="DC130" i="1" s="1"/>
  <c r="W131" i="1"/>
  <c r="Z131" i="1" s="1"/>
  <c r="AA131" i="1" s="1"/>
  <c r="AE131" i="1"/>
  <c r="AF131" i="1" s="1"/>
  <c r="CO133" i="1"/>
  <c r="CW133" i="1"/>
  <c r="CX133" i="1" s="1"/>
  <c r="CT107" i="1"/>
  <c r="DB107" i="1"/>
  <c r="DC107" i="1" s="1"/>
  <c r="CT123" i="1"/>
  <c r="DB123" i="1"/>
  <c r="DC123" i="1" s="1"/>
  <c r="BA108" i="1"/>
  <c r="BI108" i="1"/>
  <c r="BJ108" i="1" s="1"/>
  <c r="CT121" i="1"/>
  <c r="DB121" i="1"/>
  <c r="DC121" i="1" s="1"/>
  <c r="CT106" i="1"/>
  <c r="DB106" i="1"/>
  <c r="DC106" i="1" s="1"/>
  <c r="CT104" i="1"/>
  <c r="DB104" i="1"/>
  <c r="DC104" i="1" s="1"/>
  <c r="CT99" i="1"/>
  <c r="DB99" i="1"/>
  <c r="DC99" i="1" s="1"/>
  <c r="CT105" i="1"/>
  <c r="DB105" i="1"/>
  <c r="DC105" i="1" s="1"/>
  <c r="CT117" i="1"/>
  <c r="DB117" i="1"/>
  <c r="DC117" i="1" s="1"/>
  <c r="CT126" i="1"/>
  <c r="DB126" i="1"/>
  <c r="DC126" i="1" s="1"/>
  <c r="CY63" i="1"/>
  <c r="DG63" i="1"/>
  <c r="DH63" i="1" s="1"/>
  <c r="CY64" i="1"/>
  <c r="DG64" i="1"/>
  <c r="DH64" i="1" s="1"/>
  <c r="CY62" i="1"/>
  <c r="DG62" i="1"/>
  <c r="DH62" i="1" s="1"/>
  <c r="CY60" i="1"/>
  <c r="DG60" i="1"/>
  <c r="DH60" i="1" s="1"/>
  <c r="CY59" i="1"/>
  <c r="DG59" i="1"/>
  <c r="DH59" i="1" s="1"/>
  <c r="DI22" i="1"/>
  <c r="DD22" i="1" s="1"/>
  <c r="DG22" i="1" s="1"/>
  <c r="DH22" i="1" s="1"/>
  <c r="CY35" i="1"/>
  <c r="DG35" i="1"/>
  <c r="DH35" i="1" s="1"/>
  <c r="BA83" i="1"/>
  <c r="BI83" i="1"/>
  <c r="BJ83" i="1" s="1"/>
  <c r="CO86" i="1"/>
  <c r="CW86" i="1"/>
  <c r="CX86" i="1" s="1"/>
  <c r="CT10" i="1"/>
  <c r="DB10" i="1"/>
  <c r="DC10" i="1" s="1"/>
  <c r="CX56" i="2"/>
  <c r="DF56" i="2"/>
  <c r="DG56" i="2" s="1"/>
  <c r="CX55" i="2"/>
  <c r="DF55" i="2"/>
  <c r="DG55" i="2" s="1"/>
  <c r="CX54" i="2"/>
  <c r="DF54" i="2"/>
  <c r="DG54" i="2" s="1"/>
  <c r="CX53" i="2"/>
  <c r="DF53" i="2"/>
  <c r="DG53" i="2" s="1"/>
  <c r="CX52" i="2"/>
  <c r="DF52" i="2"/>
  <c r="DG52" i="2" s="1"/>
  <c r="CX49" i="2"/>
  <c r="DF49" i="2"/>
  <c r="DG49" i="2" s="1"/>
  <c r="CX48" i="2"/>
  <c r="DF48" i="2"/>
  <c r="DG48" i="2" s="1"/>
  <c r="CX47" i="2"/>
  <c r="DF47" i="2"/>
  <c r="DG47" i="2" s="1"/>
  <c r="CX36" i="2"/>
  <c r="DF36" i="2"/>
  <c r="DG36" i="2" s="1"/>
  <c r="CX35" i="2"/>
  <c r="DF35" i="2"/>
  <c r="DG35" i="2" s="1"/>
  <c r="CX34" i="2"/>
  <c r="DF34" i="2"/>
  <c r="DG34" i="2" s="1"/>
  <c r="CX33" i="2"/>
  <c r="DF33" i="2"/>
  <c r="DG33" i="2" s="1"/>
  <c r="CX32" i="2"/>
  <c r="DF32" i="2"/>
  <c r="DG32" i="2" s="1"/>
  <c r="CX31" i="2"/>
  <c r="DF31" i="2"/>
  <c r="DG31" i="2" s="1"/>
  <c r="CX30" i="2"/>
  <c r="DF30" i="2"/>
  <c r="DG30" i="2" s="1"/>
  <c r="CX29" i="2"/>
  <c r="DF29" i="2"/>
  <c r="DG29" i="2" s="1"/>
  <c r="CX28" i="2"/>
  <c r="DF28" i="2"/>
  <c r="DG28" i="2" s="1"/>
  <c r="CX25" i="2"/>
  <c r="DF25" i="2"/>
  <c r="DG25" i="2" s="1"/>
  <c r="CX24" i="2"/>
  <c r="DF24" i="2"/>
  <c r="DG24" i="2" s="1"/>
  <c r="CX23" i="2"/>
  <c r="DF23" i="2"/>
  <c r="DG23" i="2" s="1"/>
  <c r="CX22" i="2"/>
  <c r="DF22" i="2"/>
  <c r="DG22" i="2" s="1"/>
  <c r="CX21" i="2"/>
  <c r="DF21" i="2"/>
  <c r="DG21" i="2" s="1"/>
  <c r="CX20" i="2"/>
  <c r="DF20" i="2"/>
  <c r="DG20" i="2" s="1"/>
  <c r="CX19" i="2"/>
  <c r="DF19" i="2"/>
  <c r="DG19" i="2" s="1"/>
  <c r="CX18" i="2"/>
  <c r="DF18" i="2"/>
  <c r="DG18" i="2" s="1"/>
  <c r="CX17" i="2"/>
  <c r="DF17" i="2"/>
  <c r="DG17" i="2" s="1"/>
  <c r="CX16" i="2"/>
  <c r="DF16" i="2"/>
  <c r="DG16" i="2" s="1"/>
  <c r="CX15" i="2"/>
  <c r="DF15" i="2"/>
  <c r="DG15" i="2" s="1"/>
  <c r="CX14" i="2"/>
  <c r="DF14" i="2"/>
  <c r="DG14" i="2" s="1"/>
  <c r="CX13" i="2"/>
  <c r="DF13" i="2"/>
  <c r="DG13" i="2" s="1"/>
  <c r="CX12" i="2"/>
  <c r="DF12" i="2"/>
  <c r="DG12" i="2" s="1"/>
  <c r="CX11" i="2"/>
  <c r="DF11" i="2"/>
  <c r="DG11" i="2" s="1"/>
  <c r="CX10" i="2"/>
  <c r="DF10" i="2"/>
  <c r="DG10" i="2" s="1"/>
  <c r="CX9" i="2"/>
  <c r="DF9" i="2"/>
  <c r="DG9" i="2" s="1"/>
  <c r="CX8" i="2"/>
  <c r="DF8" i="2"/>
  <c r="DG8" i="2" s="1"/>
  <c r="DG9" i="1"/>
  <c r="DH9" i="1" s="1"/>
  <c r="CY9" i="1"/>
  <c r="CO92" i="1" l="1"/>
  <c r="CW92" i="1"/>
  <c r="CX92" i="1" s="1"/>
  <c r="CO93" i="1"/>
  <c r="CW93" i="1"/>
  <c r="CX93" i="1" s="1"/>
  <c r="CO91" i="1"/>
  <c r="CW91" i="1"/>
  <c r="CX91" i="1" s="1"/>
  <c r="BA76" i="1"/>
  <c r="BI76" i="1"/>
  <c r="BJ76" i="1" s="1"/>
  <c r="CO153" i="1"/>
  <c r="CW153" i="1"/>
  <c r="CX153" i="1" s="1"/>
  <c r="CE156" i="1"/>
  <c r="CM156" i="1"/>
  <c r="CN156" i="1" s="1"/>
  <c r="CO157" i="1"/>
  <c r="CW157" i="1"/>
  <c r="CX157" i="1" s="1"/>
  <c r="CW30" i="1"/>
  <c r="CX30" i="1" s="1"/>
  <c r="CO30" i="1"/>
  <c r="DB68" i="1"/>
  <c r="DC68" i="1" s="1"/>
  <c r="CT68" i="1"/>
  <c r="CT67" i="1"/>
  <c r="DB67" i="1"/>
  <c r="DC67" i="1" s="1"/>
  <c r="CO130" i="1"/>
  <c r="CW130" i="1"/>
  <c r="CX130" i="1" s="1"/>
  <c r="CW127" i="1"/>
  <c r="CX127" i="1" s="1"/>
  <c r="CO127" i="1"/>
  <c r="CO112" i="1"/>
  <c r="CW112" i="1"/>
  <c r="CX112" i="1" s="1"/>
  <c r="CO124" i="1"/>
  <c r="CW124" i="1"/>
  <c r="CX124" i="1" s="1"/>
  <c r="CJ133" i="1"/>
  <c r="CR133" i="1"/>
  <c r="CS133" i="1" s="1"/>
  <c r="BK128" i="1"/>
  <c r="BS128" i="1"/>
  <c r="BT128" i="1" s="1"/>
  <c r="CE125" i="1"/>
  <c r="CM125" i="1"/>
  <c r="CN125" i="1" s="1"/>
  <c r="CO99" i="1"/>
  <c r="CW99" i="1"/>
  <c r="CX99" i="1" s="1"/>
  <c r="CO104" i="1"/>
  <c r="CW104" i="1"/>
  <c r="CX104" i="1" s="1"/>
  <c r="CO121" i="1"/>
  <c r="CW121" i="1"/>
  <c r="CX121" i="1" s="1"/>
  <c r="CO123" i="1"/>
  <c r="CW123" i="1"/>
  <c r="CX123" i="1" s="1"/>
  <c r="CO107" i="1"/>
  <c r="CW107" i="1"/>
  <c r="CX107" i="1" s="1"/>
  <c r="CO126" i="1"/>
  <c r="CW126" i="1"/>
  <c r="CX126" i="1" s="1"/>
  <c r="CO117" i="1"/>
  <c r="CW117" i="1"/>
  <c r="CX117" i="1" s="1"/>
  <c r="CO105" i="1"/>
  <c r="CW105" i="1"/>
  <c r="CX105" i="1" s="1"/>
  <c r="CO106" i="1"/>
  <c r="CW106" i="1"/>
  <c r="CX106" i="1" s="1"/>
  <c r="AV108" i="1"/>
  <c r="BD108" i="1"/>
  <c r="BE108" i="1" s="1"/>
  <c r="CY22" i="1"/>
  <c r="DB22" i="1" s="1"/>
  <c r="DC22" i="1" s="1"/>
  <c r="CT59" i="1"/>
  <c r="DB59" i="1"/>
  <c r="DC59" i="1" s="1"/>
  <c r="CT64" i="1"/>
  <c r="DB64" i="1"/>
  <c r="DC64" i="1" s="1"/>
  <c r="CT62" i="1"/>
  <c r="DB62" i="1"/>
  <c r="DC62" i="1" s="1"/>
  <c r="CT60" i="1"/>
  <c r="DB60" i="1"/>
  <c r="DC60" i="1" s="1"/>
  <c r="CT63" i="1"/>
  <c r="DB63" i="1"/>
  <c r="DC63" i="1" s="1"/>
  <c r="CT35" i="1"/>
  <c r="DB35" i="1"/>
  <c r="DC35" i="1" s="1"/>
  <c r="AV83" i="1"/>
  <c r="BD83" i="1"/>
  <c r="BE83" i="1" s="1"/>
  <c r="CJ86" i="1"/>
  <c r="CR86" i="1"/>
  <c r="CS86" i="1" s="1"/>
  <c r="CO10" i="1"/>
  <c r="CW10" i="1"/>
  <c r="CX10" i="1" s="1"/>
  <c r="CS8" i="2"/>
  <c r="DA8" i="2"/>
  <c r="DB8" i="2" s="1"/>
  <c r="CS9" i="2"/>
  <c r="DA9" i="2"/>
  <c r="DB9" i="2" s="1"/>
  <c r="CS10" i="2"/>
  <c r="DA10" i="2"/>
  <c r="DB10" i="2" s="1"/>
  <c r="CS11" i="2"/>
  <c r="DA11" i="2"/>
  <c r="DB11" i="2" s="1"/>
  <c r="CS12" i="2"/>
  <c r="DA12" i="2"/>
  <c r="DB12" i="2" s="1"/>
  <c r="CS13" i="2"/>
  <c r="DA13" i="2"/>
  <c r="DB13" i="2" s="1"/>
  <c r="CS14" i="2"/>
  <c r="DA14" i="2"/>
  <c r="DB14" i="2" s="1"/>
  <c r="CS15" i="2"/>
  <c r="DA15" i="2"/>
  <c r="DB15" i="2" s="1"/>
  <c r="CS16" i="2"/>
  <c r="DA16" i="2"/>
  <c r="DB16" i="2" s="1"/>
  <c r="CS17" i="2"/>
  <c r="DA17" i="2"/>
  <c r="DB17" i="2" s="1"/>
  <c r="CS18" i="2"/>
  <c r="DA18" i="2"/>
  <c r="DB18" i="2" s="1"/>
  <c r="CS19" i="2"/>
  <c r="DA19" i="2"/>
  <c r="DB19" i="2" s="1"/>
  <c r="CS20" i="2"/>
  <c r="DA20" i="2"/>
  <c r="DB20" i="2" s="1"/>
  <c r="CS21" i="2"/>
  <c r="DA21" i="2"/>
  <c r="DB21" i="2" s="1"/>
  <c r="CS22" i="2"/>
  <c r="DA22" i="2"/>
  <c r="DB22" i="2" s="1"/>
  <c r="CS23" i="2"/>
  <c r="DA23" i="2"/>
  <c r="DB23" i="2" s="1"/>
  <c r="CS24" i="2"/>
  <c r="DA24" i="2"/>
  <c r="DB24" i="2" s="1"/>
  <c r="CS25" i="2"/>
  <c r="DA25" i="2"/>
  <c r="DB25" i="2" s="1"/>
  <c r="CS28" i="2"/>
  <c r="DA28" i="2"/>
  <c r="DB28" i="2" s="1"/>
  <c r="CS29" i="2"/>
  <c r="DA29" i="2"/>
  <c r="DB29" i="2" s="1"/>
  <c r="CS30" i="2"/>
  <c r="DA30" i="2"/>
  <c r="DB30" i="2" s="1"/>
  <c r="CS31" i="2"/>
  <c r="DA31" i="2"/>
  <c r="DB31" i="2" s="1"/>
  <c r="CS32" i="2"/>
  <c r="DA32" i="2"/>
  <c r="DB32" i="2" s="1"/>
  <c r="CS33" i="2"/>
  <c r="DA33" i="2"/>
  <c r="DB33" i="2" s="1"/>
  <c r="CS34" i="2"/>
  <c r="DA34" i="2"/>
  <c r="DB34" i="2" s="1"/>
  <c r="CS35" i="2"/>
  <c r="DA35" i="2"/>
  <c r="DB35" i="2" s="1"/>
  <c r="CS36" i="2"/>
  <c r="DA36" i="2"/>
  <c r="DB36" i="2" s="1"/>
  <c r="CS47" i="2"/>
  <c r="DA47" i="2"/>
  <c r="DB47" i="2" s="1"/>
  <c r="CS48" i="2"/>
  <c r="DA48" i="2"/>
  <c r="DB48" i="2" s="1"/>
  <c r="CS49" i="2"/>
  <c r="DA49" i="2"/>
  <c r="DB49" i="2" s="1"/>
  <c r="CS52" i="2"/>
  <c r="DA52" i="2"/>
  <c r="DB52" i="2" s="1"/>
  <c r="CS53" i="2"/>
  <c r="DA53" i="2"/>
  <c r="DB53" i="2" s="1"/>
  <c r="CS54" i="2"/>
  <c r="DA54" i="2"/>
  <c r="DB54" i="2" s="1"/>
  <c r="CS55" i="2"/>
  <c r="DA55" i="2"/>
  <c r="DB55" i="2" s="1"/>
  <c r="CS56" i="2"/>
  <c r="DA56" i="2"/>
  <c r="DB56" i="2" s="1"/>
  <c r="DB9" i="1"/>
  <c r="DC9" i="1" s="1"/>
  <c r="CT9" i="1"/>
  <c r="CJ92" i="1" l="1"/>
  <c r="CR92" i="1"/>
  <c r="CS92" i="1" s="1"/>
  <c r="CJ93" i="1"/>
  <c r="CR93" i="1"/>
  <c r="CS93" i="1" s="1"/>
  <c r="CJ91" i="1"/>
  <c r="CR91" i="1"/>
  <c r="CS91" i="1" s="1"/>
  <c r="AV76" i="1"/>
  <c r="BD76" i="1"/>
  <c r="BE76" i="1" s="1"/>
  <c r="BZ156" i="1"/>
  <c r="CH156" i="1"/>
  <c r="CI156" i="1" s="1"/>
  <c r="CJ157" i="1"/>
  <c r="CR157" i="1"/>
  <c r="CS157" i="1" s="1"/>
  <c r="CJ153" i="1"/>
  <c r="CR153" i="1"/>
  <c r="CS153" i="1" s="1"/>
  <c r="CR30" i="1"/>
  <c r="CS30" i="1" s="1"/>
  <c r="CJ30" i="1"/>
  <c r="CW68" i="1"/>
  <c r="CX68" i="1" s="1"/>
  <c r="CO68" i="1"/>
  <c r="CO67" i="1"/>
  <c r="CW67" i="1"/>
  <c r="CX67" i="1" s="1"/>
  <c r="CT22" i="1"/>
  <c r="CO22" i="1" s="1"/>
  <c r="BZ125" i="1"/>
  <c r="CH125" i="1"/>
  <c r="CI125" i="1" s="1"/>
  <c r="CJ124" i="1"/>
  <c r="CR124" i="1"/>
  <c r="CS124" i="1" s="1"/>
  <c r="CE133" i="1"/>
  <c r="CM133" i="1"/>
  <c r="CN133" i="1" s="1"/>
  <c r="CJ112" i="1"/>
  <c r="CR112" i="1"/>
  <c r="CS112" i="1" s="1"/>
  <c r="BF128" i="1"/>
  <c r="BN128" i="1"/>
  <c r="BO128" i="1" s="1"/>
  <c r="CR127" i="1"/>
  <c r="CS127" i="1" s="1"/>
  <c r="CJ127" i="1"/>
  <c r="CJ130" i="1"/>
  <c r="CR130" i="1"/>
  <c r="CS130" i="1" s="1"/>
  <c r="CJ106" i="1"/>
  <c r="CR106" i="1"/>
  <c r="CS106" i="1" s="1"/>
  <c r="CJ105" i="1"/>
  <c r="CR105" i="1"/>
  <c r="CS105" i="1" s="1"/>
  <c r="CJ126" i="1"/>
  <c r="CR126" i="1"/>
  <c r="CS126" i="1" s="1"/>
  <c r="CJ107" i="1"/>
  <c r="CR107" i="1"/>
  <c r="CS107" i="1" s="1"/>
  <c r="CJ99" i="1"/>
  <c r="CR99" i="1"/>
  <c r="CS99" i="1" s="1"/>
  <c r="AQ108" i="1"/>
  <c r="AY108" i="1"/>
  <c r="AZ108" i="1" s="1"/>
  <c r="CJ123" i="1"/>
  <c r="CR123" i="1"/>
  <c r="CS123" i="1" s="1"/>
  <c r="CJ104" i="1"/>
  <c r="CR104" i="1"/>
  <c r="CS104" i="1" s="1"/>
  <c r="CJ117" i="1"/>
  <c r="CR117" i="1"/>
  <c r="CS117" i="1" s="1"/>
  <c r="CJ121" i="1"/>
  <c r="CR121" i="1"/>
  <c r="CS121" i="1" s="1"/>
  <c r="CO63" i="1"/>
  <c r="CW63" i="1"/>
  <c r="CX63" i="1" s="1"/>
  <c r="CO64" i="1"/>
  <c r="CW64" i="1"/>
  <c r="CX64" i="1" s="1"/>
  <c r="CO62" i="1"/>
  <c r="CW62" i="1"/>
  <c r="CX62" i="1" s="1"/>
  <c r="CO60" i="1"/>
  <c r="CW60" i="1"/>
  <c r="CX60" i="1" s="1"/>
  <c r="CO59" i="1"/>
  <c r="CW59" i="1"/>
  <c r="CX59" i="1" s="1"/>
  <c r="CO35" i="1"/>
  <c r="CW35" i="1"/>
  <c r="CX35" i="1" s="1"/>
  <c r="AQ83" i="1"/>
  <c r="AY83" i="1"/>
  <c r="AZ83" i="1" s="1"/>
  <c r="CE86" i="1"/>
  <c r="CM86" i="1"/>
  <c r="CN86" i="1" s="1"/>
  <c r="CJ10" i="1"/>
  <c r="CR10" i="1"/>
  <c r="CS10" i="1" s="1"/>
  <c r="CN56" i="2"/>
  <c r="CV56" i="2"/>
  <c r="CW56" i="2" s="1"/>
  <c r="CN55" i="2"/>
  <c r="CV55" i="2"/>
  <c r="CW55" i="2" s="1"/>
  <c r="CN54" i="2"/>
  <c r="CV54" i="2"/>
  <c r="CW54" i="2" s="1"/>
  <c r="CN53" i="2"/>
  <c r="CV53" i="2"/>
  <c r="CW53" i="2" s="1"/>
  <c r="CN52" i="2"/>
  <c r="CV52" i="2"/>
  <c r="CW52" i="2" s="1"/>
  <c r="CN49" i="2"/>
  <c r="CV49" i="2"/>
  <c r="CW49" i="2" s="1"/>
  <c r="CN48" i="2"/>
  <c r="CV48" i="2"/>
  <c r="CW48" i="2" s="1"/>
  <c r="CN47" i="2"/>
  <c r="CV47" i="2"/>
  <c r="CW47" i="2" s="1"/>
  <c r="CN36" i="2"/>
  <c r="CV36" i="2"/>
  <c r="CW36" i="2" s="1"/>
  <c r="CN35" i="2"/>
  <c r="CV35" i="2"/>
  <c r="CW35" i="2" s="1"/>
  <c r="CN34" i="2"/>
  <c r="CV34" i="2"/>
  <c r="CW34" i="2" s="1"/>
  <c r="CN33" i="2"/>
  <c r="CV33" i="2"/>
  <c r="CW33" i="2" s="1"/>
  <c r="CN32" i="2"/>
  <c r="CV32" i="2"/>
  <c r="CW32" i="2" s="1"/>
  <c r="CN31" i="2"/>
  <c r="CV31" i="2"/>
  <c r="CW31" i="2" s="1"/>
  <c r="CN30" i="2"/>
  <c r="CV30" i="2"/>
  <c r="CW30" i="2" s="1"/>
  <c r="CN29" i="2"/>
  <c r="CV29" i="2"/>
  <c r="CW29" i="2" s="1"/>
  <c r="CN28" i="2"/>
  <c r="CV28" i="2"/>
  <c r="CW28" i="2" s="1"/>
  <c r="CN25" i="2"/>
  <c r="CV25" i="2"/>
  <c r="CW25" i="2" s="1"/>
  <c r="CN24" i="2"/>
  <c r="CV24" i="2"/>
  <c r="CW24" i="2" s="1"/>
  <c r="CN23" i="2"/>
  <c r="CV23" i="2"/>
  <c r="CW23" i="2" s="1"/>
  <c r="CN22" i="2"/>
  <c r="CV22" i="2"/>
  <c r="CW22" i="2" s="1"/>
  <c r="CN21" i="2"/>
  <c r="CV21" i="2"/>
  <c r="CW21" i="2" s="1"/>
  <c r="CN20" i="2"/>
  <c r="CV20" i="2"/>
  <c r="CW20" i="2" s="1"/>
  <c r="CN19" i="2"/>
  <c r="CV19" i="2"/>
  <c r="CW19" i="2" s="1"/>
  <c r="CN18" i="2"/>
  <c r="CV18" i="2"/>
  <c r="CW18" i="2" s="1"/>
  <c r="CN17" i="2"/>
  <c r="CV17" i="2"/>
  <c r="CW17" i="2" s="1"/>
  <c r="CN16" i="2"/>
  <c r="CV16" i="2"/>
  <c r="CW16" i="2" s="1"/>
  <c r="CN15" i="2"/>
  <c r="CV15" i="2"/>
  <c r="CW15" i="2" s="1"/>
  <c r="CN14" i="2"/>
  <c r="CV14" i="2"/>
  <c r="CW14" i="2" s="1"/>
  <c r="CN13" i="2"/>
  <c r="CV13" i="2"/>
  <c r="CW13" i="2" s="1"/>
  <c r="CN12" i="2"/>
  <c r="CV12" i="2"/>
  <c r="CW12" i="2" s="1"/>
  <c r="CN11" i="2"/>
  <c r="CV11" i="2"/>
  <c r="CW11" i="2" s="1"/>
  <c r="CN10" i="2"/>
  <c r="CV10" i="2"/>
  <c r="CW10" i="2" s="1"/>
  <c r="CN9" i="2"/>
  <c r="CV9" i="2"/>
  <c r="CW9" i="2" s="1"/>
  <c r="CN8" i="2"/>
  <c r="CV8" i="2"/>
  <c r="CW8" i="2" s="1"/>
  <c r="BZ17" i="1"/>
  <c r="BZ20" i="1"/>
  <c r="BZ28" i="1"/>
  <c r="BZ31" i="1"/>
  <c r="BZ18" i="1"/>
  <c r="BZ19" i="1"/>
  <c r="BZ25" i="1"/>
  <c r="BZ21" i="1"/>
  <c r="CW9" i="1"/>
  <c r="CX9" i="1" s="1"/>
  <c r="CO9" i="1"/>
  <c r="CE92" i="1" l="1"/>
  <c r="CM92" i="1"/>
  <c r="CN92" i="1" s="1"/>
  <c r="CE93" i="1"/>
  <c r="CM93" i="1"/>
  <c r="CN93" i="1" s="1"/>
  <c r="CE91" i="1"/>
  <c r="CM91" i="1"/>
  <c r="CN91" i="1" s="1"/>
  <c r="AQ76" i="1"/>
  <c r="AY76" i="1"/>
  <c r="AZ76" i="1" s="1"/>
  <c r="CE157" i="1"/>
  <c r="CM157" i="1"/>
  <c r="CN157" i="1" s="1"/>
  <c r="CE153" i="1"/>
  <c r="CM153" i="1"/>
  <c r="CN153" i="1" s="1"/>
  <c r="BU156" i="1"/>
  <c r="CC156" i="1"/>
  <c r="CD156" i="1" s="1"/>
  <c r="CM30" i="1"/>
  <c r="CN30" i="1" s="1"/>
  <c r="CE30" i="1"/>
  <c r="CJ68" i="1"/>
  <c r="CR68" i="1"/>
  <c r="CS68" i="1" s="1"/>
  <c r="CJ67" i="1"/>
  <c r="CR67" i="1"/>
  <c r="CS67" i="1" s="1"/>
  <c r="CW22" i="1"/>
  <c r="CX22" i="1" s="1"/>
  <c r="CE112" i="1"/>
  <c r="CM112" i="1"/>
  <c r="CN112" i="1" s="1"/>
  <c r="CE124" i="1"/>
  <c r="CM124" i="1"/>
  <c r="CN124" i="1" s="1"/>
  <c r="CE130" i="1"/>
  <c r="CM130" i="1"/>
  <c r="CN130" i="1" s="1"/>
  <c r="BA128" i="1"/>
  <c r="BI128" i="1"/>
  <c r="BJ128" i="1" s="1"/>
  <c r="CM127" i="1"/>
  <c r="CN127" i="1" s="1"/>
  <c r="CE127" i="1"/>
  <c r="BZ133" i="1"/>
  <c r="CH133" i="1"/>
  <c r="CI133" i="1" s="1"/>
  <c r="BU125" i="1"/>
  <c r="CC125" i="1"/>
  <c r="CD125" i="1" s="1"/>
  <c r="CE123" i="1"/>
  <c r="CM123" i="1"/>
  <c r="CN123" i="1" s="1"/>
  <c r="AL108" i="1"/>
  <c r="AT108" i="1"/>
  <c r="AU108" i="1" s="1"/>
  <c r="CE126" i="1"/>
  <c r="CM126" i="1"/>
  <c r="CN126" i="1" s="1"/>
  <c r="CE121" i="1"/>
  <c r="CM121" i="1"/>
  <c r="CN121" i="1" s="1"/>
  <c r="CE117" i="1"/>
  <c r="CM117" i="1"/>
  <c r="CN117" i="1" s="1"/>
  <c r="CE99" i="1"/>
  <c r="CM99" i="1"/>
  <c r="CN99" i="1" s="1"/>
  <c r="CE107" i="1"/>
  <c r="CM107" i="1"/>
  <c r="CN107" i="1" s="1"/>
  <c r="CE106" i="1"/>
  <c r="CM106" i="1"/>
  <c r="CN106" i="1" s="1"/>
  <c r="CE104" i="1"/>
  <c r="CM104" i="1"/>
  <c r="CN104" i="1" s="1"/>
  <c r="CE105" i="1"/>
  <c r="CM105" i="1"/>
  <c r="CN105" i="1" s="1"/>
  <c r="CJ59" i="1"/>
  <c r="CR59" i="1"/>
  <c r="CS59" i="1" s="1"/>
  <c r="CJ64" i="1"/>
  <c r="CR64" i="1"/>
  <c r="CS64" i="1" s="1"/>
  <c r="CJ62" i="1"/>
  <c r="CR62" i="1"/>
  <c r="CS62" i="1" s="1"/>
  <c r="CJ60" i="1"/>
  <c r="CR60" i="1"/>
  <c r="CS60" i="1" s="1"/>
  <c r="CJ63" i="1"/>
  <c r="CR63" i="1"/>
  <c r="CS63" i="1" s="1"/>
  <c r="CJ35" i="1"/>
  <c r="CR35" i="1"/>
  <c r="CS35" i="1" s="1"/>
  <c r="AL83" i="1"/>
  <c r="AT83" i="1"/>
  <c r="AU83" i="1" s="1"/>
  <c r="BZ86" i="1"/>
  <c r="CH86" i="1"/>
  <c r="CI86" i="1" s="1"/>
  <c r="CE10" i="1"/>
  <c r="CH10" i="1" s="1"/>
  <c r="CI10" i="1" s="1"/>
  <c r="CM10" i="1"/>
  <c r="CN10" i="1" s="1"/>
  <c r="BU21" i="1"/>
  <c r="CC21" i="1"/>
  <c r="CD21" i="1" s="1"/>
  <c r="BU25" i="1"/>
  <c r="CC25" i="1"/>
  <c r="CD25" i="1" s="1"/>
  <c r="BU19" i="1"/>
  <c r="CC19" i="1"/>
  <c r="CD19" i="1" s="1"/>
  <c r="BU18" i="1"/>
  <c r="CC18" i="1"/>
  <c r="CD18" i="1" s="1"/>
  <c r="BU31" i="1"/>
  <c r="CC31" i="1"/>
  <c r="CD31" i="1" s="1"/>
  <c r="BU28" i="1"/>
  <c r="CC28" i="1"/>
  <c r="CD28" i="1" s="1"/>
  <c r="BU20" i="1"/>
  <c r="CC20" i="1"/>
  <c r="CD20" i="1" s="1"/>
  <c r="BU17" i="1"/>
  <c r="CC17" i="1"/>
  <c r="CD17" i="1" s="1"/>
  <c r="CJ22" i="1"/>
  <c r="CR22" i="1"/>
  <c r="CS22" i="1" s="1"/>
  <c r="BZ36" i="1"/>
  <c r="BZ37" i="1"/>
  <c r="CI8" i="2"/>
  <c r="CQ8" i="2"/>
  <c r="CR8" i="2" s="1"/>
  <c r="CI9" i="2"/>
  <c r="CQ9" i="2"/>
  <c r="CR9" i="2" s="1"/>
  <c r="CI10" i="2"/>
  <c r="CQ10" i="2"/>
  <c r="CR10" i="2" s="1"/>
  <c r="CI11" i="2"/>
  <c r="CQ11" i="2"/>
  <c r="CR11" i="2" s="1"/>
  <c r="CI12" i="2"/>
  <c r="CQ12" i="2"/>
  <c r="CR12" i="2" s="1"/>
  <c r="CI13" i="2"/>
  <c r="CQ13" i="2"/>
  <c r="CR13" i="2" s="1"/>
  <c r="CI14" i="2"/>
  <c r="CQ14" i="2"/>
  <c r="CR14" i="2" s="1"/>
  <c r="CI15" i="2"/>
  <c r="CQ15" i="2"/>
  <c r="CR15" i="2" s="1"/>
  <c r="CI16" i="2"/>
  <c r="CQ16" i="2"/>
  <c r="CR16" i="2" s="1"/>
  <c r="CI17" i="2"/>
  <c r="CQ17" i="2"/>
  <c r="CR17" i="2" s="1"/>
  <c r="CI18" i="2"/>
  <c r="CQ18" i="2"/>
  <c r="CR18" i="2" s="1"/>
  <c r="CI19" i="2"/>
  <c r="CQ19" i="2"/>
  <c r="CR19" i="2" s="1"/>
  <c r="CI20" i="2"/>
  <c r="CQ20" i="2"/>
  <c r="CR20" i="2" s="1"/>
  <c r="CI21" i="2"/>
  <c r="CQ21" i="2"/>
  <c r="CR21" i="2" s="1"/>
  <c r="CI22" i="2"/>
  <c r="CQ22" i="2"/>
  <c r="CR22" i="2" s="1"/>
  <c r="CI23" i="2"/>
  <c r="CQ23" i="2"/>
  <c r="CR23" i="2" s="1"/>
  <c r="CI24" i="2"/>
  <c r="CQ24" i="2"/>
  <c r="CR24" i="2" s="1"/>
  <c r="CI25" i="2"/>
  <c r="CQ25" i="2"/>
  <c r="CR25" i="2" s="1"/>
  <c r="CI28" i="2"/>
  <c r="CQ28" i="2"/>
  <c r="CR28" i="2" s="1"/>
  <c r="CI29" i="2"/>
  <c r="CQ29" i="2"/>
  <c r="CR29" i="2" s="1"/>
  <c r="CI30" i="2"/>
  <c r="CQ30" i="2"/>
  <c r="CR30" i="2" s="1"/>
  <c r="CI31" i="2"/>
  <c r="CQ31" i="2"/>
  <c r="CR31" i="2" s="1"/>
  <c r="CI32" i="2"/>
  <c r="CQ32" i="2"/>
  <c r="CR32" i="2" s="1"/>
  <c r="CI33" i="2"/>
  <c r="CQ33" i="2"/>
  <c r="CR33" i="2" s="1"/>
  <c r="CI34" i="2"/>
  <c r="CQ34" i="2"/>
  <c r="CR34" i="2" s="1"/>
  <c r="CI35" i="2"/>
  <c r="CQ35" i="2"/>
  <c r="CR35" i="2" s="1"/>
  <c r="CI36" i="2"/>
  <c r="CQ36" i="2"/>
  <c r="CR36" i="2" s="1"/>
  <c r="CI47" i="2"/>
  <c r="CQ47" i="2"/>
  <c r="CR47" i="2" s="1"/>
  <c r="CI48" i="2"/>
  <c r="CQ48" i="2"/>
  <c r="CR48" i="2" s="1"/>
  <c r="CI49" i="2"/>
  <c r="CQ49" i="2"/>
  <c r="CR49" i="2" s="1"/>
  <c r="CI52" i="2"/>
  <c r="CQ52" i="2"/>
  <c r="CR52" i="2" s="1"/>
  <c r="CI53" i="2"/>
  <c r="CQ53" i="2"/>
  <c r="CR53" i="2" s="1"/>
  <c r="CI54" i="2"/>
  <c r="CQ54" i="2"/>
  <c r="CR54" i="2" s="1"/>
  <c r="CI55" i="2"/>
  <c r="CQ55" i="2"/>
  <c r="CR55" i="2" s="1"/>
  <c r="CI56" i="2"/>
  <c r="CQ56" i="2"/>
  <c r="CR56" i="2" s="1"/>
  <c r="BZ84" i="1"/>
  <c r="CR9" i="1"/>
  <c r="CS9" i="1" s="1"/>
  <c r="CJ9" i="1"/>
  <c r="BZ92" i="1" l="1"/>
  <c r="CH92" i="1"/>
  <c r="CI92" i="1" s="1"/>
  <c r="BZ93" i="1"/>
  <c r="CH93" i="1"/>
  <c r="CI93" i="1" s="1"/>
  <c r="BZ91" i="1"/>
  <c r="CH91" i="1"/>
  <c r="CI91" i="1" s="1"/>
  <c r="AL76" i="1"/>
  <c r="AT76" i="1"/>
  <c r="AU76" i="1" s="1"/>
  <c r="BZ153" i="1"/>
  <c r="CH153" i="1"/>
  <c r="CI153" i="1" s="1"/>
  <c r="BP156" i="1"/>
  <c r="BX156" i="1"/>
  <c r="BY156" i="1" s="1"/>
  <c r="BZ157" i="1"/>
  <c r="CH157" i="1"/>
  <c r="CI157" i="1" s="1"/>
  <c r="CH30" i="1"/>
  <c r="CI30" i="1" s="1"/>
  <c r="BZ30" i="1"/>
  <c r="CM68" i="1"/>
  <c r="CN68" i="1" s="1"/>
  <c r="CE68" i="1"/>
  <c r="CE67" i="1"/>
  <c r="CM67" i="1"/>
  <c r="CN67" i="1" s="1"/>
  <c r="BZ10" i="1"/>
  <c r="CC10" i="1" s="1"/>
  <c r="CD10" i="1" s="1"/>
  <c r="BU133" i="1"/>
  <c r="CC133" i="1"/>
  <c r="CD133" i="1" s="1"/>
  <c r="CH127" i="1"/>
  <c r="CI127" i="1" s="1"/>
  <c r="BZ127" i="1"/>
  <c r="BZ124" i="1"/>
  <c r="CH124" i="1"/>
  <c r="CI124" i="1" s="1"/>
  <c r="BP125" i="1"/>
  <c r="BX125" i="1"/>
  <c r="BY125" i="1" s="1"/>
  <c r="BZ130" i="1"/>
  <c r="CH130" i="1"/>
  <c r="CI130" i="1" s="1"/>
  <c r="AV128" i="1"/>
  <c r="BD128" i="1"/>
  <c r="BE128" i="1" s="1"/>
  <c r="BZ112" i="1"/>
  <c r="CH112" i="1"/>
  <c r="CI112" i="1" s="1"/>
  <c r="BZ105" i="1"/>
  <c r="CH105" i="1"/>
  <c r="CI105" i="1" s="1"/>
  <c r="BZ104" i="1"/>
  <c r="CH104" i="1"/>
  <c r="CI104" i="1" s="1"/>
  <c r="BZ106" i="1"/>
  <c r="CH106" i="1"/>
  <c r="CI106" i="1" s="1"/>
  <c r="BZ107" i="1"/>
  <c r="CH107" i="1"/>
  <c r="CI107" i="1" s="1"/>
  <c r="BZ121" i="1"/>
  <c r="CH121" i="1"/>
  <c r="CI121" i="1" s="1"/>
  <c r="BZ99" i="1"/>
  <c r="CH99" i="1"/>
  <c r="CI99" i="1" s="1"/>
  <c r="BZ117" i="1"/>
  <c r="CH117" i="1"/>
  <c r="CI117" i="1" s="1"/>
  <c r="BZ126" i="1"/>
  <c r="CH126" i="1"/>
  <c r="CI126" i="1" s="1"/>
  <c r="AG108" i="1"/>
  <c r="AO108" i="1"/>
  <c r="AP108" i="1" s="1"/>
  <c r="BZ123" i="1"/>
  <c r="CH123" i="1"/>
  <c r="CI123" i="1" s="1"/>
  <c r="CE63" i="1"/>
  <c r="CM63" i="1"/>
  <c r="CN63" i="1" s="1"/>
  <c r="CE64" i="1"/>
  <c r="CM64" i="1"/>
  <c r="CN64" i="1" s="1"/>
  <c r="CE62" i="1"/>
  <c r="CM62" i="1"/>
  <c r="CN62" i="1" s="1"/>
  <c r="CE60" i="1"/>
  <c r="CM60" i="1"/>
  <c r="CN60" i="1" s="1"/>
  <c r="CE59" i="1"/>
  <c r="CM59" i="1"/>
  <c r="CN59" i="1" s="1"/>
  <c r="CE35" i="1"/>
  <c r="CM35" i="1"/>
  <c r="CN35" i="1" s="1"/>
  <c r="AG83" i="1"/>
  <c r="AO83" i="1"/>
  <c r="AP83" i="1" s="1"/>
  <c r="BU86" i="1"/>
  <c r="CC86" i="1"/>
  <c r="CD86" i="1" s="1"/>
  <c r="BU84" i="1"/>
  <c r="CC84" i="1"/>
  <c r="CD84" i="1" s="1"/>
  <c r="BU37" i="1"/>
  <c r="CC37" i="1"/>
  <c r="CD37" i="1" s="1"/>
  <c r="BU36" i="1"/>
  <c r="CC36" i="1"/>
  <c r="CD36" i="1" s="1"/>
  <c r="CE22" i="1"/>
  <c r="CH22" i="1" s="1"/>
  <c r="CI22" i="1" s="1"/>
  <c r="CM22" i="1"/>
  <c r="CN22" i="1" s="1"/>
  <c r="CD56" i="2"/>
  <c r="CL56" i="2"/>
  <c r="CM56" i="2" s="1"/>
  <c r="CD55" i="2"/>
  <c r="CL55" i="2"/>
  <c r="CM55" i="2" s="1"/>
  <c r="CD54" i="2"/>
  <c r="CL54" i="2"/>
  <c r="CM54" i="2" s="1"/>
  <c r="CD53" i="2"/>
  <c r="CL53" i="2"/>
  <c r="CM53" i="2" s="1"/>
  <c r="CD52" i="2"/>
  <c r="CL52" i="2"/>
  <c r="CM52" i="2" s="1"/>
  <c r="CD49" i="2"/>
  <c r="CL49" i="2"/>
  <c r="CM49" i="2" s="1"/>
  <c r="CD48" i="2"/>
  <c r="CL48" i="2"/>
  <c r="CM48" i="2" s="1"/>
  <c r="CD47" i="2"/>
  <c r="CL47" i="2"/>
  <c r="CM47" i="2" s="1"/>
  <c r="CD36" i="2"/>
  <c r="CL36" i="2"/>
  <c r="CM36" i="2" s="1"/>
  <c r="CD35" i="2"/>
  <c r="CL35" i="2"/>
  <c r="CM35" i="2" s="1"/>
  <c r="CD34" i="2"/>
  <c r="CL34" i="2"/>
  <c r="CM34" i="2" s="1"/>
  <c r="CD33" i="2"/>
  <c r="CL33" i="2"/>
  <c r="CM33" i="2" s="1"/>
  <c r="CD32" i="2"/>
  <c r="CL32" i="2"/>
  <c r="CM32" i="2" s="1"/>
  <c r="CD31" i="2"/>
  <c r="CL31" i="2"/>
  <c r="CM31" i="2" s="1"/>
  <c r="CD30" i="2"/>
  <c r="CL30" i="2"/>
  <c r="CM30" i="2" s="1"/>
  <c r="CD29" i="2"/>
  <c r="CL29" i="2"/>
  <c r="CM29" i="2" s="1"/>
  <c r="CD28" i="2"/>
  <c r="CL28" i="2"/>
  <c r="CM28" i="2" s="1"/>
  <c r="CD25" i="2"/>
  <c r="CL25" i="2"/>
  <c r="CM25" i="2" s="1"/>
  <c r="CD24" i="2"/>
  <c r="CL24" i="2"/>
  <c r="CM24" i="2" s="1"/>
  <c r="CD23" i="2"/>
  <c r="CL23" i="2"/>
  <c r="CM23" i="2" s="1"/>
  <c r="CD22" i="2"/>
  <c r="CL22" i="2"/>
  <c r="CM22" i="2" s="1"/>
  <c r="CD21" i="2"/>
  <c r="CL21" i="2"/>
  <c r="CM21" i="2" s="1"/>
  <c r="CD20" i="2"/>
  <c r="CL20" i="2"/>
  <c r="CM20" i="2" s="1"/>
  <c r="CD19" i="2"/>
  <c r="CL19" i="2"/>
  <c r="CM19" i="2" s="1"/>
  <c r="CD18" i="2"/>
  <c r="CL18" i="2"/>
  <c r="CM18" i="2" s="1"/>
  <c r="CD17" i="2"/>
  <c r="CL17" i="2"/>
  <c r="CM17" i="2" s="1"/>
  <c r="CD16" i="2"/>
  <c r="CL16" i="2"/>
  <c r="CM16" i="2" s="1"/>
  <c r="CD15" i="2"/>
  <c r="CL15" i="2"/>
  <c r="CM15" i="2" s="1"/>
  <c r="CD14" i="2"/>
  <c r="CL14" i="2"/>
  <c r="CM14" i="2" s="1"/>
  <c r="CD13" i="2"/>
  <c r="CL13" i="2"/>
  <c r="CM13" i="2" s="1"/>
  <c r="CL12" i="2"/>
  <c r="CM12" i="2" s="1"/>
  <c r="CD12" i="2"/>
  <c r="CD11" i="2"/>
  <c r="CL11" i="2"/>
  <c r="CM11" i="2" s="1"/>
  <c r="CD10" i="2"/>
  <c r="CL10" i="2"/>
  <c r="CM10" i="2" s="1"/>
  <c r="CD9" i="2"/>
  <c r="CL9" i="2"/>
  <c r="CM9" i="2" s="1"/>
  <c r="CD8" i="2"/>
  <c r="CL8" i="2"/>
  <c r="CM8" i="2" s="1"/>
  <c r="BP17" i="1"/>
  <c r="BS17" i="1" s="1"/>
  <c r="BT17" i="1" s="1"/>
  <c r="BX17" i="1"/>
  <c r="BP20" i="1"/>
  <c r="BS20" i="1" s="1"/>
  <c r="BT20" i="1" s="1"/>
  <c r="BX20" i="1"/>
  <c r="BP28" i="1"/>
  <c r="BS28" i="1" s="1"/>
  <c r="BT28" i="1" s="1"/>
  <c r="BX28" i="1"/>
  <c r="BY28" i="1" s="1"/>
  <c r="BP31" i="1"/>
  <c r="BS31" i="1" s="1"/>
  <c r="BT31" i="1" s="1"/>
  <c r="BX31" i="1"/>
  <c r="BP18" i="1"/>
  <c r="BS18" i="1" s="1"/>
  <c r="BT18" i="1" s="1"/>
  <c r="BX18" i="1"/>
  <c r="BP19" i="1"/>
  <c r="BS19" i="1" s="1"/>
  <c r="BT19" i="1" s="1"/>
  <c r="BX19" i="1"/>
  <c r="BY19" i="1" s="1"/>
  <c r="BZ81" i="1"/>
  <c r="BZ82" i="1"/>
  <c r="BP25" i="1"/>
  <c r="BS25" i="1" s="1"/>
  <c r="BT25" i="1" s="1"/>
  <c r="BX25" i="1"/>
  <c r="BP21" i="1"/>
  <c r="BS21" i="1" s="1"/>
  <c r="BT21" i="1" s="1"/>
  <c r="BX21" i="1"/>
  <c r="BP78" i="1"/>
  <c r="BS78" i="1" s="1"/>
  <c r="BT78" i="1" s="1"/>
  <c r="CM9" i="1"/>
  <c r="CN9" i="1" s="1"/>
  <c r="CE9" i="1"/>
  <c r="BU92" i="1" l="1"/>
  <c r="CC92" i="1"/>
  <c r="CD92" i="1" s="1"/>
  <c r="BU93" i="1"/>
  <c r="CC93" i="1"/>
  <c r="CD93" i="1" s="1"/>
  <c r="BU91" i="1"/>
  <c r="CC91" i="1"/>
  <c r="CD91" i="1" s="1"/>
  <c r="AG76" i="1"/>
  <c r="AO76" i="1"/>
  <c r="AP76" i="1" s="1"/>
  <c r="BK156" i="1"/>
  <c r="BS156" i="1"/>
  <c r="BT156" i="1" s="1"/>
  <c r="BU157" i="1"/>
  <c r="CC157" i="1"/>
  <c r="CD157" i="1" s="1"/>
  <c r="BU153" i="1"/>
  <c r="CC153" i="1"/>
  <c r="CD153" i="1" s="1"/>
  <c r="CC30" i="1"/>
  <c r="CD30" i="1" s="1"/>
  <c r="BU30" i="1"/>
  <c r="CH68" i="1"/>
  <c r="CI68" i="1" s="1"/>
  <c r="BZ68" i="1"/>
  <c r="BZ67" i="1"/>
  <c r="CH67" i="1"/>
  <c r="CI67" i="1" s="1"/>
  <c r="BU10" i="1"/>
  <c r="BP10" i="1" s="1"/>
  <c r="BS10" i="1" s="1"/>
  <c r="BT10" i="1" s="1"/>
  <c r="BU112" i="1"/>
  <c r="CC112" i="1"/>
  <c r="CD112" i="1" s="1"/>
  <c r="BU130" i="1"/>
  <c r="CC130" i="1"/>
  <c r="CD130" i="1" s="1"/>
  <c r="BU124" i="1"/>
  <c r="CC124" i="1"/>
  <c r="CD124" i="1" s="1"/>
  <c r="AQ128" i="1"/>
  <c r="AY128" i="1"/>
  <c r="AZ128" i="1" s="1"/>
  <c r="BK125" i="1"/>
  <c r="BS125" i="1"/>
  <c r="BT125" i="1" s="1"/>
  <c r="CC127" i="1"/>
  <c r="CD127" i="1" s="1"/>
  <c r="BU127" i="1"/>
  <c r="BP133" i="1"/>
  <c r="BX133" i="1"/>
  <c r="BY133" i="1" s="1"/>
  <c r="BU126" i="1"/>
  <c r="CC126" i="1"/>
  <c r="CD126" i="1" s="1"/>
  <c r="BU107" i="1"/>
  <c r="CC107" i="1"/>
  <c r="CD107" i="1" s="1"/>
  <c r="BU104" i="1"/>
  <c r="CC104" i="1"/>
  <c r="CD104" i="1" s="1"/>
  <c r="AB108" i="1"/>
  <c r="AJ108" i="1"/>
  <c r="AK108" i="1" s="1"/>
  <c r="BU117" i="1"/>
  <c r="CC117" i="1"/>
  <c r="CD117" i="1" s="1"/>
  <c r="BU105" i="1"/>
  <c r="CC105" i="1"/>
  <c r="CD105" i="1" s="1"/>
  <c r="BU123" i="1"/>
  <c r="CC123" i="1"/>
  <c r="CD123" i="1" s="1"/>
  <c r="BU99" i="1"/>
  <c r="CC99" i="1"/>
  <c r="CD99" i="1" s="1"/>
  <c r="BU121" i="1"/>
  <c r="CC121" i="1"/>
  <c r="CD121" i="1" s="1"/>
  <c r="BU106" i="1"/>
  <c r="CC106" i="1"/>
  <c r="CD106" i="1" s="1"/>
  <c r="CH59" i="1"/>
  <c r="CI59" i="1" s="1"/>
  <c r="BZ59" i="1"/>
  <c r="BZ64" i="1"/>
  <c r="CH64" i="1"/>
  <c r="CI64" i="1" s="1"/>
  <c r="CH62" i="1"/>
  <c r="CI62" i="1" s="1"/>
  <c r="BZ62" i="1"/>
  <c r="BZ60" i="1"/>
  <c r="CH60" i="1"/>
  <c r="CI60" i="1" s="1"/>
  <c r="BZ63" i="1"/>
  <c r="CH63" i="1"/>
  <c r="CI63" i="1" s="1"/>
  <c r="BZ35" i="1"/>
  <c r="CH35" i="1"/>
  <c r="CI35" i="1" s="1"/>
  <c r="AB83" i="1"/>
  <c r="AJ83" i="1"/>
  <c r="AK83" i="1" s="1"/>
  <c r="BP86" i="1"/>
  <c r="BX86" i="1"/>
  <c r="BY86" i="1" s="1"/>
  <c r="BU82" i="1"/>
  <c r="CC82" i="1"/>
  <c r="CD82" i="1" s="1"/>
  <c r="BU81" i="1"/>
  <c r="CC81" i="1"/>
  <c r="CD81" i="1" s="1"/>
  <c r="BZ34" i="1"/>
  <c r="BZ57" i="1"/>
  <c r="BZ56" i="1"/>
  <c r="BZ65" i="1"/>
  <c r="BZ87" i="1"/>
  <c r="BZ53" i="1"/>
  <c r="BZ42" i="1"/>
  <c r="BZ40" i="1"/>
  <c r="BZ39" i="1"/>
  <c r="BZ43" i="1"/>
  <c r="BZ41" i="1"/>
  <c r="BZ47" i="1"/>
  <c r="BZ48" i="1"/>
  <c r="BZ49" i="1"/>
  <c r="BZ46" i="1"/>
  <c r="BZ50" i="1"/>
  <c r="BZ51" i="1"/>
  <c r="BZ52" i="1"/>
  <c r="BZ54" i="1"/>
  <c r="BZ29" i="1"/>
  <c r="BP36" i="1"/>
  <c r="BS36" i="1" s="1"/>
  <c r="BT36" i="1" s="1"/>
  <c r="BX36" i="1"/>
  <c r="BY36" i="1" s="1"/>
  <c r="BP37" i="1"/>
  <c r="BS37" i="1" s="1"/>
  <c r="BT37" i="1" s="1"/>
  <c r="BX37" i="1"/>
  <c r="BY37" i="1" s="1"/>
  <c r="BY8" i="2"/>
  <c r="CG8" i="2"/>
  <c r="CH8" i="2" s="1"/>
  <c r="BY9" i="2"/>
  <c r="CG9" i="2"/>
  <c r="CH9" i="2" s="1"/>
  <c r="BY10" i="2"/>
  <c r="CG10" i="2"/>
  <c r="CH10" i="2" s="1"/>
  <c r="BY11" i="2"/>
  <c r="CG11" i="2"/>
  <c r="CH11" i="2" s="1"/>
  <c r="BY12" i="2"/>
  <c r="CG12" i="2"/>
  <c r="CH12" i="2" s="1"/>
  <c r="BY13" i="2"/>
  <c r="CG13" i="2"/>
  <c r="CH13" i="2" s="1"/>
  <c r="BY14" i="2"/>
  <c r="CG14" i="2"/>
  <c r="CH14" i="2" s="1"/>
  <c r="BY15" i="2"/>
  <c r="CG15" i="2"/>
  <c r="CH15" i="2" s="1"/>
  <c r="BY16" i="2"/>
  <c r="CG16" i="2"/>
  <c r="CH16" i="2" s="1"/>
  <c r="BY17" i="2"/>
  <c r="CG17" i="2"/>
  <c r="CH17" i="2" s="1"/>
  <c r="BY18" i="2"/>
  <c r="CG18" i="2"/>
  <c r="CH18" i="2" s="1"/>
  <c r="BY19" i="2"/>
  <c r="CG19" i="2"/>
  <c r="CH19" i="2" s="1"/>
  <c r="BY20" i="2"/>
  <c r="CG20" i="2"/>
  <c r="CH20" i="2" s="1"/>
  <c r="BY21" i="2"/>
  <c r="CG21" i="2"/>
  <c r="CH21" i="2" s="1"/>
  <c r="BY22" i="2"/>
  <c r="CG22" i="2"/>
  <c r="CH22" i="2" s="1"/>
  <c r="BY23" i="2"/>
  <c r="CG23" i="2"/>
  <c r="CH23" i="2" s="1"/>
  <c r="BY24" i="2"/>
  <c r="CG24" i="2"/>
  <c r="CH24" i="2" s="1"/>
  <c r="BY25" i="2"/>
  <c r="CG25" i="2"/>
  <c r="CH25" i="2" s="1"/>
  <c r="BY28" i="2"/>
  <c r="CG28" i="2"/>
  <c r="CH28" i="2" s="1"/>
  <c r="BY29" i="2"/>
  <c r="CG29" i="2"/>
  <c r="CH29" i="2" s="1"/>
  <c r="BY30" i="2"/>
  <c r="CG30" i="2"/>
  <c r="CH30" i="2" s="1"/>
  <c r="BY31" i="2"/>
  <c r="CG31" i="2"/>
  <c r="CH31" i="2" s="1"/>
  <c r="BY32" i="2"/>
  <c r="CG32" i="2"/>
  <c r="CH32" i="2" s="1"/>
  <c r="BY33" i="2"/>
  <c r="CG33" i="2"/>
  <c r="CH33" i="2" s="1"/>
  <c r="BY34" i="2"/>
  <c r="CG34" i="2"/>
  <c r="CH34" i="2" s="1"/>
  <c r="BY35" i="2"/>
  <c r="CG35" i="2"/>
  <c r="CH35" i="2" s="1"/>
  <c r="BY36" i="2"/>
  <c r="CG36" i="2"/>
  <c r="CH36" i="2" s="1"/>
  <c r="BY47" i="2"/>
  <c r="CG47" i="2"/>
  <c r="CH47" i="2" s="1"/>
  <c r="BY48" i="2"/>
  <c r="CG48" i="2"/>
  <c r="CH48" i="2" s="1"/>
  <c r="BY49" i="2"/>
  <c r="CG49" i="2"/>
  <c r="CH49" i="2" s="1"/>
  <c r="BY52" i="2"/>
  <c r="CG52" i="2"/>
  <c r="CH52" i="2" s="1"/>
  <c r="BY53" i="2"/>
  <c r="CG53" i="2"/>
  <c r="CH53" i="2" s="1"/>
  <c r="BY54" i="2"/>
  <c r="CG54" i="2"/>
  <c r="CH54" i="2" s="1"/>
  <c r="BY55" i="2"/>
  <c r="CG55" i="2"/>
  <c r="CH55" i="2" s="1"/>
  <c r="BY56" i="2"/>
  <c r="CG56" i="2"/>
  <c r="CH56" i="2" s="1"/>
  <c r="BK17" i="1"/>
  <c r="BK20" i="1"/>
  <c r="BK31" i="1"/>
  <c r="BK28" i="1"/>
  <c r="BK19" i="1"/>
  <c r="BK18" i="1"/>
  <c r="BZ79" i="1"/>
  <c r="BP84" i="1"/>
  <c r="BS84" i="1" s="1"/>
  <c r="BT84" i="1" s="1"/>
  <c r="BX84" i="1"/>
  <c r="BY84" i="1" s="1"/>
  <c r="BZ80" i="1"/>
  <c r="BK25" i="1"/>
  <c r="BK21" i="1"/>
  <c r="BK78" i="1"/>
  <c r="CH9" i="1"/>
  <c r="CI9" i="1" s="1"/>
  <c r="BZ9" i="1"/>
  <c r="CC9" i="1" s="1"/>
  <c r="BZ77" i="1"/>
  <c r="BP92" i="1" l="1"/>
  <c r="BX92" i="1"/>
  <c r="BY92" i="1" s="1"/>
  <c r="BP93" i="1"/>
  <c r="BX93" i="1"/>
  <c r="BY93" i="1" s="1"/>
  <c r="BP91" i="1"/>
  <c r="BX91" i="1"/>
  <c r="BY91" i="1" s="1"/>
  <c r="AB76" i="1"/>
  <c r="AJ76" i="1"/>
  <c r="AK76" i="1" s="1"/>
  <c r="BP157" i="1"/>
  <c r="BX157" i="1"/>
  <c r="BY157" i="1" s="1"/>
  <c r="BP153" i="1"/>
  <c r="BX153" i="1"/>
  <c r="BY153" i="1" s="1"/>
  <c r="BF156" i="1"/>
  <c r="BN156" i="1"/>
  <c r="BO156" i="1" s="1"/>
  <c r="BX30" i="1"/>
  <c r="BY30" i="1" s="1"/>
  <c r="BP30" i="1"/>
  <c r="BX10" i="1"/>
  <c r="BY10" i="1" s="1"/>
  <c r="CC68" i="1"/>
  <c r="CD68" i="1" s="1"/>
  <c r="BU68" i="1"/>
  <c r="BU67" i="1"/>
  <c r="CC67" i="1"/>
  <c r="CD67" i="1" s="1"/>
  <c r="BK133" i="1"/>
  <c r="BS133" i="1"/>
  <c r="BT133" i="1" s="1"/>
  <c r="AL128" i="1"/>
  <c r="AT128" i="1"/>
  <c r="AU128" i="1" s="1"/>
  <c r="BP130" i="1"/>
  <c r="BX130" i="1"/>
  <c r="BY130" i="1" s="1"/>
  <c r="BP127" i="1"/>
  <c r="BX127" i="1"/>
  <c r="BY127" i="1" s="1"/>
  <c r="BF125" i="1"/>
  <c r="BN125" i="1"/>
  <c r="BO125" i="1" s="1"/>
  <c r="BP124" i="1"/>
  <c r="BX124" i="1"/>
  <c r="BY124" i="1" s="1"/>
  <c r="BP112" i="1"/>
  <c r="BX112" i="1"/>
  <c r="BY112" i="1" s="1"/>
  <c r="BP121" i="1"/>
  <c r="BX121" i="1"/>
  <c r="BY121" i="1" s="1"/>
  <c r="BP123" i="1"/>
  <c r="BX123" i="1"/>
  <c r="BY123" i="1" s="1"/>
  <c r="BP126" i="1"/>
  <c r="BX126" i="1"/>
  <c r="BY126" i="1" s="1"/>
  <c r="BP105" i="1"/>
  <c r="BX105" i="1"/>
  <c r="BY105" i="1" s="1"/>
  <c r="W108" i="1"/>
  <c r="Z108" i="1" s="1"/>
  <c r="AA108" i="1" s="1"/>
  <c r="AE108" i="1"/>
  <c r="AF108" i="1" s="1"/>
  <c r="BP107" i="1"/>
  <c r="BX107" i="1"/>
  <c r="BY107" i="1" s="1"/>
  <c r="BP106" i="1"/>
  <c r="BX106" i="1"/>
  <c r="BY106" i="1" s="1"/>
  <c r="BP99" i="1"/>
  <c r="BX99" i="1"/>
  <c r="BY99" i="1" s="1"/>
  <c r="BP117" i="1"/>
  <c r="BX117" i="1"/>
  <c r="BY117" i="1" s="1"/>
  <c r="BP104" i="1"/>
  <c r="BX104" i="1"/>
  <c r="BY104" i="1" s="1"/>
  <c r="BU63" i="1"/>
  <c r="CC63" i="1"/>
  <c r="CD63" i="1" s="1"/>
  <c r="BU62" i="1"/>
  <c r="CC62" i="1"/>
  <c r="CD62" i="1" s="1"/>
  <c r="CC64" i="1"/>
  <c r="CD64" i="1" s="1"/>
  <c r="BU64" i="1"/>
  <c r="CC59" i="1"/>
  <c r="CD59" i="1" s="1"/>
  <c r="BU59" i="1"/>
  <c r="BU60" i="1"/>
  <c r="CC60" i="1"/>
  <c r="CD60" i="1" s="1"/>
  <c r="BU35" i="1"/>
  <c r="CC35" i="1"/>
  <c r="CD35" i="1" s="1"/>
  <c r="AE83" i="1"/>
  <c r="AF83" i="1" s="1"/>
  <c r="W83" i="1"/>
  <c r="Z83" i="1" s="1"/>
  <c r="AA83" i="1" s="1"/>
  <c r="BK86" i="1"/>
  <c r="BS86" i="1"/>
  <c r="BT86" i="1" s="1"/>
  <c r="BU77" i="1"/>
  <c r="CC77" i="1"/>
  <c r="CD77" i="1" s="1"/>
  <c r="BU80" i="1"/>
  <c r="CC80" i="1"/>
  <c r="CD80" i="1" s="1"/>
  <c r="BU79" i="1"/>
  <c r="CC79" i="1"/>
  <c r="CD79" i="1" s="1"/>
  <c r="BU29" i="1"/>
  <c r="CC29" i="1"/>
  <c r="CD29" i="1" s="1"/>
  <c r="BU54" i="1"/>
  <c r="CC54" i="1"/>
  <c r="CD54" i="1" s="1"/>
  <c r="BU52" i="1"/>
  <c r="CC52" i="1"/>
  <c r="CD52" i="1" s="1"/>
  <c r="BU51" i="1"/>
  <c r="CC51" i="1"/>
  <c r="CD51" i="1" s="1"/>
  <c r="BU50" i="1"/>
  <c r="CC50" i="1"/>
  <c r="CD50" i="1" s="1"/>
  <c r="BU46" i="1"/>
  <c r="CC46" i="1"/>
  <c r="CD46" i="1" s="1"/>
  <c r="BU49" i="1"/>
  <c r="CC49" i="1"/>
  <c r="CD49" i="1" s="1"/>
  <c r="BU48" i="1"/>
  <c r="CC48" i="1"/>
  <c r="CD48" i="1" s="1"/>
  <c r="BU47" i="1"/>
  <c r="CC47" i="1"/>
  <c r="CD47" i="1" s="1"/>
  <c r="BU41" i="1"/>
  <c r="CC41" i="1"/>
  <c r="CD41" i="1" s="1"/>
  <c r="BU43" i="1"/>
  <c r="CC43" i="1"/>
  <c r="CD43" i="1" s="1"/>
  <c r="BU39" i="1"/>
  <c r="CC39" i="1"/>
  <c r="CD39" i="1" s="1"/>
  <c r="BU40" i="1"/>
  <c r="CC40" i="1"/>
  <c r="CD40" i="1" s="1"/>
  <c r="BU42" i="1"/>
  <c r="CC42" i="1"/>
  <c r="CD42" i="1" s="1"/>
  <c r="BU53" i="1"/>
  <c r="CC53" i="1"/>
  <c r="CD53" i="1" s="1"/>
  <c r="BU87" i="1"/>
  <c r="CC87" i="1"/>
  <c r="CD87" i="1" s="1"/>
  <c r="BU65" i="1"/>
  <c r="CC65" i="1"/>
  <c r="CD65" i="1" s="1"/>
  <c r="BU56" i="1"/>
  <c r="CC56" i="1"/>
  <c r="CD56" i="1" s="1"/>
  <c r="BU57" i="1"/>
  <c r="CC57" i="1"/>
  <c r="CD57" i="1" s="1"/>
  <c r="BU34" i="1"/>
  <c r="CC34" i="1"/>
  <c r="CD34" i="1" s="1"/>
  <c r="BK36" i="1"/>
  <c r="BK37" i="1"/>
  <c r="BT56" i="2"/>
  <c r="CB56" i="2"/>
  <c r="CC56" i="2" s="1"/>
  <c r="BT55" i="2"/>
  <c r="CB55" i="2"/>
  <c r="CC55" i="2" s="1"/>
  <c r="BT54" i="2"/>
  <c r="CB54" i="2"/>
  <c r="CC54" i="2" s="1"/>
  <c r="BT53" i="2"/>
  <c r="CB53" i="2"/>
  <c r="CC53" i="2" s="1"/>
  <c r="BT52" i="2"/>
  <c r="CB52" i="2"/>
  <c r="CC52" i="2" s="1"/>
  <c r="BT49" i="2"/>
  <c r="CB49" i="2"/>
  <c r="CC49" i="2" s="1"/>
  <c r="BT48" i="2"/>
  <c r="CB48" i="2"/>
  <c r="CC48" i="2" s="1"/>
  <c r="BT47" i="2"/>
  <c r="CB47" i="2"/>
  <c r="CC47" i="2" s="1"/>
  <c r="BT36" i="2"/>
  <c r="CB36" i="2"/>
  <c r="CC36" i="2" s="1"/>
  <c r="BT35" i="2"/>
  <c r="CB35" i="2"/>
  <c r="CC35" i="2" s="1"/>
  <c r="BT34" i="2"/>
  <c r="CB34" i="2"/>
  <c r="CC34" i="2" s="1"/>
  <c r="BT33" i="2"/>
  <c r="CB33" i="2"/>
  <c r="CC33" i="2" s="1"/>
  <c r="BT32" i="2"/>
  <c r="CB32" i="2"/>
  <c r="CC32" i="2" s="1"/>
  <c r="BT31" i="2"/>
  <c r="CB31" i="2"/>
  <c r="CC31" i="2" s="1"/>
  <c r="BT30" i="2"/>
  <c r="CB30" i="2"/>
  <c r="CC30" i="2" s="1"/>
  <c r="BT29" i="2"/>
  <c r="CB29" i="2"/>
  <c r="CC29" i="2" s="1"/>
  <c r="BT28" i="2"/>
  <c r="CB28" i="2"/>
  <c r="CC28" i="2" s="1"/>
  <c r="BT25" i="2"/>
  <c r="CB25" i="2"/>
  <c r="CC25" i="2" s="1"/>
  <c r="BT24" i="2"/>
  <c r="CB24" i="2"/>
  <c r="CC24" i="2" s="1"/>
  <c r="BT23" i="2"/>
  <c r="CB23" i="2"/>
  <c r="CC23" i="2" s="1"/>
  <c r="BT22" i="2"/>
  <c r="CB22" i="2"/>
  <c r="CC22" i="2" s="1"/>
  <c r="BT21" i="2"/>
  <c r="CB21" i="2"/>
  <c r="CC21" i="2" s="1"/>
  <c r="BT20" i="2"/>
  <c r="CB20" i="2"/>
  <c r="CC20" i="2" s="1"/>
  <c r="BT19" i="2"/>
  <c r="CB19" i="2"/>
  <c r="CC19" i="2" s="1"/>
  <c r="BT18" i="2"/>
  <c r="CB18" i="2"/>
  <c r="CC18" i="2" s="1"/>
  <c r="BT17" i="2"/>
  <c r="CB17" i="2"/>
  <c r="CC17" i="2" s="1"/>
  <c r="BT16" i="2"/>
  <c r="CB16" i="2"/>
  <c r="CC16" i="2" s="1"/>
  <c r="BT15" i="2"/>
  <c r="CB15" i="2"/>
  <c r="CC15" i="2" s="1"/>
  <c r="BT14" i="2"/>
  <c r="CB14" i="2"/>
  <c r="CC14" i="2" s="1"/>
  <c r="BT13" i="2"/>
  <c r="CB13" i="2"/>
  <c r="CC13" i="2" s="1"/>
  <c r="CB12" i="2"/>
  <c r="CC12" i="2" s="1"/>
  <c r="BT12" i="2"/>
  <c r="BT11" i="2"/>
  <c r="CB11" i="2"/>
  <c r="CC11" i="2" s="1"/>
  <c r="BT10" i="2"/>
  <c r="CB10" i="2"/>
  <c r="CC10" i="2" s="1"/>
  <c r="BT9" i="2"/>
  <c r="CB9" i="2"/>
  <c r="CC9" i="2" s="1"/>
  <c r="BT8" i="2"/>
  <c r="CB8" i="2"/>
  <c r="CC8" i="2" s="1"/>
  <c r="BF17" i="1"/>
  <c r="BN17" i="1"/>
  <c r="BF20" i="1"/>
  <c r="BN20" i="1"/>
  <c r="BF28" i="1"/>
  <c r="BN28" i="1"/>
  <c r="BO28" i="1" s="1"/>
  <c r="BF31" i="1"/>
  <c r="BN31" i="1"/>
  <c r="BF18" i="1"/>
  <c r="BN18" i="1"/>
  <c r="BF19" i="1"/>
  <c r="BN19" i="1"/>
  <c r="BO19" i="1" s="1"/>
  <c r="BP81" i="1"/>
  <c r="BS81" i="1" s="1"/>
  <c r="BT81" i="1" s="1"/>
  <c r="BX81" i="1"/>
  <c r="BY81" i="1" s="1"/>
  <c r="BK84" i="1"/>
  <c r="BP82" i="1"/>
  <c r="BS82" i="1" s="1"/>
  <c r="BT82" i="1" s="1"/>
  <c r="BX82" i="1"/>
  <c r="BY82" i="1" s="1"/>
  <c r="BY31" i="1"/>
  <c r="BF25" i="1"/>
  <c r="BN25" i="1"/>
  <c r="BF21" i="1"/>
  <c r="BN21" i="1"/>
  <c r="BF78" i="1"/>
  <c r="BN78" i="1"/>
  <c r="BO78" i="1" s="1"/>
  <c r="CD9" i="1"/>
  <c r="BU9" i="1"/>
  <c r="BK10" i="1"/>
  <c r="BK92" i="1" l="1"/>
  <c r="BS92" i="1"/>
  <c r="BT92" i="1" s="1"/>
  <c r="BK93" i="1"/>
  <c r="BS93" i="1"/>
  <c r="BT93" i="1" s="1"/>
  <c r="BK91" i="1"/>
  <c r="BS91" i="1"/>
  <c r="BT91" i="1" s="1"/>
  <c r="W76" i="1"/>
  <c r="Z76" i="1" s="1"/>
  <c r="AA76" i="1" s="1"/>
  <c r="AE76" i="1"/>
  <c r="AF76" i="1" s="1"/>
  <c r="BK153" i="1"/>
  <c r="BS153" i="1"/>
  <c r="BT153" i="1" s="1"/>
  <c r="BA156" i="1"/>
  <c r="BI156" i="1"/>
  <c r="BJ156" i="1" s="1"/>
  <c r="BK157" i="1"/>
  <c r="BS157" i="1"/>
  <c r="BT157" i="1" s="1"/>
  <c r="BS30" i="1"/>
  <c r="BT30" i="1" s="1"/>
  <c r="BK30" i="1"/>
  <c r="BX68" i="1"/>
  <c r="BY68" i="1" s="1"/>
  <c r="BP68" i="1"/>
  <c r="BP67" i="1"/>
  <c r="BX67" i="1"/>
  <c r="BY67" i="1" s="1"/>
  <c r="BK112" i="1"/>
  <c r="BS112" i="1"/>
  <c r="BT112" i="1" s="1"/>
  <c r="BA125" i="1"/>
  <c r="BI125" i="1"/>
  <c r="BJ125" i="1" s="1"/>
  <c r="AG128" i="1"/>
  <c r="AO128" i="1"/>
  <c r="AP128" i="1" s="1"/>
  <c r="BK130" i="1"/>
  <c r="BS130" i="1"/>
  <c r="BT130" i="1" s="1"/>
  <c r="BK124" i="1"/>
  <c r="BS124" i="1"/>
  <c r="BT124" i="1" s="1"/>
  <c r="BS127" i="1"/>
  <c r="BT127" i="1" s="1"/>
  <c r="BK127" i="1"/>
  <c r="BF133" i="1"/>
  <c r="BN133" i="1"/>
  <c r="BO133" i="1" s="1"/>
  <c r="BK123" i="1"/>
  <c r="BS123" i="1"/>
  <c r="BT123" i="1" s="1"/>
  <c r="BK104" i="1"/>
  <c r="BS104" i="1"/>
  <c r="BT104" i="1" s="1"/>
  <c r="BK117" i="1"/>
  <c r="BS117" i="1"/>
  <c r="BT117" i="1" s="1"/>
  <c r="BK99" i="1"/>
  <c r="BS99" i="1"/>
  <c r="BT99" i="1" s="1"/>
  <c r="BK107" i="1"/>
  <c r="BS107" i="1"/>
  <c r="BT107" i="1" s="1"/>
  <c r="BK105" i="1"/>
  <c r="BS105" i="1"/>
  <c r="BT105" i="1" s="1"/>
  <c r="BK121" i="1"/>
  <c r="BS121" i="1"/>
  <c r="BT121" i="1" s="1"/>
  <c r="BK106" i="1"/>
  <c r="BS106" i="1"/>
  <c r="BT106" i="1" s="1"/>
  <c r="BK126" i="1"/>
  <c r="BS126" i="1"/>
  <c r="BT126" i="1" s="1"/>
  <c r="BP60" i="1"/>
  <c r="BX60" i="1"/>
  <c r="BY60" i="1" s="1"/>
  <c r="BP64" i="1"/>
  <c r="BX64" i="1"/>
  <c r="BY64" i="1" s="1"/>
  <c r="BX62" i="1"/>
  <c r="BY62" i="1" s="1"/>
  <c r="BP62" i="1"/>
  <c r="BX59" i="1"/>
  <c r="BY59" i="1" s="1"/>
  <c r="BP59" i="1"/>
  <c r="BP63" i="1"/>
  <c r="BX63" i="1"/>
  <c r="BY63" i="1" s="1"/>
  <c r="BP35" i="1"/>
  <c r="BX35" i="1"/>
  <c r="BY35" i="1" s="1"/>
  <c r="BF86" i="1"/>
  <c r="BN86" i="1"/>
  <c r="BO86" i="1" s="1"/>
  <c r="BP34" i="1"/>
  <c r="BS34" i="1" s="1"/>
  <c r="BT34" i="1" s="1"/>
  <c r="BX34" i="1"/>
  <c r="BY34" i="1" s="1"/>
  <c r="BP57" i="1"/>
  <c r="BS57" i="1" s="1"/>
  <c r="BT57" i="1" s="1"/>
  <c r="BX57" i="1"/>
  <c r="BY57" i="1" s="1"/>
  <c r="BP56" i="1"/>
  <c r="BS56" i="1" s="1"/>
  <c r="BT56" i="1" s="1"/>
  <c r="BX56" i="1"/>
  <c r="BY56" i="1" s="1"/>
  <c r="BP65" i="1"/>
  <c r="BS65" i="1" s="1"/>
  <c r="BT65" i="1" s="1"/>
  <c r="BX65" i="1"/>
  <c r="BY65" i="1" s="1"/>
  <c r="BP87" i="1"/>
  <c r="BS87" i="1" s="1"/>
  <c r="BT87" i="1" s="1"/>
  <c r="BX87" i="1"/>
  <c r="BY87" i="1" s="1"/>
  <c r="BP53" i="1"/>
  <c r="BS53" i="1" s="1"/>
  <c r="BT53" i="1" s="1"/>
  <c r="BX53" i="1"/>
  <c r="BY53" i="1" s="1"/>
  <c r="BP42" i="1"/>
  <c r="BS42" i="1" s="1"/>
  <c r="BT42" i="1" s="1"/>
  <c r="BX42" i="1"/>
  <c r="BY42" i="1" s="1"/>
  <c r="BP40" i="1"/>
  <c r="BS40" i="1" s="1"/>
  <c r="BT40" i="1" s="1"/>
  <c r="BX40" i="1"/>
  <c r="BY40" i="1" s="1"/>
  <c r="BP39" i="1"/>
  <c r="BS39" i="1" s="1"/>
  <c r="BT39" i="1" s="1"/>
  <c r="BX39" i="1"/>
  <c r="BY39" i="1" s="1"/>
  <c r="BP43" i="1"/>
  <c r="BS43" i="1" s="1"/>
  <c r="BT43" i="1" s="1"/>
  <c r="BX43" i="1"/>
  <c r="BY43" i="1" s="1"/>
  <c r="BP41" i="1"/>
  <c r="BS41" i="1" s="1"/>
  <c r="BT41" i="1" s="1"/>
  <c r="BX41" i="1"/>
  <c r="BY41" i="1" s="1"/>
  <c r="BP47" i="1"/>
  <c r="BS47" i="1" s="1"/>
  <c r="BT47" i="1" s="1"/>
  <c r="BX47" i="1"/>
  <c r="BY47" i="1" s="1"/>
  <c r="BP48" i="1"/>
  <c r="BS48" i="1" s="1"/>
  <c r="BT48" i="1" s="1"/>
  <c r="BX48" i="1"/>
  <c r="BY48" i="1" s="1"/>
  <c r="BP49" i="1"/>
  <c r="BS49" i="1" s="1"/>
  <c r="BT49" i="1" s="1"/>
  <c r="BX49" i="1"/>
  <c r="BY49" i="1" s="1"/>
  <c r="BP46" i="1"/>
  <c r="BS46" i="1" s="1"/>
  <c r="BT46" i="1" s="1"/>
  <c r="BX46" i="1"/>
  <c r="BY46" i="1" s="1"/>
  <c r="BP50" i="1"/>
  <c r="BS50" i="1" s="1"/>
  <c r="BT50" i="1" s="1"/>
  <c r="BX50" i="1"/>
  <c r="BY50" i="1" s="1"/>
  <c r="BP51" i="1"/>
  <c r="BS51" i="1" s="1"/>
  <c r="BT51" i="1" s="1"/>
  <c r="BX51" i="1"/>
  <c r="BY51" i="1" s="1"/>
  <c r="BP52" i="1"/>
  <c r="BS52" i="1" s="1"/>
  <c r="BT52" i="1" s="1"/>
  <c r="BX52" i="1"/>
  <c r="BY52" i="1" s="1"/>
  <c r="BP54" i="1"/>
  <c r="BS54" i="1" s="1"/>
  <c r="BT54" i="1" s="1"/>
  <c r="BX54" i="1"/>
  <c r="BY54" i="1" s="1"/>
  <c r="BP29" i="1"/>
  <c r="BS29" i="1" s="1"/>
  <c r="BT29" i="1" s="1"/>
  <c r="BX29" i="1"/>
  <c r="BY29" i="1" s="1"/>
  <c r="BF36" i="1"/>
  <c r="BN36" i="1"/>
  <c r="BO36" i="1" s="1"/>
  <c r="BF37" i="1"/>
  <c r="BN37" i="1"/>
  <c r="BO37" i="1" s="1"/>
  <c r="BO8" i="2"/>
  <c r="BW8" i="2"/>
  <c r="BX8" i="2" s="1"/>
  <c r="BO9" i="2"/>
  <c r="BW9" i="2"/>
  <c r="BX9" i="2" s="1"/>
  <c r="BO10" i="2"/>
  <c r="BW10" i="2"/>
  <c r="BX10" i="2" s="1"/>
  <c r="BO11" i="2"/>
  <c r="BW11" i="2"/>
  <c r="BX11" i="2" s="1"/>
  <c r="BO12" i="2"/>
  <c r="BW12" i="2"/>
  <c r="BX12" i="2" s="1"/>
  <c r="BO13" i="2"/>
  <c r="BW13" i="2"/>
  <c r="BX13" i="2" s="1"/>
  <c r="BO14" i="2"/>
  <c r="BW14" i="2"/>
  <c r="BX14" i="2" s="1"/>
  <c r="BO15" i="2"/>
  <c r="BW15" i="2"/>
  <c r="BX15" i="2" s="1"/>
  <c r="BO16" i="2"/>
  <c r="BW16" i="2"/>
  <c r="BX16" i="2" s="1"/>
  <c r="BO17" i="2"/>
  <c r="BW17" i="2"/>
  <c r="BX17" i="2" s="1"/>
  <c r="BO18" i="2"/>
  <c r="BW18" i="2"/>
  <c r="BX18" i="2" s="1"/>
  <c r="BO19" i="2"/>
  <c r="BW19" i="2"/>
  <c r="BX19" i="2" s="1"/>
  <c r="BO20" i="2"/>
  <c r="BW20" i="2"/>
  <c r="BX20" i="2" s="1"/>
  <c r="BO21" i="2"/>
  <c r="BW21" i="2"/>
  <c r="BX21" i="2" s="1"/>
  <c r="BO22" i="2"/>
  <c r="BW22" i="2"/>
  <c r="BX22" i="2" s="1"/>
  <c r="BO23" i="2"/>
  <c r="BW23" i="2"/>
  <c r="BX23" i="2" s="1"/>
  <c r="BO24" i="2"/>
  <c r="BW24" i="2"/>
  <c r="BX24" i="2" s="1"/>
  <c r="BO25" i="2"/>
  <c r="BW25" i="2"/>
  <c r="BX25" i="2" s="1"/>
  <c r="BO28" i="2"/>
  <c r="BW28" i="2"/>
  <c r="BX28" i="2" s="1"/>
  <c r="BO29" i="2"/>
  <c r="BW29" i="2"/>
  <c r="BX29" i="2" s="1"/>
  <c r="BO30" i="2"/>
  <c r="BW30" i="2"/>
  <c r="BX30" i="2" s="1"/>
  <c r="BO31" i="2"/>
  <c r="BW31" i="2"/>
  <c r="BX31" i="2" s="1"/>
  <c r="BO32" i="2"/>
  <c r="BW32" i="2"/>
  <c r="BX32" i="2" s="1"/>
  <c r="BO33" i="2"/>
  <c r="BW33" i="2"/>
  <c r="BX33" i="2" s="1"/>
  <c r="BO34" i="2"/>
  <c r="BW34" i="2"/>
  <c r="BX34" i="2" s="1"/>
  <c r="BO35" i="2"/>
  <c r="BW35" i="2"/>
  <c r="BX35" i="2" s="1"/>
  <c r="BO36" i="2"/>
  <c r="BW36" i="2"/>
  <c r="BX36" i="2" s="1"/>
  <c r="BO47" i="2"/>
  <c r="BW47" i="2"/>
  <c r="BX47" i="2" s="1"/>
  <c r="BO48" i="2"/>
  <c r="BW48" i="2"/>
  <c r="BX48" i="2" s="1"/>
  <c r="BO49" i="2"/>
  <c r="BW49" i="2"/>
  <c r="BX49" i="2" s="1"/>
  <c r="BO52" i="2"/>
  <c r="BW52" i="2"/>
  <c r="BX52" i="2" s="1"/>
  <c r="BO53" i="2"/>
  <c r="BW53" i="2"/>
  <c r="BX53" i="2" s="1"/>
  <c r="BO54" i="2"/>
  <c r="BW54" i="2"/>
  <c r="BX54" i="2" s="1"/>
  <c r="BO55" i="2"/>
  <c r="BW55" i="2"/>
  <c r="BX55" i="2" s="1"/>
  <c r="BO56" i="2"/>
  <c r="BW56" i="2"/>
  <c r="BX56" i="2" s="1"/>
  <c r="BA17" i="1"/>
  <c r="BI17" i="1"/>
  <c r="BA20" i="1"/>
  <c r="BI20" i="1"/>
  <c r="BA31" i="1"/>
  <c r="BI31" i="1"/>
  <c r="BA28" i="1"/>
  <c r="BI28" i="1"/>
  <c r="BJ28" i="1" s="1"/>
  <c r="BA19" i="1"/>
  <c r="BI19" i="1"/>
  <c r="BJ19" i="1" s="1"/>
  <c r="BA18" i="1"/>
  <c r="BI18" i="1"/>
  <c r="BP79" i="1"/>
  <c r="BS79" i="1" s="1"/>
  <c r="BT79" i="1" s="1"/>
  <c r="BX79" i="1"/>
  <c r="BY79" i="1" s="1"/>
  <c r="BK82" i="1"/>
  <c r="BP80" i="1"/>
  <c r="BS80" i="1" s="1"/>
  <c r="BT80" i="1" s="1"/>
  <c r="BX80" i="1"/>
  <c r="BY80" i="1" s="1"/>
  <c r="BF84" i="1"/>
  <c r="BN84" i="1"/>
  <c r="BO84" i="1" s="1"/>
  <c r="BK81" i="1"/>
  <c r="BY17" i="1"/>
  <c r="BY20" i="1"/>
  <c r="BI25" i="1"/>
  <c r="BA25" i="1"/>
  <c r="BI21" i="1"/>
  <c r="BA21" i="1"/>
  <c r="BA78" i="1"/>
  <c r="BI78" i="1"/>
  <c r="BJ78" i="1" s="1"/>
  <c r="BX9" i="1"/>
  <c r="BY9" i="1" s="1"/>
  <c r="BP9" i="1"/>
  <c r="BN10" i="1"/>
  <c r="BO10" i="1" s="1"/>
  <c r="BF10" i="1"/>
  <c r="BP77" i="1"/>
  <c r="BS77" i="1" s="1"/>
  <c r="BT77" i="1" s="1"/>
  <c r="BX77" i="1"/>
  <c r="BY77" i="1" s="1"/>
  <c r="BY18" i="1"/>
  <c r="BF92" i="1" l="1"/>
  <c r="BN92" i="1"/>
  <c r="BO92" i="1" s="1"/>
  <c r="BF93" i="1"/>
  <c r="BN93" i="1"/>
  <c r="BO93" i="1" s="1"/>
  <c r="BF91" i="1"/>
  <c r="BN91" i="1"/>
  <c r="BO91" i="1" s="1"/>
  <c r="AV156" i="1"/>
  <c r="BD156" i="1"/>
  <c r="BE156" i="1" s="1"/>
  <c r="BF157" i="1"/>
  <c r="BN157" i="1"/>
  <c r="BO157" i="1" s="1"/>
  <c r="BF153" i="1"/>
  <c r="BN153" i="1"/>
  <c r="BO153" i="1" s="1"/>
  <c r="BN30" i="1"/>
  <c r="BO30" i="1" s="1"/>
  <c r="BF30" i="1"/>
  <c r="BS68" i="1"/>
  <c r="BT68" i="1" s="1"/>
  <c r="BK68" i="1"/>
  <c r="BK67" i="1"/>
  <c r="BS67" i="1"/>
  <c r="BT67" i="1" s="1"/>
  <c r="BA133" i="1"/>
  <c r="BI133" i="1"/>
  <c r="BJ133" i="1" s="1"/>
  <c r="BF130" i="1"/>
  <c r="BN130" i="1"/>
  <c r="BO130" i="1" s="1"/>
  <c r="AV125" i="1"/>
  <c r="BD125" i="1"/>
  <c r="BE125" i="1" s="1"/>
  <c r="BF127" i="1"/>
  <c r="BN127" i="1"/>
  <c r="BO127" i="1" s="1"/>
  <c r="BF124" i="1"/>
  <c r="BN124" i="1"/>
  <c r="BO124" i="1" s="1"/>
  <c r="AB128" i="1"/>
  <c r="AJ128" i="1"/>
  <c r="AK128" i="1" s="1"/>
  <c r="BF112" i="1"/>
  <c r="BN112" i="1"/>
  <c r="BO112" i="1" s="1"/>
  <c r="BF107" i="1"/>
  <c r="BN107" i="1"/>
  <c r="BO107" i="1" s="1"/>
  <c r="BF126" i="1"/>
  <c r="BN126" i="1"/>
  <c r="BO126" i="1" s="1"/>
  <c r="BF106" i="1"/>
  <c r="BN106" i="1"/>
  <c r="BO106" i="1" s="1"/>
  <c r="BF105" i="1"/>
  <c r="BN105" i="1"/>
  <c r="BO105" i="1" s="1"/>
  <c r="BF99" i="1"/>
  <c r="BN99" i="1"/>
  <c r="BO99" i="1" s="1"/>
  <c r="BF104" i="1"/>
  <c r="BN104" i="1"/>
  <c r="BO104" i="1" s="1"/>
  <c r="BF123" i="1"/>
  <c r="BN123" i="1"/>
  <c r="BO123" i="1" s="1"/>
  <c r="BF121" i="1"/>
  <c r="BN121" i="1"/>
  <c r="BO121" i="1" s="1"/>
  <c r="BF117" i="1"/>
  <c r="BN117" i="1"/>
  <c r="BO117" i="1" s="1"/>
  <c r="BK63" i="1"/>
  <c r="BS63" i="1"/>
  <c r="BT63" i="1" s="1"/>
  <c r="BS62" i="1"/>
  <c r="BT62" i="1" s="1"/>
  <c r="BK62" i="1"/>
  <c r="BS64" i="1"/>
  <c r="BT64" i="1" s="1"/>
  <c r="BK64" i="1"/>
  <c r="BS59" i="1"/>
  <c r="BT59" i="1" s="1"/>
  <c r="BK59" i="1"/>
  <c r="BS60" i="1"/>
  <c r="BT60" i="1" s="1"/>
  <c r="BK60" i="1"/>
  <c r="BK35" i="1"/>
  <c r="BS35" i="1"/>
  <c r="BT35" i="1" s="1"/>
  <c r="BA86" i="1"/>
  <c r="BI86" i="1"/>
  <c r="BJ86" i="1" s="1"/>
  <c r="BK34" i="1"/>
  <c r="BK57" i="1"/>
  <c r="BK56" i="1"/>
  <c r="BK65" i="1"/>
  <c r="BK87" i="1"/>
  <c r="BK52" i="1"/>
  <c r="BK51" i="1"/>
  <c r="BK50" i="1"/>
  <c r="BK46" i="1"/>
  <c r="BK49" i="1"/>
  <c r="BK48" i="1"/>
  <c r="BK47" i="1"/>
  <c r="BK41" i="1"/>
  <c r="BK43" i="1"/>
  <c r="BK39" i="1"/>
  <c r="BK40" i="1"/>
  <c r="BK42" i="1"/>
  <c r="BK53" i="1"/>
  <c r="BK54" i="1"/>
  <c r="BK29" i="1"/>
  <c r="BA36" i="1"/>
  <c r="BI36" i="1"/>
  <c r="BJ36" i="1" s="1"/>
  <c r="BA37" i="1"/>
  <c r="BI37" i="1"/>
  <c r="BJ37" i="1" s="1"/>
  <c r="BJ56" i="2"/>
  <c r="BR56" i="2"/>
  <c r="BS56" i="2" s="1"/>
  <c r="BJ55" i="2"/>
  <c r="BR55" i="2"/>
  <c r="BS55" i="2" s="1"/>
  <c r="BJ54" i="2"/>
  <c r="BR54" i="2"/>
  <c r="BS54" i="2" s="1"/>
  <c r="BJ53" i="2"/>
  <c r="BR53" i="2"/>
  <c r="BS53" i="2" s="1"/>
  <c r="BJ52" i="2"/>
  <c r="BR52" i="2"/>
  <c r="BS52" i="2" s="1"/>
  <c r="BJ49" i="2"/>
  <c r="BR49" i="2"/>
  <c r="BS49" i="2" s="1"/>
  <c r="BJ48" i="2"/>
  <c r="BR48" i="2"/>
  <c r="BS48" i="2" s="1"/>
  <c r="BJ47" i="2"/>
  <c r="BR47" i="2"/>
  <c r="BS47" i="2" s="1"/>
  <c r="BJ36" i="2"/>
  <c r="BR36" i="2"/>
  <c r="BS36" i="2" s="1"/>
  <c r="BJ35" i="2"/>
  <c r="BR35" i="2"/>
  <c r="BS35" i="2" s="1"/>
  <c r="BJ34" i="2"/>
  <c r="BR34" i="2"/>
  <c r="BS34" i="2" s="1"/>
  <c r="BJ33" i="2"/>
  <c r="BR33" i="2"/>
  <c r="BS33" i="2" s="1"/>
  <c r="BJ32" i="2"/>
  <c r="BR32" i="2"/>
  <c r="BS32" i="2" s="1"/>
  <c r="BJ31" i="2"/>
  <c r="BR31" i="2"/>
  <c r="BS31" i="2" s="1"/>
  <c r="BJ30" i="2"/>
  <c r="BR30" i="2"/>
  <c r="BS30" i="2" s="1"/>
  <c r="BJ29" i="2"/>
  <c r="BR29" i="2"/>
  <c r="BS29" i="2" s="1"/>
  <c r="BJ28" i="2"/>
  <c r="BR28" i="2"/>
  <c r="BS28" i="2" s="1"/>
  <c r="BJ25" i="2"/>
  <c r="BR25" i="2"/>
  <c r="BS25" i="2" s="1"/>
  <c r="BJ24" i="2"/>
  <c r="BR24" i="2"/>
  <c r="BS24" i="2" s="1"/>
  <c r="BJ23" i="2"/>
  <c r="BR23" i="2"/>
  <c r="BS23" i="2" s="1"/>
  <c r="BJ22" i="2"/>
  <c r="BR22" i="2"/>
  <c r="BS22" i="2" s="1"/>
  <c r="BJ21" i="2"/>
  <c r="BR21" i="2"/>
  <c r="BS21" i="2" s="1"/>
  <c r="BJ20" i="2"/>
  <c r="BR20" i="2"/>
  <c r="BS20" i="2" s="1"/>
  <c r="BJ19" i="2"/>
  <c r="BR19" i="2"/>
  <c r="BS19" i="2" s="1"/>
  <c r="BJ18" i="2"/>
  <c r="BR18" i="2"/>
  <c r="BS18" i="2" s="1"/>
  <c r="BJ17" i="2"/>
  <c r="BR17" i="2"/>
  <c r="BS17" i="2" s="1"/>
  <c r="BJ16" i="2"/>
  <c r="BR16" i="2"/>
  <c r="BS16" i="2" s="1"/>
  <c r="BJ15" i="2"/>
  <c r="BR15" i="2"/>
  <c r="BS15" i="2" s="1"/>
  <c r="BR14" i="2"/>
  <c r="BS14" i="2" s="1"/>
  <c r="BJ14" i="2"/>
  <c r="BJ13" i="2"/>
  <c r="BR13" i="2"/>
  <c r="BS13" i="2" s="1"/>
  <c r="BJ12" i="2"/>
  <c r="BR12" i="2"/>
  <c r="BS12" i="2" s="1"/>
  <c r="BJ11" i="2"/>
  <c r="BE11" i="2" s="1"/>
  <c r="AZ11" i="2" s="1"/>
  <c r="AU11" i="2" s="1"/>
  <c r="AP11" i="2" s="1"/>
  <c r="BR11" i="2"/>
  <c r="BS11" i="2" s="1"/>
  <c r="BJ10" i="2"/>
  <c r="BR10" i="2"/>
  <c r="BS10" i="2" s="1"/>
  <c r="BJ9" i="2"/>
  <c r="BR9" i="2"/>
  <c r="BS9" i="2" s="1"/>
  <c r="BJ8" i="2"/>
  <c r="BR8" i="2"/>
  <c r="BS8" i="2" s="1"/>
  <c r="AV17" i="1"/>
  <c r="BD17" i="1"/>
  <c r="AV20" i="1"/>
  <c r="BD20" i="1"/>
  <c r="AV28" i="1"/>
  <c r="BD28" i="1"/>
  <c r="BE28" i="1" s="1"/>
  <c r="AV31" i="1"/>
  <c r="BD31" i="1"/>
  <c r="AV18" i="1"/>
  <c r="BD18" i="1"/>
  <c r="AV19" i="1"/>
  <c r="BD19" i="1"/>
  <c r="BE19" i="1" s="1"/>
  <c r="BF81" i="1"/>
  <c r="BN81" i="1"/>
  <c r="BO81" i="1" s="1"/>
  <c r="BK80" i="1"/>
  <c r="BA84" i="1"/>
  <c r="BI84" i="1"/>
  <c r="BJ84" i="1" s="1"/>
  <c r="BF82" i="1"/>
  <c r="BN82" i="1"/>
  <c r="BO82" i="1" s="1"/>
  <c r="BK79" i="1"/>
  <c r="BO31" i="1"/>
  <c r="BD25" i="1"/>
  <c r="AV25" i="1"/>
  <c r="BD21" i="1"/>
  <c r="AV21" i="1"/>
  <c r="BD78" i="1"/>
  <c r="BE78" i="1" s="1"/>
  <c r="AV78" i="1"/>
  <c r="BS9" i="1"/>
  <c r="BT9" i="1" s="1"/>
  <c r="BK9" i="1"/>
  <c r="BJ9" i="1"/>
  <c r="BJ10" i="1"/>
  <c r="BA10" i="1"/>
  <c r="BK77" i="1"/>
  <c r="BA92" i="1" l="1"/>
  <c r="BI92" i="1"/>
  <c r="BJ92" i="1" s="1"/>
  <c r="BA93" i="1"/>
  <c r="BI93" i="1"/>
  <c r="BJ93" i="1" s="1"/>
  <c r="BA91" i="1"/>
  <c r="BI91" i="1"/>
  <c r="BJ91" i="1" s="1"/>
  <c r="BA157" i="1"/>
  <c r="BI157" i="1"/>
  <c r="BJ157" i="1" s="1"/>
  <c r="BA153" i="1"/>
  <c r="BI153" i="1"/>
  <c r="BJ153" i="1" s="1"/>
  <c r="AQ156" i="1"/>
  <c r="AY156" i="1"/>
  <c r="AZ156" i="1" s="1"/>
  <c r="BA30" i="1"/>
  <c r="BI30" i="1"/>
  <c r="BJ30" i="1" s="1"/>
  <c r="BF68" i="1"/>
  <c r="BN68" i="1"/>
  <c r="BO68" i="1" s="1"/>
  <c r="BF67" i="1"/>
  <c r="BN67" i="1"/>
  <c r="BO67" i="1" s="1"/>
  <c r="BA112" i="1"/>
  <c r="BI112" i="1"/>
  <c r="BJ112" i="1" s="1"/>
  <c r="BA124" i="1"/>
  <c r="BI124" i="1"/>
  <c r="BJ124" i="1" s="1"/>
  <c r="BA130" i="1"/>
  <c r="BI130" i="1"/>
  <c r="BJ130" i="1" s="1"/>
  <c r="W128" i="1"/>
  <c r="Z128" i="1" s="1"/>
  <c r="AA128" i="1" s="1"/>
  <c r="AE128" i="1"/>
  <c r="AF128" i="1" s="1"/>
  <c r="AQ125" i="1"/>
  <c r="AY125" i="1"/>
  <c r="AZ125" i="1" s="1"/>
  <c r="BI127" i="1"/>
  <c r="BJ127" i="1" s="1"/>
  <c r="BA127" i="1"/>
  <c r="AV133" i="1"/>
  <c r="BD133" i="1"/>
  <c r="BE133" i="1" s="1"/>
  <c r="BA121" i="1"/>
  <c r="BI121" i="1"/>
  <c r="BJ121" i="1" s="1"/>
  <c r="BA99" i="1"/>
  <c r="BI99" i="1"/>
  <c r="BJ99" i="1" s="1"/>
  <c r="BA117" i="1"/>
  <c r="BI117" i="1"/>
  <c r="BJ117" i="1" s="1"/>
  <c r="BA104" i="1"/>
  <c r="BI104" i="1"/>
  <c r="BJ104" i="1" s="1"/>
  <c r="BA106" i="1"/>
  <c r="BI106" i="1"/>
  <c r="BJ106" i="1" s="1"/>
  <c r="BA126" i="1"/>
  <c r="BI126" i="1"/>
  <c r="BJ126" i="1" s="1"/>
  <c r="BA107" i="1"/>
  <c r="BI107" i="1"/>
  <c r="BJ107" i="1" s="1"/>
  <c r="BA123" i="1"/>
  <c r="BI123" i="1"/>
  <c r="BJ123" i="1" s="1"/>
  <c r="BA105" i="1"/>
  <c r="BI105" i="1"/>
  <c r="BJ105" i="1" s="1"/>
  <c r="BF64" i="1"/>
  <c r="BN64" i="1"/>
  <c r="BO64" i="1" s="1"/>
  <c r="BF59" i="1"/>
  <c r="BN59" i="1"/>
  <c r="BO59" i="1" s="1"/>
  <c r="BN60" i="1"/>
  <c r="BO60" i="1" s="1"/>
  <c r="BF60" i="1"/>
  <c r="BF62" i="1"/>
  <c r="BN62" i="1"/>
  <c r="BO62" i="1" s="1"/>
  <c r="BF63" i="1"/>
  <c r="BN63" i="1"/>
  <c r="BO63" i="1" s="1"/>
  <c r="BF35" i="1"/>
  <c r="BN35" i="1"/>
  <c r="BO35" i="1" s="1"/>
  <c r="AV86" i="1"/>
  <c r="BD86" i="1"/>
  <c r="BE86" i="1" s="1"/>
  <c r="BF34" i="1"/>
  <c r="BN34" i="1"/>
  <c r="BO34" i="1" s="1"/>
  <c r="BF57" i="1"/>
  <c r="BN57" i="1"/>
  <c r="BO57" i="1" s="1"/>
  <c r="BF56" i="1"/>
  <c r="BN56" i="1"/>
  <c r="BO56" i="1" s="1"/>
  <c r="BF65" i="1"/>
  <c r="BN65" i="1"/>
  <c r="BO65" i="1" s="1"/>
  <c r="BF87" i="1"/>
  <c r="BN87" i="1"/>
  <c r="BO87" i="1" s="1"/>
  <c r="BF53" i="1"/>
  <c r="BN53" i="1"/>
  <c r="BO53" i="1" s="1"/>
  <c r="BF42" i="1"/>
  <c r="BN42" i="1"/>
  <c r="BO42" i="1" s="1"/>
  <c r="BF40" i="1"/>
  <c r="BN40" i="1"/>
  <c r="BO40" i="1" s="1"/>
  <c r="BF39" i="1"/>
  <c r="BN39" i="1"/>
  <c r="BO39" i="1" s="1"/>
  <c r="BF43" i="1"/>
  <c r="BN43" i="1"/>
  <c r="BO43" i="1" s="1"/>
  <c r="BF41" i="1"/>
  <c r="BN41" i="1"/>
  <c r="BO41" i="1" s="1"/>
  <c r="BF47" i="1"/>
  <c r="BN47" i="1"/>
  <c r="BO47" i="1" s="1"/>
  <c r="BF48" i="1"/>
  <c r="BN48" i="1"/>
  <c r="BO48" i="1" s="1"/>
  <c r="BF49" i="1"/>
  <c r="BN49" i="1"/>
  <c r="BO49" i="1" s="1"/>
  <c r="BF46" i="1"/>
  <c r="BN46" i="1"/>
  <c r="BO46" i="1" s="1"/>
  <c r="BF50" i="1"/>
  <c r="BN50" i="1"/>
  <c r="BO50" i="1" s="1"/>
  <c r="BF51" i="1"/>
  <c r="BN51" i="1"/>
  <c r="BO51" i="1" s="1"/>
  <c r="BF52" i="1"/>
  <c r="BN52" i="1"/>
  <c r="BO52" i="1" s="1"/>
  <c r="BF54" i="1"/>
  <c r="BN54" i="1"/>
  <c r="BO54" i="1" s="1"/>
  <c r="BF29" i="1"/>
  <c r="BN29" i="1"/>
  <c r="BO29" i="1" s="1"/>
  <c r="AV36" i="1"/>
  <c r="BD36" i="1"/>
  <c r="BE36" i="1" s="1"/>
  <c r="AV37" i="1"/>
  <c r="BD37" i="1"/>
  <c r="BE37" i="1" s="1"/>
  <c r="BE8" i="2"/>
  <c r="AZ8" i="2" s="1"/>
  <c r="AU8" i="2" s="1"/>
  <c r="AP8" i="2" s="1"/>
  <c r="BM8" i="2"/>
  <c r="BN8" i="2" s="1"/>
  <c r="BE9" i="2"/>
  <c r="AZ9" i="2" s="1"/>
  <c r="AU9" i="2" s="1"/>
  <c r="AP9" i="2" s="1"/>
  <c r="BM9" i="2"/>
  <c r="BN9" i="2" s="1"/>
  <c r="BE10" i="2"/>
  <c r="BM10" i="2"/>
  <c r="BN10" i="2" s="1"/>
  <c r="AK11" i="2"/>
  <c r="AS11" i="2"/>
  <c r="AT11" i="2" s="1"/>
  <c r="BE12" i="2"/>
  <c r="AZ12" i="2" s="1"/>
  <c r="AU12" i="2" s="1"/>
  <c r="AP12" i="2" s="1"/>
  <c r="BM12" i="2"/>
  <c r="BN12" i="2" s="1"/>
  <c r="BE13" i="2"/>
  <c r="AZ13" i="2" s="1"/>
  <c r="AU13" i="2" s="1"/>
  <c r="AP13" i="2" s="1"/>
  <c r="BM13" i="2"/>
  <c r="BN13" i="2" s="1"/>
  <c r="BM14" i="2"/>
  <c r="BN14" i="2" s="1"/>
  <c r="BE14" i="2"/>
  <c r="AZ14" i="2" s="1"/>
  <c r="AU14" i="2" s="1"/>
  <c r="AP14" i="2" s="1"/>
  <c r="BE15" i="2"/>
  <c r="BM15" i="2"/>
  <c r="BN15" i="2" s="1"/>
  <c r="BE16" i="2"/>
  <c r="BM16" i="2"/>
  <c r="BN16" i="2" s="1"/>
  <c r="BE17" i="2"/>
  <c r="BM17" i="2"/>
  <c r="BN17" i="2" s="1"/>
  <c r="BE18" i="2"/>
  <c r="BM18" i="2"/>
  <c r="BN18" i="2" s="1"/>
  <c r="BE19" i="2"/>
  <c r="BM19" i="2"/>
  <c r="BN19" i="2" s="1"/>
  <c r="BE20" i="2"/>
  <c r="BM20" i="2"/>
  <c r="BN20" i="2" s="1"/>
  <c r="BE21" i="2"/>
  <c r="BM21" i="2"/>
  <c r="BN21" i="2" s="1"/>
  <c r="BE22" i="2"/>
  <c r="BM22" i="2"/>
  <c r="BN22" i="2" s="1"/>
  <c r="BE23" i="2"/>
  <c r="BM23" i="2"/>
  <c r="BN23" i="2" s="1"/>
  <c r="BE24" i="2"/>
  <c r="BM24" i="2"/>
  <c r="BN24" i="2" s="1"/>
  <c r="BE25" i="2"/>
  <c r="BM25" i="2"/>
  <c r="BN25" i="2" s="1"/>
  <c r="BE28" i="2"/>
  <c r="BM28" i="2"/>
  <c r="BN28" i="2" s="1"/>
  <c r="BE29" i="2"/>
  <c r="BM29" i="2"/>
  <c r="BN29" i="2" s="1"/>
  <c r="BE30" i="2"/>
  <c r="BM30" i="2"/>
  <c r="BN30" i="2" s="1"/>
  <c r="BE31" i="2"/>
  <c r="BM31" i="2"/>
  <c r="BN31" i="2" s="1"/>
  <c r="BE32" i="2"/>
  <c r="BM32" i="2"/>
  <c r="BN32" i="2" s="1"/>
  <c r="BE33" i="2"/>
  <c r="BM33" i="2"/>
  <c r="BN33" i="2" s="1"/>
  <c r="BE34" i="2"/>
  <c r="BM34" i="2"/>
  <c r="BN34" i="2" s="1"/>
  <c r="BE35" i="2"/>
  <c r="BM35" i="2"/>
  <c r="BN35" i="2" s="1"/>
  <c r="BE36" i="2"/>
  <c r="BM36" i="2"/>
  <c r="BN36" i="2" s="1"/>
  <c r="BE47" i="2"/>
  <c r="BM47" i="2"/>
  <c r="BN47" i="2" s="1"/>
  <c r="BE48" i="2"/>
  <c r="BM48" i="2"/>
  <c r="BN48" i="2" s="1"/>
  <c r="BE49" i="2"/>
  <c r="BM49" i="2"/>
  <c r="BN49" i="2" s="1"/>
  <c r="BE52" i="2"/>
  <c r="BM52" i="2"/>
  <c r="BN52" i="2" s="1"/>
  <c r="BE53" i="2"/>
  <c r="BM53" i="2"/>
  <c r="BN53" i="2" s="1"/>
  <c r="BE54" i="2"/>
  <c r="BM54" i="2"/>
  <c r="BN54" i="2" s="1"/>
  <c r="BE55" i="2"/>
  <c r="BM55" i="2"/>
  <c r="BN55" i="2" s="1"/>
  <c r="BE56" i="2"/>
  <c r="BM56" i="2"/>
  <c r="BN56" i="2" s="1"/>
  <c r="AQ17" i="1"/>
  <c r="AY17" i="1"/>
  <c r="AQ20" i="1"/>
  <c r="AY20" i="1"/>
  <c r="AQ31" i="1"/>
  <c r="AY31" i="1"/>
  <c r="AQ28" i="1"/>
  <c r="AY28" i="1"/>
  <c r="AZ28" i="1" s="1"/>
  <c r="AQ19" i="1"/>
  <c r="AY19" i="1"/>
  <c r="AZ19" i="1" s="1"/>
  <c r="AQ18" i="1"/>
  <c r="AY18" i="1"/>
  <c r="BA82" i="1"/>
  <c r="BI82" i="1"/>
  <c r="BJ82" i="1" s="1"/>
  <c r="BF80" i="1"/>
  <c r="BN80" i="1"/>
  <c r="BO80" i="1" s="1"/>
  <c r="BF79" i="1"/>
  <c r="BN79" i="1"/>
  <c r="BO79" i="1" s="1"/>
  <c r="AV84" i="1"/>
  <c r="BD84" i="1"/>
  <c r="BE84" i="1" s="1"/>
  <c r="BA81" i="1"/>
  <c r="BI81" i="1"/>
  <c r="BJ81" i="1" s="1"/>
  <c r="BJ31" i="1"/>
  <c r="BO17" i="1"/>
  <c r="BO20" i="1"/>
  <c r="AY25" i="1"/>
  <c r="AQ25" i="1"/>
  <c r="AY21" i="1"/>
  <c r="AQ21" i="1"/>
  <c r="AQ78" i="1"/>
  <c r="AY78" i="1"/>
  <c r="AZ78" i="1" s="1"/>
  <c r="BN9" i="1"/>
  <c r="BO9" i="1" s="1"/>
  <c r="BF9" i="1"/>
  <c r="BA9" i="1" s="1"/>
  <c r="AV9" i="1" s="1"/>
  <c r="BE9" i="1"/>
  <c r="BE10" i="1"/>
  <c r="AV10" i="1"/>
  <c r="BF77" i="1"/>
  <c r="BN77" i="1"/>
  <c r="BO77" i="1" s="1"/>
  <c r="BO18" i="1"/>
  <c r="BJ14" i="1"/>
  <c r="BJ13" i="1"/>
  <c r="AV92" i="1" l="1"/>
  <c r="BD92" i="1"/>
  <c r="BE92" i="1" s="1"/>
  <c r="AV93" i="1"/>
  <c r="BD93" i="1"/>
  <c r="BE93" i="1" s="1"/>
  <c r="AV91" i="1"/>
  <c r="BD91" i="1"/>
  <c r="BE91" i="1" s="1"/>
  <c r="AV153" i="1"/>
  <c r="BD153" i="1"/>
  <c r="BE153" i="1" s="1"/>
  <c r="AL156" i="1"/>
  <c r="AT156" i="1"/>
  <c r="AU156" i="1" s="1"/>
  <c r="AV157" i="1"/>
  <c r="BD157" i="1"/>
  <c r="BE157" i="1" s="1"/>
  <c r="AV30" i="1"/>
  <c r="BD30" i="1"/>
  <c r="BE30" i="1" s="1"/>
  <c r="BI68" i="1"/>
  <c r="BJ68" i="1" s="1"/>
  <c r="BA68" i="1"/>
  <c r="BA67" i="1"/>
  <c r="BI67" i="1"/>
  <c r="BJ67" i="1" s="1"/>
  <c r="AQ133" i="1"/>
  <c r="AY133" i="1"/>
  <c r="AZ133" i="1" s="1"/>
  <c r="AL125" i="1"/>
  <c r="AT125" i="1"/>
  <c r="AU125" i="1" s="1"/>
  <c r="AV124" i="1"/>
  <c r="BD124" i="1"/>
  <c r="BE124" i="1" s="1"/>
  <c r="AV127" i="1"/>
  <c r="BD127" i="1"/>
  <c r="BE127" i="1" s="1"/>
  <c r="AV130" i="1"/>
  <c r="BD130" i="1"/>
  <c r="BE130" i="1" s="1"/>
  <c r="AV112" i="1"/>
  <c r="BD112" i="1"/>
  <c r="BE112" i="1" s="1"/>
  <c r="AV123" i="1"/>
  <c r="BD123" i="1"/>
  <c r="BE123" i="1" s="1"/>
  <c r="AV107" i="1"/>
  <c r="BD107" i="1"/>
  <c r="BE107" i="1" s="1"/>
  <c r="AV126" i="1"/>
  <c r="BD126" i="1"/>
  <c r="BE126" i="1" s="1"/>
  <c r="AV104" i="1"/>
  <c r="BD104" i="1"/>
  <c r="BE104" i="1" s="1"/>
  <c r="AV99" i="1"/>
  <c r="BD99" i="1"/>
  <c r="BE99" i="1" s="1"/>
  <c r="AV105" i="1"/>
  <c r="BD105" i="1"/>
  <c r="BE105" i="1" s="1"/>
  <c r="AV117" i="1"/>
  <c r="BD117" i="1"/>
  <c r="BE117" i="1" s="1"/>
  <c r="AV106" i="1"/>
  <c r="BD106" i="1"/>
  <c r="BE106" i="1" s="1"/>
  <c r="AV121" i="1"/>
  <c r="BD121" i="1"/>
  <c r="BE121" i="1" s="1"/>
  <c r="BA63" i="1"/>
  <c r="BI63" i="1"/>
  <c r="BJ63" i="1" s="1"/>
  <c r="BA60" i="1"/>
  <c r="BI60" i="1"/>
  <c r="BJ60" i="1" s="1"/>
  <c r="BA59" i="1"/>
  <c r="BI59" i="1"/>
  <c r="BJ59" i="1" s="1"/>
  <c r="BI62" i="1"/>
  <c r="BJ62" i="1" s="1"/>
  <c r="BA62" i="1"/>
  <c r="BA64" i="1"/>
  <c r="BI64" i="1"/>
  <c r="BJ64" i="1" s="1"/>
  <c r="BA35" i="1"/>
  <c r="BI35" i="1"/>
  <c r="BJ35" i="1" s="1"/>
  <c r="AQ86" i="1"/>
  <c r="AY86" i="1"/>
  <c r="AZ86" i="1" s="1"/>
  <c r="BA34" i="1"/>
  <c r="BI34" i="1"/>
  <c r="BJ34" i="1" s="1"/>
  <c r="BA57" i="1"/>
  <c r="BI57" i="1"/>
  <c r="BJ57" i="1" s="1"/>
  <c r="BA56" i="1"/>
  <c r="BI56" i="1"/>
  <c r="BJ56" i="1" s="1"/>
  <c r="BA65" i="1"/>
  <c r="BI65" i="1"/>
  <c r="BJ65" i="1" s="1"/>
  <c r="BA87" i="1"/>
  <c r="BI87" i="1"/>
  <c r="BJ87" i="1" s="1"/>
  <c r="BA52" i="1"/>
  <c r="BI52" i="1"/>
  <c r="BJ52" i="1" s="1"/>
  <c r="BA51" i="1"/>
  <c r="BI51" i="1"/>
  <c r="BJ51" i="1" s="1"/>
  <c r="BA50" i="1"/>
  <c r="BI50" i="1"/>
  <c r="BJ50" i="1" s="1"/>
  <c r="BA46" i="1"/>
  <c r="BI46" i="1"/>
  <c r="BJ46" i="1" s="1"/>
  <c r="BA49" i="1"/>
  <c r="BI49" i="1"/>
  <c r="BJ49" i="1" s="1"/>
  <c r="BA48" i="1"/>
  <c r="BI48" i="1"/>
  <c r="BJ48" i="1" s="1"/>
  <c r="BA47" i="1"/>
  <c r="BI47" i="1"/>
  <c r="BJ47" i="1" s="1"/>
  <c r="BA41" i="1"/>
  <c r="BI41" i="1"/>
  <c r="BJ41" i="1" s="1"/>
  <c r="BA43" i="1"/>
  <c r="BI43" i="1"/>
  <c r="BJ43" i="1" s="1"/>
  <c r="BA39" i="1"/>
  <c r="BI39" i="1"/>
  <c r="BJ39" i="1" s="1"/>
  <c r="BA40" i="1"/>
  <c r="BI40" i="1"/>
  <c r="BJ40" i="1" s="1"/>
  <c r="BA42" i="1"/>
  <c r="BI42" i="1"/>
  <c r="BJ42" i="1" s="1"/>
  <c r="BA53" i="1"/>
  <c r="BI53" i="1"/>
  <c r="BJ53" i="1" s="1"/>
  <c r="BA54" i="1"/>
  <c r="BI54" i="1"/>
  <c r="BJ54" i="1" s="1"/>
  <c r="BA29" i="1"/>
  <c r="BI29" i="1"/>
  <c r="BJ29" i="1" s="1"/>
  <c r="AQ36" i="1"/>
  <c r="AY36" i="1"/>
  <c r="AZ36" i="1" s="1"/>
  <c r="AQ37" i="1"/>
  <c r="AY37" i="1"/>
  <c r="AZ37" i="1" s="1"/>
  <c r="AZ56" i="2"/>
  <c r="BH56" i="2"/>
  <c r="BI56" i="2" s="1"/>
  <c r="AZ55" i="2"/>
  <c r="BH55" i="2"/>
  <c r="BI55" i="2" s="1"/>
  <c r="AZ54" i="2"/>
  <c r="BH54" i="2"/>
  <c r="BI54" i="2" s="1"/>
  <c r="AZ53" i="2"/>
  <c r="BH53" i="2"/>
  <c r="BI53" i="2" s="1"/>
  <c r="AZ52" i="2"/>
  <c r="BH52" i="2"/>
  <c r="BI52" i="2" s="1"/>
  <c r="AZ49" i="2"/>
  <c r="BH49" i="2"/>
  <c r="BI49" i="2" s="1"/>
  <c r="AZ48" i="2"/>
  <c r="BH48" i="2"/>
  <c r="BI48" i="2" s="1"/>
  <c r="AZ47" i="2"/>
  <c r="BH47" i="2"/>
  <c r="BI47" i="2" s="1"/>
  <c r="AZ36" i="2"/>
  <c r="BH36" i="2"/>
  <c r="BI36" i="2" s="1"/>
  <c r="AZ35" i="2"/>
  <c r="BH35" i="2"/>
  <c r="BI35" i="2" s="1"/>
  <c r="AZ34" i="2"/>
  <c r="BH34" i="2"/>
  <c r="BI34" i="2" s="1"/>
  <c r="AZ33" i="2"/>
  <c r="BH33" i="2"/>
  <c r="BI33" i="2" s="1"/>
  <c r="AZ32" i="2"/>
  <c r="BH32" i="2"/>
  <c r="BI32" i="2" s="1"/>
  <c r="AZ31" i="2"/>
  <c r="BH31" i="2"/>
  <c r="BI31" i="2" s="1"/>
  <c r="AZ30" i="2"/>
  <c r="BH30" i="2"/>
  <c r="BI30" i="2" s="1"/>
  <c r="AZ29" i="2"/>
  <c r="BH29" i="2"/>
  <c r="BI29" i="2" s="1"/>
  <c r="AZ28" i="2"/>
  <c r="BH28" i="2"/>
  <c r="BI28" i="2" s="1"/>
  <c r="AZ25" i="2"/>
  <c r="BH25" i="2"/>
  <c r="BI25" i="2" s="1"/>
  <c r="AZ24" i="2"/>
  <c r="BH24" i="2"/>
  <c r="BI24" i="2" s="1"/>
  <c r="AZ23" i="2"/>
  <c r="BH23" i="2"/>
  <c r="BI23" i="2" s="1"/>
  <c r="AZ22" i="2"/>
  <c r="BH22" i="2"/>
  <c r="BI22" i="2" s="1"/>
  <c r="AZ21" i="2"/>
  <c r="BH21" i="2"/>
  <c r="BI21" i="2" s="1"/>
  <c r="AZ20" i="2"/>
  <c r="BH20" i="2"/>
  <c r="BI20" i="2" s="1"/>
  <c r="AZ19" i="2"/>
  <c r="BH19" i="2"/>
  <c r="BI19" i="2" s="1"/>
  <c r="AZ18" i="2"/>
  <c r="BH18" i="2"/>
  <c r="BI18" i="2" s="1"/>
  <c r="AZ17" i="2"/>
  <c r="BH17" i="2"/>
  <c r="BI17" i="2" s="1"/>
  <c r="AZ16" i="2"/>
  <c r="BH16" i="2"/>
  <c r="BI16" i="2" s="1"/>
  <c r="AZ15" i="2"/>
  <c r="BH15" i="2"/>
  <c r="BI15" i="2" s="1"/>
  <c r="AK14" i="2"/>
  <c r="AS14" i="2"/>
  <c r="AT14" i="2" s="1"/>
  <c r="AK13" i="2"/>
  <c r="AS13" i="2"/>
  <c r="AT13" i="2" s="1"/>
  <c r="AK12" i="2"/>
  <c r="AS12" i="2"/>
  <c r="AT12" i="2" s="1"/>
  <c r="AF11" i="2"/>
  <c r="AN11" i="2"/>
  <c r="AO11" i="2" s="1"/>
  <c r="AZ10" i="2"/>
  <c r="BH10" i="2"/>
  <c r="BI10" i="2" s="1"/>
  <c r="AK9" i="2"/>
  <c r="AS9" i="2"/>
  <c r="AT9" i="2" s="1"/>
  <c r="AK8" i="2"/>
  <c r="AS8" i="2"/>
  <c r="AT8" i="2" s="1"/>
  <c r="AL17" i="1"/>
  <c r="AT17" i="1"/>
  <c r="AL20" i="1"/>
  <c r="AT20" i="1"/>
  <c r="AL28" i="1"/>
  <c r="AT28" i="1"/>
  <c r="AU28" i="1" s="1"/>
  <c r="AL31" i="1"/>
  <c r="AT31" i="1"/>
  <c r="AL18" i="1"/>
  <c r="AT18" i="1"/>
  <c r="AL19" i="1"/>
  <c r="AT19" i="1"/>
  <c r="AU19" i="1" s="1"/>
  <c r="AV81" i="1"/>
  <c r="BD81" i="1"/>
  <c r="BE81" i="1" s="1"/>
  <c r="AQ84" i="1"/>
  <c r="AY84" i="1"/>
  <c r="AZ84" i="1" s="1"/>
  <c r="BA80" i="1"/>
  <c r="BI80" i="1"/>
  <c r="BJ80" i="1" s="1"/>
  <c r="AV82" i="1"/>
  <c r="BD82" i="1"/>
  <c r="BE82" i="1" s="1"/>
  <c r="BA79" i="1"/>
  <c r="BI79" i="1"/>
  <c r="BJ79" i="1" s="1"/>
  <c r="BE31" i="1"/>
  <c r="BJ17" i="1"/>
  <c r="BJ20" i="1"/>
  <c r="AT25" i="1"/>
  <c r="AL25" i="1"/>
  <c r="AT21" i="1"/>
  <c r="AL21" i="1"/>
  <c r="AL78" i="1"/>
  <c r="AT78" i="1"/>
  <c r="AU78" i="1" s="1"/>
  <c r="AQ9" i="1"/>
  <c r="AZ9" i="1"/>
  <c r="AZ10" i="1"/>
  <c r="AQ10" i="1"/>
  <c r="BA77" i="1"/>
  <c r="BI77" i="1"/>
  <c r="BJ77" i="1" s="1"/>
  <c r="BJ18" i="1"/>
  <c r="BE14" i="1"/>
  <c r="BE13" i="1"/>
  <c r="AQ92" i="1" l="1"/>
  <c r="AY92" i="1"/>
  <c r="AZ92" i="1" s="1"/>
  <c r="AQ93" i="1"/>
  <c r="AY93" i="1"/>
  <c r="AZ93" i="1" s="1"/>
  <c r="AQ91" i="1"/>
  <c r="AY91" i="1"/>
  <c r="AZ91" i="1" s="1"/>
  <c r="AG156" i="1"/>
  <c r="AO156" i="1"/>
  <c r="AP156" i="1" s="1"/>
  <c r="AQ157" i="1"/>
  <c r="AY157" i="1"/>
  <c r="AZ157" i="1" s="1"/>
  <c r="AQ153" i="1"/>
  <c r="AY153" i="1"/>
  <c r="AZ153" i="1" s="1"/>
  <c r="AQ30" i="1"/>
  <c r="AY30" i="1"/>
  <c r="AZ30" i="1" s="1"/>
  <c r="BD68" i="1"/>
  <c r="BE68" i="1" s="1"/>
  <c r="AV68" i="1"/>
  <c r="AV67" i="1"/>
  <c r="BD67" i="1"/>
  <c r="BE67" i="1" s="1"/>
  <c r="AQ130" i="1"/>
  <c r="AY130" i="1"/>
  <c r="AZ130" i="1" s="1"/>
  <c r="AG125" i="1"/>
  <c r="AO125" i="1"/>
  <c r="AP125" i="1" s="1"/>
  <c r="AQ112" i="1"/>
  <c r="AY112" i="1"/>
  <c r="AZ112" i="1" s="1"/>
  <c r="AQ124" i="1"/>
  <c r="AY124" i="1"/>
  <c r="AZ124" i="1" s="1"/>
  <c r="AY127" i="1"/>
  <c r="AZ127" i="1" s="1"/>
  <c r="AQ127" i="1"/>
  <c r="AL133" i="1"/>
  <c r="AT133" i="1"/>
  <c r="AU133" i="1" s="1"/>
  <c r="AQ106" i="1"/>
  <c r="AY106" i="1"/>
  <c r="AZ106" i="1" s="1"/>
  <c r="AQ99" i="1"/>
  <c r="AY99" i="1"/>
  <c r="AZ99" i="1" s="1"/>
  <c r="AQ126" i="1"/>
  <c r="AY126" i="1"/>
  <c r="AZ126" i="1" s="1"/>
  <c r="AQ121" i="1"/>
  <c r="AY121" i="1"/>
  <c r="AZ121" i="1" s="1"/>
  <c r="AQ104" i="1"/>
  <c r="AY104" i="1"/>
  <c r="AZ104" i="1" s="1"/>
  <c r="AQ117" i="1"/>
  <c r="AY117" i="1"/>
  <c r="AZ117" i="1" s="1"/>
  <c r="AQ105" i="1"/>
  <c r="AY105" i="1"/>
  <c r="AZ105" i="1" s="1"/>
  <c r="AQ107" i="1"/>
  <c r="AY107" i="1"/>
  <c r="AZ107" i="1" s="1"/>
  <c r="AQ123" i="1"/>
  <c r="AY123" i="1"/>
  <c r="AZ123" i="1" s="1"/>
  <c r="BD64" i="1"/>
  <c r="BE64" i="1" s="1"/>
  <c r="AV64" i="1"/>
  <c r="BD60" i="1"/>
  <c r="BE60" i="1" s="1"/>
  <c r="AV60" i="1"/>
  <c r="AV62" i="1"/>
  <c r="BD62" i="1"/>
  <c r="BE62" i="1" s="1"/>
  <c r="AV59" i="1"/>
  <c r="BD59" i="1"/>
  <c r="BE59" i="1" s="1"/>
  <c r="AV63" i="1"/>
  <c r="BD63" i="1"/>
  <c r="BE63" i="1" s="1"/>
  <c r="AV35" i="1"/>
  <c r="BD35" i="1"/>
  <c r="BE35" i="1" s="1"/>
  <c r="AL86" i="1"/>
  <c r="AT86" i="1"/>
  <c r="AU86" i="1" s="1"/>
  <c r="AV34" i="1"/>
  <c r="BD34" i="1"/>
  <c r="BE34" i="1" s="1"/>
  <c r="AV57" i="1"/>
  <c r="BD57" i="1"/>
  <c r="BE57" i="1" s="1"/>
  <c r="AV56" i="1"/>
  <c r="BD56" i="1"/>
  <c r="BE56" i="1" s="1"/>
  <c r="AV65" i="1"/>
  <c r="BD65" i="1"/>
  <c r="BE65" i="1" s="1"/>
  <c r="AV87" i="1"/>
  <c r="BD87" i="1"/>
  <c r="BE87" i="1" s="1"/>
  <c r="AV53" i="1"/>
  <c r="BD53" i="1"/>
  <c r="BE53" i="1" s="1"/>
  <c r="AV42" i="1"/>
  <c r="BD42" i="1"/>
  <c r="BE42" i="1" s="1"/>
  <c r="AV40" i="1"/>
  <c r="BD40" i="1"/>
  <c r="BE40" i="1" s="1"/>
  <c r="AV39" i="1"/>
  <c r="BD39" i="1"/>
  <c r="BE39" i="1" s="1"/>
  <c r="AV43" i="1"/>
  <c r="BD43" i="1"/>
  <c r="BE43" i="1" s="1"/>
  <c r="AV41" i="1"/>
  <c r="BD41" i="1"/>
  <c r="BE41" i="1" s="1"/>
  <c r="AV47" i="1"/>
  <c r="BD47" i="1"/>
  <c r="BE47" i="1" s="1"/>
  <c r="AV48" i="1"/>
  <c r="BD48" i="1"/>
  <c r="BE48" i="1" s="1"/>
  <c r="AV49" i="1"/>
  <c r="BD49" i="1"/>
  <c r="BE49" i="1" s="1"/>
  <c r="AV46" i="1"/>
  <c r="BD46" i="1"/>
  <c r="BE46" i="1" s="1"/>
  <c r="AV50" i="1"/>
  <c r="BD50" i="1"/>
  <c r="BE50" i="1" s="1"/>
  <c r="AV51" i="1"/>
  <c r="BD51" i="1"/>
  <c r="BE51" i="1" s="1"/>
  <c r="AV52" i="1"/>
  <c r="BD52" i="1"/>
  <c r="BE52" i="1" s="1"/>
  <c r="AV54" i="1"/>
  <c r="BD54" i="1"/>
  <c r="BE54" i="1" s="1"/>
  <c r="AV29" i="1"/>
  <c r="BD29" i="1"/>
  <c r="BE29" i="1" s="1"/>
  <c r="AL36" i="1"/>
  <c r="AT36" i="1"/>
  <c r="AU36" i="1" s="1"/>
  <c r="AL37" i="1"/>
  <c r="AT37" i="1"/>
  <c r="AU37" i="1" s="1"/>
  <c r="AF8" i="2"/>
  <c r="AN8" i="2"/>
  <c r="AO8" i="2" s="1"/>
  <c r="AF9" i="2"/>
  <c r="AN9" i="2"/>
  <c r="AO9" i="2" s="1"/>
  <c r="AU10" i="2"/>
  <c r="BC10" i="2"/>
  <c r="BD10" i="2" s="1"/>
  <c r="AA11" i="2"/>
  <c r="AI11" i="2"/>
  <c r="AJ11" i="2" s="1"/>
  <c r="AF12" i="2"/>
  <c r="AN12" i="2"/>
  <c r="AO12" i="2" s="1"/>
  <c r="AF13" i="2"/>
  <c r="AN13" i="2"/>
  <c r="AO13" i="2" s="1"/>
  <c r="AF14" i="2"/>
  <c r="AN14" i="2"/>
  <c r="AO14" i="2" s="1"/>
  <c r="AU15" i="2"/>
  <c r="BC15" i="2"/>
  <c r="BD15" i="2" s="1"/>
  <c r="AU16" i="2"/>
  <c r="BC16" i="2"/>
  <c r="BD16" i="2" s="1"/>
  <c r="AU17" i="2"/>
  <c r="BC17" i="2"/>
  <c r="BD17" i="2" s="1"/>
  <c r="AU18" i="2"/>
  <c r="BC18" i="2"/>
  <c r="BD18" i="2" s="1"/>
  <c r="AU19" i="2"/>
  <c r="BC19" i="2"/>
  <c r="BD19" i="2" s="1"/>
  <c r="AU20" i="2"/>
  <c r="BC20" i="2"/>
  <c r="BD20" i="2" s="1"/>
  <c r="AU21" i="2"/>
  <c r="BC21" i="2"/>
  <c r="BD21" i="2" s="1"/>
  <c r="AU22" i="2"/>
  <c r="BC22" i="2"/>
  <c r="BD22" i="2" s="1"/>
  <c r="AU23" i="2"/>
  <c r="BC23" i="2"/>
  <c r="BD23" i="2" s="1"/>
  <c r="AU24" i="2"/>
  <c r="BC24" i="2"/>
  <c r="BD24" i="2" s="1"/>
  <c r="AU25" i="2"/>
  <c r="BC25" i="2"/>
  <c r="BD25" i="2" s="1"/>
  <c r="AU28" i="2"/>
  <c r="BC28" i="2"/>
  <c r="BD28" i="2" s="1"/>
  <c r="AU29" i="2"/>
  <c r="BC29" i="2"/>
  <c r="BD29" i="2" s="1"/>
  <c r="AU30" i="2"/>
  <c r="BC30" i="2"/>
  <c r="BD30" i="2" s="1"/>
  <c r="AU31" i="2"/>
  <c r="BC31" i="2"/>
  <c r="BD31" i="2" s="1"/>
  <c r="AU32" i="2"/>
  <c r="BC32" i="2"/>
  <c r="BD32" i="2" s="1"/>
  <c r="AU33" i="2"/>
  <c r="BC33" i="2"/>
  <c r="BD33" i="2" s="1"/>
  <c r="AU34" i="2"/>
  <c r="BC34" i="2"/>
  <c r="BD34" i="2" s="1"/>
  <c r="AU35" i="2"/>
  <c r="BC35" i="2"/>
  <c r="BD35" i="2" s="1"/>
  <c r="AU36" i="2"/>
  <c r="BC36" i="2"/>
  <c r="BD36" i="2" s="1"/>
  <c r="AU47" i="2"/>
  <c r="BC47" i="2"/>
  <c r="BD47" i="2" s="1"/>
  <c r="AU48" i="2"/>
  <c r="BC48" i="2"/>
  <c r="BD48" i="2" s="1"/>
  <c r="AU49" i="2"/>
  <c r="BC49" i="2"/>
  <c r="BD49" i="2" s="1"/>
  <c r="AU52" i="2"/>
  <c r="BC52" i="2"/>
  <c r="BD52" i="2" s="1"/>
  <c r="AU53" i="2"/>
  <c r="BC53" i="2"/>
  <c r="BD53" i="2" s="1"/>
  <c r="AU54" i="2"/>
  <c r="BC54" i="2"/>
  <c r="BD54" i="2" s="1"/>
  <c r="AU55" i="2"/>
  <c r="BC55" i="2"/>
  <c r="BD55" i="2" s="1"/>
  <c r="AU56" i="2"/>
  <c r="BC56" i="2"/>
  <c r="BD56" i="2" s="1"/>
  <c r="AG17" i="1"/>
  <c r="AO17" i="1"/>
  <c r="AG20" i="1"/>
  <c r="AO20" i="1"/>
  <c r="AG31" i="1"/>
  <c r="AO31" i="1"/>
  <c r="AG28" i="1"/>
  <c r="AO28" i="1"/>
  <c r="AP28" i="1" s="1"/>
  <c r="AG19" i="1"/>
  <c r="AO19" i="1"/>
  <c r="AP19" i="1" s="1"/>
  <c r="AG18" i="1"/>
  <c r="AO18" i="1"/>
  <c r="AV79" i="1"/>
  <c r="BD79" i="1"/>
  <c r="BE79" i="1" s="1"/>
  <c r="AQ82" i="1"/>
  <c r="AY82" i="1"/>
  <c r="AZ82" i="1" s="1"/>
  <c r="AL84" i="1"/>
  <c r="AT84" i="1"/>
  <c r="AU84" i="1" s="1"/>
  <c r="AV80" i="1"/>
  <c r="BD80" i="1"/>
  <c r="BE80" i="1" s="1"/>
  <c r="AQ81" i="1"/>
  <c r="AY81" i="1"/>
  <c r="AZ81" i="1" s="1"/>
  <c r="AZ31" i="1"/>
  <c r="BE17" i="1"/>
  <c r="BE20" i="1"/>
  <c r="AO25" i="1"/>
  <c r="AG25" i="1"/>
  <c r="AO21" i="1"/>
  <c r="AG21" i="1"/>
  <c r="AG78" i="1"/>
  <c r="AO78" i="1"/>
  <c r="AP78" i="1" s="1"/>
  <c r="AT10" i="1"/>
  <c r="AU10" i="1" s="1"/>
  <c r="AL10" i="1"/>
  <c r="AT9" i="1"/>
  <c r="AU9" i="1" s="1"/>
  <c r="AL9" i="1"/>
  <c r="AV77" i="1"/>
  <c r="BD77" i="1"/>
  <c r="BE77" i="1" s="1"/>
  <c r="BE18" i="1"/>
  <c r="AZ14" i="1"/>
  <c r="AZ13" i="1"/>
  <c r="AL92" i="1" l="1"/>
  <c r="AT92" i="1"/>
  <c r="AU92" i="1" s="1"/>
  <c r="AL93" i="1"/>
  <c r="AT93" i="1"/>
  <c r="AU93" i="1" s="1"/>
  <c r="AL91" i="1"/>
  <c r="AT91" i="1"/>
  <c r="AU91" i="1" s="1"/>
  <c r="AL157" i="1"/>
  <c r="AT157" i="1"/>
  <c r="AU157" i="1" s="1"/>
  <c r="AL153" i="1"/>
  <c r="AT153" i="1"/>
  <c r="AU153" i="1" s="1"/>
  <c r="AB156" i="1"/>
  <c r="AJ156" i="1"/>
  <c r="AK156" i="1" s="1"/>
  <c r="AL30" i="1"/>
  <c r="AT30" i="1"/>
  <c r="AU30" i="1" s="1"/>
  <c r="AY68" i="1"/>
  <c r="AZ68" i="1" s="1"/>
  <c r="AQ68" i="1"/>
  <c r="AQ67" i="1"/>
  <c r="AY67" i="1"/>
  <c r="AZ67" i="1" s="1"/>
  <c r="AB125" i="1"/>
  <c r="AJ125" i="1"/>
  <c r="AK125" i="1" s="1"/>
  <c r="AG133" i="1"/>
  <c r="AO133" i="1"/>
  <c r="AP133" i="1" s="1"/>
  <c r="AL112" i="1"/>
  <c r="AT112" i="1"/>
  <c r="AU112" i="1" s="1"/>
  <c r="AL127" i="1"/>
  <c r="AT127" i="1"/>
  <c r="AU127" i="1" s="1"/>
  <c r="AL124" i="1"/>
  <c r="AT124" i="1"/>
  <c r="AU124" i="1" s="1"/>
  <c r="AL130" i="1"/>
  <c r="AT130" i="1"/>
  <c r="AU130" i="1" s="1"/>
  <c r="AL107" i="1"/>
  <c r="AT107" i="1"/>
  <c r="AU107" i="1" s="1"/>
  <c r="AL117" i="1"/>
  <c r="AT117" i="1"/>
  <c r="AU117" i="1" s="1"/>
  <c r="AL123" i="1"/>
  <c r="AT123" i="1"/>
  <c r="AU123" i="1" s="1"/>
  <c r="AL126" i="1"/>
  <c r="AT126" i="1"/>
  <c r="AU126" i="1" s="1"/>
  <c r="AL106" i="1"/>
  <c r="AT106" i="1"/>
  <c r="AU106" i="1" s="1"/>
  <c r="AL105" i="1"/>
  <c r="AT105" i="1"/>
  <c r="AU105" i="1" s="1"/>
  <c r="AL104" i="1"/>
  <c r="AT104" i="1"/>
  <c r="AU104" i="1" s="1"/>
  <c r="AL121" i="1"/>
  <c r="AT121" i="1"/>
  <c r="AU121" i="1" s="1"/>
  <c r="AL99" i="1"/>
  <c r="AT99" i="1"/>
  <c r="AU99" i="1" s="1"/>
  <c r="AQ63" i="1"/>
  <c r="AY63" i="1"/>
  <c r="AZ63" i="1" s="1"/>
  <c r="AQ62" i="1"/>
  <c r="AY62" i="1"/>
  <c r="AZ62" i="1" s="1"/>
  <c r="AQ64" i="1"/>
  <c r="AY64" i="1"/>
  <c r="AZ64" i="1" s="1"/>
  <c r="AY59" i="1"/>
  <c r="AZ59" i="1" s="1"/>
  <c r="AQ59" i="1"/>
  <c r="AQ60" i="1"/>
  <c r="AY60" i="1"/>
  <c r="AZ60" i="1" s="1"/>
  <c r="AQ35" i="1"/>
  <c r="AY35" i="1"/>
  <c r="AZ35" i="1" s="1"/>
  <c r="AG86" i="1"/>
  <c r="AO86" i="1"/>
  <c r="AP86" i="1" s="1"/>
  <c r="AQ34" i="1"/>
  <c r="AY34" i="1"/>
  <c r="AZ34" i="1" s="1"/>
  <c r="AQ57" i="1"/>
  <c r="AY57" i="1"/>
  <c r="AZ57" i="1" s="1"/>
  <c r="AQ56" i="1"/>
  <c r="AY56" i="1"/>
  <c r="AZ56" i="1" s="1"/>
  <c r="AQ65" i="1"/>
  <c r="AY65" i="1"/>
  <c r="AZ65" i="1" s="1"/>
  <c r="AQ87" i="1"/>
  <c r="AY87" i="1"/>
  <c r="AZ87" i="1" s="1"/>
  <c r="AQ52" i="1"/>
  <c r="AY52" i="1"/>
  <c r="AZ52" i="1" s="1"/>
  <c r="AQ51" i="1"/>
  <c r="AY51" i="1"/>
  <c r="AZ51" i="1" s="1"/>
  <c r="AQ50" i="1"/>
  <c r="AY50" i="1"/>
  <c r="AZ50" i="1" s="1"/>
  <c r="AQ46" i="1"/>
  <c r="AY46" i="1"/>
  <c r="AZ46" i="1" s="1"/>
  <c r="AQ49" i="1"/>
  <c r="AY49" i="1"/>
  <c r="AZ49" i="1" s="1"/>
  <c r="AQ48" i="1"/>
  <c r="AY48" i="1"/>
  <c r="AZ48" i="1" s="1"/>
  <c r="AQ47" i="1"/>
  <c r="AY47" i="1"/>
  <c r="AZ47" i="1" s="1"/>
  <c r="AQ41" i="1"/>
  <c r="AY41" i="1"/>
  <c r="AZ41" i="1" s="1"/>
  <c r="AQ43" i="1"/>
  <c r="AY43" i="1"/>
  <c r="AZ43" i="1" s="1"/>
  <c r="AQ39" i="1"/>
  <c r="AY39" i="1"/>
  <c r="AZ39" i="1" s="1"/>
  <c r="AQ40" i="1"/>
  <c r="AY40" i="1"/>
  <c r="AZ40" i="1" s="1"/>
  <c r="AQ42" i="1"/>
  <c r="AY42" i="1"/>
  <c r="AZ42" i="1" s="1"/>
  <c r="AQ53" i="1"/>
  <c r="AY53" i="1"/>
  <c r="AZ53" i="1" s="1"/>
  <c r="AQ54" i="1"/>
  <c r="AY54" i="1"/>
  <c r="AZ54" i="1" s="1"/>
  <c r="AQ29" i="1"/>
  <c r="AY29" i="1"/>
  <c r="AZ29" i="1" s="1"/>
  <c r="AG36" i="1"/>
  <c r="AO36" i="1"/>
  <c r="AP36" i="1" s="1"/>
  <c r="AG37" i="1"/>
  <c r="AO37" i="1"/>
  <c r="AP37" i="1" s="1"/>
  <c r="AP56" i="2"/>
  <c r="AX56" i="2"/>
  <c r="AY56" i="2" s="1"/>
  <c r="AP55" i="2"/>
  <c r="AX55" i="2"/>
  <c r="AY55" i="2" s="1"/>
  <c r="AP54" i="2"/>
  <c r="AX54" i="2"/>
  <c r="AY54" i="2" s="1"/>
  <c r="AP53" i="2"/>
  <c r="AX53" i="2"/>
  <c r="AY53" i="2" s="1"/>
  <c r="AP52" i="2"/>
  <c r="AX52" i="2"/>
  <c r="AY52" i="2" s="1"/>
  <c r="AP49" i="2"/>
  <c r="AX49" i="2"/>
  <c r="AY49" i="2" s="1"/>
  <c r="AP48" i="2"/>
  <c r="AX48" i="2"/>
  <c r="AY48" i="2" s="1"/>
  <c r="AP47" i="2"/>
  <c r="AX47" i="2"/>
  <c r="AY47" i="2" s="1"/>
  <c r="AP36" i="2"/>
  <c r="AX36" i="2"/>
  <c r="AY36" i="2" s="1"/>
  <c r="AP35" i="2"/>
  <c r="AX35" i="2"/>
  <c r="AY35" i="2" s="1"/>
  <c r="AP34" i="2"/>
  <c r="AX34" i="2"/>
  <c r="AY34" i="2" s="1"/>
  <c r="AP33" i="2"/>
  <c r="AX33" i="2"/>
  <c r="AY33" i="2" s="1"/>
  <c r="AP32" i="2"/>
  <c r="AX32" i="2"/>
  <c r="AY32" i="2" s="1"/>
  <c r="AP31" i="2"/>
  <c r="AX31" i="2"/>
  <c r="AY31" i="2" s="1"/>
  <c r="AP30" i="2"/>
  <c r="AX30" i="2"/>
  <c r="AY30" i="2" s="1"/>
  <c r="AP29" i="2"/>
  <c r="AX29" i="2"/>
  <c r="AY29" i="2" s="1"/>
  <c r="AP28" i="2"/>
  <c r="AX28" i="2"/>
  <c r="AY28" i="2" s="1"/>
  <c r="AP25" i="2"/>
  <c r="AX25" i="2"/>
  <c r="AY25" i="2" s="1"/>
  <c r="AP24" i="2"/>
  <c r="AX24" i="2"/>
  <c r="AY24" i="2" s="1"/>
  <c r="AP23" i="2"/>
  <c r="AX23" i="2"/>
  <c r="AY23" i="2" s="1"/>
  <c r="AP22" i="2"/>
  <c r="AX22" i="2"/>
  <c r="AY22" i="2" s="1"/>
  <c r="AP21" i="2"/>
  <c r="AX21" i="2"/>
  <c r="AY21" i="2" s="1"/>
  <c r="AP20" i="2"/>
  <c r="AX20" i="2"/>
  <c r="AY20" i="2" s="1"/>
  <c r="AP19" i="2"/>
  <c r="AX19" i="2"/>
  <c r="AY19" i="2" s="1"/>
  <c r="AP18" i="2"/>
  <c r="AX18" i="2"/>
  <c r="AY18" i="2" s="1"/>
  <c r="AP17" i="2"/>
  <c r="AX17" i="2"/>
  <c r="AY17" i="2" s="1"/>
  <c r="AP16" i="2"/>
  <c r="AX16" i="2"/>
  <c r="AY16" i="2" s="1"/>
  <c r="AP15" i="2"/>
  <c r="AX15" i="2"/>
  <c r="AY15" i="2" s="1"/>
  <c r="AA14" i="2"/>
  <c r="AI14" i="2"/>
  <c r="AJ14" i="2" s="1"/>
  <c r="AA13" i="2"/>
  <c r="AI13" i="2"/>
  <c r="AJ13" i="2" s="1"/>
  <c r="AA12" i="2"/>
  <c r="AI12" i="2"/>
  <c r="AJ12" i="2" s="1"/>
  <c r="V11" i="2"/>
  <c r="Y11" i="2" s="1"/>
  <c r="Z11" i="2" s="1"/>
  <c r="AD11" i="2"/>
  <c r="AE11" i="2" s="1"/>
  <c r="AP10" i="2"/>
  <c r="AX10" i="2"/>
  <c r="AY10" i="2" s="1"/>
  <c r="AA9" i="2"/>
  <c r="AI9" i="2"/>
  <c r="AJ9" i="2" s="1"/>
  <c r="AA8" i="2"/>
  <c r="AI8" i="2"/>
  <c r="AJ8" i="2" s="1"/>
  <c r="AB17" i="1"/>
  <c r="AJ17" i="1"/>
  <c r="AB20" i="1"/>
  <c r="AJ20" i="1"/>
  <c r="AB28" i="1"/>
  <c r="AJ28" i="1"/>
  <c r="AK28" i="1" s="1"/>
  <c r="AB31" i="1"/>
  <c r="AJ31" i="1"/>
  <c r="AB18" i="1"/>
  <c r="AJ18" i="1"/>
  <c r="AB19" i="1"/>
  <c r="AJ19" i="1"/>
  <c r="AK19" i="1" s="1"/>
  <c r="AL81" i="1"/>
  <c r="AT81" i="1"/>
  <c r="AU81" i="1" s="1"/>
  <c r="AG84" i="1"/>
  <c r="AO84" i="1"/>
  <c r="AP84" i="1" s="1"/>
  <c r="AQ79" i="1"/>
  <c r="AY79" i="1"/>
  <c r="AZ79" i="1" s="1"/>
  <c r="AQ80" i="1"/>
  <c r="AY80" i="1"/>
  <c r="AZ80" i="1" s="1"/>
  <c r="AL82" i="1"/>
  <c r="AT82" i="1"/>
  <c r="AU82" i="1" s="1"/>
  <c r="AU31" i="1"/>
  <c r="AZ17" i="1"/>
  <c r="AZ20" i="1"/>
  <c r="AJ25" i="1"/>
  <c r="AB25" i="1"/>
  <c r="AJ21" i="1"/>
  <c r="AB21" i="1"/>
  <c r="AB78" i="1"/>
  <c r="AJ78" i="1"/>
  <c r="AK78" i="1" s="1"/>
  <c r="AO10" i="1"/>
  <c r="AP10" i="1" s="1"/>
  <c r="AG10" i="1"/>
  <c r="AO9" i="1"/>
  <c r="AP9" i="1" s="1"/>
  <c r="AG9" i="1"/>
  <c r="AQ77" i="1"/>
  <c r="AY77" i="1"/>
  <c r="AZ77" i="1" s="1"/>
  <c r="AZ18" i="1"/>
  <c r="BE16" i="1"/>
  <c r="AG92" i="1" l="1"/>
  <c r="AO92" i="1"/>
  <c r="AP92" i="1" s="1"/>
  <c r="AG93" i="1"/>
  <c r="AO93" i="1"/>
  <c r="AP93" i="1" s="1"/>
  <c r="AG91" i="1"/>
  <c r="AO91" i="1"/>
  <c r="AP91" i="1" s="1"/>
  <c r="AG153" i="1"/>
  <c r="AO153" i="1"/>
  <c r="AP153" i="1" s="1"/>
  <c r="W156" i="1"/>
  <c r="Z156" i="1" s="1"/>
  <c r="AA156" i="1" s="1"/>
  <c r="AE156" i="1"/>
  <c r="AF156" i="1" s="1"/>
  <c r="AG157" i="1"/>
  <c r="AO157" i="1"/>
  <c r="AP157" i="1" s="1"/>
  <c r="AG30" i="1"/>
  <c r="AO30" i="1"/>
  <c r="AP30" i="1" s="1"/>
  <c r="AT68" i="1"/>
  <c r="AU68" i="1" s="1"/>
  <c r="AL68" i="1"/>
  <c r="AL67" i="1"/>
  <c r="AT67" i="1"/>
  <c r="AU67" i="1" s="1"/>
  <c r="AG124" i="1"/>
  <c r="AO124" i="1"/>
  <c r="AP124" i="1" s="1"/>
  <c r="AB133" i="1"/>
  <c r="AJ133" i="1"/>
  <c r="AK133" i="1" s="1"/>
  <c r="AG130" i="1"/>
  <c r="AO130" i="1"/>
  <c r="AP130" i="1" s="1"/>
  <c r="AG112" i="1"/>
  <c r="AO112" i="1"/>
  <c r="AP112" i="1" s="1"/>
  <c r="AG127" i="1"/>
  <c r="AO127" i="1"/>
  <c r="AP127" i="1" s="1"/>
  <c r="W125" i="1"/>
  <c r="Z125" i="1" s="1"/>
  <c r="AA125" i="1" s="1"/>
  <c r="AE125" i="1"/>
  <c r="AF125" i="1" s="1"/>
  <c r="AG121" i="1"/>
  <c r="AO121" i="1"/>
  <c r="AP121" i="1" s="1"/>
  <c r="AG105" i="1"/>
  <c r="AO105" i="1"/>
  <c r="AP105" i="1" s="1"/>
  <c r="AG106" i="1"/>
  <c r="AO106" i="1"/>
  <c r="AP106" i="1" s="1"/>
  <c r="AG126" i="1"/>
  <c r="AO126" i="1"/>
  <c r="AP126" i="1" s="1"/>
  <c r="AG117" i="1"/>
  <c r="AO117" i="1"/>
  <c r="AP117" i="1" s="1"/>
  <c r="AG99" i="1"/>
  <c r="AO99" i="1"/>
  <c r="AP99" i="1" s="1"/>
  <c r="AG104" i="1"/>
  <c r="AO104" i="1"/>
  <c r="AP104" i="1" s="1"/>
  <c r="AG123" i="1"/>
  <c r="AO123" i="1"/>
  <c r="AP123" i="1" s="1"/>
  <c r="AG107" i="1"/>
  <c r="AO107" i="1"/>
  <c r="AP107" i="1" s="1"/>
  <c r="AL60" i="1"/>
  <c r="AT60" i="1"/>
  <c r="AU60" i="1" s="1"/>
  <c r="AL62" i="1"/>
  <c r="AT62" i="1"/>
  <c r="AU62" i="1" s="1"/>
  <c r="AT59" i="1"/>
  <c r="AU59" i="1" s="1"/>
  <c r="AL59" i="1"/>
  <c r="AT64" i="1"/>
  <c r="AU64" i="1" s="1"/>
  <c r="AL64" i="1"/>
  <c r="AL63" i="1"/>
  <c r="AT63" i="1"/>
  <c r="AU63" i="1" s="1"/>
  <c r="AL35" i="1"/>
  <c r="AT35" i="1"/>
  <c r="AU35" i="1" s="1"/>
  <c r="AB86" i="1"/>
  <c r="AJ86" i="1"/>
  <c r="AK86" i="1" s="1"/>
  <c r="AL34" i="1"/>
  <c r="AT34" i="1"/>
  <c r="AU34" i="1" s="1"/>
  <c r="AL57" i="1"/>
  <c r="AT57" i="1"/>
  <c r="AU57" i="1" s="1"/>
  <c r="AL56" i="1"/>
  <c r="AT56" i="1"/>
  <c r="AU56" i="1" s="1"/>
  <c r="AL65" i="1"/>
  <c r="AT65" i="1"/>
  <c r="AU65" i="1" s="1"/>
  <c r="AL87" i="1"/>
  <c r="AT87" i="1"/>
  <c r="AU87" i="1" s="1"/>
  <c r="AL53" i="1"/>
  <c r="AT53" i="1"/>
  <c r="AU53" i="1" s="1"/>
  <c r="AL42" i="1"/>
  <c r="AT42" i="1"/>
  <c r="AU42" i="1" s="1"/>
  <c r="AL40" i="1"/>
  <c r="AT40" i="1"/>
  <c r="AU40" i="1" s="1"/>
  <c r="AL39" i="1"/>
  <c r="AT39" i="1"/>
  <c r="AU39" i="1" s="1"/>
  <c r="AL43" i="1"/>
  <c r="AT43" i="1"/>
  <c r="AU43" i="1" s="1"/>
  <c r="AL41" i="1"/>
  <c r="AT41" i="1"/>
  <c r="AU41" i="1" s="1"/>
  <c r="AL47" i="1"/>
  <c r="AT47" i="1"/>
  <c r="AU47" i="1" s="1"/>
  <c r="AL48" i="1"/>
  <c r="AT48" i="1"/>
  <c r="AU48" i="1" s="1"/>
  <c r="AL49" i="1"/>
  <c r="AT49" i="1"/>
  <c r="AU49" i="1" s="1"/>
  <c r="AL46" i="1"/>
  <c r="AT46" i="1"/>
  <c r="AU46" i="1" s="1"/>
  <c r="AL50" i="1"/>
  <c r="AT50" i="1"/>
  <c r="AU50" i="1" s="1"/>
  <c r="AL51" i="1"/>
  <c r="AT51" i="1"/>
  <c r="AU51" i="1" s="1"/>
  <c r="AL52" i="1"/>
  <c r="AT52" i="1"/>
  <c r="AU52" i="1" s="1"/>
  <c r="AL54" i="1"/>
  <c r="AT54" i="1"/>
  <c r="AU54" i="1" s="1"/>
  <c r="AL29" i="1"/>
  <c r="AT29" i="1"/>
  <c r="AU29" i="1" s="1"/>
  <c r="AB36" i="1"/>
  <c r="AE36" i="1" s="1"/>
  <c r="AF36" i="1" s="1"/>
  <c r="AJ36" i="1"/>
  <c r="AK36" i="1" s="1"/>
  <c r="AB37" i="1"/>
  <c r="AJ37" i="1"/>
  <c r="AK37" i="1" s="1"/>
  <c r="V8" i="2"/>
  <c r="Y8" i="2" s="1"/>
  <c r="Z8" i="2" s="1"/>
  <c r="AD8" i="2"/>
  <c r="AE8" i="2" s="1"/>
  <c r="V9" i="2"/>
  <c r="Y9" i="2" s="1"/>
  <c r="Z9" i="2" s="1"/>
  <c r="AD9" i="2"/>
  <c r="AE9" i="2" s="1"/>
  <c r="AK10" i="2"/>
  <c r="AS10" i="2"/>
  <c r="AT10" i="2" s="1"/>
  <c r="V12" i="2"/>
  <c r="Y12" i="2" s="1"/>
  <c r="Z12" i="2" s="1"/>
  <c r="AD12" i="2"/>
  <c r="AE12" i="2" s="1"/>
  <c r="V13" i="2"/>
  <c r="Y13" i="2" s="1"/>
  <c r="Z13" i="2" s="1"/>
  <c r="AD13" i="2"/>
  <c r="AE13" i="2" s="1"/>
  <c r="V14" i="2"/>
  <c r="Y14" i="2" s="1"/>
  <c r="Z14" i="2" s="1"/>
  <c r="AD14" i="2"/>
  <c r="AE14" i="2" s="1"/>
  <c r="AS15" i="2"/>
  <c r="AT15" i="2" s="1"/>
  <c r="AK15" i="2"/>
  <c r="AK16" i="2"/>
  <c r="AS16" i="2"/>
  <c r="AT16" i="2" s="1"/>
  <c r="AK17" i="2"/>
  <c r="AS17" i="2"/>
  <c r="AT17" i="2" s="1"/>
  <c r="AK18" i="2"/>
  <c r="AS18" i="2"/>
  <c r="AT18" i="2" s="1"/>
  <c r="AK19" i="2"/>
  <c r="AS19" i="2"/>
  <c r="AT19" i="2" s="1"/>
  <c r="AK20" i="2"/>
  <c r="AS20" i="2"/>
  <c r="AT20" i="2" s="1"/>
  <c r="AK21" i="2"/>
  <c r="AS21" i="2"/>
  <c r="AT21" i="2" s="1"/>
  <c r="AK22" i="2"/>
  <c r="AS22" i="2"/>
  <c r="AT22" i="2" s="1"/>
  <c r="AK23" i="2"/>
  <c r="AS23" i="2"/>
  <c r="AT23" i="2" s="1"/>
  <c r="AK24" i="2"/>
  <c r="AS24" i="2"/>
  <c r="AT24" i="2" s="1"/>
  <c r="AK25" i="2"/>
  <c r="AS25" i="2"/>
  <c r="AT25" i="2" s="1"/>
  <c r="AK28" i="2"/>
  <c r="AS28" i="2"/>
  <c r="AT28" i="2" s="1"/>
  <c r="AK29" i="2"/>
  <c r="AS29" i="2"/>
  <c r="AT29" i="2" s="1"/>
  <c r="AK30" i="2"/>
  <c r="AS30" i="2"/>
  <c r="AT30" i="2" s="1"/>
  <c r="AK31" i="2"/>
  <c r="AS31" i="2"/>
  <c r="AT31" i="2" s="1"/>
  <c r="AK32" i="2"/>
  <c r="AS32" i="2"/>
  <c r="AT32" i="2" s="1"/>
  <c r="AK33" i="2"/>
  <c r="AS33" i="2"/>
  <c r="AT33" i="2" s="1"/>
  <c r="AK34" i="2"/>
  <c r="AS34" i="2"/>
  <c r="AT34" i="2" s="1"/>
  <c r="AK35" i="2"/>
  <c r="AS35" i="2"/>
  <c r="AT35" i="2" s="1"/>
  <c r="AK36" i="2"/>
  <c r="AS36" i="2"/>
  <c r="AT36" i="2" s="1"/>
  <c r="AK47" i="2"/>
  <c r="AS47" i="2"/>
  <c r="AT47" i="2" s="1"/>
  <c r="AK48" i="2"/>
  <c r="AS48" i="2"/>
  <c r="AT48" i="2" s="1"/>
  <c r="AK49" i="2"/>
  <c r="AS49" i="2"/>
  <c r="AT49" i="2" s="1"/>
  <c r="AK52" i="2"/>
  <c r="AS52" i="2"/>
  <c r="AT52" i="2" s="1"/>
  <c r="AK53" i="2"/>
  <c r="AS53" i="2"/>
  <c r="AT53" i="2" s="1"/>
  <c r="AK54" i="2"/>
  <c r="AS54" i="2"/>
  <c r="AT54" i="2" s="1"/>
  <c r="AK55" i="2"/>
  <c r="AS55" i="2"/>
  <c r="AT55" i="2" s="1"/>
  <c r="AK56" i="2"/>
  <c r="AS56" i="2"/>
  <c r="AT56" i="2" s="1"/>
  <c r="W17" i="1"/>
  <c r="AE17" i="1"/>
  <c r="W20" i="1"/>
  <c r="AE20" i="1"/>
  <c r="W31" i="1"/>
  <c r="AE31" i="1"/>
  <c r="W28" i="1"/>
  <c r="Z28" i="1" s="1"/>
  <c r="AA28" i="1" s="1"/>
  <c r="AE28" i="1"/>
  <c r="AF28" i="1" s="1"/>
  <c r="W19" i="1"/>
  <c r="Z19" i="1" s="1"/>
  <c r="AA19" i="1" s="1"/>
  <c r="AE19" i="1"/>
  <c r="AF19" i="1" s="1"/>
  <c r="W18" i="1"/>
  <c r="AE18" i="1"/>
  <c r="AG82" i="1"/>
  <c r="AO82" i="1"/>
  <c r="AP82" i="1" s="1"/>
  <c r="AL79" i="1"/>
  <c r="AT79" i="1"/>
  <c r="AU79" i="1" s="1"/>
  <c r="AL80" i="1"/>
  <c r="AT80" i="1"/>
  <c r="AU80" i="1" s="1"/>
  <c r="AB84" i="1"/>
  <c r="AJ84" i="1"/>
  <c r="AK84" i="1" s="1"/>
  <c r="AG81" i="1"/>
  <c r="AO81" i="1"/>
  <c r="AP81" i="1" s="1"/>
  <c r="AP31" i="1"/>
  <c r="AU17" i="1"/>
  <c r="AU20" i="1"/>
  <c r="AE25" i="1"/>
  <c r="W25" i="1"/>
  <c r="AE21" i="1"/>
  <c r="W21" i="1"/>
  <c r="AE78" i="1"/>
  <c r="AF78" i="1" s="1"/>
  <c r="W78" i="1"/>
  <c r="Z78" i="1" s="1"/>
  <c r="AA78" i="1" s="1"/>
  <c r="AJ10" i="1"/>
  <c r="AK10" i="1" s="1"/>
  <c r="AB10" i="1"/>
  <c r="AJ9" i="1"/>
  <c r="AK9" i="1" s="1"/>
  <c r="AB9" i="1"/>
  <c r="AL77" i="1"/>
  <c r="AT77" i="1"/>
  <c r="AU77" i="1" s="1"/>
  <c r="AU18" i="1"/>
  <c r="AZ16" i="1"/>
  <c r="AB92" i="1" l="1"/>
  <c r="AJ92" i="1"/>
  <c r="AK92" i="1" s="1"/>
  <c r="AB93" i="1"/>
  <c r="AJ93" i="1"/>
  <c r="AK93" i="1" s="1"/>
  <c r="AB91" i="1"/>
  <c r="AJ91" i="1"/>
  <c r="AK91" i="1" s="1"/>
  <c r="AB157" i="1"/>
  <c r="AJ157" i="1"/>
  <c r="AK157" i="1" s="1"/>
  <c r="AB153" i="1"/>
  <c r="AJ153" i="1"/>
  <c r="AK153" i="1" s="1"/>
  <c r="AJ30" i="1"/>
  <c r="AK30" i="1" s="1"/>
  <c r="AB30" i="1"/>
  <c r="AG68" i="1"/>
  <c r="AO68" i="1"/>
  <c r="AP68" i="1" s="1"/>
  <c r="AG67" i="1"/>
  <c r="AO67" i="1"/>
  <c r="AP67" i="1" s="1"/>
  <c r="AB127" i="1"/>
  <c r="AJ127" i="1"/>
  <c r="AK127" i="1" s="1"/>
  <c r="W133" i="1"/>
  <c r="Z133" i="1" s="1"/>
  <c r="AA133" i="1" s="1"/>
  <c r="AE133" i="1"/>
  <c r="AF133" i="1" s="1"/>
  <c r="AB130" i="1"/>
  <c r="AJ130" i="1"/>
  <c r="AK130" i="1" s="1"/>
  <c r="AB112" i="1"/>
  <c r="AJ112" i="1"/>
  <c r="AK112" i="1" s="1"/>
  <c r="AB124" i="1"/>
  <c r="AJ124" i="1"/>
  <c r="AK124" i="1" s="1"/>
  <c r="AB107" i="1"/>
  <c r="AJ107" i="1"/>
  <c r="AK107" i="1" s="1"/>
  <c r="AB117" i="1"/>
  <c r="AJ117" i="1"/>
  <c r="AK117" i="1" s="1"/>
  <c r="AB106" i="1"/>
  <c r="AJ106" i="1"/>
  <c r="AK106" i="1" s="1"/>
  <c r="AB121" i="1"/>
  <c r="AJ121" i="1"/>
  <c r="AK121" i="1" s="1"/>
  <c r="AB123" i="1"/>
  <c r="AJ123" i="1"/>
  <c r="AK123" i="1" s="1"/>
  <c r="AB104" i="1"/>
  <c r="AJ104" i="1"/>
  <c r="AK104" i="1" s="1"/>
  <c r="AB126" i="1"/>
  <c r="AJ126" i="1"/>
  <c r="AK126" i="1" s="1"/>
  <c r="AB99" i="1"/>
  <c r="AJ99" i="1"/>
  <c r="AK99" i="1" s="1"/>
  <c r="AB105" i="1"/>
  <c r="AJ105" i="1"/>
  <c r="AK105" i="1" s="1"/>
  <c r="AG63" i="1"/>
  <c r="AO63" i="1"/>
  <c r="AP63" i="1" s="1"/>
  <c r="AO59" i="1"/>
  <c r="AP59" i="1" s="1"/>
  <c r="AG59" i="1"/>
  <c r="AG62" i="1"/>
  <c r="AO62" i="1"/>
  <c r="AP62" i="1" s="1"/>
  <c r="AO64" i="1"/>
  <c r="AP64" i="1" s="1"/>
  <c r="AG64" i="1"/>
  <c r="AO60" i="1"/>
  <c r="AP60" i="1" s="1"/>
  <c r="AG60" i="1"/>
  <c r="AG35" i="1"/>
  <c r="AO35" i="1"/>
  <c r="AP35" i="1" s="1"/>
  <c r="W86" i="1"/>
  <c r="Z86" i="1" s="1"/>
  <c r="AA86" i="1" s="1"/>
  <c r="AE86" i="1"/>
  <c r="AF86" i="1" s="1"/>
  <c r="AG34" i="1"/>
  <c r="AO34" i="1"/>
  <c r="AP34" i="1" s="1"/>
  <c r="AG57" i="1"/>
  <c r="AO57" i="1"/>
  <c r="AP57" i="1" s="1"/>
  <c r="AG56" i="1"/>
  <c r="AO56" i="1"/>
  <c r="AP56" i="1" s="1"/>
  <c r="AG65" i="1"/>
  <c r="AO65" i="1"/>
  <c r="AP65" i="1" s="1"/>
  <c r="AG87" i="1"/>
  <c r="AO87" i="1"/>
  <c r="AP87" i="1" s="1"/>
  <c r="AG52" i="1"/>
  <c r="AO52" i="1"/>
  <c r="AP52" i="1" s="1"/>
  <c r="AG51" i="1"/>
  <c r="AO51" i="1"/>
  <c r="AP51" i="1" s="1"/>
  <c r="AG50" i="1"/>
  <c r="AO50" i="1"/>
  <c r="AP50" i="1" s="1"/>
  <c r="AG46" i="1"/>
  <c r="AO46" i="1"/>
  <c r="AP46" i="1" s="1"/>
  <c r="AG49" i="1"/>
  <c r="AO49" i="1"/>
  <c r="AP49" i="1" s="1"/>
  <c r="AG48" i="1"/>
  <c r="AO48" i="1"/>
  <c r="AP48" i="1" s="1"/>
  <c r="AG47" i="1"/>
  <c r="AO47" i="1"/>
  <c r="AP47" i="1" s="1"/>
  <c r="AG41" i="1"/>
  <c r="AO41" i="1"/>
  <c r="AP41" i="1" s="1"/>
  <c r="AG43" i="1"/>
  <c r="AO43" i="1"/>
  <c r="AP43" i="1" s="1"/>
  <c r="AG39" i="1"/>
  <c r="AO39" i="1"/>
  <c r="AP39" i="1" s="1"/>
  <c r="AG40" i="1"/>
  <c r="AO40" i="1"/>
  <c r="AP40" i="1" s="1"/>
  <c r="AG42" i="1"/>
  <c r="AO42" i="1"/>
  <c r="AP42" i="1" s="1"/>
  <c r="AG53" i="1"/>
  <c r="AO53" i="1"/>
  <c r="AP53" i="1" s="1"/>
  <c r="AG54" i="1"/>
  <c r="AO54" i="1"/>
  <c r="AP54" i="1" s="1"/>
  <c r="W36" i="1"/>
  <c r="Z36" i="1" s="1"/>
  <c r="AA36" i="1" s="1"/>
  <c r="AG29" i="1"/>
  <c r="AO29" i="1"/>
  <c r="AP29" i="1" s="1"/>
  <c r="W37" i="1"/>
  <c r="Z37" i="1" s="1"/>
  <c r="AA37" i="1" s="1"/>
  <c r="AE37" i="1"/>
  <c r="AF37" i="1" s="1"/>
  <c r="AF56" i="2"/>
  <c r="AN56" i="2"/>
  <c r="AO56" i="2" s="1"/>
  <c r="AF55" i="2"/>
  <c r="AN55" i="2"/>
  <c r="AO55" i="2" s="1"/>
  <c r="AF54" i="2"/>
  <c r="AN54" i="2"/>
  <c r="AO54" i="2" s="1"/>
  <c r="AF53" i="2"/>
  <c r="AN53" i="2"/>
  <c r="AO53" i="2" s="1"/>
  <c r="AF52" i="2"/>
  <c r="AN52" i="2"/>
  <c r="AO52" i="2" s="1"/>
  <c r="AF49" i="2"/>
  <c r="AN49" i="2"/>
  <c r="AO49" i="2" s="1"/>
  <c r="AF48" i="2"/>
  <c r="AN48" i="2"/>
  <c r="AO48" i="2" s="1"/>
  <c r="AF47" i="2"/>
  <c r="AN47" i="2"/>
  <c r="AO47" i="2" s="1"/>
  <c r="AF36" i="2"/>
  <c r="AN36" i="2"/>
  <c r="AO36" i="2" s="1"/>
  <c r="AF35" i="2"/>
  <c r="AN35" i="2"/>
  <c r="AO35" i="2" s="1"/>
  <c r="AF34" i="2"/>
  <c r="AN34" i="2"/>
  <c r="AO34" i="2" s="1"/>
  <c r="AF33" i="2"/>
  <c r="AN33" i="2"/>
  <c r="AO33" i="2" s="1"/>
  <c r="AF32" i="2"/>
  <c r="AN32" i="2"/>
  <c r="AO32" i="2" s="1"/>
  <c r="AF31" i="2"/>
  <c r="AN31" i="2"/>
  <c r="AO31" i="2" s="1"/>
  <c r="AF30" i="2"/>
  <c r="AN30" i="2"/>
  <c r="AO30" i="2" s="1"/>
  <c r="AF29" i="2"/>
  <c r="AN29" i="2"/>
  <c r="AO29" i="2" s="1"/>
  <c r="AF28" i="2"/>
  <c r="AN28" i="2"/>
  <c r="AO28" i="2" s="1"/>
  <c r="AF25" i="2"/>
  <c r="AN25" i="2"/>
  <c r="AO25" i="2" s="1"/>
  <c r="AF24" i="2"/>
  <c r="AN24" i="2"/>
  <c r="AO24" i="2" s="1"/>
  <c r="AF23" i="2"/>
  <c r="AN23" i="2"/>
  <c r="AO23" i="2" s="1"/>
  <c r="AF22" i="2"/>
  <c r="AN22" i="2"/>
  <c r="AO22" i="2" s="1"/>
  <c r="AF21" i="2"/>
  <c r="AN21" i="2"/>
  <c r="AO21" i="2" s="1"/>
  <c r="AF20" i="2"/>
  <c r="AN20" i="2"/>
  <c r="AO20" i="2" s="1"/>
  <c r="AF19" i="2"/>
  <c r="AN19" i="2"/>
  <c r="AO19" i="2" s="1"/>
  <c r="AF18" i="2"/>
  <c r="AN18" i="2"/>
  <c r="AO18" i="2" s="1"/>
  <c r="AF17" i="2"/>
  <c r="AN17" i="2"/>
  <c r="AO17" i="2" s="1"/>
  <c r="AF16" i="2"/>
  <c r="AN16" i="2"/>
  <c r="AO16" i="2" s="1"/>
  <c r="AF15" i="2"/>
  <c r="AN15" i="2"/>
  <c r="AO15" i="2" s="1"/>
  <c r="AF10" i="2"/>
  <c r="AN10" i="2"/>
  <c r="AO10" i="2" s="1"/>
  <c r="AE84" i="1"/>
  <c r="AF84" i="1" s="1"/>
  <c r="W84" i="1"/>
  <c r="Z84" i="1" s="1"/>
  <c r="AA84" i="1" s="1"/>
  <c r="AG79" i="1"/>
  <c r="AO79" i="1"/>
  <c r="AP79" i="1" s="1"/>
  <c r="AB81" i="1"/>
  <c r="AJ81" i="1"/>
  <c r="AK81" i="1" s="1"/>
  <c r="AG80" i="1"/>
  <c r="AO80" i="1"/>
  <c r="AP80" i="1" s="1"/>
  <c r="AB82" i="1"/>
  <c r="AJ82" i="1"/>
  <c r="AK82" i="1" s="1"/>
  <c r="AK31" i="1"/>
  <c r="AP17" i="1"/>
  <c r="AP20" i="1"/>
  <c r="AE10" i="1"/>
  <c r="AF10" i="1" s="1"/>
  <c r="W10" i="1"/>
  <c r="Z10" i="1" s="1"/>
  <c r="AA10" i="1" s="1"/>
  <c r="AE9" i="1"/>
  <c r="AF9" i="1" s="1"/>
  <c r="W9" i="1"/>
  <c r="Z9" i="1" s="1"/>
  <c r="AA9" i="1" s="1"/>
  <c r="AG77" i="1"/>
  <c r="AO77" i="1"/>
  <c r="AP77" i="1" s="1"/>
  <c r="AP18" i="1"/>
  <c r="W92" i="1" l="1"/>
  <c r="Z92" i="1" s="1"/>
  <c r="AA92" i="1" s="1"/>
  <c r="AE92" i="1"/>
  <c r="AF92" i="1" s="1"/>
  <c r="W93" i="1"/>
  <c r="Z93" i="1" s="1"/>
  <c r="AA93" i="1" s="1"/>
  <c r="AE93" i="1"/>
  <c r="AF93" i="1" s="1"/>
  <c r="W91" i="1"/>
  <c r="Z91" i="1" s="1"/>
  <c r="AA91" i="1" s="1"/>
  <c r="AE91" i="1"/>
  <c r="AF91" i="1" s="1"/>
  <c r="W153" i="1"/>
  <c r="Z153" i="1" s="1"/>
  <c r="AA153" i="1" s="1"/>
  <c r="AE153" i="1"/>
  <c r="AF153" i="1" s="1"/>
  <c r="W157" i="1"/>
  <c r="Z157" i="1" s="1"/>
  <c r="AA157" i="1" s="1"/>
  <c r="AE157" i="1"/>
  <c r="AF157" i="1" s="1"/>
  <c r="W30" i="1"/>
  <c r="Z30" i="1" s="1"/>
  <c r="AA30" i="1" s="1"/>
  <c r="AE30" i="1"/>
  <c r="AF30" i="1" s="1"/>
  <c r="AB68" i="1"/>
  <c r="AJ68" i="1"/>
  <c r="AK68" i="1" s="1"/>
  <c r="AB67" i="1"/>
  <c r="W67" i="1" s="1"/>
  <c r="AJ67" i="1"/>
  <c r="AK67" i="1" s="1"/>
  <c r="W124" i="1"/>
  <c r="Z124" i="1" s="1"/>
  <c r="AA124" i="1" s="1"/>
  <c r="AE124" i="1"/>
  <c r="AF124" i="1" s="1"/>
  <c r="W130" i="1"/>
  <c r="Z130" i="1" s="1"/>
  <c r="AA130" i="1" s="1"/>
  <c r="AE130" i="1"/>
  <c r="AF130" i="1" s="1"/>
  <c r="W112" i="1"/>
  <c r="Z112" i="1" s="1"/>
  <c r="AA112" i="1" s="1"/>
  <c r="AE112" i="1"/>
  <c r="AF112" i="1" s="1"/>
  <c r="W127" i="1"/>
  <c r="Z127" i="1" s="1"/>
  <c r="AA127" i="1" s="1"/>
  <c r="AE127" i="1"/>
  <c r="AF127" i="1" s="1"/>
  <c r="W105" i="1"/>
  <c r="Z105" i="1" s="1"/>
  <c r="AA105" i="1" s="1"/>
  <c r="AE105" i="1"/>
  <c r="AF105" i="1" s="1"/>
  <c r="W99" i="1"/>
  <c r="Z99" i="1" s="1"/>
  <c r="AA99" i="1" s="1"/>
  <c r="AE99" i="1"/>
  <c r="AF99" i="1" s="1"/>
  <c r="W104" i="1"/>
  <c r="Z104" i="1" s="1"/>
  <c r="AA104" i="1" s="1"/>
  <c r="AE104" i="1"/>
  <c r="AF104" i="1" s="1"/>
  <c r="W121" i="1"/>
  <c r="Z121" i="1" s="1"/>
  <c r="AA121" i="1" s="1"/>
  <c r="AE121" i="1"/>
  <c r="AF121" i="1" s="1"/>
  <c r="W117" i="1"/>
  <c r="Z117" i="1" s="1"/>
  <c r="AA117" i="1" s="1"/>
  <c r="AE117" i="1"/>
  <c r="AF117" i="1" s="1"/>
  <c r="W126" i="1"/>
  <c r="Z126" i="1" s="1"/>
  <c r="AA126" i="1" s="1"/>
  <c r="AE126" i="1"/>
  <c r="AF126" i="1" s="1"/>
  <c r="W123" i="1"/>
  <c r="Z123" i="1" s="1"/>
  <c r="AA123" i="1" s="1"/>
  <c r="AE123" i="1"/>
  <c r="AF123" i="1" s="1"/>
  <c r="W106" i="1"/>
  <c r="Z106" i="1" s="1"/>
  <c r="AA106" i="1" s="1"/>
  <c r="AE106" i="1"/>
  <c r="AF106" i="1" s="1"/>
  <c r="W107" i="1"/>
  <c r="Z107" i="1" s="1"/>
  <c r="AA107" i="1" s="1"/>
  <c r="AE107" i="1"/>
  <c r="AF107" i="1" s="1"/>
  <c r="AJ64" i="1"/>
  <c r="AK64" i="1" s="1"/>
  <c r="AB64" i="1"/>
  <c r="AJ62" i="1"/>
  <c r="AK62" i="1" s="1"/>
  <c r="AB62" i="1"/>
  <c r="AB60" i="1"/>
  <c r="AJ60" i="1"/>
  <c r="AK60" i="1" s="1"/>
  <c r="AB59" i="1"/>
  <c r="AJ59" i="1"/>
  <c r="AK59" i="1" s="1"/>
  <c r="AB63" i="1"/>
  <c r="AJ63" i="1"/>
  <c r="AK63" i="1" s="1"/>
  <c r="AB35" i="1"/>
  <c r="AJ35" i="1"/>
  <c r="AK35" i="1" s="1"/>
  <c r="AB34" i="1"/>
  <c r="AJ34" i="1"/>
  <c r="AK34" i="1" s="1"/>
  <c r="AB57" i="1"/>
  <c r="AJ57" i="1"/>
  <c r="AK57" i="1" s="1"/>
  <c r="AB56" i="1"/>
  <c r="AJ56" i="1"/>
  <c r="AK56" i="1" s="1"/>
  <c r="AB65" i="1"/>
  <c r="AJ65" i="1"/>
  <c r="AK65" i="1" s="1"/>
  <c r="AB87" i="1"/>
  <c r="AJ87" i="1"/>
  <c r="AK87" i="1" s="1"/>
  <c r="AB53" i="1"/>
  <c r="AJ53" i="1"/>
  <c r="AK53" i="1" s="1"/>
  <c r="AB42" i="1"/>
  <c r="AJ42" i="1"/>
  <c r="AK42" i="1" s="1"/>
  <c r="AB40" i="1"/>
  <c r="AJ40" i="1"/>
  <c r="AK40" i="1" s="1"/>
  <c r="AB39" i="1"/>
  <c r="AJ39" i="1"/>
  <c r="AK39" i="1" s="1"/>
  <c r="AB43" i="1"/>
  <c r="AJ43" i="1"/>
  <c r="AK43" i="1" s="1"/>
  <c r="AB41" i="1"/>
  <c r="AJ41" i="1"/>
  <c r="AK41" i="1" s="1"/>
  <c r="AB47" i="1"/>
  <c r="AJ47" i="1"/>
  <c r="AK47" i="1" s="1"/>
  <c r="AB48" i="1"/>
  <c r="AJ48" i="1"/>
  <c r="AK48" i="1" s="1"/>
  <c r="AB49" i="1"/>
  <c r="AJ49" i="1"/>
  <c r="AK49" i="1" s="1"/>
  <c r="AB46" i="1"/>
  <c r="AJ46" i="1"/>
  <c r="AK46" i="1" s="1"/>
  <c r="AB50" i="1"/>
  <c r="AJ50" i="1"/>
  <c r="AK50" i="1" s="1"/>
  <c r="AB51" i="1"/>
  <c r="AJ51" i="1"/>
  <c r="AK51" i="1" s="1"/>
  <c r="AB52" i="1"/>
  <c r="AJ52" i="1"/>
  <c r="AK52" i="1" s="1"/>
  <c r="AB54" i="1"/>
  <c r="AJ54" i="1"/>
  <c r="AK54" i="1" s="1"/>
  <c r="AB29" i="1"/>
  <c r="AJ29" i="1"/>
  <c r="AK29" i="1" s="1"/>
  <c r="AA10" i="2"/>
  <c r="AI10" i="2"/>
  <c r="AJ10" i="2" s="1"/>
  <c r="AI15" i="2"/>
  <c r="AJ15" i="2" s="1"/>
  <c r="AA15" i="2"/>
  <c r="AA16" i="2"/>
  <c r="AI16" i="2"/>
  <c r="AJ16" i="2" s="1"/>
  <c r="AA17" i="2"/>
  <c r="AI17" i="2"/>
  <c r="AJ17" i="2" s="1"/>
  <c r="AA18" i="2"/>
  <c r="AI18" i="2"/>
  <c r="AJ18" i="2" s="1"/>
  <c r="AA19" i="2"/>
  <c r="AI19" i="2"/>
  <c r="AJ19" i="2" s="1"/>
  <c r="AA20" i="2"/>
  <c r="AI20" i="2"/>
  <c r="AJ20" i="2" s="1"/>
  <c r="AA21" i="2"/>
  <c r="AI21" i="2"/>
  <c r="AJ21" i="2" s="1"/>
  <c r="AA22" i="2"/>
  <c r="AI22" i="2"/>
  <c r="AJ22" i="2" s="1"/>
  <c r="AA23" i="2"/>
  <c r="AI23" i="2"/>
  <c r="AJ23" i="2" s="1"/>
  <c r="AA24" i="2"/>
  <c r="AI24" i="2"/>
  <c r="AJ24" i="2" s="1"/>
  <c r="AA25" i="2"/>
  <c r="AI25" i="2"/>
  <c r="AJ25" i="2" s="1"/>
  <c r="AA28" i="2"/>
  <c r="AI28" i="2"/>
  <c r="AJ28" i="2" s="1"/>
  <c r="AA29" i="2"/>
  <c r="AI29" i="2"/>
  <c r="AJ29" i="2" s="1"/>
  <c r="AA30" i="2"/>
  <c r="AI30" i="2"/>
  <c r="AJ30" i="2" s="1"/>
  <c r="AA31" i="2"/>
  <c r="AI31" i="2"/>
  <c r="AJ31" i="2" s="1"/>
  <c r="AA32" i="2"/>
  <c r="AI32" i="2"/>
  <c r="AJ32" i="2" s="1"/>
  <c r="AA33" i="2"/>
  <c r="AI33" i="2"/>
  <c r="AJ33" i="2" s="1"/>
  <c r="AA34" i="2"/>
  <c r="AI34" i="2"/>
  <c r="AJ34" i="2" s="1"/>
  <c r="AA35" i="2"/>
  <c r="AI35" i="2"/>
  <c r="AJ35" i="2" s="1"/>
  <c r="AA36" i="2"/>
  <c r="AI36" i="2"/>
  <c r="AJ36" i="2" s="1"/>
  <c r="AA47" i="2"/>
  <c r="AI47" i="2"/>
  <c r="AJ47" i="2" s="1"/>
  <c r="AA48" i="2"/>
  <c r="AI48" i="2"/>
  <c r="AJ48" i="2" s="1"/>
  <c r="AA49" i="2"/>
  <c r="AI49" i="2"/>
  <c r="AJ49" i="2" s="1"/>
  <c r="AA52" i="2"/>
  <c r="AI52" i="2"/>
  <c r="AJ52" i="2" s="1"/>
  <c r="AA53" i="2"/>
  <c r="AI53" i="2"/>
  <c r="AJ53" i="2" s="1"/>
  <c r="AA54" i="2"/>
  <c r="AI54" i="2"/>
  <c r="AJ54" i="2" s="1"/>
  <c r="AA55" i="2"/>
  <c r="AI55" i="2"/>
  <c r="AJ55" i="2" s="1"/>
  <c r="AA56" i="2"/>
  <c r="AI56" i="2"/>
  <c r="AJ56" i="2" s="1"/>
  <c r="AE81" i="1"/>
  <c r="AF81" i="1" s="1"/>
  <c r="W81" i="1"/>
  <c r="Z81" i="1" s="1"/>
  <c r="AA81" i="1" s="1"/>
  <c r="AE82" i="1"/>
  <c r="AF82" i="1" s="1"/>
  <c r="W82" i="1"/>
  <c r="Z82" i="1" s="1"/>
  <c r="AA82" i="1" s="1"/>
  <c r="AB80" i="1"/>
  <c r="AJ80" i="1"/>
  <c r="AK80" i="1" s="1"/>
  <c r="AB79" i="1"/>
  <c r="AJ79" i="1"/>
  <c r="AK79" i="1" s="1"/>
  <c r="Z31" i="1"/>
  <c r="AA31" i="1" s="1"/>
  <c r="AF31" i="1"/>
  <c r="AK17" i="1"/>
  <c r="AK20" i="1"/>
  <c r="AB77" i="1"/>
  <c r="AJ77" i="1"/>
  <c r="AK77" i="1" s="1"/>
  <c r="AK18" i="1"/>
  <c r="DT4" i="1"/>
  <c r="AD12" i="1"/>
  <c r="AI12" i="1"/>
  <c r="AN12" i="1"/>
  <c r="AS12" i="1"/>
  <c r="BM12" i="1"/>
  <c r="BW12" i="1"/>
  <c r="DK12" i="1"/>
  <c r="DQ12" i="1"/>
  <c r="DK16" i="1"/>
  <c r="DQ16" i="1"/>
  <c r="Y21" i="1"/>
  <c r="AD21" i="1"/>
  <c r="AI21" i="1"/>
  <c r="AK21" i="1" s="1"/>
  <c r="AN21" i="1"/>
  <c r="AP21" i="1" s="1"/>
  <c r="AS21" i="1"/>
  <c r="AU21" i="1" s="1"/>
  <c r="AX21" i="1"/>
  <c r="AZ21" i="1" s="1"/>
  <c r="BC21" i="1"/>
  <c r="BE21" i="1" s="1"/>
  <c r="BH21" i="1"/>
  <c r="BJ21" i="1" s="1"/>
  <c r="BM21" i="1"/>
  <c r="BO21" i="1" s="1"/>
  <c r="BW21" i="1"/>
  <c r="BY21" i="1" s="1"/>
  <c r="DK21" i="1"/>
  <c r="DM21" i="1" s="1"/>
  <c r="DQ21" i="1"/>
  <c r="DS21" i="1" s="1"/>
  <c r="Y25" i="1"/>
  <c r="AD25" i="1"/>
  <c r="AI25" i="1"/>
  <c r="AN25" i="1"/>
  <c r="AS25" i="1"/>
  <c r="AX25" i="1"/>
  <c r="BC25" i="1"/>
  <c r="BH25" i="1"/>
  <c r="BM25" i="1"/>
  <c r="BW25" i="1"/>
  <c r="DK25" i="1"/>
  <c r="DQ25" i="1"/>
  <c r="AE68" i="1" l="1"/>
  <c r="AF68" i="1" s="1"/>
  <c r="W68" i="1"/>
  <c r="Z68" i="1" s="1"/>
  <c r="AA68" i="1" s="1"/>
  <c r="Z67" i="1"/>
  <c r="AA67" i="1" s="1"/>
  <c r="AE67" i="1"/>
  <c r="AF67" i="1" s="1"/>
  <c r="AE63" i="1"/>
  <c r="AF63" i="1" s="1"/>
  <c r="W63" i="1"/>
  <c r="Z63" i="1" s="1"/>
  <c r="AA63" i="1" s="1"/>
  <c r="W60" i="1"/>
  <c r="Z60" i="1" s="1"/>
  <c r="AA60" i="1" s="1"/>
  <c r="AE60" i="1"/>
  <c r="AF60" i="1" s="1"/>
  <c r="W64" i="1"/>
  <c r="Z64" i="1" s="1"/>
  <c r="AA64" i="1" s="1"/>
  <c r="AE64" i="1"/>
  <c r="AF64" i="1" s="1"/>
  <c r="W59" i="1"/>
  <c r="Z59" i="1" s="1"/>
  <c r="AA59" i="1" s="1"/>
  <c r="AE59" i="1"/>
  <c r="AF59" i="1" s="1"/>
  <c r="AE62" i="1"/>
  <c r="AF62" i="1" s="1"/>
  <c r="W62" i="1"/>
  <c r="Z62" i="1" s="1"/>
  <c r="AA62" i="1" s="1"/>
  <c r="W35" i="1"/>
  <c r="Z35" i="1" s="1"/>
  <c r="AA35" i="1" s="1"/>
  <c r="AE35" i="1"/>
  <c r="AF35" i="1" s="1"/>
  <c r="W34" i="1"/>
  <c r="Z34" i="1" s="1"/>
  <c r="AA34" i="1" s="1"/>
  <c r="AE34" i="1"/>
  <c r="AF34" i="1" s="1"/>
  <c r="W57" i="1"/>
  <c r="Z57" i="1" s="1"/>
  <c r="AA57" i="1" s="1"/>
  <c r="AE57" i="1"/>
  <c r="AF57" i="1" s="1"/>
  <c r="W56" i="1"/>
  <c r="Z56" i="1" s="1"/>
  <c r="AA56" i="1" s="1"/>
  <c r="AE56" i="1"/>
  <c r="AF56" i="1" s="1"/>
  <c r="W65" i="1"/>
  <c r="Z65" i="1" s="1"/>
  <c r="AA65" i="1" s="1"/>
  <c r="AE65" i="1"/>
  <c r="AF65" i="1" s="1"/>
  <c r="W87" i="1"/>
  <c r="Z87" i="1" s="1"/>
  <c r="AA87" i="1" s="1"/>
  <c r="AE87" i="1"/>
  <c r="AF87" i="1" s="1"/>
  <c r="W52" i="1"/>
  <c r="Z52" i="1" s="1"/>
  <c r="AA52" i="1" s="1"/>
  <c r="AE52" i="1"/>
  <c r="AF52" i="1" s="1"/>
  <c r="W51" i="1"/>
  <c r="Z51" i="1" s="1"/>
  <c r="AA51" i="1" s="1"/>
  <c r="AE51" i="1"/>
  <c r="AF51" i="1" s="1"/>
  <c r="W50" i="1"/>
  <c r="Z50" i="1" s="1"/>
  <c r="AA50" i="1" s="1"/>
  <c r="AE50" i="1"/>
  <c r="AF50" i="1" s="1"/>
  <c r="W46" i="1"/>
  <c r="Z46" i="1" s="1"/>
  <c r="AA46" i="1" s="1"/>
  <c r="AE46" i="1"/>
  <c r="AF46" i="1" s="1"/>
  <c r="W49" i="1"/>
  <c r="Z49" i="1" s="1"/>
  <c r="AA49" i="1" s="1"/>
  <c r="AE49" i="1"/>
  <c r="AF49" i="1" s="1"/>
  <c r="W48" i="1"/>
  <c r="Z48" i="1" s="1"/>
  <c r="AA48" i="1" s="1"/>
  <c r="AE48" i="1"/>
  <c r="AF48" i="1" s="1"/>
  <c r="W47" i="1"/>
  <c r="Z47" i="1" s="1"/>
  <c r="AA47" i="1" s="1"/>
  <c r="AE47" i="1"/>
  <c r="AF47" i="1" s="1"/>
  <c r="W41" i="1"/>
  <c r="Z41" i="1" s="1"/>
  <c r="AA41" i="1" s="1"/>
  <c r="AE41" i="1"/>
  <c r="AF41" i="1" s="1"/>
  <c r="W43" i="1"/>
  <c r="Z43" i="1" s="1"/>
  <c r="AA43" i="1" s="1"/>
  <c r="AE43" i="1"/>
  <c r="AF43" i="1" s="1"/>
  <c r="W39" i="1"/>
  <c r="Z39" i="1" s="1"/>
  <c r="AA39" i="1" s="1"/>
  <c r="AE39" i="1"/>
  <c r="AF39" i="1" s="1"/>
  <c r="W40" i="1"/>
  <c r="Z40" i="1" s="1"/>
  <c r="AA40" i="1" s="1"/>
  <c r="AE40" i="1"/>
  <c r="AF40" i="1" s="1"/>
  <c r="W42" i="1"/>
  <c r="Z42" i="1" s="1"/>
  <c r="AA42" i="1" s="1"/>
  <c r="AE42" i="1"/>
  <c r="AF42" i="1" s="1"/>
  <c r="W53" i="1"/>
  <c r="Z53" i="1" s="1"/>
  <c r="AA53" i="1" s="1"/>
  <c r="AE53" i="1"/>
  <c r="AF53" i="1" s="1"/>
  <c r="W54" i="1"/>
  <c r="Z54" i="1" s="1"/>
  <c r="AA54" i="1" s="1"/>
  <c r="AE54" i="1"/>
  <c r="AF54" i="1" s="1"/>
  <c r="W29" i="1"/>
  <c r="Z29" i="1" s="1"/>
  <c r="AA29" i="1" s="1"/>
  <c r="AE29" i="1"/>
  <c r="AF29" i="1" s="1"/>
  <c r="V56" i="2"/>
  <c r="Y56" i="2" s="1"/>
  <c r="Z56" i="2" s="1"/>
  <c r="AD56" i="2"/>
  <c r="AE56" i="2" s="1"/>
  <c r="V55" i="2"/>
  <c r="Y55" i="2" s="1"/>
  <c r="Z55" i="2" s="1"/>
  <c r="AD55" i="2"/>
  <c r="AE55" i="2" s="1"/>
  <c r="V54" i="2"/>
  <c r="Y54" i="2" s="1"/>
  <c r="Z54" i="2" s="1"/>
  <c r="AD54" i="2"/>
  <c r="AE54" i="2" s="1"/>
  <c r="V53" i="2"/>
  <c r="Y53" i="2" s="1"/>
  <c r="Z53" i="2" s="1"/>
  <c r="AD53" i="2"/>
  <c r="AE53" i="2" s="1"/>
  <c r="V52" i="2"/>
  <c r="Y52" i="2" s="1"/>
  <c r="Z52" i="2" s="1"/>
  <c r="AD52" i="2"/>
  <c r="AE52" i="2" s="1"/>
  <c r="V49" i="2"/>
  <c r="Y49" i="2" s="1"/>
  <c r="Z49" i="2" s="1"/>
  <c r="AD49" i="2"/>
  <c r="AE49" i="2" s="1"/>
  <c r="V48" i="2"/>
  <c r="Y48" i="2" s="1"/>
  <c r="Z48" i="2" s="1"/>
  <c r="AD48" i="2"/>
  <c r="AE48" i="2" s="1"/>
  <c r="V47" i="2"/>
  <c r="Y47" i="2" s="1"/>
  <c r="Z47" i="2" s="1"/>
  <c r="AD47" i="2"/>
  <c r="AE47" i="2" s="1"/>
  <c r="V36" i="2"/>
  <c r="Y36" i="2" s="1"/>
  <c r="Z36" i="2" s="1"/>
  <c r="AD36" i="2"/>
  <c r="AE36" i="2" s="1"/>
  <c r="V35" i="2"/>
  <c r="Y35" i="2" s="1"/>
  <c r="Z35" i="2" s="1"/>
  <c r="AD35" i="2"/>
  <c r="AE35" i="2" s="1"/>
  <c r="V34" i="2"/>
  <c r="Y34" i="2" s="1"/>
  <c r="Z34" i="2" s="1"/>
  <c r="AD34" i="2"/>
  <c r="AE34" i="2" s="1"/>
  <c r="V33" i="2"/>
  <c r="Y33" i="2" s="1"/>
  <c r="Z33" i="2" s="1"/>
  <c r="AD33" i="2"/>
  <c r="AE33" i="2" s="1"/>
  <c r="V32" i="2"/>
  <c r="Y32" i="2" s="1"/>
  <c r="Z32" i="2" s="1"/>
  <c r="AD32" i="2"/>
  <c r="AE32" i="2" s="1"/>
  <c r="V31" i="2"/>
  <c r="Y31" i="2" s="1"/>
  <c r="Z31" i="2" s="1"/>
  <c r="AD31" i="2"/>
  <c r="AE31" i="2" s="1"/>
  <c r="V30" i="2"/>
  <c r="Y30" i="2" s="1"/>
  <c r="Z30" i="2" s="1"/>
  <c r="AD30" i="2"/>
  <c r="AE30" i="2" s="1"/>
  <c r="V29" i="2"/>
  <c r="Y29" i="2" s="1"/>
  <c r="Z29" i="2" s="1"/>
  <c r="AD29" i="2"/>
  <c r="AE29" i="2" s="1"/>
  <c r="V28" i="2"/>
  <c r="Y28" i="2" s="1"/>
  <c r="Z28" i="2" s="1"/>
  <c r="AD28" i="2"/>
  <c r="AE28" i="2" s="1"/>
  <c r="V25" i="2"/>
  <c r="Y25" i="2" s="1"/>
  <c r="Z25" i="2" s="1"/>
  <c r="AD25" i="2"/>
  <c r="AE25" i="2" s="1"/>
  <c r="V24" i="2"/>
  <c r="Y24" i="2" s="1"/>
  <c r="Z24" i="2" s="1"/>
  <c r="AD24" i="2"/>
  <c r="AE24" i="2" s="1"/>
  <c r="V23" i="2"/>
  <c r="Y23" i="2" s="1"/>
  <c r="Z23" i="2" s="1"/>
  <c r="AD23" i="2"/>
  <c r="AE23" i="2" s="1"/>
  <c r="V22" i="2"/>
  <c r="Y22" i="2" s="1"/>
  <c r="Z22" i="2" s="1"/>
  <c r="AD22" i="2"/>
  <c r="AE22" i="2" s="1"/>
  <c r="V21" i="2"/>
  <c r="Y21" i="2" s="1"/>
  <c r="Z21" i="2" s="1"/>
  <c r="AD21" i="2"/>
  <c r="AE21" i="2" s="1"/>
  <c r="V20" i="2"/>
  <c r="Y20" i="2" s="1"/>
  <c r="Z20" i="2" s="1"/>
  <c r="AD20" i="2"/>
  <c r="AE20" i="2" s="1"/>
  <c r="V19" i="2"/>
  <c r="Y19" i="2" s="1"/>
  <c r="Z19" i="2" s="1"/>
  <c r="AD19" i="2"/>
  <c r="AE19" i="2" s="1"/>
  <c r="V18" i="2"/>
  <c r="Y18" i="2" s="1"/>
  <c r="Z18" i="2" s="1"/>
  <c r="AD18" i="2"/>
  <c r="AE18" i="2" s="1"/>
  <c r="V17" i="2"/>
  <c r="Y17" i="2" s="1"/>
  <c r="Z17" i="2" s="1"/>
  <c r="AD17" i="2"/>
  <c r="AE17" i="2" s="1"/>
  <c r="V16" i="2"/>
  <c r="Y16" i="2" s="1"/>
  <c r="Z16" i="2" s="1"/>
  <c r="AD16" i="2"/>
  <c r="AE16" i="2" s="1"/>
  <c r="V15" i="2"/>
  <c r="Y15" i="2" s="1"/>
  <c r="Z15" i="2" s="1"/>
  <c r="AD15" i="2"/>
  <c r="AE15" i="2" s="1"/>
  <c r="AD10" i="2"/>
  <c r="AE10" i="2" s="1"/>
  <c r="V10" i="2"/>
  <c r="Y10" i="2" s="1"/>
  <c r="Z10" i="2" s="1"/>
  <c r="AE79" i="1"/>
  <c r="AF79" i="1" s="1"/>
  <c r="W79" i="1"/>
  <c r="Z79" i="1" s="1"/>
  <c r="AA79" i="1" s="1"/>
  <c r="AE80" i="1"/>
  <c r="AF80" i="1" s="1"/>
  <c r="W80" i="1"/>
  <c r="Z80" i="1" s="1"/>
  <c r="AA80" i="1" s="1"/>
  <c r="Z17" i="1"/>
  <c r="AA17" i="1" s="1"/>
  <c r="AF17" i="1"/>
  <c r="Z20" i="1"/>
  <c r="AA20" i="1" s="1"/>
  <c r="AF20" i="1"/>
  <c r="Z21" i="1"/>
  <c r="AA21" i="1" s="1"/>
  <c r="AF21" i="1"/>
  <c r="AE77" i="1"/>
  <c r="AF77" i="1" s="1"/>
  <c r="W77" i="1"/>
  <c r="Z77" i="1" s="1"/>
  <c r="AA77" i="1" s="1"/>
  <c r="Z18" i="1"/>
  <c r="AA18" i="1" s="1"/>
  <c r="AF18" i="1"/>
  <c r="DR25" i="1"/>
  <c r="DS25" i="1" s="1"/>
  <c r="DT12" i="1"/>
  <c r="DO12" i="1" s="1"/>
  <c r="DI12" i="1" s="1"/>
  <c r="DD12" i="1" s="1"/>
  <c r="DT33" i="1"/>
  <c r="DO33" i="1" s="1"/>
  <c r="DT14" i="1"/>
  <c r="DO14" i="1" s="1"/>
  <c r="DI14" i="1" s="1"/>
  <c r="DD14" i="1" s="1"/>
  <c r="DT13" i="1"/>
  <c r="DO13" i="1" s="1"/>
  <c r="DT16" i="1"/>
  <c r="DO16" i="1" s="1"/>
  <c r="DT27" i="1"/>
  <c r="DO27" i="1" s="1"/>
  <c r="DT26" i="1"/>
  <c r="DO26" i="1" s="1"/>
  <c r="DT15" i="1"/>
  <c r="DO15" i="1" s="1"/>
  <c r="DT32" i="1"/>
  <c r="DO32" i="1" s="1"/>
  <c r="CY14" i="1" l="1"/>
  <c r="DG14" i="1"/>
  <c r="DH14" i="1" s="1"/>
  <c r="CY12" i="1"/>
  <c r="DG12" i="1"/>
  <c r="DH12" i="1" s="1"/>
  <c r="DR14" i="1"/>
  <c r="DS14" i="1" s="1"/>
  <c r="DV32" i="1"/>
  <c r="DI32" i="1"/>
  <c r="DD32" i="1" s="1"/>
  <c r="DV15" i="1"/>
  <c r="DI15" i="1"/>
  <c r="DD15" i="1" s="1"/>
  <c r="DV24" i="1"/>
  <c r="DV26" i="1"/>
  <c r="DI26" i="1"/>
  <c r="DD26" i="1" s="1"/>
  <c r="DV27" i="1"/>
  <c r="DV16" i="1"/>
  <c r="DI16" i="1"/>
  <c r="DD16" i="1" s="1"/>
  <c r="DV23" i="1"/>
  <c r="DI23" i="1"/>
  <c r="DD23" i="1" s="1"/>
  <c r="DV13" i="1"/>
  <c r="DI13" i="1"/>
  <c r="DD13" i="1" s="1"/>
  <c r="DV33" i="1"/>
  <c r="DV22" i="1"/>
  <c r="DR22" i="1"/>
  <c r="DS22" i="1" s="1"/>
  <c r="DR12" i="1"/>
  <c r="DS12" i="1" s="1"/>
  <c r="DV14" i="1"/>
  <c r="DV12" i="1"/>
  <c r="DR11" i="1"/>
  <c r="DS11" i="1" s="1"/>
  <c r="DL25" i="1"/>
  <c r="DM25" i="1" s="1"/>
  <c r="CY23" i="1" l="1"/>
  <c r="DG23" i="1"/>
  <c r="DH23" i="1" s="1"/>
  <c r="DI33" i="1"/>
  <c r="CY13" i="1"/>
  <c r="DG13" i="1"/>
  <c r="DH13" i="1" s="1"/>
  <c r="CY16" i="1"/>
  <c r="DG16" i="1"/>
  <c r="DH16" i="1" s="1"/>
  <c r="DR27" i="1"/>
  <c r="DS27" i="1" s="1"/>
  <c r="DI27" i="1"/>
  <c r="DD27" i="1" s="1"/>
  <c r="CY26" i="1"/>
  <c r="DG26" i="1"/>
  <c r="DH26" i="1" s="1"/>
  <c r="CY15" i="1"/>
  <c r="DG15" i="1"/>
  <c r="DH15" i="1" s="1"/>
  <c r="CY32" i="1"/>
  <c r="DG32" i="1"/>
  <c r="DH32" i="1" s="1"/>
  <c r="CT12" i="1"/>
  <c r="DB12" i="1"/>
  <c r="DC12" i="1" s="1"/>
  <c r="CT14" i="1"/>
  <c r="DB14" i="1"/>
  <c r="DC14" i="1" s="1"/>
  <c r="DR33" i="1"/>
  <c r="DS33" i="1" s="1"/>
  <c r="DL26" i="1"/>
  <c r="DM26" i="1" s="1"/>
  <c r="DR26" i="1"/>
  <c r="DS26" i="1" s="1"/>
  <c r="DL24" i="1"/>
  <c r="DM24" i="1" s="1"/>
  <c r="DR24" i="1"/>
  <c r="DS24" i="1" s="1"/>
  <c r="DL14" i="1"/>
  <c r="DM14" i="1" s="1"/>
  <c r="DR13" i="1"/>
  <c r="DS13" i="1" s="1"/>
  <c r="DR16" i="1"/>
  <c r="DS16" i="1" s="1"/>
  <c r="DR15" i="1"/>
  <c r="DS15" i="1" s="1"/>
  <c r="DR32" i="1"/>
  <c r="DS32" i="1" s="1"/>
  <c r="BZ11" i="1"/>
  <c r="DL11" i="1"/>
  <c r="DM11" i="1" s="1"/>
  <c r="DL12" i="1"/>
  <c r="DM12" i="1" s="1"/>
  <c r="DR23" i="1"/>
  <c r="DS23" i="1" s="1"/>
  <c r="CT23" i="1" l="1"/>
  <c r="DB23" i="1"/>
  <c r="DC23" i="1" s="1"/>
  <c r="BU11" i="1"/>
  <c r="BP11" i="1" s="1"/>
  <c r="BK11" i="1" s="1"/>
  <c r="BF11" i="1" s="1"/>
  <c r="BA11" i="1" s="1"/>
  <c r="AV11" i="1" s="1"/>
  <c r="AQ11" i="1" s="1"/>
  <c r="AL11" i="1" s="1"/>
  <c r="AG11" i="1" s="1"/>
  <c r="AB11" i="1" s="1"/>
  <c r="W11" i="1" s="1"/>
  <c r="Z11" i="1" s="1"/>
  <c r="CC11" i="1"/>
  <c r="CD11" i="1" s="1"/>
  <c r="CO14" i="1"/>
  <c r="CW14" i="1"/>
  <c r="CX14" i="1" s="1"/>
  <c r="CO12" i="1"/>
  <c r="CW12" i="1"/>
  <c r="CX12" i="1" s="1"/>
  <c r="CT32" i="1"/>
  <c r="DB32" i="1"/>
  <c r="DC32" i="1" s="1"/>
  <c r="CT15" i="1"/>
  <c r="DB15" i="1"/>
  <c r="DC15" i="1" s="1"/>
  <c r="CT26" i="1"/>
  <c r="DB26" i="1"/>
  <c r="DC26" i="1" s="1"/>
  <c r="CY27" i="1"/>
  <c r="DG27" i="1"/>
  <c r="DH27" i="1" s="1"/>
  <c r="CT16" i="1"/>
  <c r="DB16" i="1"/>
  <c r="DC16" i="1" s="1"/>
  <c r="CT13" i="1"/>
  <c r="DB13" i="1"/>
  <c r="DC13" i="1" s="1"/>
  <c r="DD33" i="1"/>
  <c r="DL33" i="1"/>
  <c r="DM33" i="1" s="1"/>
  <c r="DL27" i="1"/>
  <c r="DM27" i="1" s="1"/>
  <c r="DL22" i="1"/>
  <c r="DM22" i="1" s="1"/>
  <c r="DL32" i="1"/>
  <c r="DM32" i="1" s="1"/>
  <c r="DL15" i="1"/>
  <c r="DM15" i="1" s="1"/>
  <c r="DL16" i="1"/>
  <c r="DM16" i="1" s="1"/>
  <c r="DL13" i="1"/>
  <c r="DM13" i="1" s="1"/>
  <c r="DL23" i="1"/>
  <c r="DM23" i="1" s="1"/>
  <c r="BS11" i="1" l="1"/>
  <c r="BT11" i="1" s="1"/>
  <c r="CO23" i="1"/>
  <c r="CW23" i="1"/>
  <c r="CX23" i="1" s="1"/>
  <c r="CY33" i="1"/>
  <c r="DG33" i="1"/>
  <c r="DH33" i="1" s="1"/>
  <c r="CO13" i="1"/>
  <c r="CW13" i="1"/>
  <c r="CX13" i="1" s="1"/>
  <c r="CO16" i="1"/>
  <c r="CW16" i="1"/>
  <c r="CX16" i="1" s="1"/>
  <c r="CT27" i="1"/>
  <c r="DB27" i="1"/>
  <c r="DC27" i="1" s="1"/>
  <c r="CO26" i="1"/>
  <c r="CW26" i="1"/>
  <c r="CX26" i="1" s="1"/>
  <c r="CO15" i="1"/>
  <c r="CW15" i="1"/>
  <c r="CX15" i="1" s="1"/>
  <c r="CO32" i="1"/>
  <c r="CW32" i="1"/>
  <c r="CX32" i="1" s="1"/>
  <c r="CJ12" i="1"/>
  <c r="CR12" i="1"/>
  <c r="CS12" i="1" s="1"/>
  <c r="CJ14" i="1"/>
  <c r="CR14" i="1"/>
  <c r="CS14" i="1" s="1"/>
  <c r="BZ24" i="1"/>
  <c r="CJ23" i="1" l="1"/>
  <c r="CR23" i="1"/>
  <c r="CS23" i="1" s="1"/>
  <c r="BU24" i="1"/>
  <c r="CC24" i="1"/>
  <c r="CD24" i="1" s="1"/>
  <c r="CE14" i="1"/>
  <c r="CH14" i="1" s="1"/>
  <c r="CI14" i="1" s="1"/>
  <c r="CM14" i="1"/>
  <c r="CN14" i="1" s="1"/>
  <c r="CE12" i="1"/>
  <c r="CH12" i="1" s="1"/>
  <c r="CI12" i="1" s="1"/>
  <c r="CM12" i="1"/>
  <c r="CN12" i="1" s="1"/>
  <c r="CJ32" i="1"/>
  <c r="CR32" i="1"/>
  <c r="CS32" i="1" s="1"/>
  <c r="CJ15" i="1"/>
  <c r="CR15" i="1"/>
  <c r="CS15" i="1" s="1"/>
  <c r="CJ26" i="1"/>
  <c r="CR26" i="1"/>
  <c r="CS26" i="1" s="1"/>
  <c r="CO27" i="1"/>
  <c r="CW27" i="1"/>
  <c r="CX27" i="1" s="1"/>
  <c r="CJ16" i="1"/>
  <c r="CR16" i="1"/>
  <c r="CS16" i="1" s="1"/>
  <c r="CJ13" i="1"/>
  <c r="CR13" i="1"/>
  <c r="CS13" i="1" s="1"/>
  <c r="CT33" i="1"/>
  <c r="DB33" i="1"/>
  <c r="DC33" i="1" s="1"/>
  <c r="BZ14" i="1" l="1"/>
  <c r="CC14" i="1" s="1"/>
  <c r="CD14" i="1" s="1"/>
  <c r="BZ12" i="1"/>
  <c r="CC12" i="1" s="1"/>
  <c r="CD12" i="1" s="1"/>
  <c r="CE23" i="1"/>
  <c r="CH23" i="1" s="1"/>
  <c r="CI23" i="1" s="1"/>
  <c r="CM23" i="1"/>
  <c r="CN23" i="1" s="1"/>
  <c r="CO33" i="1"/>
  <c r="CW33" i="1"/>
  <c r="CX33" i="1" s="1"/>
  <c r="CE13" i="1"/>
  <c r="CH13" i="1" s="1"/>
  <c r="CI13" i="1" s="1"/>
  <c r="CM13" i="1"/>
  <c r="CN13" i="1" s="1"/>
  <c r="CE16" i="1"/>
  <c r="CH16" i="1" s="1"/>
  <c r="CI16" i="1" s="1"/>
  <c r="CM16" i="1"/>
  <c r="CN16" i="1" s="1"/>
  <c r="CJ27" i="1"/>
  <c r="CR27" i="1"/>
  <c r="CS27" i="1" s="1"/>
  <c r="CE26" i="1"/>
  <c r="CM26" i="1"/>
  <c r="CN26" i="1" s="1"/>
  <c r="CE15" i="1"/>
  <c r="CH15" i="1" s="1"/>
  <c r="CI15" i="1" s="1"/>
  <c r="CM15" i="1"/>
  <c r="CN15" i="1" s="1"/>
  <c r="CE32" i="1"/>
  <c r="CH32" i="1" s="1"/>
  <c r="CI32" i="1" s="1"/>
  <c r="CM32" i="1"/>
  <c r="CN32" i="1" s="1"/>
  <c r="BZ22" i="1"/>
  <c r="BY25" i="1"/>
  <c r="BP24" i="1"/>
  <c r="BS24" i="1" s="1"/>
  <c r="BT24" i="1" s="1"/>
  <c r="BX24" i="1"/>
  <c r="BY24" i="1" s="1"/>
  <c r="BU14" i="1" l="1"/>
  <c r="BZ23" i="1"/>
  <c r="BU23" i="1" s="1"/>
  <c r="BU12" i="1"/>
  <c r="BP12" i="1" s="1"/>
  <c r="BS12" i="1" s="1"/>
  <c r="BT12" i="1" s="1"/>
  <c r="BZ13" i="1"/>
  <c r="CC13" i="1" s="1"/>
  <c r="CD13" i="1" s="1"/>
  <c r="BZ32" i="1"/>
  <c r="BU32" i="1" s="1"/>
  <c r="BZ16" i="1"/>
  <c r="CC16" i="1" s="1"/>
  <c r="CD16" i="1" s="1"/>
  <c r="BZ15" i="1"/>
  <c r="CC15" i="1" s="1"/>
  <c r="CD15" i="1" s="1"/>
  <c r="BU22" i="1"/>
  <c r="CC22" i="1"/>
  <c r="CD22" i="1" s="1"/>
  <c r="CH26" i="1"/>
  <c r="CI26" i="1" s="1"/>
  <c r="BZ26" i="1"/>
  <c r="CE27" i="1"/>
  <c r="CM27" i="1"/>
  <c r="CN27" i="1" s="1"/>
  <c r="CJ33" i="1"/>
  <c r="CR33" i="1"/>
  <c r="CS33" i="1" s="1"/>
  <c r="BX11" i="1"/>
  <c r="BY11" i="1" s="1"/>
  <c r="BK24" i="1"/>
  <c r="BX14" i="1" l="1"/>
  <c r="BY14" i="1" s="1"/>
  <c r="BP14" i="1"/>
  <c r="BX12" i="1"/>
  <c r="BY12" i="1" s="1"/>
  <c r="CC23" i="1"/>
  <c r="CD23" i="1" s="1"/>
  <c r="BU13" i="1"/>
  <c r="BX13" i="1" s="1"/>
  <c r="BY13" i="1" s="1"/>
  <c r="BU16" i="1"/>
  <c r="BX16" i="1" s="1"/>
  <c r="BY16" i="1" s="1"/>
  <c r="CC32" i="1"/>
  <c r="CD32" i="1" s="1"/>
  <c r="BU15" i="1"/>
  <c r="BX15" i="1" s="1"/>
  <c r="BY15" i="1" s="1"/>
  <c r="CE33" i="1"/>
  <c r="CM33" i="1"/>
  <c r="CN33" i="1" s="1"/>
  <c r="CH27" i="1"/>
  <c r="CI27" i="1" s="1"/>
  <c r="BZ27" i="1"/>
  <c r="BU26" i="1"/>
  <c r="CC26" i="1"/>
  <c r="CD26" i="1" s="1"/>
  <c r="BK12" i="1"/>
  <c r="BX22" i="1"/>
  <c r="BY22" i="1" s="1"/>
  <c r="BP22" i="1"/>
  <c r="BS22" i="1" s="1"/>
  <c r="BT22" i="1" s="1"/>
  <c r="BX32" i="1"/>
  <c r="BY32" i="1" s="1"/>
  <c r="BP32" i="1"/>
  <c r="BS32" i="1" s="1"/>
  <c r="BT32" i="1" s="1"/>
  <c r="BO25" i="1"/>
  <c r="BP23" i="1"/>
  <c r="BS23" i="1" s="1"/>
  <c r="BT23" i="1" s="1"/>
  <c r="BX23" i="1"/>
  <c r="BY23" i="1" s="1"/>
  <c r="BF24" i="1"/>
  <c r="BN24" i="1"/>
  <c r="BO24" i="1" s="1"/>
  <c r="BS14" i="1" l="1"/>
  <c r="BT14" i="1" s="1"/>
  <c r="BK14" i="1"/>
  <c r="BF12" i="1"/>
  <c r="BA12" i="1" s="1"/>
  <c r="AV12" i="1" s="1"/>
  <c r="AQ12" i="1" s="1"/>
  <c r="BN12" i="1"/>
  <c r="BO12" i="1" s="1"/>
  <c r="BP13" i="1"/>
  <c r="BP16" i="1"/>
  <c r="BS16" i="1" s="1"/>
  <c r="BT16" i="1" s="1"/>
  <c r="BP15" i="1"/>
  <c r="BS15" i="1" s="1"/>
  <c r="BT15" i="1" s="1"/>
  <c r="BX26" i="1"/>
  <c r="BY26" i="1" s="1"/>
  <c r="BP26" i="1"/>
  <c r="BU27" i="1"/>
  <c r="CC27" i="1"/>
  <c r="CD27" i="1" s="1"/>
  <c r="CH33" i="1"/>
  <c r="CI33" i="1" s="1"/>
  <c r="BZ33" i="1"/>
  <c r="BK22" i="1"/>
  <c r="BK32" i="1"/>
  <c r="BN11" i="1"/>
  <c r="BO11" i="1" s="1"/>
  <c r="BJ25" i="1"/>
  <c r="BK23" i="1"/>
  <c r="BA24" i="1"/>
  <c r="BI24" i="1"/>
  <c r="BJ24" i="1" s="1"/>
  <c r="BF14" i="1" l="1"/>
  <c r="BA14" i="1" s="1"/>
  <c r="AV14" i="1" s="1"/>
  <c r="AQ14" i="1" s="1"/>
  <c r="BN14" i="1"/>
  <c r="BO14" i="1" s="1"/>
  <c r="AL12" i="1"/>
  <c r="AT12" i="1"/>
  <c r="AU12" i="1" s="1"/>
  <c r="BS13" i="1"/>
  <c r="BT13" i="1" s="1"/>
  <c r="BK13" i="1"/>
  <c r="BK15" i="1"/>
  <c r="BK16" i="1"/>
  <c r="BF16" i="1" s="1"/>
  <c r="BU33" i="1"/>
  <c r="BX33" i="1" s="1"/>
  <c r="BY33" i="1" s="1"/>
  <c r="CC33" i="1"/>
  <c r="CD33" i="1" s="1"/>
  <c r="BX27" i="1"/>
  <c r="BY27" i="1" s="1"/>
  <c r="BP27" i="1"/>
  <c r="BS26" i="1"/>
  <c r="BT26" i="1" s="1"/>
  <c r="BK26" i="1"/>
  <c r="BN22" i="1"/>
  <c r="BO22" i="1" s="1"/>
  <c r="BF22" i="1"/>
  <c r="BN32" i="1"/>
  <c r="BO32" i="1" s="1"/>
  <c r="BF32" i="1"/>
  <c r="BI11" i="1"/>
  <c r="BJ11" i="1" s="1"/>
  <c r="BE25" i="1"/>
  <c r="BN23" i="1"/>
  <c r="BO23" i="1" s="1"/>
  <c r="BF23" i="1"/>
  <c r="BD24" i="1"/>
  <c r="BE24" i="1" s="1"/>
  <c r="AV24" i="1"/>
  <c r="AL14" i="1" l="1"/>
  <c r="AO14" i="1" s="1"/>
  <c r="AP14" i="1" s="1"/>
  <c r="AT14" i="1"/>
  <c r="AU14" i="1" s="1"/>
  <c r="AO12" i="1"/>
  <c r="AP12" i="1" s="1"/>
  <c r="AG12" i="1"/>
  <c r="BN13" i="1"/>
  <c r="BO13" i="1" s="1"/>
  <c r="BF13" i="1"/>
  <c r="BA13" i="1" s="1"/>
  <c r="AV13" i="1" s="1"/>
  <c r="AQ13" i="1" s="1"/>
  <c r="BF15" i="1"/>
  <c r="BN15" i="1"/>
  <c r="BO15" i="1" s="1"/>
  <c r="BN16" i="1"/>
  <c r="BO16" i="1" s="1"/>
  <c r="BN26" i="1"/>
  <c r="BO26" i="1" s="1"/>
  <c r="BF26" i="1"/>
  <c r="BS27" i="1"/>
  <c r="BT27" i="1" s="1"/>
  <c r="BK27" i="1"/>
  <c r="BP33" i="1"/>
  <c r="BI22" i="1"/>
  <c r="BJ22" i="1" s="1"/>
  <c r="BA22" i="1"/>
  <c r="BJ16" i="1"/>
  <c r="BA16" i="1"/>
  <c r="AV16" i="1" s="1"/>
  <c r="AQ16" i="1" s="1"/>
  <c r="BA32" i="1"/>
  <c r="BI32" i="1"/>
  <c r="BJ32" i="1" s="1"/>
  <c r="AY11" i="1"/>
  <c r="AZ11" i="1" s="1"/>
  <c r="BD11" i="1"/>
  <c r="BE11" i="1" s="1"/>
  <c r="AZ25" i="1"/>
  <c r="BA23" i="1"/>
  <c r="BI23" i="1"/>
  <c r="BJ23" i="1" s="1"/>
  <c r="AY24" i="1"/>
  <c r="AZ24" i="1" s="1"/>
  <c r="AQ24" i="1"/>
  <c r="AG14" i="1" l="1"/>
  <c r="AJ14" i="1" s="1"/>
  <c r="AK14" i="1" s="1"/>
  <c r="AL13" i="1"/>
  <c r="AG13" i="1" s="1"/>
  <c r="AT13" i="1"/>
  <c r="AU13" i="1" s="1"/>
  <c r="AJ12" i="1"/>
  <c r="AK12" i="1" s="1"/>
  <c r="AB12" i="1"/>
  <c r="W12" i="1" s="1"/>
  <c r="Z12" i="1" s="1"/>
  <c r="AA12" i="1" s="1"/>
  <c r="BA15" i="1"/>
  <c r="BI15" i="1"/>
  <c r="BJ15" i="1" s="1"/>
  <c r="BS33" i="1"/>
  <c r="BT33" i="1" s="1"/>
  <c r="BK33" i="1"/>
  <c r="BN27" i="1"/>
  <c r="BO27" i="1" s="1"/>
  <c r="BF27" i="1"/>
  <c r="BA26" i="1"/>
  <c r="BI26" i="1"/>
  <c r="BJ26" i="1" s="1"/>
  <c r="BD22" i="1"/>
  <c r="BE22" i="1" s="1"/>
  <c r="AV22" i="1"/>
  <c r="BD32" i="1"/>
  <c r="BE32" i="1" s="1"/>
  <c r="AV32" i="1"/>
  <c r="AT16" i="1"/>
  <c r="AU16" i="1" s="1"/>
  <c r="AL16" i="1"/>
  <c r="AU25" i="1"/>
  <c r="BD23" i="1"/>
  <c r="BE23" i="1" s="1"/>
  <c r="AV23" i="1"/>
  <c r="AT24" i="1"/>
  <c r="AU24" i="1" s="1"/>
  <c r="AL24" i="1"/>
  <c r="AB14" i="1" l="1"/>
  <c r="W14" i="1" s="1"/>
  <c r="Z14" i="1" s="1"/>
  <c r="AA14" i="1" s="1"/>
  <c r="AO13" i="1"/>
  <c r="AP13" i="1" s="1"/>
  <c r="AE12" i="1"/>
  <c r="AF12" i="1" s="1"/>
  <c r="AV15" i="1"/>
  <c r="BD15" i="1"/>
  <c r="BE15" i="1" s="1"/>
  <c r="BD26" i="1"/>
  <c r="BE26" i="1" s="1"/>
  <c r="AV26" i="1"/>
  <c r="BI27" i="1"/>
  <c r="BJ27" i="1" s="1"/>
  <c r="BA27" i="1"/>
  <c r="BF33" i="1"/>
  <c r="BN33" i="1"/>
  <c r="BO33" i="1" s="1"/>
  <c r="AY22" i="1"/>
  <c r="AZ22" i="1" s="1"/>
  <c r="AQ22" i="1"/>
  <c r="AB13" i="1"/>
  <c r="AJ13" i="1"/>
  <c r="AK13" i="1" s="1"/>
  <c r="AO16" i="1"/>
  <c r="AP16" i="1" s="1"/>
  <c r="AG16" i="1"/>
  <c r="AQ32" i="1"/>
  <c r="AY32" i="1"/>
  <c r="AZ32" i="1" s="1"/>
  <c r="AP25" i="1"/>
  <c r="AT11" i="1"/>
  <c r="AU11" i="1" s="1"/>
  <c r="AQ23" i="1"/>
  <c r="AY23" i="1"/>
  <c r="AZ23" i="1" s="1"/>
  <c r="AO24" i="1"/>
  <c r="AP24" i="1" s="1"/>
  <c r="AG24" i="1"/>
  <c r="AE14" i="1" l="1"/>
  <c r="AF14" i="1" s="1"/>
  <c r="AQ15" i="1"/>
  <c r="AY15" i="1"/>
  <c r="AZ15" i="1" s="1"/>
  <c r="BA33" i="1"/>
  <c r="BI33" i="1"/>
  <c r="BJ33" i="1" s="1"/>
  <c r="AV27" i="1"/>
  <c r="BD27" i="1"/>
  <c r="BE27" i="1" s="1"/>
  <c r="AQ26" i="1"/>
  <c r="AY26" i="1"/>
  <c r="AZ26" i="1" s="1"/>
  <c r="AL22" i="1"/>
  <c r="AT22" i="1"/>
  <c r="AU22" i="1" s="1"/>
  <c r="AT32" i="1"/>
  <c r="AU32" i="1" s="1"/>
  <c r="AL32" i="1"/>
  <c r="AJ16" i="1"/>
  <c r="AK16" i="1" s="1"/>
  <c r="AB16" i="1"/>
  <c r="W13" i="1"/>
  <c r="Z13" i="1" s="1"/>
  <c r="AA13" i="1" s="1"/>
  <c r="AE13" i="1"/>
  <c r="AF13" i="1" s="1"/>
  <c r="AK25" i="1"/>
  <c r="AO11" i="1"/>
  <c r="AP11" i="1" s="1"/>
  <c r="AL23" i="1"/>
  <c r="AT23" i="1"/>
  <c r="AU23" i="1" s="1"/>
  <c r="AB24" i="1"/>
  <c r="AJ24" i="1"/>
  <c r="AK24" i="1" s="1"/>
  <c r="AT15" i="1" l="1"/>
  <c r="AU15" i="1" s="1"/>
  <c r="AL15" i="1"/>
  <c r="AT26" i="1"/>
  <c r="AU26" i="1" s="1"/>
  <c r="AL26" i="1"/>
  <c r="AY27" i="1"/>
  <c r="AZ27" i="1" s="1"/>
  <c r="AQ27" i="1"/>
  <c r="AV33" i="1"/>
  <c r="BD33" i="1"/>
  <c r="BE33" i="1" s="1"/>
  <c r="AO22" i="1"/>
  <c r="AP22" i="1" s="1"/>
  <c r="AG22" i="1"/>
  <c r="W16" i="1"/>
  <c r="Z16" i="1" s="1"/>
  <c r="AA16" i="1" s="1"/>
  <c r="AE16" i="1"/>
  <c r="AF16" i="1" s="1"/>
  <c r="AO32" i="1"/>
  <c r="AP32" i="1" s="1"/>
  <c r="AG32" i="1"/>
  <c r="AE11" i="1"/>
  <c r="AF11" i="1" s="1"/>
  <c r="AA11" i="1"/>
  <c r="Z25" i="1"/>
  <c r="AA25" i="1" s="1"/>
  <c r="AF25" i="1"/>
  <c r="AJ11" i="1"/>
  <c r="AK11" i="1" s="1"/>
  <c r="AO23" i="1"/>
  <c r="AP23" i="1" s="1"/>
  <c r="AG23" i="1"/>
  <c r="AE24" i="1"/>
  <c r="AF24" i="1" s="1"/>
  <c r="W24" i="1"/>
  <c r="Z24" i="1" s="1"/>
  <c r="AA24" i="1" s="1"/>
  <c r="AG15" i="1" l="1"/>
  <c r="AO15" i="1"/>
  <c r="AP15" i="1" s="1"/>
  <c r="AY33" i="1"/>
  <c r="AZ33" i="1" s="1"/>
  <c r="AQ33" i="1"/>
  <c r="AL27" i="1"/>
  <c r="AT27" i="1"/>
  <c r="AU27" i="1" s="1"/>
  <c r="AO26" i="1"/>
  <c r="AP26" i="1" s="1"/>
  <c r="AG26" i="1"/>
  <c r="AJ22" i="1"/>
  <c r="AK22" i="1" s="1"/>
  <c r="AB22" i="1"/>
  <c r="AB32" i="1"/>
  <c r="AJ32" i="1"/>
  <c r="AK32" i="1" s="1"/>
  <c r="AB23" i="1"/>
  <c r="AJ23" i="1"/>
  <c r="AK23" i="1" s="1"/>
  <c r="AJ15" i="1" l="1"/>
  <c r="AK15" i="1" s="1"/>
  <c r="AB15" i="1"/>
  <c r="W15" i="1" s="1"/>
  <c r="Z15" i="1" s="1"/>
  <c r="AA15" i="1" s="1"/>
  <c r="AB26" i="1"/>
  <c r="AJ26" i="1"/>
  <c r="AK26" i="1" s="1"/>
  <c r="AO27" i="1"/>
  <c r="AP27" i="1" s="1"/>
  <c r="AG27" i="1"/>
  <c r="AL33" i="1"/>
  <c r="AT33" i="1"/>
  <c r="AU33" i="1" s="1"/>
  <c r="AE22" i="1"/>
  <c r="AF22" i="1" s="1"/>
  <c r="W22" i="1"/>
  <c r="Z22" i="1" s="1"/>
  <c r="AA22" i="1" s="1"/>
  <c r="AE32" i="1"/>
  <c r="AF32" i="1" s="1"/>
  <c r="W32" i="1"/>
  <c r="Z32" i="1" s="1"/>
  <c r="AA32" i="1" s="1"/>
  <c r="W23" i="1"/>
  <c r="Z23" i="1" s="1"/>
  <c r="AA23" i="1" s="1"/>
  <c r="AE23" i="1"/>
  <c r="AF23" i="1" s="1"/>
  <c r="AE15" i="1" l="1"/>
  <c r="AF15" i="1" s="1"/>
  <c r="AO33" i="1"/>
  <c r="AP33" i="1" s="1"/>
  <c r="AG33" i="1"/>
  <c r="AJ27" i="1"/>
  <c r="AK27" i="1" s="1"/>
  <c r="AB27" i="1"/>
  <c r="AE26" i="1"/>
  <c r="AF26" i="1" s="1"/>
  <c r="W26" i="1"/>
  <c r="Z26" i="1" s="1"/>
  <c r="AA26" i="1" s="1"/>
  <c r="AE27" i="1" l="1"/>
  <c r="AF27" i="1" s="1"/>
  <c r="W27" i="1"/>
  <c r="Z27" i="1" s="1"/>
  <c r="AA27" i="1" s="1"/>
  <c r="AB33" i="1"/>
  <c r="AJ33" i="1"/>
  <c r="AK33" i="1" s="1"/>
  <c r="AE33" i="1" l="1"/>
  <c r="AF33" i="1" s="1"/>
  <c r="W33" i="1"/>
  <c r="Z33" i="1" s="1"/>
  <c r="AA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Eveline Maria Juca Bezerra</author>
    <author>tc={4934D672-0F91-4CD7-9E9A-F001125E7804}</author>
    <author>tc={472360B8-FBB4-4557-BBAE-DB7A5773E2E1}</author>
  </authors>
  <commentList>
    <comment ref="W10" authorId="0" shapeId="0" xr:uid="{BCFCD6E4-0BFC-4C10-90AE-5F7A24937693}">
      <text>
        <r>
          <rPr>
            <b/>
            <sz val="9"/>
            <color indexed="81"/>
            <rFont val="Segoe UI"/>
            <charset val="1"/>
          </rPr>
          <t>It was necessary to add a new NCM code to the BL. Customs authorization is awaited.</t>
        </r>
      </text>
    </comment>
    <comment ref="AB12" authorId="1" shapeId="0" xr:uid="{4934D672-0F91-4CD7-9E9A-F001125E7804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was not registered at the required date because did not resources at bank account. Registration authorized again at 22-Apr-2026.</t>
      </text>
    </comment>
    <comment ref="W54" authorId="2" shapeId="0" xr:uid="{472360B8-FBB4-4557-BBAE-DB7A5773E2E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autohorization caused by a ICMS tax divergengy that is being checked.</t>
      </text>
    </comment>
    <comment ref="D57" authorId="0" shapeId="0" xr:uid="{26A6BE8F-E559-48AC-B20B-5E3ADA42C2D3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N57" authorId="0" shapeId="0" xr:uid="{DCA17C6E-9195-4C04-AA96-D34343E1F35B}">
      <text>
        <r>
          <rPr>
            <sz val="11"/>
            <color theme="1"/>
            <rFont val="Calibri"/>
            <family val="2"/>
            <scheme val="minor"/>
          </rPr>
          <t>Eveline Maria Juca Bezerra:
descaracterizado</t>
        </r>
      </text>
    </comment>
    <comment ref="D58" authorId="0" shapeId="0" xr:uid="{3D26BE3E-BD26-4A79-B6BB-487F5F647BD1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D59" authorId="0" shapeId="0" xr:uid="{DA0A3EAB-895B-4A04-B048-2AFC0A01D212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Eveline Maria Juca Bezerra</author>
    <author>tc={1C3D828F-85FA-4E0E-94E9-1C493FE32B07}</author>
    <author>tc={2AE40B50-ED5B-4F03-B23A-FC1D6C953FDC}</author>
    <author>tc={B13FBDDA-BF84-43F0-9351-19117D6C25FD}</author>
    <author>RENATO  JANERI</author>
    <author>tc={35C124AE-1D4F-4160-9648-C36CA9AEB95F}</author>
    <author>tc={453E3F46-3F31-4B0A-B7E0-3E1A4B0A3B74}</author>
    <author>tc={F49AC7D4-59A4-479F-969D-D07C6F98A2BC}</author>
    <author>tc={56F69EEE-5781-47C3-AE13-E1A3B134EDD5}</author>
    <author>tc={E325C78B-B6A5-471A-937B-854B12AA4956}</author>
    <author>tc={CE6261F8-9D16-4758-8DB2-45FE8773E430}</author>
  </authors>
  <commentList>
    <comment ref="X11" authorId="0" shapeId="0" xr:uid="{07B8AAB7-5427-49C2-BEB0-5650ED931E6E}">
      <text>
        <r>
          <rPr>
            <b/>
            <sz val="9"/>
            <color indexed="81"/>
            <rFont val="Segoe UI"/>
            <charset val="1"/>
          </rPr>
          <t>It was necessary to add a new NCM code to the BL. Customs authorization is awaited.</t>
        </r>
      </text>
    </comment>
    <comment ref="AC16" authorId="1" shapeId="0" xr:uid="{1C3D828F-85FA-4E0E-94E9-1C493FE3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was not registered at the required date because did not resources at bank account. Registration authorized again at 22-Apr-2026.</t>
      </text>
    </comment>
    <comment ref="CP21" authorId="2" shapeId="0" xr:uid="{2AE40B50-ED5B-4F03-B23A-FC1D6C953FDC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CP22" authorId="3" shapeId="0" xr:uid="{B13FBDDA-BF84-43F0-9351-19117D6C25FD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DJ23" authorId="4" shapeId="0" xr:uid="{5C9836CD-1C32-4F13-8F44-AF2AAA3422C8}">
      <text>
        <r>
          <rPr>
            <sz val="11"/>
            <color theme="1"/>
            <rFont val="Calibri"/>
            <family val="2"/>
            <scheme val="minor"/>
          </rPr>
          <t>RENATO  JANERI:
Waiting release of 003D2/2026</t>
        </r>
      </text>
    </comment>
    <comment ref="AC24" authorId="5" shapeId="0" xr:uid="{35C124AE-1D4F-4160-9648-C36CA9AEB95F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AC25" authorId="6" shapeId="0" xr:uid="{453E3F46-3F31-4B0A-B7E0-3E1A4B0A3B74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Imports Declaration (DUIMP) not registered because didn´t have resources at accounting</t>
      </text>
    </comment>
    <comment ref="AC26" authorId="7" shapeId="0" xr:uid="{F49AC7D4-59A4-479F-969D-D07C6F98A2BC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CP26" authorId="8" shapeId="0" xr:uid="{56F69EEE-5781-47C3-AE13-E1A3B134EDD5}">
      <text>
        <t>[Threaded comment]
Your version of Excel allows you to read this threaded comment; however, any edits to it will get removed if the file is opened in a newer version of Excel. Learn more: https://go.microsoft.com/fwlink/?linkid=870924
Comment:
    Issue with Fiscal Note (NF) being solved with TAX and IT Teams</t>
      </text>
    </comment>
    <comment ref="AC27" authorId="9" shapeId="0" xr:uid="{E325C78B-B6A5-471A-937B-854B12AA49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DUIMP not registered at 08-May caused by a problem at Customs system integration</t>
      </text>
    </comment>
    <comment ref="DJ27" authorId="4" shapeId="0" xr:uid="{3010177B-3487-44A7-836A-871B1AC9CB26}">
      <text>
        <r>
          <rPr>
            <sz val="11"/>
            <color theme="1"/>
            <rFont val="Calibri"/>
            <family val="2"/>
            <scheme val="minor"/>
          </rPr>
          <t>RENATO  JANERI:
Waiting release of 003H/2026</t>
        </r>
      </text>
    </comment>
    <comment ref="E78" authorId="0" shapeId="0" xr:uid="{E01B44FB-6E91-4455-8D91-3485584B2EA3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Q78" authorId="4" shapeId="0" xr:uid="{1890D61B-064B-48E6-9C26-56224713705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X80" authorId="10" shapeId="0" xr:uid="{CE6261F8-9D16-4758-8DB2-45FE8773E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autohorization caused by a ICMS tax divergengy that is being checked.</t>
      </text>
    </comment>
    <comment ref="DJ80" authorId="4" shapeId="0" xr:uid="{C97AF5FA-CA64-4FB1-BB27-E6FDB865D6B4}">
      <text>
        <r>
          <rPr>
            <sz val="11"/>
            <color theme="1"/>
            <rFont val="Calibri"/>
            <family val="2"/>
            <scheme val="minor"/>
          </rPr>
          <t>RENATO  JANERI:
Waiting storage payment</t>
        </r>
      </text>
    </comment>
    <comment ref="E83" authorId="0" shapeId="0" xr:uid="{C2AF765C-C5E0-4FC0-96D0-841BFF045CC0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P83" authorId="0" shapeId="0" xr:uid="{375E6D9D-3BD3-4EBF-937B-EC7C788B7261}">
      <text>
        <r>
          <rPr>
            <sz val="11"/>
            <color theme="1"/>
            <rFont val="Calibri"/>
            <family val="2"/>
            <scheme val="minor"/>
          </rPr>
          <t xml:space="preserve">Eveline Maria Juca Bezerra:
precisa de LI previa </t>
        </r>
      </text>
    </comment>
    <comment ref="E84" authorId="0" shapeId="0" xr:uid="{148992C1-025A-4B5B-835F-D142E0D474A6}">
      <text>
        <r>
          <rPr>
            <sz val="11"/>
            <color theme="1"/>
            <rFont val="Calibri"/>
            <family val="2"/>
            <scheme val="minor"/>
          </rPr>
          <t>Eveline Maria Juca Bezerra:
Gabi está criando embarque</t>
        </r>
      </text>
    </comment>
    <comment ref="Q86" authorId="4" shapeId="0" xr:uid="{8F082B03-36BF-46EE-982D-EE4A6B7A7AA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99" authorId="4" shapeId="0" xr:uid="{3A0B2185-5F10-4F21-942F-1D3A42D7355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0" authorId="4" shapeId="0" xr:uid="{AC9B914A-F208-4E2D-B9B1-C20578A4528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1" authorId="4" shapeId="0" xr:uid="{3730B6DC-8922-49D4-98E0-1C137F4FBBA0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2" authorId="4" shapeId="0" xr:uid="{99D97B32-E58C-4197-A876-085BFEC85C4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3" authorId="4" shapeId="0" xr:uid="{1D94AA01-67DE-4D7D-A0F8-134311B238D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4" authorId="4" shapeId="0" xr:uid="{949138A6-F2A6-4CE5-9AD3-921CCCCF0895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5" authorId="4" shapeId="0" xr:uid="{A7011094-BF24-47F8-99CF-7910B65C497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6" authorId="4" shapeId="0" xr:uid="{8635A2B9-11C5-44E7-9B32-728B515EA96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7" authorId="4" shapeId="0" xr:uid="{B8783D12-9FFF-4DF5-8ACE-EBF28B2CD7D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8" authorId="4" shapeId="0" xr:uid="{E4745197-B88B-4596-A0F2-5A969A72207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09" authorId="4" shapeId="0" xr:uid="{AFF5FBB2-D77F-4F0D-95B4-373C23E5F33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0" authorId="4" shapeId="0" xr:uid="{F18348F6-9AAD-4F31-8415-14FE8E97BF6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1" authorId="4" shapeId="0" xr:uid="{60C2828D-7804-41D1-9B23-8CF46CD8C03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2" authorId="4" shapeId="0" xr:uid="{1C430C82-AF3C-49BA-8A85-FDE09887DBC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3" authorId="4" shapeId="0" xr:uid="{61BBD72A-1667-41A5-8A09-59DB5E6E635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4" authorId="4" shapeId="0" xr:uid="{C375C80E-F61B-4E97-8FCF-D3FB39ADFE83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5" authorId="4" shapeId="0" xr:uid="{D7C28CB3-51B3-4FF7-BBAC-3A6FEE6E8D4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6" authorId="4" shapeId="0" xr:uid="{607036B2-FB8E-437D-8D5E-4CD303B281A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7" authorId="4" shapeId="0" xr:uid="{9C2C908B-ACBE-449A-AC23-31B963D9404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8" authorId="4" shapeId="0" xr:uid="{02C71598-931F-4D90-A061-43920970497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19" authorId="4" shapeId="0" xr:uid="{A39A6B95-65BF-40DB-837B-45F7C8BAC84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0" authorId="4" shapeId="0" xr:uid="{667496D0-BD43-4B57-B0F4-58ACACA41D9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1" authorId="4" shapeId="0" xr:uid="{0A8E3C21-3093-46F3-8B72-E2B12C8F1DC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2" authorId="4" shapeId="0" xr:uid="{52E05DCB-A36A-4552-887F-F9E7315A02E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3" authorId="4" shapeId="0" xr:uid="{AEE24D8C-4333-4ED6-916A-F900F4940E7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4" authorId="4" shapeId="0" xr:uid="{2E8B6F76-36C5-4D73-9569-FED86FFBC9D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5" authorId="4" shapeId="0" xr:uid="{D3008840-7EC5-4F57-B688-129BBEC8E30C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6" authorId="4" shapeId="0" xr:uid="{05BA9175-3618-4F58-913B-ACBFAA189260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7" authorId="4" shapeId="0" xr:uid="{8734BBF8-129D-4385-8388-E5A533641EA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8" authorId="4" shapeId="0" xr:uid="{B5FEB36B-64B5-40FC-8E62-26D5DE6DE13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29" authorId="4" shapeId="0" xr:uid="{1C245EE3-88C3-452A-820D-9C35BFD6B9A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0" authorId="4" shapeId="0" xr:uid="{94297D77-5B51-4FE9-BCFA-37FCCAE8EDF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1" authorId="4" shapeId="0" xr:uid="{353473B8-2CB0-4E20-92A8-253574ED997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2" authorId="4" shapeId="0" xr:uid="{597301BD-A77E-41F1-BB80-C2ACC1722DF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3" authorId="4" shapeId="0" xr:uid="{3272F35B-3627-4C02-B441-57B7A7E099F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4" authorId="4" shapeId="0" xr:uid="{52A2711E-6544-477F-86C6-7A7D6B1E954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5" authorId="4" shapeId="0" xr:uid="{7B508CA0-E407-4809-8FCA-01E95F857AAA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6" authorId="4" shapeId="0" xr:uid="{D628BA0D-D33B-4D5D-8015-F1D71410A818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7" authorId="4" shapeId="0" xr:uid="{ECDC46BA-143E-4053-B75A-D5EB0F04073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8" authorId="4" shapeId="0" xr:uid="{64B2D036-0CBF-4D80-B7A4-E49A601A6D0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39" authorId="4" shapeId="0" xr:uid="{C797DC13-397A-4412-8603-FA734C841731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0" authorId="4" shapeId="0" xr:uid="{44B8B603-8189-4686-B9DD-79A151A4D73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1" authorId="4" shapeId="0" xr:uid="{42876DED-2948-4D69-96F9-DBA7D612253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2" authorId="4" shapeId="0" xr:uid="{4EF0BF51-17F1-4B83-998C-C7AFD191892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3" authorId="4" shapeId="0" xr:uid="{144A3909-232E-490B-9AE2-0B84016C897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4" authorId="4" shapeId="0" xr:uid="{B5564FB2-7BAA-4A43-BC57-490CF50E26CE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5" authorId="4" shapeId="0" xr:uid="{87A02AB5-7EF3-46E3-BE51-D780C44E9AB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6" authorId="4" shapeId="0" xr:uid="{41644C0C-DCBD-4352-9F82-32CCB2E8C174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7" authorId="4" shapeId="0" xr:uid="{9CCCC9A2-3F3D-4DD5-8A63-033BA01CC49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8" authorId="4" shapeId="0" xr:uid="{04876B2C-3640-46B0-86C4-1D655A6EB06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49" authorId="4" shapeId="0" xr:uid="{7C6414EE-7D31-45DD-AFFC-2F59F044296D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0" authorId="4" shapeId="0" xr:uid="{A7924696-39BF-4BAF-A965-DF4CF8CA164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1" authorId="4" shapeId="0" xr:uid="{441779C8-75E4-46D8-B7CB-B924DBB06E5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2" authorId="4" shapeId="0" xr:uid="{3F0685A8-7473-4468-8659-4BBC99E1546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3" authorId="4" shapeId="0" xr:uid="{72B8C013-FB9B-435C-9BED-9EDEC3999AC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4" authorId="4" shapeId="0" xr:uid="{290BADAE-3AC8-4DBA-91DC-72FD30E3356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5" authorId="4" shapeId="0" xr:uid="{0BC64ADC-AA9D-4383-B073-41119952F1F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6" authorId="4" shapeId="0" xr:uid="{05F8330D-6A12-40A1-B8DF-CD4E62184CC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7" authorId="4" shapeId="0" xr:uid="{F4C0D56E-EE12-47D6-8AAC-B84517BFE23B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8" authorId="4" shapeId="0" xr:uid="{DBAAABBA-5DD6-4147-91BA-F7DE4D0C51E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59" authorId="4" shapeId="0" xr:uid="{4F3D81D0-14A4-4A86-BA8B-0869D1E72972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0" authorId="4" shapeId="0" xr:uid="{8432DC8F-2DF9-41E1-9C97-8BBBB637B59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1" authorId="4" shapeId="0" xr:uid="{F44FB1CD-F5F1-4389-B607-8F1D15736A87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2" authorId="4" shapeId="0" xr:uid="{46AE3878-0524-45E6-B17E-6F443AD8C11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3" authorId="4" shapeId="0" xr:uid="{80C845DB-1293-4D54-8FAB-FB3961E34BA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4" authorId="4" shapeId="0" xr:uid="{94636EFA-1067-419C-A25D-8147D55332D9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5" authorId="4" shapeId="0" xr:uid="{5A910863-303F-4E91-B5F5-4C7FA274125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6" authorId="4" shapeId="0" xr:uid="{3BFF60CF-A3E9-47F0-924D-D94C2B17460F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  <comment ref="Q167" authorId="4" shapeId="0" xr:uid="{B0DF0D8A-0728-4242-9ACE-220FB9A9C0E6}">
      <text>
        <r>
          <rPr>
            <sz val="11"/>
            <color theme="1"/>
            <rFont val="Calibri"/>
            <family val="2"/>
            <scheme val="minor"/>
          </rPr>
          <t>RENATO  JANERI:
Issue with PO. New PO created, waiting approvals</t>
        </r>
      </text>
    </comment>
  </commentList>
</comments>
</file>

<file path=xl/sharedStrings.xml><?xml version="1.0" encoding="utf-8"?>
<sst xmlns="http://schemas.openxmlformats.org/spreadsheetml/2006/main" count="1379" uniqueCount="458">
  <si>
    <t xml:space="preserve"> 导入过程    SHIPMENT</t>
  </si>
  <si>
    <t xml:space="preserve"> 清关前的步骤   PRE CUSTOMS CLEARANCE</t>
  </si>
  <si>
    <t xml:space="preserve">  港口 PORT</t>
  </si>
  <si>
    <t xml:space="preserve">  报关   CUSTOMS CLEARANCE</t>
  </si>
  <si>
    <t>TOTAL LEAD TIME</t>
  </si>
  <si>
    <t>STEP 1</t>
  </si>
  <si>
    <t>STEP 2</t>
  </si>
  <si>
    <t>STEP 3</t>
  </si>
  <si>
    <t>STEP 4</t>
  </si>
  <si>
    <t>STEP 3 - STEP 4</t>
  </si>
  <si>
    <t>STEP 5</t>
  </si>
  <si>
    <t>STEP 4 - STEP 5</t>
  </si>
  <si>
    <t>STEP 6</t>
  </si>
  <si>
    <t>STEP 5 - STEP 6</t>
  </si>
  <si>
    <t>STEP 7</t>
  </si>
  <si>
    <t>STEP 6 - STEP 7</t>
  </si>
  <si>
    <t>STEP 8</t>
  </si>
  <si>
    <t>STEP 7 - STEP 8</t>
  </si>
  <si>
    <t>STEP 9</t>
  </si>
  <si>
    <t>STEP 8 - STEP 9</t>
  </si>
  <si>
    <t>STEP 10</t>
  </si>
  <si>
    <t>STEP 9 - STEP 10</t>
  </si>
  <si>
    <t>STEP 11</t>
  </si>
  <si>
    <t>STEP 10 - STEP 11</t>
  </si>
  <si>
    <t>STEP 12</t>
  </si>
  <si>
    <t>STEP 11 - STEP 12</t>
  </si>
  <si>
    <t>STEP 13</t>
  </si>
  <si>
    <t>STEP 12 - STEP 13</t>
  </si>
  <si>
    <t>STEP 14</t>
  </si>
  <si>
    <t>STEP 13 - STEP 14</t>
  </si>
  <si>
    <t>STEP 15</t>
  </si>
  <si>
    <t>STEP 14 - STEP 15</t>
  </si>
  <si>
    <t>STEP 16</t>
  </si>
  <si>
    <t>STEP 15 - STEP 16</t>
  </si>
  <si>
    <t>STEP 17</t>
  </si>
  <si>
    <t>STEP 18</t>
  </si>
  <si>
    <t>STEP 19</t>
  </si>
  <si>
    <t>STEP 17 - STEP 18</t>
  </si>
  <si>
    <t>STEP 20</t>
  </si>
  <si>
    <t>STEP 18 - STEP 19</t>
  </si>
  <si>
    <t>STEP 21</t>
  </si>
  <si>
    <t xml:space="preserve">  每步预计天数  Estimated days per step                    </t>
  </si>
  <si>
    <t xml:space="preserve"> 责任区域  Responsible Area             </t>
  </si>
  <si>
    <t>COMEX</t>
  </si>
  <si>
    <t>TAX</t>
  </si>
  <si>
    <t>FINANCE</t>
  </si>
  <si>
    <t>PORT</t>
  </si>
  <si>
    <t>CUSTOMS</t>
  </si>
  <si>
    <t>SEFAZ - CUSTOMS</t>
  </si>
  <si>
    <t>CARRIER</t>
  </si>
  <si>
    <t>优先接待</t>
  </si>
  <si>
    <t>生产月份</t>
  </si>
  <si>
    <t>导入过程</t>
  </si>
  <si>
    <t>容器数量</t>
  </si>
  <si>
    <t>进口商</t>
  </si>
  <si>
    <t>状态 当前操作</t>
  </si>
  <si>
    <t>模态</t>
  </si>
  <si>
    <t>截止日期——离开中国</t>
  </si>
  <si>
    <t>目标出发地：中国总部（天）</t>
  </si>
  <si>
    <t>延误：从中国总部出发（天）</t>
  </si>
  <si>
    <t>当前从中国港口出发的日期。</t>
  </si>
  <si>
    <t>抵达巴西港口的时间</t>
  </si>
  <si>
    <t>系统上签发装运单（TXT）</t>
  </si>
  <si>
    <t>向经纪人索取成本估算</t>
  </si>
  <si>
    <t>收到费用估算</t>
  </si>
  <si>
    <t>向税务团队申请预注册</t>
  </si>
  <si>
    <t>收到预登记</t>
  </si>
  <si>
    <t>提交资源申请（Fiona审批）</t>
  </si>
  <si>
    <t>确认 DUIMP 注册所需资源</t>
  </si>
  <si>
    <t>货物抵达港口日期</t>
  </si>
  <si>
    <t>DUIMP注册授权截止日期</t>
  </si>
  <si>
    <t>DUIMP授权已执行</t>
  </si>
  <si>
    <t>目标（天）步骤2</t>
  </si>
  <si>
    <t>实际（天）步骤2</t>
  </si>
  <si>
    <t>延迟（天）步骤2</t>
  </si>
  <si>
    <t>DUIMP注册截止日期</t>
  </si>
  <si>
    <t>DUIMP登记</t>
  </si>
  <si>
    <t>预计天数</t>
  </si>
  <si>
    <t>实际天数</t>
  </si>
  <si>
    <t>延误（天数）</t>
  </si>
  <si>
    <t>确认DUIMP登记</t>
  </si>
  <si>
    <t>DUIMP海关清关</t>
  </si>
  <si>
    <t>向税务团队申请 POST 注册</t>
  </si>
  <si>
    <t>请求向税务团队提交 POST 注册申请REAL</t>
  </si>
  <si>
    <t>“接收 POST 注册 - 截止日期”</t>
  </si>
  <si>
    <t>“接收 POST 注册 - REAL”</t>
  </si>
  <si>
    <t>“接收税务ICMS（如有必要）- 截止日期”</t>
  </si>
  <si>
    <t>“接收税款 ICMS（如有必要）- REAL</t>
  </si>
  <si>
    <t>“ICMS税款缴纳（如有必要）- 截止日期”</t>
  </si>
  <si>
    <t>ICMS税款缴纳（如有必要）- 实际”</t>
  </si>
  <si>
    <t>“发送 ICMS 收据（如有必要）- 截止日期”</t>
  </si>
  <si>
    <t>“发送 ICMS 收据（如有必要）- REAL”</t>
  </si>
  <si>
    <t>如有必要，请向税务团队申请ICMS申报 - 截止日期</t>
  </si>
  <si>
    <t>如有必要，请向税务团队申请 ICMS 申报表 - REAL</t>
  </si>
  <si>
    <t>接收 ICMS 声明（如有必要）- 截止日期</t>
  </si>
  <si>
    <t>接收 ICMS 声明（如有必要）- REAL</t>
  </si>
  <si>
    <t>接收 GLME（如有必要） - 截止日期</t>
  </si>
  <si>
    <t>接收 GLME（如有必要）- 真实</t>
  </si>
  <si>
    <t>如有必要，请向税务团队提交 POST CESUT 申请 - 截止日期</t>
  </si>
  <si>
    <t>如有必要，请向税务团队申请 POST CESUT - REAL</t>
  </si>
  <si>
    <t>收到 POST CESUT（如有必要）- 截止日期</t>
  </si>
  <si>
    <t>收到 POST CESUT（如有必要）- 真实</t>
  </si>
  <si>
    <t>向税务团队索取发票（NF）</t>
  </si>
  <si>
    <t>向税务团队索取发票（NF） - 截止日期</t>
  </si>
  <si>
    <t>向税务团队请求发票 (NF) - REAL</t>
  </si>
  <si>
    <t>向经纪人发送NF - 截止日期</t>
  </si>
  <si>
    <t>向经纪人发送 NF - REAL</t>
  </si>
  <si>
    <t>经纪商将 NF 发送至 SEFAZ - 截止日期</t>
  </si>
  <si>
    <t>经纪商将 NF 发送至 SEFAZ - REAL</t>
  </si>
  <si>
    <t>NF审批 - 截止日期</t>
  </si>
  <si>
    <t>NF认证 - 真实有效</t>
  </si>
  <si>
    <t>运输调度 - 截止日期</t>
  </si>
  <si>
    <t>运输调度 - REAL</t>
  </si>
  <si>
    <t>ETE 最终目的地（工厂）- 原版</t>
  </si>
  <si>
    <t>ETE最终目的地（工厂）- 截止日期</t>
  </si>
  <si>
    <t>ETE 最终目的地（工厂）- 真实</t>
  </si>
  <si>
    <t>海关清关总预计天数</t>
  </si>
  <si>
    <t>海关清关总实际天数</t>
  </si>
  <si>
    <t>海关清关总延误（天数）</t>
  </si>
  <si>
    <t>Order of Priority</t>
  </si>
  <si>
    <t>Month of Production</t>
  </si>
  <si>
    <t>Import 
Process</t>
  </si>
  <si>
    <t>Nr of CTNR</t>
  </si>
  <si>
    <t>Importer</t>
  </si>
  <si>
    <t>Status Current Action</t>
  </si>
  <si>
    <t>Modal</t>
  </si>
  <si>
    <t>DEADLINE 
Departure from China</t>
  </si>
  <si>
    <t>TARGET Departure China HQ (days)</t>
  </si>
  <si>
    <t>DELAY
 Departure China HQ (days)</t>
  </si>
  <si>
    <t>ETD (Departure from China)</t>
  </si>
  <si>
    <t>ETA 
(Arrival at BR Port)</t>
  </si>
  <si>
    <t>Issuance of Shipment on System (TXT)</t>
  </si>
  <si>
    <t>Request Costs Estimative to Broker</t>
  </si>
  <si>
    <t>Receive Costs Estimative</t>
  </si>
  <si>
    <t>Request PRE Registration to TAX Team</t>
  </si>
  <si>
    <t>Receive PRE Registration</t>
  </si>
  <si>
    <t>Submit Resource Request (Fiona's Approval)</t>
  </si>
  <si>
    <t>Confirm Resources for DUIMP Registration</t>
  </si>
  <si>
    <t>Date of Cargo Presence at PORT</t>
  </si>
  <si>
    <t>DUIMP authorization for register 
DEADLINE</t>
  </si>
  <si>
    <t>DUIMP authorization 
REAL</t>
  </si>
  <si>
    <t>Estimated days2</t>
  </si>
  <si>
    <t>Real 
days2</t>
  </si>
  <si>
    <t>Delay 
days2</t>
  </si>
  <si>
    <t>DUIMP registration DEADLINE</t>
  </si>
  <si>
    <t>DUIMP Registration
REAL</t>
  </si>
  <si>
    <t>Estimated days3</t>
  </si>
  <si>
    <t>Real 
days3</t>
  </si>
  <si>
    <t>Delay 
days3</t>
  </si>
  <si>
    <t xml:space="preserve"> DUIMP Customs Clearance
DEADLINE</t>
  </si>
  <si>
    <t xml:space="preserve"> DUIMP Customs Clearance
REAL</t>
  </si>
  <si>
    <t>Estimated days4</t>
  </si>
  <si>
    <t>Real 
days4</t>
  </si>
  <si>
    <t>Delay days4</t>
  </si>
  <si>
    <t>Request POST Registration to TAX Team
DEADLINE</t>
  </si>
  <si>
    <t>Request POST Registration to TAX Team
REAL</t>
  </si>
  <si>
    <t>Estimated days5</t>
  </si>
  <si>
    <t>Real 
days5</t>
  </si>
  <si>
    <t>Delay 
days5</t>
  </si>
  <si>
    <t>Receive POST Registration
DEADLINE</t>
  </si>
  <si>
    <t>Receive POST Registration
REAL</t>
  </si>
  <si>
    <t>Estimated days6</t>
  </si>
  <si>
    <t>Real 
days6</t>
  </si>
  <si>
    <t>Delay days6</t>
  </si>
  <si>
    <r>
      <t>Receive tax ICMS
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DEADLINE</t>
    </r>
  </si>
  <si>
    <r>
      <t>Receive tax ICMS
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REAL</t>
    </r>
  </si>
  <si>
    <t>Estimated days7</t>
  </si>
  <si>
    <t>Real 
days7</t>
  </si>
  <si>
    <t>Delay days7</t>
  </si>
  <si>
    <r>
      <t>ICMS Tax Payment
(</t>
    </r>
    <r>
      <rPr>
        <b/>
        <sz val="8"/>
        <rFont val="Aptos Narrow"/>
        <family val="2"/>
      </rPr>
      <t xml:space="preserve">If necessary)
</t>
    </r>
    <r>
      <rPr>
        <b/>
        <sz val="10"/>
        <rFont val="Aptos Narrow"/>
        <family val="2"/>
      </rPr>
      <t>DEADLINE</t>
    </r>
  </si>
  <si>
    <r>
      <t>ICMS Tax Payment
(</t>
    </r>
    <r>
      <rPr>
        <b/>
        <sz val="8"/>
        <rFont val="Aptos Narrow"/>
        <family val="2"/>
      </rPr>
      <t xml:space="preserve">If necessary)
</t>
    </r>
    <r>
      <rPr>
        <b/>
        <sz val="10"/>
        <rFont val="Aptos Narrow"/>
        <family val="2"/>
      </rPr>
      <t>REAL</t>
    </r>
  </si>
  <si>
    <t>Estimated days8</t>
  </si>
  <si>
    <t>Real 
days8</t>
  </si>
  <si>
    <t>Delay days8</t>
  </si>
  <si>
    <t>Send ICMS Receipt (If necessary)
DEADLINE</t>
  </si>
  <si>
    <t>Send ICMS Receipt (If necessary)
REAL</t>
  </si>
  <si>
    <t>Estimated days9</t>
  </si>
  <si>
    <t>Real 
days9</t>
  </si>
  <si>
    <t>Delay days9</t>
  </si>
  <si>
    <t>Request ICMS Declaration (If necessary) to TAX Team
DEADLINE</t>
  </si>
  <si>
    <t>Request ICMS Declaration (If necessary) to TAX Team
REAL</t>
  </si>
  <si>
    <t>Estimated days10</t>
  </si>
  <si>
    <t>Real 
days10</t>
  </si>
  <si>
    <t>Delay days10</t>
  </si>
  <si>
    <r>
      <t>Receive ICMS Declaration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DEADLINE</t>
    </r>
  </si>
  <si>
    <r>
      <t>Receive ICMS Declaration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REAL</t>
    </r>
  </si>
  <si>
    <t>Estimated days11</t>
  </si>
  <si>
    <t>Real 
days11</t>
  </si>
  <si>
    <t>Delay days11</t>
  </si>
  <si>
    <r>
      <t>Receive GLME (</t>
    </r>
    <r>
      <rPr>
        <b/>
        <sz val="8"/>
        <rFont val="Aptos Narrow"/>
        <family val="2"/>
      </rPr>
      <t>If necessary)</t>
    </r>
    <r>
      <rPr>
        <b/>
        <sz val="10"/>
        <rFont val="Aptos Narrow"/>
        <family val="2"/>
      </rPr>
      <t xml:space="preserve">
DEADLINE</t>
    </r>
  </si>
  <si>
    <r>
      <t>Receive GLME (</t>
    </r>
    <r>
      <rPr>
        <b/>
        <sz val="8"/>
        <rFont val="Aptos Narrow"/>
        <family val="2"/>
      </rPr>
      <t>If necessary</t>
    </r>
    <r>
      <rPr>
        <b/>
        <sz val="10"/>
        <rFont val="Aptos Narrow"/>
        <family val="2"/>
      </rPr>
      <t>)
REAL</t>
    </r>
  </si>
  <si>
    <t>Estimated days12</t>
  </si>
  <si>
    <t>Real 
days12</t>
  </si>
  <si>
    <t>Delay days12</t>
  </si>
  <si>
    <t>Request POST CESUT (If necessary) to TAX Team
DEADLINE</t>
  </si>
  <si>
    <t>Request POST CESUT (If necessary) to TAX Team
REAL</t>
  </si>
  <si>
    <t>Estimated days13</t>
  </si>
  <si>
    <t>Real 
days13</t>
  </si>
  <si>
    <t>Delay days13</t>
  </si>
  <si>
    <t>Receive POST CESUT (If necessary)
DEADLINE</t>
  </si>
  <si>
    <t>Receive POST CESUT (If necessary)
REAL</t>
  </si>
  <si>
    <t>Estimated days14</t>
  </si>
  <si>
    <t>Real 
days14</t>
  </si>
  <si>
    <t>Delay days14</t>
  </si>
  <si>
    <t>Request Invoice (NF) to TAX Team
DEADLINE</t>
  </si>
  <si>
    <t>Request Invoice (NF) to TAX Team
REAL</t>
  </si>
  <si>
    <t>Estimated days15</t>
  </si>
  <si>
    <t>Real 
days15</t>
  </si>
  <si>
    <t>Delay days15</t>
  </si>
  <si>
    <t>Receive Invoice (NF)
DEADLINE</t>
  </si>
  <si>
    <t>Receive Invoice (NF)
REAL</t>
  </si>
  <si>
    <t>Estimated days16</t>
  </si>
  <si>
    <t>Real 
days16</t>
  </si>
  <si>
    <t>Delay days16</t>
  </si>
  <si>
    <t>Send NF to Broker
DEADLINE</t>
  </si>
  <si>
    <t>Send NF to Broker
REAL</t>
  </si>
  <si>
    <t>Estimated days17</t>
  </si>
  <si>
    <t>Real 
days17</t>
  </si>
  <si>
    <t>Delay days17</t>
  </si>
  <si>
    <t>Broker Send NF to SEFAZ
DEADLINE</t>
  </si>
  <si>
    <t>Broker Send NF to SEFAZ
REAL</t>
  </si>
  <si>
    <t>NF Approval
DEADLINE</t>
  </si>
  <si>
    <t>NF Approval
REAL</t>
  </si>
  <si>
    <t>Estimated days18</t>
  </si>
  <si>
    <t>Real 
days18</t>
  </si>
  <si>
    <t>Delay days18</t>
  </si>
  <si>
    <t>Transport Scheduling
DEADLINE</t>
  </si>
  <si>
    <t>Transport Scheduling
REAL</t>
  </si>
  <si>
    <t>Estimated days19</t>
  </si>
  <si>
    <t>Real 
days19</t>
  </si>
  <si>
    <t>Delay days19</t>
  </si>
  <si>
    <r>
      <t xml:space="preserve">ETE Final Destination (Plant)
</t>
    </r>
    <r>
      <rPr>
        <b/>
        <sz val="10"/>
        <color rgb="FFFF0000"/>
        <rFont val="Aptos Narrow"/>
        <family val="2"/>
      </rPr>
      <t>ORIGINAL</t>
    </r>
  </si>
  <si>
    <t>ETE Final Destination (Plant)
DEADLINE</t>
  </si>
  <si>
    <t>ETE Final Destination (Plant)
REAL</t>
  </si>
  <si>
    <t>Estimated days20</t>
  </si>
  <si>
    <t>Real 
days20</t>
  </si>
  <si>
    <t>Delay days20</t>
  </si>
  <si>
    <t>CUSTOMS CLEARANCE Total Estimated Days</t>
  </si>
  <si>
    <t>CUSTOMS CLEARANCE Total Real Days</t>
  </si>
  <si>
    <t>CUSTOMS CLEARANCE Total Delay (days)</t>
  </si>
  <si>
    <t>NOTES</t>
  </si>
  <si>
    <t>Prioridade Vendas</t>
  </si>
  <si>
    <t>JAN_2026</t>
  </si>
  <si>
    <t>002B/2026</t>
  </si>
  <si>
    <t>ELETRA</t>
  </si>
  <si>
    <t>DELIVERED</t>
  </si>
  <si>
    <t>002C/2026</t>
  </si>
  <si>
    <t>APR_2026</t>
  </si>
  <si>
    <t>NH-001/2026</t>
  </si>
  <si>
    <t>Z-003A/2026</t>
  </si>
  <si>
    <t>Z-003B/2026</t>
  </si>
  <si>
    <t>JUN_2026</t>
  </si>
  <si>
    <t>003A/2026</t>
  </si>
  <si>
    <t>.</t>
  </si>
  <si>
    <t>003B/2026</t>
  </si>
  <si>
    <t>003C/2026</t>
  </si>
  <si>
    <t>003D/2026</t>
  </si>
  <si>
    <t>Waiting arrival at Port.</t>
  </si>
  <si>
    <t>EQUATORIAL NEOENERGIA</t>
  </si>
  <si>
    <t>MAY_2026</t>
  </si>
  <si>
    <t>003D2/2026</t>
  </si>
  <si>
    <t>003E/2026</t>
  </si>
  <si>
    <t>VAREJO</t>
  </si>
  <si>
    <t>003F/2026</t>
  </si>
  <si>
    <t>CEMIG PROJ EDP ENERGISA</t>
  </si>
  <si>
    <t>003G/2026</t>
  </si>
  <si>
    <t>CPFL PROJ ENEL EQUATORIAL EXPORT NEOENERGIA</t>
  </si>
  <si>
    <t>003H/2026</t>
  </si>
  <si>
    <t>CPFL PROJETO EDP</t>
  </si>
  <si>
    <t>DEC_2025</t>
  </si>
  <si>
    <t>003I/2026</t>
  </si>
  <si>
    <t>Z-006A/2026</t>
  </si>
  <si>
    <t xml:space="preserve">Waiting arrival at Port. </t>
  </si>
  <si>
    <t>SABESP</t>
  </si>
  <si>
    <t>Z-006B/2026</t>
  </si>
  <si>
    <t>Z-006C/2026</t>
  </si>
  <si>
    <t>001A/2026</t>
  </si>
  <si>
    <t>001B/2026</t>
  </si>
  <si>
    <t>JUL_2026</t>
  </si>
  <si>
    <t>NH-004/2026</t>
  </si>
  <si>
    <t>NH-003/2026</t>
  </si>
  <si>
    <t>MAR_2026</t>
  </si>
  <si>
    <t>Z-005/2026</t>
  </si>
  <si>
    <t>Waiting arrival at Port. ETA changed from 17-May to 26-May</t>
  </si>
  <si>
    <t>Z-008/2026</t>
  </si>
  <si>
    <t>Z-011/2026</t>
  </si>
  <si>
    <t>Z-007/2026</t>
  </si>
  <si>
    <t>Z-010/2026</t>
  </si>
  <si>
    <t>Z-012/2026</t>
  </si>
  <si>
    <t>005A/2026</t>
  </si>
  <si>
    <t>005B/2026</t>
  </si>
  <si>
    <t>005C/2026</t>
  </si>
  <si>
    <t>005D/2026</t>
  </si>
  <si>
    <t>005E/2026</t>
  </si>
  <si>
    <t>EQUATORIAL EXPORTAÇÃO</t>
  </si>
  <si>
    <t>009A/2026</t>
  </si>
  <si>
    <t>EQUATORIAL EXPORTAÇÃO / NEOENERGIA</t>
  </si>
  <si>
    <t>009B/2026</t>
  </si>
  <si>
    <t>009C/2026</t>
  </si>
  <si>
    <t>009D/2026</t>
  </si>
  <si>
    <t>009E/2026</t>
  </si>
  <si>
    <t>009F/2026</t>
  </si>
  <si>
    <t>009G/2026</t>
  </si>
  <si>
    <t>009H/2026</t>
  </si>
  <si>
    <t>24705/2026</t>
  </si>
  <si>
    <t>LIVOLTEK</t>
  </si>
  <si>
    <t>H-FOR003/2026</t>
  </si>
  <si>
    <t>ELETRA Branch FORTALEZA (Solar)</t>
  </si>
  <si>
    <t>H-CWB004/2026</t>
  </si>
  <si>
    <t>ELETRA Branch CURITIBA (Solar)</t>
  </si>
  <si>
    <t>ARRIVAL AT ELETRA ESTIMATED FOR 05-MAY</t>
  </si>
  <si>
    <t>H-FOR005/2026</t>
  </si>
  <si>
    <t>H-FOR004/2026</t>
  </si>
  <si>
    <t>H-CWB002/2026</t>
  </si>
  <si>
    <t>H-FOR007/2026</t>
  </si>
  <si>
    <t>H-FOR002/2026</t>
  </si>
  <si>
    <t>H-FOR001/2026</t>
  </si>
  <si>
    <t>H-FOR006/2026</t>
  </si>
  <si>
    <t>H-CWB003/2026</t>
  </si>
  <si>
    <t>Subtotal:</t>
  </si>
  <si>
    <t>The yellow field indicates the next step.</t>
  </si>
  <si>
    <t>The blue field indicates the estimated date do arrive at Eletra.</t>
  </si>
  <si>
    <t>level 1 - show resumed | level 2 - show steps | level 3 - show all details</t>
  </si>
  <si>
    <t>G10</t>
  </si>
  <si>
    <t>a</t>
  </si>
  <si>
    <t>BQ</t>
  </si>
  <si>
    <t>BR</t>
  </si>
  <si>
    <t>BS</t>
  </si>
  <si>
    <t>BT</t>
  </si>
  <si>
    <t>BU</t>
  </si>
  <si>
    <t>BV</t>
  </si>
  <si>
    <t>CI</t>
  </si>
  <si>
    <t>CD</t>
  </si>
  <si>
    <t>CE</t>
  </si>
  <si>
    <t>E</t>
  </si>
  <si>
    <t>R</t>
  </si>
  <si>
    <t>P</t>
  </si>
  <si>
    <t>T</t>
  </si>
  <si>
    <t>Priority ?</t>
  </si>
  <si>
    <t>CUSTOMS CLEARANCE Total Real Days (ETE - ETA)</t>
  </si>
  <si>
    <t>LEAD TIME DELAY REASONS</t>
  </si>
  <si>
    <t>Storage/Unstuffing</t>
  </si>
  <si>
    <t>Demurrage</t>
  </si>
  <si>
    <t>Date Payment Demurrage</t>
  </si>
  <si>
    <t>Penalties</t>
  </si>
  <si>
    <t>Date Payment Penalties</t>
  </si>
  <si>
    <t>Due date free time</t>
  </si>
  <si>
    <t>Container Devolution</t>
  </si>
  <si>
    <t>Process Analyst</t>
  </si>
  <si>
    <t>Invoice</t>
  </si>
  <si>
    <t>BL/HAWB</t>
  </si>
  <si>
    <t>Containers</t>
  </si>
  <si>
    <t xml:space="preserve">P </t>
  </si>
  <si>
    <t>NH-006/2026</t>
  </si>
  <si>
    <t>011G/2026</t>
  </si>
  <si>
    <t>Z-014/2026</t>
  </si>
  <si>
    <t>016/2026</t>
  </si>
  <si>
    <t>AUG_2026</t>
  </si>
  <si>
    <t>ARRIVAL ESTIMATED AT ELETRA ON 11-JUNE</t>
  </si>
  <si>
    <t>020/2026</t>
  </si>
  <si>
    <t>019/2026</t>
  </si>
  <si>
    <t>AWAITING INVOICE APPROVAL (SEFAZ)</t>
  </si>
  <si>
    <t>Z-013D/2026</t>
  </si>
  <si>
    <t>011A/2026</t>
  </si>
  <si>
    <t>011B/2026</t>
  </si>
  <si>
    <t>013/2026</t>
  </si>
  <si>
    <t>011C/2026</t>
  </si>
  <si>
    <t>ESTIMATED AT PORT ON JULY, 14</t>
  </si>
  <si>
    <t>011F/2026</t>
  </si>
  <si>
    <t>Z-013A/2026</t>
  </si>
  <si>
    <t>011D/2026</t>
  </si>
  <si>
    <t>011E/2026</t>
  </si>
  <si>
    <t>011H/2026</t>
  </si>
  <si>
    <t>NH-005/2026</t>
  </si>
  <si>
    <t>Z-013B/2026</t>
  </si>
  <si>
    <t>Z-013C/2026</t>
  </si>
  <si>
    <t>011I/2026</t>
  </si>
  <si>
    <t>018/2026</t>
  </si>
  <si>
    <t>Z-016/2026</t>
  </si>
  <si>
    <t>017/2026</t>
  </si>
  <si>
    <t>010/2026</t>
  </si>
  <si>
    <t>012/2026</t>
  </si>
  <si>
    <t>004/2026</t>
  </si>
  <si>
    <t>Z-018/2026</t>
  </si>
  <si>
    <t>021A/2026</t>
  </si>
  <si>
    <t>LIVOLTEK (FORTALEZA)</t>
  </si>
  <si>
    <t>LIVOLTEK (CURITIBA)</t>
  </si>
  <si>
    <t>H-FOR008/2026</t>
  </si>
  <si>
    <t>H-FOR009/2026</t>
  </si>
  <si>
    <t>H-FOR011/2026</t>
  </si>
  <si>
    <t>H-FOR012/2026</t>
  </si>
  <si>
    <t>DELIVERED TODAY</t>
  </si>
  <si>
    <t>Z-019/2026</t>
  </si>
  <si>
    <t>022/2026</t>
  </si>
  <si>
    <t>023/2026</t>
  </si>
  <si>
    <t>045E/2025</t>
  </si>
  <si>
    <t>048/2025</t>
  </si>
  <si>
    <t>045A/2025</t>
  </si>
  <si>
    <t>045B/2025</t>
  </si>
  <si>
    <t>054/2025</t>
  </si>
  <si>
    <t>Z-024/2025</t>
  </si>
  <si>
    <t>Z-028/2025</t>
  </si>
  <si>
    <t>045C/2025</t>
  </si>
  <si>
    <t>045D/2025</t>
  </si>
  <si>
    <t>E-013/2025</t>
  </si>
  <si>
    <t>060A/2025</t>
  </si>
  <si>
    <t>060B/2025</t>
  </si>
  <si>
    <t>071/2025</t>
  </si>
  <si>
    <t>Z-029B/2025</t>
  </si>
  <si>
    <t>E-016/2025</t>
  </si>
  <si>
    <t>061F/2025</t>
  </si>
  <si>
    <t>069/2025</t>
  </si>
  <si>
    <t>061C/2025</t>
  </si>
  <si>
    <t>Z-002/2026</t>
  </si>
  <si>
    <t>E-014/2025</t>
  </si>
  <si>
    <t>Z-029A/2025</t>
  </si>
  <si>
    <t>061D/2025</t>
  </si>
  <si>
    <t>056/2025</t>
  </si>
  <si>
    <t>NH-018/2025</t>
  </si>
  <si>
    <t>Z-030A/2025</t>
  </si>
  <si>
    <t>061A/2025</t>
  </si>
  <si>
    <t>061B/2025</t>
  </si>
  <si>
    <t>Z-030B/2025</t>
  </si>
  <si>
    <t>E-015/2025</t>
  </si>
  <si>
    <t>061E/2025</t>
  </si>
  <si>
    <t>NH-002/2026</t>
  </si>
  <si>
    <t>Z-004A/2026</t>
  </si>
  <si>
    <t>Z-004B/2026</t>
  </si>
  <si>
    <t>HB-001/2026</t>
  </si>
  <si>
    <t>006/2026</t>
  </si>
  <si>
    <t>E-017/2025</t>
  </si>
  <si>
    <t>008/2026</t>
  </si>
  <si>
    <t>002A/2026</t>
  </si>
  <si>
    <t>Z-009/2026</t>
  </si>
  <si>
    <t>068G/2025</t>
  </si>
  <si>
    <t>068B/2025</t>
  </si>
  <si>
    <t>068C/2025</t>
  </si>
  <si>
    <t>068D/2025</t>
  </si>
  <si>
    <t>068E/2025</t>
  </si>
  <si>
    <t>NH-019A/2025</t>
  </si>
  <si>
    <t>NH-019B/2025</t>
  </si>
  <si>
    <t>Z-001A/2026</t>
  </si>
  <si>
    <t>Z-001B/2026</t>
  </si>
  <si>
    <t>Z-033/2025</t>
  </si>
  <si>
    <t>072/2025</t>
  </si>
  <si>
    <t>NH-016/2025</t>
  </si>
  <si>
    <t>064A/2025</t>
  </si>
  <si>
    <t>064B/2025</t>
  </si>
  <si>
    <t>064D/2025</t>
  </si>
  <si>
    <t>064E/2025</t>
  </si>
  <si>
    <t>064F/2025</t>
  </si>
  <si>
    <t>064G/2025</t>
  </si>
  <si>
    <t>Z-032A/2025</t>
  </si>
  <si>
    <t>Z-032B/2025</t>
  </si>
  <si>
    <t>064C/2025</t>
  </si>
  <si>
    <t>068A/2025</t>
  </si>
  <si>
    <t>068F/2025</t>
  </si>
  <si>
    <t>NH-017/2025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</si>
</sst>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General;;"/>
    <numFmt numFmtId="165" formatCode="[$-409]d\-mmm\-yyyy;@"/>
    <numFmt numFmtId="166" formatCode="0.0"/>
    <numFmt numFmtId="167" formatCode="[$-409]d\-mmm\-yy;@"/>
    <numFmt numFmtId="168" formatCode="_-[$R$-416]\ * #,##0.00_-;\-[$R$-416]\ * #,##0.00_-;_-[$R$-416]\ * &quot;-&quot;??_-;_-@_-"/>
    <numFmt numFmtId="169" formatCode="&quot;R$&quot;\ #,##0.00"/>
    <numFmt numFmtId="170" formatCode="dd\-mmm\-yy"/>
  </numFmts>
  <fonts count="6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rgb="FFFFFFFF"/>
      <name val="Calibri"/>
      <family val="2"/>
    </font>
    <font>
      <b/>
      <sz val="9"/>
      <name val="Calibri"/>
      <family val="2"/>
      <scheme val="minor"/>
    </font>
    <font>
      <b/>
      <sz val="10"/>
      <name val="Aptos Narrow"/>
      <family val="2"/>
    </font>
    <font>
      <b/>
      <sz val="10"/>
      <name val="Calibri"/>
      <family val="2"/>
      <scheme val="minor"/>
    </font>
    <font>
      <b/>
      <sz val="10"/>
      <color rgb="FFFFFFFF"/>
      <name val="Aptos Narrow"/>
      <family val="2"/>
    </font>
    <font>
      <b/>
      <sz val="1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ptos Narrow"/>
      <family val="2"/>
    </font>
    <font>
      <sz val="16"/>
      <color rgb="FF242424"/>
      <name val="Consolas"/>
      <family val="3"/>
    </font>
    <font>
      <b/>
      <sz val="11"/>
      <color rgb="FF0070C0"/>
      <name val="Calibri"/>
      <family val="2"/>
      <scheme val="minor"/>
    </font>
    <font>
      <b/>
      <sz val="9"/>
      <color rgb="FF000000"/>
      <name val="Aptos Narrow"/>
      <family val="2"/>
    </font>
    <font>
      <b/>
      <sz val="9"/>
      <color rgb="FF000000"/>
      <name val="Calibri"/>
      <family val="2"/>
      <scheme val="minor"/>
    </font>
    <font>
      <b/>
      <sz val="10"/>
      <color rgb="FFFF0000"/>
      <name val="Aptos Narrow"/>
      <family val="2"/>
    </font>
    <font>
      <b/>
      <sz val="2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Aptos Narrow"/>
      <family val="2"/>
    </font>
    <font>
      <b/>
      <sz val="12"/>
      <name val="Aptos Narrow"/>
      <family val="2"/>
    </font>
    <font>
      <sz val="11"/>
      <color rgb="FF000000"/>
      <name val="Aptos Narrow"/>
    </font>
    <font>
      <sz val="12"/>
      <color rgb="FF000000"/>
      <name val="Calibri"/>
      <family val="2"/>
      <scheme val="minor"/>
    </font>
    <font>
      <b/>
      <sz val="12"/>
      <name val="Aptos Narrow"/>
    </font>
    <font>
      <b/>
      <sz val="10"/>
      <color rgb="FFFFFFFF"/>
      <name val="Aptos Narrow"/>
    </font>
    <font>
      <b/>
      <sz val="9"/>
      <color rgb="FF000000"/>
      <name val="Aptos Narrow"/>
    </font>
    <font>
      <sz val="24"/>
      <color theme="0"/>
      <name val="Calibri"/>
      <family val="2"/>
      <scheme val="minor"/>
    </font>
    <font>
      <sz val="12"/>
      <name val="Aptos Narrow"/>
      <family val="2"/>
    </font>
    <font>
      <sz val="12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4"/>
      <color theme="0"/>
      <name val="Calibri"/>
      <family val="2"/>
      <scheme val="minor"/>
    </font>
    <font>
      <i/>
      <sz val="12"/>
      <name val="Aptos Narrow"/>
      <family val="2"/>
    </font>
    <font>
      <i/>
      <sz val="12"/>
      <color rgb="FF000000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8"/>
      <color rgb="FFFFFFFF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9"/>
      <color indexed="81"/>
      <name val="Segoe UI"/>
      <charset val="1"/>
    </font>
    <font>
      <sz val="1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9"/>
      <name val="Aptos Narrow"/>
      <family val="2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FFFF"/>
      <name val="Aptos Narrow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539">
    <xf numFmtId="0" fontId="0" fillId="0" borderId="0" xfId="0"/>
    <xf numFmtId="1" fontId="7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12" fillId="4" borderId="1" xfId="0" applyNumberFormat="1" applyFont="1" applyFill="1" applyBorder="1" applyAlignment="1">
      <alignment horizontal="center" vertical="center" wrapText="1"/>
    </xf>
    <xf numFmtId="1" fontId="13" fillId="5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1" fontId="15" fillId="7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14" fontId="17" fillId="11" borderId="1" xfId="0" applyNumberFormat="1" applyFont="1" applyFill="1" applyBorder="1" applyAlignment="1">
      <alignment horizontal="center" vertical="center" wrapText="1"/>
    </xf>
    <xf numFmtId="14" fontId="19" fillId="13" borderId="1" xfId="0" applyNumberFormat="1" applyFont="1" applyFill="1" applyBorder="1" applyAlignment="1">
      <alignment horizontal="center" vertical="center"/>
    </xf>
    <xf numFmtId="1" fontId="15" fillId="5" borderId="1" xfId="0" applyNumberFormat="1" applyFont="1" applyFill="1" applyBorder="1" applyAlignment="1">
      <alignment horizontal="center" vertical="center" wrapText="1"/>
    </xf>
    <xf numFmtId="14" fontId="19" fillId="13" borderId="4" xfId="0" applyNumberFormat="1" applyFont="1" applyFill="1" applyBorder="1" applyAlignment="1">
      <alignment horizontal="center" vertical="center"/>
    </xf>
    <xf numFmtId="14" fontId="19" fillId="13" borderId="3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165" fontId="9" fillId="3" borderId="2" xfId="0" applyNumberFormat="1" applyFont="1" applyFill="1" applyBorder="1" applyAlignment="1">
      <alignment horizontal="center" vertical="center"/>
    </xf>
    <xf numFmtId="165" fontId="9" fillId="3" borderId="7" xfId="0" applyNumberFormat="1" applyFont="1" applyFill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1" fontId="15" fillId="5" borderId="8" xfId="0" applyNumberFormat="1" applyFont="1" applyFill="1" applyBorder="1" applyAlignment="1">
      <alignment horizontal="center" vertical="center" wrapText="1"/>
    </xf>
    <xf numFmtId="1" fontId="15" fillId="7" borderId="4" xfId="0" applyNumberFormat="1" applyFont="1" applyFill="1" applyBorder="1" applyAlignment="1">
      <alignment horizontal="center" vertical="center" wrapText="1"/>
    </xf>
    <xf numFmtId="1" fontId="7" fillId="3" borderId="4" xfId="0" applyNumberFormat="1" applyFont="1" applyFill="1" applyBorder="1" applyAlignment="1">
      <alignment horizontal="center" vertical="center"/>
    </xf>
    <xf numFmtId="1" fontId="12" fillId="4" borderId="2" xfId="0" applyNumberFormat="1" applyFont="1" applyFill="1" applyBorder="1" applyAlignment="1">
      <alignment horizontal="center" vertical="center" wrapText="1"/>
    </xf>
    <xf numFmtId="14" fontId="19" fillId="13" borderId="7" xfId="0" applyNumberFormat="1" applyFont="1" applyFill="1" applyBorder="1" applyAlignment="1">
      <alignment horizontal="center" vertical="center"/>
    </xf>
    <xf numFmtId="1" fontId="13" fillId="5" borderId="8" xfId="0" applyNumberFormat="1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1" fontId="15" fillId="7" borderId="8" xfId="0" applyNumberFormat="1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165" fontId="7" fillId="3" borderId="4" xfId="0" applyNumberFormat="1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center"/>
    </xf>
    <xf numFmtId="165" fontId="7" fillId="3" borderId="7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14" fontId="19" fillId="13" borderId="9" xfId="0" applyNumberFormat="1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/>
    </xf>
    <xf numFmtId="0" fontId="22" fillId="15" borderId="3" xfId="0" applyFont="1" applyFill="1" applyBorder="1" applyAlignment="1">
      <alignment vertical="center" wrapText="1"/>
    </xf>
    <xf numFmtId="0" fontId="22" fillId="15" borderId="2" xfId="0" applyFont="1" applyFill="1" applyBorder="1" applyAlignment="1">
      <alignment vertical="center" wrapText="1"/>
    </xf>
    <xf numFmtId="14" fontId="17" fillId="11" borderId="4" xfId="0" applyNumberFormat="1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horizontal="center" vertical="center" wrapText="1"/>
    </xf>
    <xf numFmtId="0" fontId="27" fillId="12" borderId="7" xfId="0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center" vertical="center" wrapText="1"/>
    </xf>
    <xf numFmtId="1" fontId="27" fillId="12" borderId="1" xfId="0" applyNumberFormat="1" applyFont="1" applyFill="1" applyBorder="1" applyAlignment="1">
      <alignment horizontal="center" vertical="center" wrapText="1"/>
    </xf>
    <xf numFmtId="1" fontId="27" fillId="12" borderId="8" xfId="0" applyNumberFormat="1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vertical="center" wrapText="1"/>
    </xf>
    <xf numFmtId="1" fontId="27" fillId="12" borderId="4" xfId="0" applyNumberFormat="1" applyFont="1" applyFill="1" applyBorder="1" applyAlignment="1">
      <alignment horizontal="center" vertical="center" wrapText="1"/>
    </xf>
    <xf numFmtId="1" fontId="27" fillId="12" borderId="5" xfId="0" applyNumberFormat="1" applyFont="1" applyFill="1" applyBorder="1" applyAlignment="1">
      <alignment horizontal="center" vertical="center" wrapText="1"/>
    </xf>
    <xf numFmtId="0" fontId="28" fillId="12" borderId="2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center"/>
    </xf>
    <xf numFmtId="0" fontId="32" fillId="15" borderId="9" xfId="0" applyFont="1" applyFill="1" applyBorder="1" applyAlignment="1">
      <alignment horizontal="center" vertical="center" wrapText="1"/>
    </xf>
    <xf numFmtId="0" fontId="33" fillId="9" borderId="9" xfId="0" applyFont="1" applyFill="1" applyBorder="1" applyAlignment="1">
      <alignment horizontal="center" vertical="center" wrapText="1"/>
    </xf>
    <xf numFmtId="1" fontId="9" fillId="3" borderId="1" xfId="1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/>
    </xf>
    <xf numFmtId="0" fontId="27" fillId="12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27" fillId="12" borderId="5" xfId="0" applyFont="1" applyFill="1" applyBorder="1" applyAlignment="1">
      <alignment horizontal="center" vertical="center" wrapText="1"/>
    </xf>
    <xf numFmtId="165" fontId="8" fillId="12" borderId="5" xfId="0" applyNumberFormat="1" applyFont="1" applyFill="1" applyBorder="1" applyAlignment="1">
      <alignment horizontal="center" vertical="center"/>
    </xf>
    <xf numFmtId="0" fontId="22" fillId="15" borderId="13" xfId="0" applyFont="1" applyFill="1" applyBorder="1" applyAlignment="1">
      <alignment vertical="center" wrapText="1"/>
    </xf>
    <xf numFmtId="0" fontId="27" fillId="12" borderId="14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165" fontId="35" fillId="3" borderId="4" xfId="0" applyNumberFormat="1" applyFont="1" applyFill="1" applyBorder="1" applyAlignment="1">
      <alignment horizontal="center" vertical="center"/>
    </xf>
    <xf numFmtId="1" fontId="35" fillId="3" borderId="4" xfId="0" applyNumberFormat="1" applyFont="1" applyFill="1" applyBorder="1" applyAlignment="1">
      <alignment horizontal="center" vertical="center"/>
    </xf>
    <xf numFmtId="165" fontId="35" fillId="3" borderId="7" xfId="0" applyNumberFormat="1" applyFont="1" applyFill="1" applyBorder="1" applyAlignment="1">
      <alignment horizontal="center" vertical="center"/>
    </xf>
    <xf numFmtId="165" fontId="35" fillId="3" borderId="2" xfId="0" applyNumberFormat="1" applyFont="1" applyFill="1" applyBorder="1" applyAlignment="1">
      <alignment horizontal="center" vertical="center"/>
    </xf>
    <xf numFmtId="1" fontId="35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14" fillId="6" borderId="16" xfId="0" applyFont="1" applyFill="1" applyBorder="1" applyAlignment="1">
      <alignment horizontal="center" vertical="center" wrapText="1"/>
    </xf>
    <xf numFmtId="1" fontId="13" fillId="5" borderId="17" xfId="0" applyNumberFormat="1" applyFont="1" applyFill="1" applyBorder="1" applyAlignment="1">
      <alignment horizontal="center" vertical="center" wrapText="1"/>
    </xf>
    <xf numFmtId="165" fontId="9" fillId="3" borderId="18" xfId="0" applyNumberFormat="1" applyFont="1" applyFill="1" applyBorder="1" applyAlignment="1">
      <alignment horizontal="center" vertical="center"/>
    </xf>
    <xf numFmtId="1" fontId="7" fillId="3" borderId="19" xfId="0" applyNumberFormat="1" applyFont="1" applyFill="1" applyBorder="1" applyAlignment="1">
      <alignment horizontal="center" vertical="center"/>
    </xf>
    <xf numFmtId="1" fontId="15" fillId="7" borderId="20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left" vertical="center"/>
    </xf>
    <xf numFmtId="165" fontId="8" fillId="3" borderId="9" xfId="0" applyNumberFormat="1" applyFont="1" applyFill="1" applyBorder="1" applyAlignment="1">
      <alignment horizontal="center" vertical="center"/>
    </xf>
    <xf numFmtId="0" fontId="48" fillId="13" borderId="3" xfId="0" applyFont="1" applyFill="1" applyBorder="1" applyAlignment="1">
      <alignment vertical="center"/>
    </xf>
    <xf numFmtId="165" fontId="49" fillId="3" borderId="1" xfId="0" applyNumberFormat="1" applyFont="1" applyFill="1" applyBorder="1" applyAlignment="1">
      <alignment horizontal="center" vertical="center"/>
    </xf>
    <xf numFmtId="165" fontId="9" fillId="2" borderId="7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65" fontId="8" fillId="9" borderId="1" xfId="0" applyNumberFormat="1" applyFont="1" applyFill="1" applyBorder="1" applyAlignment="1">
      <alignment horizontal="center" vertical="center"/>
    </xf>
    <xf numFmtId="0" fontId="20" fillId="13" borderId="11" xfId="0" applyFont="1" applyFill="1" applyBorder="1" applyAlignment="1">
      <alignment vertical="center"/>
    </xf>
    <xf numFmtId="0" fontId="20" fillId="13" borderId="3" xfId="0" applyFont="1" applyFill="1" applyBorder="1" applyAlignment="1">
      <alignment vertical="center"/>
    </xf>
    <xf numFmtId="165" fontId="8" fillId="3" borderId="1" xfId="0" applyNumberFormat="1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27" fillId="12" borderId="1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166" fontId="9" fillId="3" borderId="1" xfId="0" applyNumberFormat="1" applyFont="1" applyFill="1" applyBorder="1" applyAlignment="1">
      <alignment horizontal="center" vertical="center"/>
    </xf>
    <xf numFmtId="166" fontId="51" fillId="3" borderId="1" xfId="0" applyNumberFormat="1" applyFont="1" applyFill="1" applyBorder="1" applyAlignment="1">
      <alignment horizontal="center" vertical="center"/>
    </xf>
    <xf numFmtId="166" fontId="9" fillId="3" borderId="17" xfId="0" applyNumberFormat="1" applyFont="1" applyFill="1" applyBorder="1" applyAlignment="1">
      <alignment horizontal="center" vertical="center"/>
    </xf>
    <xf numFmtId="0" fontId="53" fillId="6" borderId="2" xfId="0" applyFont="1" applyFill="1" applyBorder="1" applyAlignment="1">
      <alignment horizontal="center" vertical="center" wrapText="1"/>
    </xf>
    <xf numFmtId="0" fontId="53" fillId="8" borderId="7" xfId="0" applyFont="1" applyFill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/>
    </xf>
    <xf numFmtId="165" fontId="8" fillId="19" borderId="1" xfId="0" applyNumberFormat="1" applyFont="1" applyFill="1" applyBorder="1" applyAlignment="1">
      <alignment horizontal="center" vertical="center"/>
    </xf>
    <xf numFmtId="165" fontId="8" fillId="19" borderId="1" xfId="0" applyNumberFormat="1" applyFont="1" applyFill="1" applyBorder="1" applyAlignment="1">
      <alignment horizontal="left" vertical="center"/>
    </xf>
    <xf numFmtId="166" fontId="9" fillId="19" borderId="1" xfId="0" applyNumberFormat="1" applyFont="1" applyFill="1" applyBorder="1" applyAlignment="1">
      <alignment horizontal="center" vertical="center"/>
    </xf>
    <xf numFmtId="49" fontId="8" fillId="19" borderId="1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Border="1" applyAlignment="1">
      <alignment horizontal="center" vertical="center"/>
    </xf>
    <xf numFmtId="1" fontId="9" fillId="19" borderId="1" xfId="1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8" fillId="19" borderId="9" xfId="0" applyNumberFormat="1" applyFont="1" applyFill="1" applyBorder="1" applyAlignment="1">
      <alignment horizontal="center" vertical="center"/>
    </xf>
    <xf numFmtId="1" fontId="7" fillId="19" borderId="1" xfId="0" applyNumberFormat="1" applyFont="1" applyFill="1" applyBorder="1" applyAlignment="1">
      <alignment horizontal="center" vertical="center"/>
    </xf>
    <xf numFmtId="1" fontId="35" fillId="19" borderId="1" xfId="0" applyNumberFormat="1" applyFont="1" applyFill="1" applyBorder="1" applyAlignment="1">
      <alignment horizontal="center" vertical="center"/>
    </xf>
    <xf numFmtId="165" fontId="7" fillId="19" borderId="4" xfId="0" applyNumberFormat="1" applyFont="1" applyFill="1" applyBorder="1" applyAlignment="1">
      <alignment horizontal="center" vertical="center"/>
    </xf>
    <xf numFmtId="1" fontId="7" fillId="19" borderId="4" xfId="0" applyNumberFormat="1" applyFont="1" applyFill="1" applyBorder="1" applyAlignment="1">
      <alignment horizontal="center" vertical="center"/>
    </xf>
    <xf numFmtId="165" fontId="7" fillId="19" borderId="7" xfId="0" applyNumberFormat="1" applyFont="1" applyFill="1" applyBorder="1" applyAlignment="1">
      <alignment horizontal="center" vertical="center"/>
    </xf>
    <xf numFmtId="165" fontId="35" fillId="19" borderId="7" xfId="0" applyNumberFormat="1" applyFont="1" applyFill="1" applyBorder="1" applyAlignment="1">
      <alignment horizontal="center" vertical="center"/>
    </xf>
    <xf numFmtId="165" fontId="35" fillId="19" borderId="2" xfId="0" applyNumberFormat="1" applyFont="1" applyFill="1" applyBorder="1" applyAlignment="1">
      <alignment horizontal="center" vertical="center"/>
    </xf>
    <xf numFmtId="1" fontId="35" fillId="19" borderId="4" xfId="0" applyNumberFormat="1" applyFont="1" applyFill="1" applyBorder="1" applyAlignment="1">
      <alignment horizontal="center" vertical="center"/>
    </xf>
    <xf numFmtId="165" fontId="9" fillId="19" borderId="2" xfId="0" applyNumberFormat="1" applyFont="1" applyFill="1" applyBorder="1" applyAlignment="1">
      <alignment horizontal="center" vertical="center"/>
    </xf>
    <xf numFmtId="1" fontId="7" fillId="19" borderId="2" xfId="0" applyNumberFormat="1" applyFont="1" applyFill="1" applyBorder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165" fontId="8" fillId="19" borderId="0" xfId="0" applyNumberFormat="1" applyFont="1" applyFill="1" applyAlignment="1">
      <alignment horizontal="center" vertical="center"/>
    </xf>
    <xf numFmtId="166" fontId="9" fillId="19" borderId="0" xfId="0" applyNumberFormat="1" applyFont="1" applyFill="1" applyAlignment="1">
      <alignment horizontal="center" vertical="center"/>
    </xf>
    <xf numFmtId="49" fontId="8" fillId="19" borderId="0" xfId="0" applyNumberFormat="1" applyFont="1" applyFill="1" applyAlignment="1">
      <alignment horizontal="center" vertical="center"/>
    </xf>
    <xf numFmtId="165" fontId="9" fillId="19" borderId="0" xfId="0" applyNumberFormat="1" applyFont="1" applyFill="1" applyAlignment="1">
      <alignment horizontal="center" vertical="center"/>
    </xf>
    <xf numFmtId="1" fontId="9" fillId="19" borderId="0" xfId="1" applyNumberFormat="1" applyFont="1" applyFill="1" applyBorder="1" applyAlignment="1">
      <alignment horizontal="center" vertical="center"/>
    </xf>
    <xf numFmtId="1" fontId="7" fillId="19" borderId="0" xfId="0" applyNumberFormat="1" applyFont="1" applyFill="1" applyAlignment="1">
      <alignment horizontal="center" vertical="center"/>
    </xf>
    <xf numFmtId="1" fontId="35" fillId="19" borderId="0" xfId="0" applyNumberFormat="1" applyFont="1" applyFill="1" applyAlignment="1">
      <alignment horizontal="center" vertical="center"/>
    </xf>
    <xf numFmtId="165" fontId="7" fillId="19" borderId="0" xfId="0" applyNumberFormat="1" applyFont="1" applyFill="1" applyAlignment="1">
      <alignment horizontal="center" vertical="center"/>
    </xf>
    <xf numFmtId="165" fontId="35" fillId="19" borderId="0" xfId="0" applyNumberFormat="1" applyFont="1" applyFill="1" applyAlignment="1">
      <alignment horizontal="center" vertical="center"/>
    </xf>
    <xf numFmtId="165" fontId="26" fillId="19" borderId="1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/>
    </xf>
    <xf numFmtId="1" fontId="6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1" fontId="6" fillId="19" borderId="2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vertical="center"/>
    </xf>
    <xf numFmtId="1" fontId="36" fillId="19" borderId="0" xfId="0" applyNumberFormat="1" applyFont="1" applyFill="1" applyAlignment="1">
      <alignment horizontal="center" vertical="center"/>
    </xf>
    <xf numFmtId="1" fontId="6" fillId="19" borderId="0" xfId="0" applyNumberFormat="1" applyFont="1" applyFill="1" applyAlignment="1">
      <alignment horizontal="center" vertical="center"/>
    </xf>
    <xf numFmtId="0" fontId="0" fillId="19" borderId="0" xfId="0" applyFill="1" applyAlignment="1">
      <alignment vertical="center"/>
    </xf>
    <xf numFmtId="0" fontId="2" fillId="19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0" fontId="4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2" fillId="9" borderId="1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" fontId="2" fillId="0" borderId="0" xfId="0" applyNumberFormat="1" applyFont="1" applyAlignment="1">
      <alignment vertical="center"/>
    </xf>
    <xf numFmtId="165" fontId="35" fillId="19" borderId="4" xfId="0" applyNumberFormat="1" applyFont="1" applyFill="1" applyBorder="1" applyAlignment="1">
      <alignment horizontal="center" vertical="center"/>
    </xf>
    <xf numFmtId="165" fontId="8" fillId="18" borderId="1" xfId="0" applyNumberFormat="1" applyFont="1" applyFill="1" applyBorder="1" applyAlignment="1">
      <alignment horizontal="center" vertical="center"/>
    </xf>
    <xf numFmtId="165" fontId="7" fillId="19" borderId="2" xfId="0" applyNumberFormat="1" applyFont="1" applyFill="1" applyBorder="1" applyAlignment="1">
      <alignment horizontal="center" vertical="center"/>
    </xf>
    <xf numFmtId="165" fontId="7" fillId="19" borderId="3" xfId="0" applyNumberFormat="1" applyFont="1" applyFill="1" applyBorder="1" applyAlignment="1">
      <alignment horizontal="center" vertical="center"/>
    </xf>
    <xf numFmtId="165" fontId="49" fillId="19" borderId="1" xfId="0" applyNumberFormat="1" applyFont="1" applyFill="1" applyBorder="1" applyAlignment="1">
      <alignment horizontal="center" vertical="center"/>
    </xf>
    <xf numFmtId="166" fontId="9" fillId="19" borderId="21" xfId="0" applyNumberFormat="1" applyFont="1" applyFill="1" applyBorder="1" applyAlignment="1">
      <alignment horizontal="center" vertical="center"/>
    </xf>
    <xf numFmtId="49" fontId="8" fillId="19" borderId="2" xfId="0" applyNumberFormat="1" applyFont="1" applyFill="1" applyBorder="1" applyAlignment="1">
      <alignment horizontal="center" vertical="center"/>
    </xf>
    <xf numFmtId="166" fontId="51" fillId="19" borderId="1" xfId="0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0" fillId="12" borderId="0" xfId="0" applyFill="1" applyAlignment="1">
      <alignment horizontal="center" vertical="center"/>
    </xf>
    <xf numFmtId="166" fontId="8" fillId="12" borderId="22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1" fontId="0" fillId="12" borderId="0" xfId="0" applyNumberFormat="1" applyFill="1" applyAlignment="1">
      <alignment vertical="center"/>
    </xf>
    <xf numFmtId="0" fontId="43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164" fontId="0" fillId="12" borderId="0" xfId="0" applyNumberFormat="1" applyFill="1" applyAlignment="1">
      <alignment vertical="center"/>
    </xf>
    <xf numFmtId="164" fontId="2" fillId="12" borderId="0" xfId="0" applyNumberFormat="1" applyFont="1" applyFill="1" applyAlignment="1">
      <alignment vertical="center"/>
    </xf>
    <xf numFmtId="0" fontId="2" fillId="12" borderId="15" xfId="0" applyFont="1" applyFill="1" applyBorder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vertical="center"/>
    </xf>
    <xf numFmtId="1" fontId="6" fillId="19" borderId="8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/>
    </xf>
    <xf numFmtId="0" fontId="0" fillId="19" borderId="0" xfId="0" applyFill="1" applyAlignment="1">
      <alignment horizontal="center" vertical="center"/>
    </xf>
    <xf numFmtId="166" fontId="8" fillId="19" borderId="0" xfId="0" applyNumberFormat="1" applyFont="1" applyFill="1" applyAlignment="1">
      <alignment horizontal="center" vertical="center"/>
    </xf>
    <xf numFmtId="1" fontId="0" fillId="19" borderId="0" xfId="0" applyNumberFormat="1" applyFill="1" applyAlignment="1">
      <alignment vertical="center"/>
    </xf>
    <xf numFmtId="0" fontId="43" fillId="19" borderId="0" xfId="0" applyFont="1" applyFill="1" applyAlignment="1">
      <alignment vertical="center"/>
    </xf>
    <xf numFmtId="0" fontId="2" fillId="19" borderId="0" xfId="0" applyFont="1" applyFill="1" applyAlignment="1">
      <alignment horizontal="center" vertical="center"/>
    </xf>
    <xf numFmtId="164" fontId="0" fillId="19" borderId="0" xfId="0" applyNumberFormat="1" applyFill="1" applyAlignment="1">
      <alignment vertical="center"/>
    </xf>
    <xf numFmtId="164" fontId="2" fillId="19" borderId="0" xfId="0" applyNumberFormat="1" applyFont="1" applyFill="1" applyAlignment="1">
      <alignment vertical="center"/>
    </xf>
    <xf numFmtId="0" fontId="2" fillId="19" borderId="15" xfId="0" applyFont="1" applyFill="1" applyBorder="1" applyAlignment="1">
      <alignment vertical="center"/>
    </xf>
    <xf numFmtId="0" fontId="4" fillId="19" borderId="0" xfId="0" applyFont="1" applyFill="1" applyAlignment="1">
      <alignment horizontal="center" vertical="center"/>
    </xf>
    <xf numFmtId="0" fontId="4" fillId="19" borderId="0" xfId="0" applyFont="1" applyFill="1" applyAlignment="1">
      <alignment vertical="center"/>
    </xf>
    <xf numFmtId="0" fontId="54" fillId="20" borderId="0" xfId="0" applyFont="1" applyFill="1" applyAlignment="1">
      <alignment horizontal="left" vertical="center"/>
    </xf>
    <xf numFmtId="165" fontId="1" fillId="20" borderId="0" xfId="0" applyNumberFormat="1" applyFont="1" applyFill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19" borderId="2" xfId="0" applyNumberFormat="1" applyFont="1" applyFill="1" applyBorder="1" applyAlignment="1">
      <alignment horizontal="center" vertical="center" wrapText="1"/>
    </xf>
    <xf numFmtId="165" fontId="8" fillId="19" borderId="0" xfId="0" applyNumberFormat="1" applyFont="1" applyFill="1" applyAlignment="1">
      <alignment horizontal="left" vertical="center" wrapText="1"/>
    </xf>
    <xf numFmtId="165" fontId="8" fillId="19" borderId="15" xfId="0" applyNumberFormat="1" applyFont="1" applyFill="1" applyBorder="1" applyAlignment="1">
      <alignment horizontal="center" vertical="center"/>
    </xf>
    <xf numFmtId="165" fontId="8" fillId="16" borderId="14" xfId="0" applyNumberFormat="1" applyFont="1" applyFill="1" applyBorder="1" applyAlignment="1">
      <alignment horizontal="center" vertical="center"/>
    </xf>
    <xf numFmtId="166" fontId="9" fillId="19" borderId="17" xfId="0" applyNumberFormat="1" applyFont="1" applyFill="1" applyBorder="1" applyAlignment="1">
      <alignment horizontal="center" vertical="center"/>
    </xf>
    <xf numFmtId="166" fontId="9" fillId="19" borderId="23" xfId="0" applyNumberFormat="1" applyFont="1" applyFill="1" applyBorder="1" applyAlignment="1">
      <alignment horizontal="center" vertical="center"/>
    </xf>
    <xf numFmtId="165" fontId="49" fillId="19" borderId="9" xfId="0" applyNumberFormat="1" applyFont="1" applyFill="1" applyBorder="1" applyAlignment="1">
      <alignment horizontal="center" vertical="center"/>
    </xf>
    <xf numFmtId="165" fontId="49" fillId="3" borderId="9" xfId="0" applyNumberFormat="1" applyFont="1" applyFill="1" applyBorder="1" applyAlignment="1">
      <alignment horizontal="center" vertical="center"/>
    </xf>
    <xf numFmtId="165" fontId="56" fillId="19" borderId="1" xfId="0" applyNumberFormat="1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horizontal="center" vertical="center"/>
    </xf>
    <xf numFmtId="1" fontId="35" fillId="3" borderId="2" xfId="0" applyNumberFormat="1" applyFont="1" applyFill="1" applyBorder="1" applyAlignment="1">
      <alignment horizontal="center" vertical="center"/>
    </xf>
    <xf numFmtId="1" fontId="35" fillId="19" borderId="2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8" fillId="19" borderId="1" xfId="0" applyFont="1" applyFill="1" applyBorder="1" applyAlignment="1">
      <alignment horizontal="left" vertical="center"/>
    </xf>
    <xf numFmtId="0" fontId="8" fillId="19" borderId="4" xfId="0" applyFont="1" applyFill="1" applyBorder="1" applyAlignment="1">
      <alignment horizontal="left" vertical="center"/>
    </xf>
    <xf numFmtId="0" fontId="8" fillId="19" borderId="0" xfId="0" applyFont="1" applyFill="1" applyAlignment="1">
      <alignment horizontal="left" vertical="center"/>
    </xf>
    <xf numFmtId="0" fontId="1" fillId="20" borderId="0" xfId="0" applyFont="1" applyFill="1" applyAlignment="1">
      <alignment horizontal="left" vertical="center"/>
    </xf>
    <xf numFmtId="0" fontId="55" fillId="3" borderId="1" xfId="0" applyFont="1" applyFill="1" applyBorder="1" applyAlignment="1">
      <alignment horizontal="left" vertical="center"/>
    </xf>
    <xf numFmtId="0" fontId="55" fillId="19" borderId="4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19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21" xfId="0" applyBorder="1" applyAlignment="1">
      <alignment vertical="center"/>
    </xf>
    <xf numFmtId="0" fontId="2" fillId="0" borderId="21" xfId="0" applyFont="1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19" borderId="21" xfId="0" applyFill="1" applyBorder="1" applyAlignment="1">
      <alignment vertical="center"/>
    </xf>
    <xf numFmtId="0" fontId="38" fillId="10" borderId="17" xfId="0" applyFont="1" applyFill="1" applyBorder="1" applyAlignment="1">
      <alignment horizontal="center" vertical="center" wrapText="1"/>
    </xf>
    <xf numFmtId="0" fontId="57" fillId="0" borderId="0" xfId="0" applyFont="1" applyAlignment="1">
      <alignment vertical="top" wrapText="1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15" xfId="0" applyFont="1" applyBorder="1" applyAlignment="1">
      <alignment vertic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20" fillId="13" borderId="3" xfId="0" applyFont="1" applyFill="1" applyBorder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8" fillId="16" borderId="1" xfId="0" applyNumberFormat="1" applyFont="1" applyFill="1" applyBorder="1" applyAlignment="1">
      <alignment horizontal="left" vertical="center"/>
    </xf>
    <xf numFmtId="165" fontId="8" fillId="19" borderId="2" xfId="0" applyNumberFormat="1" applyFont="1" applyFill="1" applyBorder="1" applyAlignment="1">
      <alignment horizontal="center" vertical="center"/>
    </xf>
    <xf numFmtId="167" fontId="8" fillId="19" borderId="1" xfId="0" applyNumberFormat="1" applyFont="1" applyFill="1" applyBorder="1" applyAlignment="1">
      <alignment horizontal="center" vertical="center"/>
    </xf>
    <xf numFmtId="167" fontId="58" fillId="0" borderId="0" xfId="0" applyNumberFormat="1" applyFont="1" applyAlignment="1">
      <alignment vertical="center"/>
    </xf>
    <xf numFmtId="167" fontId="32" fillId="15" borderId="9" xfId="0" applyNumberFormat="1" applyFont="1" applyFill="1" applyBorder="1" applyAlignment="1">
      <alignment horizontal="center" vertical="center" wrapText="1"/>
    </xf>
    <xf numFmtId="167" fontId="33" fillId="9" borderId="9" xfId="0" applyNumberFormat="1" applyFont="1" applyFill="1" applyBorder="1" applyAlignment="1">
      <alignment horizontal="center" vertical="center" wrapText="1"/>
    </xf>
    <xf numFmtId="167" fontId="19" fillId="13" borderId="9" xfId="0" applyNumberFormat="1" applyFont="1" applyFill="1" applyBorder="1" applyAlignment="1">
      <alignment horizontal="center" vertical="center"/>
    </xf>
    <xf numFmtId="167" fontId="27" fillId="12" borderId="9" xfId="0" applyNumberFormat="1" applyFont="1" applyFill="1" applyBorder="1" applyAlignment="1">
      <alignment horizontal="center" vertical="center" wrapText="1"/>
    </xf>
    <xf numFmtId="167" fontId="16" fillId="9" borderId="9" xfId="0" applyNumberFormat="1" applyFont="1" applyFill="1" applyBorder="1" applyAlignment="1">
      <alignment horizontal="center" vertical="center" wrapText="1"/>
    </xf>
    <xf numFmtId="167" fontId="8" fillId="19" borderId="0" xfId="0" applyNumberFormat="1" applyFont="1" applyFill="1" applyAlignment="1">
      <alignment horizontal="center" vertical="center"/>
    </xf>
    <xf numFmtId="167" fontId="2" fillId="12" borderId="0" xfId="0" applyNumberFormat="1" applyFont="1" applyFill="1" applyAlignment="1">
      <alignment vertical="center"/>
    </xf>
    <xf numFmtId="167" fontId="2" fillId="0" borderId="0" xfId="0" applyNumberFormat="1" applyFont="1" applyAlignment="1">
      <alignment vertical="center"/>
    </xf>
    <xf numFmtId="167" fontId="0" fillId="0" borderId="0" xfId="0" applyNumberFormat="1" applyAlignment="1">
      <alignment vertical="center"/>
    </xf>
    <xf numFmtId="167" fontId="27" fillId="12" borderId="1" xfId="0" applyNumberFormat="1" applyFont="1" applyFill="1" applyBorder="1" applyAlignment="1">
      <alignment horizontal="center" vertical="center" wrapText="1"/>
    </xf>
    <xf numFmtId="167" fontId="14" fillId="6" borderId="1" xfId="0" applyNumberFormat="1" applyFont="1" applyFill="1" applyBorder="1" applyAlignment="1">
      <alignment horizontal="center" vertical="center" wrapText="1"/>
    </xf>
    <xf numFmtId="167" fontId="0" fillId="12" borderId="0" xfId="0" applyNumberFormat="1" applyFill="1" applyAlignment="1">
      <alignment vertical="center"/>
    </xf>
    <xf numFmtId="167" fontId="43" fillId="0" borderId="0" xfId="0" applyNumberFormat="1" applyFont="1" applyAlignment="1">
      <alignment vertical="center"/>
    </xf>
    <xf numFmtId="167" fontId="27" fillId="12" borderId="2" xfId="0" applyNumberFormat="1" applyFont="1" applyFill="1" applyBorder="1" applyAlignment="1">
      <alignment horizontal="center" vertical="center" wrapText="1"/>
    </xf>
    <xf numFmtId="167" fontId="14" fillId="8" borderId="2" xfId="0" applyNumberFormat="1" applyFont="1" applyFill="1" applyBorder="1" applyAlignment="1">
      <alignment horizontal="center" vertical="center" wrapText="1"/>
    </xf>
    <xf numFmtId="167" fontId="22" fillId="15" borderId="3" xfId="0" applyNumberFormat="1" applyFont="1" applyFill="1" applyBorder="1" applyAlignment="1">
      <alignment vertical="center" wrapText="1"/>
    </xf>
    <xf numFmtId="167" fontId="14" fillId="8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53" fillId="6" borderId="2" xfId="0" applyNumberFormat="1" applyFont="1" applyFill="1" applyBorder="1" applyAlignment="1">
      <alignment horizontal="center" vertical="center" wrapText="1"/>
    </xf>
    <xf numFmtId="167" fontId="53" fillId="8" borderId="1" xfId="0" applyNumberFormat="1" applyFont="1" applyFill="1" applyBorder="1" applyAlignment="1">
      <alignment horizontal="center" vertical="center" wrapText="1"/>
    </xf>
    <xf numFmtId="167" fontId="53" fillId="6" borderId="1" xfId="0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/>
    </xf>
    <xf numFmtId="167" fontId="14" fillId="6" borderId="16" xfId="0" applyNumberFormat="1" applyFont="1" applyFill="1" applyBorder="1" applyAlignment="1">
      <alignment horizontal="center" vertical="center" wrapText="1"/>
    </xf>
    <xf numFmtId="167" fontId="27" fillId="12" borderId="4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/>
    </xf>
    <xf numFmtId="0" fontId="8" fillId="19" borderId="21" xfId="0" applyFont="1" applyFill="1" applyBorder="1" applyAlignment="1">
      <alignment horizontal="left" vertical="center"/>
    </xf>
    <xf numFmtId="0" fontId="19" fillId="17" borderId="0" xfId="0" applyFont="1" applyFill="1" applyAlignment="1">
      <alignment horizontal="center" vertical="center"/>
    </xf>
    <xf numFmtId="0" fontId="20" fillId="13" borderId="0" xfId="0" applyFont="1" applyFill="1" applyAlignment="1">
      <alignment vertical="center"/>
    </xf>
    <xf numFmtId="0" fontId="39" fillId="12" borderId="0" xfId="0" applyFont="1" applyFill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/>
    </xf>
    <xf numFmtId="0" fontId="9" fillId="19" borderId="21" xfId="0" applyFont="1" applyFill="1" applyBorder="1" applyAlignment="1">
      <alignment horizontal="center" vertical="center"/>
    </xf>
    <xf numFmtId="0" fontId="9" fillId="19" borderId="31" xfId="0" applyFont="1" applyFill="1" applyBorder="1" applyAlignment="1">
      <alignment horizontal="center" vertical="center"/>
    </xf>
    <xf numFmtId="0" fontId="59" fillId="10" borderId="21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vertical="center"/>
    </xf>
    <xf numFmtId="0" fontId="61" fillId="0" borderId="0" xfId="0" applyFont="1" applyAlignment="1">
      <alignment horizontal="center" vertical="center" wrapText="1"/>
    </xf>
    <xf numFmtId="0" fontId="61" fillId="0" borderId="21" xfId="0" applyFont="1" applyBorder="1" applyAlignment="1">
      <alignment vertical="top" wrapText="1"/>
    </xf>
    <xf numFmtId="0" fontId="61" fillId="19" borderId="21" xfId="0" applyFont="1" applyFill="1" applyBorder="1" applyAlignment="1">
      <alignment vertical="center"/>
    </xf>
    <xf numFmtId="0" fontId="61" fillId="0" borderId="21" xfId="0" applyFont="1" applyBorder="1" applyAlignment="1">
      <alignment vertical="center"/>
    </xf>
    <xf numFmtId="0" fontId="61" fillId="12" borderId="0" xfId="0" applyFont="1" applyFill="1" applyAlignment="1">
      <alignment vertical="center"/>
    </xf>
    <xf numFmtId="165" fontId="8" fillId="0" borderId="0" xfId="0" applyNumberFormat="1" applyFont="1" applyAlignment="1">
      <alignment horizontal="center" vertical="center"/>
    </xf>
    <xf numFmtId="14" fontId="8" fillId="19" borderId="1" xfId="0" applyNumberFormat="1" applyFont="1" applyFill="1" applyBorder="1" applyAlignment="1">
      <alignment horizontal="left" vertical="center"/>
    </xf>
    <xf numFmtId="166" fontId="8" fillId="0" borderId="0" xfId="0" applyNumberFormat="1" applyFont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165" fontId="8" fillId="19" borderId="0" xfId="0" applyNumberFormat="1" applyFont="1" applyFill="1" applyAlignment="1">
      <alignment horizontal="left" vertical="center"/>
    </xf>
    <xf numFmtId="0" fontId="0" fillId="0" borderId="7" xfId="0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0" fontId="58" fillId="19" borderId="0" xfId="0" applyFont="1" applyFill="1" applyAlignment="1">
      <alignment vertical="center" wrapText="1"/>
    </xf>
    <xf numFmtId="0" fontId="20" fillId="13" borderId="3" xfId="0" applyFont="1" applyFill="1" applyBorder="1" applyAlignment="1">
      <alignment vertical="center" wrapText="1"/>
    </xf>
    <xf numFmtId="49" fontId="8" fillId="19" borderId="1" xfId="0" applyNumberFormat="1" applyFont="1" applyFill="1" applyBorder="1" applyAlignment="1">
      <alignment horizontal="center" vertical="center" wrapText="1"/>
    </xf>
    <xf numFmtId="49" fontId="8" fillId="19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vertical="center" wrapText="1"/>
    </xf>
    <xf numFmtId="0" fontId="2" fillId="19" borderId="0" xfId="0" applyFont="1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center"/>
    </xf>
    <xf numFmtId="166" fontId="9" fillId="2" borderId="17" xfId="0" applyNumberFormat="1" applyFont="1" applyFill="1" applyBorder="1" applyAlignment="1">
      <alignment horizontal="center" vertical="center"/>
    </xf>
    <xf numFmtId="1" fontId="9" fillId="2" borderId="1" xfId="1" applyNumberFormat="1" applyFont="1" applyFill="1" applyBorder="1" applyAlignment="1">
      <alignment horizontal="center" vertical="center"/>
    </xf>
    <xf numFmtId="1" fontId="35" fillId="2" borderId="1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" fontId="35" fillId="2" borderId="2" xfId="0" applyNumberFormat="1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61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1" xfId="0" applyFont="1" applyFill="1" applyBorder="1"/>
    <xf numFmtId="49" fontId="9" fillId="2" borderId="2" xfId="0" applyNumberFormat="1" applyFont="1" applyFill="1" applyBorder="1" applyAlignment="1">
      <alignment horizontal="center" vertical="center" wrapText="1"/>
    </xf>
    <xf numFmtId="1" fontId="9" fillId="19" borderId="23" xfId="1" applyNumberFormat="1" applyFont="1" applyFill="1" applyBorder="1" applyAlignment="1">
      <alignment horizontal="center" vertical="center"/>
    </xf>
    <xf numFmtId="0" fontId="8" fillId="16" borderId="21" xfId="0" applyFont="1" applyFill="1" applyBorder="1" applyAlignment="1">
      <alignment horizontal="left" vertical="center"/>
    </xf>
    <xf numFmtId="0" fontId="2" fillId="16" borderId="21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165" fontId="63" fillId="19" borderId="1" xfId="0" applyNumberFormat="1" applyFont="1" applyFill="1" applyBorder="1" applyAlignment="1">
      <alignment horizontal="center" vertical="center"/>
    </xf>
    <xf numFmtId="170" fontId="9" fillId="19" borderId="1" xfId="0" applyNumberFormat="1" applyFont="1" applyFill="1" applyBorder="1" applyAlignment="1">
      <alignment horizontal="center" vertical="center"/>
    </xf>
    <xf numFmtId="170" fontId="9" fillId="19" borderId="0" xfId="0" applyNumberFormat="1" applyFont="1" applyFill="1" applyAlignment="1">
      <alignment horizontal="center" vertical="center"/>
    </xf>
    <xf numFmtId="170" fontId="0" fillId="12" borderId="0" xfId="0" applyNumberFormat="1" applyFill="1" applyAlignment="1">
      <alignment vertical="center"/>
    </xf>
    <xf numFmtId="170" fontId="0" fillId="0" borderId="0" xfId="0" applyNumberFormat="1" applyAlignment="1">
      <alignment vertical="center"/>
    </xf>
    <xf numFmtId="170" fontId="5" fillId="0" borderId="0" xfId="0" applyNumberFormat="1" applyFont="1" applyAlignment="1">
      <alignment vertical="center"/>
    </xf>
    <xf numFmtId="170" fontId="9" fillId="2" borderId="1" xfId="0" applyNumberFormat="1" applyFont="1" applyFill="1" applyBorder="1" applyAlignment="1">
      <alignment horizontal="center" vertical="center"/>
    </xf>
    <xf numFmtId="170" fontId="8" fillId="19" borderId="1" xfId="0" applyNumberFormat="1" applyFont="1" applyFill="1" applyBorder="1" applyAlignment="1">
      <alignment horizontal="center" vertical="center"/>
    </xf>
    <xf numFmtId="170" fontId="49" fillId="19" borderId="1" xfId="0" applyNumberFormat="1" applyFont="1" applyFill="1" applyBorder="1" applyAlignment="1">
      <alignment horizontal="center" vertical="center"/>
    </xf>
    <xf numFmtId="170" fontId="49" fillId="2" borderId="1" xfId="0" applyNumberFormat="1" applyFont="1" applyFill="1" applyBorder="1" applyAlignment="1">
      <alignment horizontal="center" vertical="center"/>
    </xf>
    <xf numFmtId="170" fontId="9" fillId="19" borderId="7" xfId="0" applyNumberFormat="1" applyFont="1" applyFill="1" applyBorder="1" applyAlignment="1">
      <alignment horizontal="center" vertical="center"/>
    </xf>
    <xf numFmtId="170" fontId="9" fillId="2" borderId="7" xfId="0" applyNumberFormat="1" applyFont="1" applyFill="1" applyBorder="1" applyAlignment="1">
      <alignment horizontal="center" vertical="center"/>
    </xf>
    <xf numFmtId="170" fontId="9" fillId="19" borderId="4" xfId="0" applyNumberFormat="1" applyFont="1" applyFill="1" applyBorder="1" applyAlignment="1">
      <alignment horizontal="center" vertical="center"/>
    </xf>
    <xf numFmtId="170" fontId="9" fillId="2" borderId="4" xfId="0" applyNumberFormat="1" applyFont="1" applyFill="1" applyBorder="1" applyAlignment="1">
      <alignment horizontal="center" vertical="center"/>
    </xf>
    <xf numFmtId="170" fontId="8" fillId="19" borderId="9" xfId="0" applyNumberFormat="1" applyFont="1" applyFill="1" applyBorder="1" applyAlignment="1">
      <alignment horizontal="center" vertical="center"/>
    </xf>
    <xf numFmtId="170" fontId="8" fillId="19" borderId="0" xfId="0" applyNumberFormat="1" applyFont="1" applyFill="1" applyAlignment="1">
      <alignment horizontal="center" vertical="center"/>
    </xf>
    <xf numFmtId="170" fontId="2" fillId="12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170" fontId="8" fillId="2" borderId="9" xfId="0" applyNumberFormat="1" applyFont="1" applyFill="1" applyBorder="1" applyAlignment="1">
      <alignment horizontal="center" vertical="center"/>
    </xf>
    <xf numFmtId="170" fontId="9" fillId="3" borderId="7" xfId="0" applyNumberFormat="1" applyFont="1" applyFill="1" applyBorder="1" applyAlignment="1">
      <alignment horizontal="center" vertical="center"/>
    </xf>
    <xf numFmtId="170" fontId="8" fillId="2" borderId="1" xfId="0" applyNumberFormat="1" applyFont="1" applyFill="1" applyBorder="1" applyAlignment="1">
      <alignment horizontal="center" vertical="center"/>
    </xf>
    <xf numFmtId="170" fontId="7" fillId="19" borderId="4" xfId="0" applyNumberFormat="1" applyFont="1" applyFill="1" applyBorder="1" applyAlignment="1">
      <alignment horizontal="center" vertical="center"/>
    </xf>
    <xf numFmtId="170" fontId="7" fillId="19" borderId="3" xfId="0" applyNumberFormat="1" applyFont="1" applyFill="1" applyBorder="1" applyAlignment="1">
      <alignment horizontal="center" vertical="center"/>
    </xf>
    <xf numFmtId="170" fontId="35" fillId="19" borderId="4" xfId="0" applyNumberFormat="1" applyFont="1" applyFill="1" applyBorder="1" applyAlignment="1">
      <alignment horizontal="center" vertical="center"/>
    </xf>
    <xf numFmtId="170" fontId="35" fillId="19" borderId="0" xfId="0" applyNumberFormat="1" applyFont="1" applyFill="1" applyAlignment="1">
      <alignment horizontal="center" vertical="center"/>
    </xf>
    <xf numFmtId="170" fontId="35" fillId="2" borderId="4" xfId="0" applyNumberFormat="1" applyFont="1" applyFill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170" fontId="43" fillId="12" borderId="0" xfId="0" applyNumberFormat="1" applyFont="1" applyFill="1" applyAlignment="1">
      <alignment vertical="center"/>
    </xf>
    <xf numFmtId="170" fontId="43" fillId="0" borderId="0" xfId="0" applyNumberFormat="1" applyFont="1" applyAlignment="1">
      <alignment vertical="center"/>
    </xf>
    <xf numFmtId="170" fontId="7" fillId="19" borderId="7" xfId="0" applyNumberFormat="1" applyFont="1" applyFill="1" applyBorder="1" applyAlignment="1">
      <alignment horizontal="center" vertical="center"/>
    </xf>
    <xf numFmtId="170" fontId="35" fillId="19" borderId="7" xfId="0" applyNumberFormat="1" applyFont="1" applyFill="1" applyBorder="1" applyAlignment="1">
      <alignment horizontal="center" vertical="center"/>
    </xf>
    <xf numFmtId="170" fontId="35" fillId="2" borderId="7" xfId="0" applyNumberFormat="1" applyFont="1" applyFill="1" applyBorder="1" applyAlignment="1">
      <alignment horizontal="center" vertical="center"/>
    </xf>
    <xf numFmtId="170" fontId="35" fillId="19" borderId="2" xfId="0" applyNumberFormat="1" applyFont="1" applyFill="1" applyBorder="1" applyAlignment="1">
      <alignment horizontal="center" vertical="center"/>
    </xf>
    <xf numFmtId="170" fontId="7" fillId="19" borderId="2" xfId="0" applyNumberFormat="1" applyFont="1" applyFill="1" applyBorder="1" applyAlignment="1">
      <alignment horizontal="center" vertical="center"/>
    </xf>
    <xf numFmtId="170" fontId="35" fillId="2" borderId="2" xfId="0" applyNumberFormat="1" applyFont="1" applyFill="1" applyBorder="1" applyAlignment="1">
      <alignment horizontal="center" vertical="center"/>
    </xf>
    <xf numFmtId="170" fontId="0" fillId="12" borderId="0" xfId="0" applyNumberFormat="1" applyFill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9" fillId="19" borderId="2" xfId="0" applyNumberFormat="1" applyFont="1" applyFill="1" applyBorder="1" applyAlignment="1">
      <alignment horizontal="center" vertical="center"/>
    </xf>
    <xf numFmtId="170" fontId="9" fillId="2" borderId="2" xfId="0" applyNumberFormat="1" applyFont="1" applyFill="1" applyBorder="1" applyAlignment="1">
      <alignment horizontal="center" vertical="center"/>
    </xf>
    <xf numFmtId="170" fontId="2" fillId="12" borderId="0" xfId="0" applyNumberFormat="1" applyFont="1" applyFill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2" fillId="19" borderId="1" xfId="0" applyNumberFormat="1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left" vertical="center"/>
    </xf>
    <xf numFmtId="0" fontId="26" fillId="15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26" fillId="15" borderId="0" xfId="0" applyFont="1" applyFill="1" applyAlignment="1">
      <alignment horizontal="center" vertical="center"/>
    </xf>
    <xf numFmtId="0" fontId="8" fillId="19" borderId="21" xfId="0" applyFont="1" applyFill="1" applyBorder="1" applyAlignment="1">
      <alignment horizontal="center" vertical="center"/>
    </xf>
    <xf numFmtId="170" fontId="9" fillId="0" borderId="1" xfId="0" applyNumberFormat="1" applyFont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170" fontId="9" fillId="0" borderId="7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170" fontId="49" fillId="19" borderId="0" xfId="0" applyNumberFormat="1" applyFont="1" applyFill="1" applyAlignment="1">
      <alignment horizontal="center" vertical="center"/>
    </xf>
    <xf numFmtId="165" fontId="8" fillId="12" borderId="0" xfId="0" applyNumberFormat="1" applyFont="1" applyFill="1" applyAlignment="1">
      <alignment horizontal="center" vertical="center"/>
    </xf>
    <xf numFmtId="1" fontId="6" fillId="16" borderId="0" xfId="0" applyNumberFormat="1" applyFont="1" applyFill="1" applyAlignment="1">
      <alignment horizontal="center" vertical="center"/>
    </xf>
    <xf numFmtId="165" fontId="8" fillId="16" borderId="15" xfId="0" applyNumberFormat="1" applyFont="1" applyFill="1" applyBorder="1" applyAlignment="1">
      <alignment horizontal="center" vertical="center"/>
    </xf>
    <xf numFmtId="169" fontId="57" fillId="21" borderId="0" xfId="0" applyNumberFormat="1" applyFont="1" applyFill="1" applyAlignment="1">
      <alignment vertical="center" wrapText="1"/>
    </xf>
    <xf numFmtId="14" fontId="57" fillId="21" borderId="0" xfId="0" applyNumberFormat="1" applyFont="1" applyFill="1" applyAlignment="1">
      <alignment vertical="center" wrapText="1"/>
    </xf>
    <xf numFmtId="0" fontId="57" fillId="21" borderId="0" xfId="0" applyFont="1" applyFill="1" applyAlignment="1">
      <alignment vertical="center" wrapText="1"/>
    </xf>
    <xf numFmtId="49" fontId="57" fillId="21" borderId="0" xfId="0" applyNumberFormat="1" applyFont="1" applyFill="1" applyAlignment="1">
      <alignment vertical="center" wrapText="1"/>
    </xf>
    <xf numFmtId="169" fontId="1" fillId="21" borderId="0" xfId="0" applyNumberFormat="1" applyFont="1" applyFill="1" applyAlignment="1">
      <alignment horizontal="center" vertical="center" wrapText="1"/>
    </xf>
    <xf numFmtId="14" fontId="1" fillId="21" borderId="0" xfId="0" applyNumberFormat="1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49" fontId="1" fillId="21" borderId="0" xfId="0" applyNumberFormat="1" applyFont="1" applyFill="1" applyAlignment="1">
      <alignment horizontal="center" vertical="center" wrapText="1"/>
    </xf>
    <xf numFmtId="169" fontId="18" fillId="21" borderId="0" xfId="0" applyNumberFormat="1" applyFont="1" applyFill="1" applyAlignment="1">
      <alignment vertical="center" wrapText="1"/>
    </xf>
    <xf numFmtId="14" fontId="18" fillId="21" borderId="0" xfId="0" applyNumberFormat="1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49" fontId="18" fillId="21" borderId="0" xfId="0" applyNumberFormat="1" applyFont="1" applyFill="1" applyAlignment="1">
      <alignment vertical="center" wrapText="1"/>
    </xf>
    <xf numFmtId="169" fontId="4" fillId="21" borderId="0" xfId="0" applyNumberFormat="1" applyFont="1" applyFill="1" applyAlignment="1">
      <alignment vertical="center" wrapText="1"/>
    </xf>
    <xf numFmtId="14" fontId="4" fillId="21" borderId="0" xfId="0" applyNumberFormat="1" applyFont="1" applyFill="1" applyAlignment="1">
      <alignment vertical="center" wrapText="1"/>
    </xf>
    <xf numFmtId="0" fontId="4" fillId="21" borderId="0" xfId="0" applyFont="1" applyFill="1" applyAlignment="1">
      <alignment vertical="center" wrapText="1"/>
    </xf>
    <xf numFmtId="49" fontId="4" fillId="21" borderId="0" xfId="0" applyNumberFormat="1" applyFont="1" applyFill="1" applyAlignment="1">
      <alignment vertical="center" wrapText="1"/>
    </xf>
    <xf numFmtId="169" fontId="31" fillId="21" borderId="0" xfId="0" applyNumberFormat="1" applyFont="1" applyFill="1" applyAlignment="1">
      <alignment horizontal="center" vertical="center" wrapText="1"/>
    </xf>
    <xf numFmtId="14" fontId="31" fillId="21" borderId="0" xfId="0" applyNumberFormat="1" applyFont="1" applyFill="1" applyAlignment="1">
      <alignment horizontal="center" vertical="center" wrapText="1"/>
    </xf>
    <xf numFmtId="0" fontId="31" fillId="21" borderId="0" xfId="0" applyFont="1" applyFill="1" applyAlignment="1">
      <alignment horizontal="center" vertical="center" wrapText="1"/>
    </xf>
    <xf numFmtId="49" fontId="31" fillId="21" borderId="0" xfId="0" applyNumberFormat="1" applyFont="1" applyFill="1" applyAlignment="1">
      <alignment horizontal="center" vertical="center" wrapText="1"/>
    </xf>
    <xf numFmtId="169" fontId="61" fillId="21" borderId="21" xfId="0" applyNumberFormat="1" applyFont="1" applyFill="1" applyBorder="1" applyAlignment="1">
      <alignment horizontal="center" vertical="top" wrapText="1"/>
    </xf>
    <xf numFmtId="14" fontId="61" fillId="21" borderId="21" xfId="0" applyNumberFormat="1" applyFont="1" applyFill="1" applyBorder="1" applyAlignment="1">
      <alignment horizontal="center" vertical="top" wrapText="1"/>
    </xf>
    <xf numFmtId="168" fontId="61" fillId="21" borderId="21" xfId="0" applyNumberFormat="1" applyFont="1" applyFill="1" applyBorder="1" applyAlignment="1">
      <alignment horizontal="center" vertical="top" wrapText="1"/>
    </xf>
    <xf numFmtId="0" fontId="61" fillId="21" borderId="21" xfId="0" applyFont="1" applyFill="1" applyBorder="1" applyAlignment="1">
      <alignment horizontal="center" vertical="top" wrapText="1"/>
    </xf>
    <xf numFmtId="49" fontId="62" fillId="21" borderId="21" xfId="0" applyNumberFormat="1" applyFont="1" applyFill="1" applyBorder="1" applyAlignment="1">
      <alignment horizontal="center" vertical="top" wrapText="1"/>
    </xf>
    <xf numFmtId="169" fontId="8" fillId="21" borderId="1" xfId="0" applyNumberFormat="1" applyFont="1" applyFill="1" applyBorder="1" applyAlignment="1">
      <alignment horizontal="center" vertical="center"/>
    </xf>
    <xf numFmtId="14" fontId="8" fillId="21" borderId="1" xfId="0" applyNumberFormat="1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169" fontId="8" fillId="21" borderId="1" xfId="0" applyNumberFormat="1" applyFont="1" applyFill="1" applyBorder="1" applyAlignment="1">
      <alignment horizontal="center" vertical="center" wrapText="1"/>
    </xf>
    <xf numFmtId="14" fontId="8" fillId="21" borderId="1" xfId="0" applyNumberFormat="1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169" fontId="8" fillId="21" borderId="0" xfId="0" applyNumberFormat="1" applyFont="1" applyFill="1" applyAlignment="1">
      <alignment horizontal="center" vertical="center" wrapText="1"/>
    </xf>
    <xf numFmtId="14" fontId="8" fillId="21" borderId="0" xfId="0" applyNumberFormat="1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/>
    </xf>
    <xf numFmtId="169" fontId="0" fillId="21" borderId="0" xfId="0" applyNumberFormat="1" applyFill="1" applyAlignment="1">
      <alignment vertical="center" wrapText="1"/>
    </xf>
    <xf numFmtId="14" fontId="0" fillId="21" borderId="0" xfId="0" applyNumberFormat="1" applyFill="1" applyAlignment="1">
      <alignment vertical="center" wrapText="1"/>
    </xf>
    <xf numFmtId="0" fontId="0" fillId="21" borderId="0" xfId="0" applyFill="1" applyAlignment="1">
      <alignment vertical="center" wrapText="1"/>
    </xf>
    <xf numFmtId="49" fontId="0" fillId="21" borderId="0" xfId="0" applyNumberFormat="1" applyFill="1" applyAlignment="1">
      <alignment vertical="center" wrapText="1"/>
    </xf>
    <xf numFmtId="0" fontId="0" fillId="21" borderId="0" xfId="0" applyFill="1" applyAlignment="1">
      <alignment vertical="center"/>
    </xf>
    <xf numFmtId="170" fontId="10" fillId="19" borderId="1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18" borderId="17" xfId="0" applyFont="1" applyFill="1" applyBorder="1" applyAlignment="1">
      <alignment vertical="center"/>
    </xf>
    <xf numFmtId="0" fontId="2" fillId="22" borderId="17" xfId="0" applyFont="1" applyFill="1" applyBorder="1" applyAlignment="1">
      <alignment vertical="center" wrapText="1"/>
    </xf>
    <xf numFmtId="0" fontId="61" fillId="0" borderId="0" xfId="0" applyFont="1" applyAlignment="1">
      <alignment vertical="top" wrapText="1"/>
    </xf>
    <xf numFmtId="0" fontId="2" fillId="18" borderId="19" xfId="0" applyFont="1" applyFill="1" applyBorder="1" applyAlignment="1">
      <alignment vertical="center"/>
    </xf>
    <xf numFmtId="0" fontId="6" fillId="14" borderId="0" xfId="0" applyFont="1" applyFill="1" applyAlignment="1">
      <alignment horizontal="center" vertical="center"/>
    </xf>
    <xf numFmtId="1" fontId="6" fillId="14" borderId="5" xfId="0" applyNumberFormat="1" applyFont="1" applyFill="1" applyBorder="1" applyAlignment="1">
      <alignment horizontal="center" vertical="center"/>
    </xf>
    <xf numFmtId="167" fontId="6" fillId="14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" fontId="6" fillId="14" borderId="6" xfId="0" applyNumberFormat="1" applyFont="1" applyFill="1" applyBorder="1" applyAlignment="1">
      <alignment horizontal="center" vertical="center"/>
    </xf>
    <xf numFmtId="1" fontId="6" fillId="14" borderId="2" xfId="0" applyNumberFormat="1" applyFont="1" applyFill="1" applyBorder="1" applyAlignment="1">
      <alignment horizontal="center" vertical="center"/>
    </xf>
    <xf numFmtId="1" fontId="6" fillId="14" borderId="4" xfId="0" applyNumberFormat="1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167" fontId="8" fillId="14" borderId="25" xfId="0" applyNumberFormat="1" applyFont="1" applyFill="1" applyBorder="1" applyAlignment="1">
      <alignment horizontal="center" vertical="center"/>
    </xf>
    <xf numFmtId="0" fontId="8" fillId="14" borderId="26" xfId="0" applyFont="1" applyFill="1" applyBorder="1" applyAlignment="1">
      <alignment horizontal="center" vertical="center"/>
    </xf>
    <xf numFmtId="0" fontId="8" fillId="14" borderId="27" xfId="0" applyFont="1" applyFill="1" applyBorder="1" applyAlignment="1">
      <alignment horizontal="center" vertical="center"/>
    </xf>
    <xf numFmtId="167" fontId="8" fillId="14" borderId="28" xfId="0" applyNumberFormat="1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167" fontId="6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14" fontId="19" fillId="9" borderId="7" xfId="0" applyNumberFormat="1" applyFont="1" applyFill="1" applyBorder="1" applyAlignment="1">
      <alignment horizontal="center" vertical="center"/>
    </xf>
    <xf numFmtId="167" fontId="19" fillId="9" borderId="1" xfId="0" applyNumberFormat="1" applyFont="1" applyFill="1" applyBorder="1" applyAlignment="1">
      <alignment horizontal="center" vertical="center"/>
    </xf>
    <xf numFmtId="14" fontId="19" fillId="9" borderId="1" xfId="0" applyNumberFormat="1" applyFont="1" applyFill="1" applyBorder="1" applyAlignment="1">
      <alignment horizontal="center" vertical="center"/>
    </xf>
    <xf numFmtId="14" fontId="19" fillId="9" borderId="8" xfId="0" applyNumberFormat="1" applyFont="1" applyFill="1" applyBorder="1" applyAlignment="1">
      <alignment horizontal="center" vertical="center"/>
    </xf>
    <xf numFmtId="14" fontId="19" fillId="13" borderId="7" xfId="0" applyNumberFormat="1" applyFont="1" applyFill="1" applyBorder="1" applyAlignment="1">
      <alignment horizontal="center" vertical="center"/>
    </xf>
    <xf numFmtId="167" fontId="19" fillId="13" borderId="1" xfId="0" applyNumberFormat="1" applyFont="1" applyFill="1" applyBorder="1" applyAlignment="1">
      <alignment horizontal="center" vertical="center"/>
    </xf>
    <xf numFmtId="14" fontId="19" fillId="13" borderId="1" xfId="0" applyNumberFormat="1" applyFont="1" applyFill="1" applyBorder="1" applyAlignment="1">
      <alignment horizontal="center" vertical="center"/>
    </xf>
    <xf numFmtId="14" fontId="19" fillId="13" borderId="4" xfId="0" applyNumberFormat="1" applyFont="1" applyFill="1" applyBorder="1" applyAlignment="1">
      <alignment horizontal="center" vertical="center"/>
    </xf>
    <xf numFmtId="1" fontId="6" fillId="14" borderId="7" xfId="0" applyNumberFormat="1" applyFont="1" applyFill="1" applyBorder="1" applyAlignment="1">
      <alignment horizontal="center" vertical="center"/>
    </xf>
    <xf numFmtId="1" fontId="6" fillId="14" borderId="1" xfId="0" applyNumberFormat="1" applyFont="1" applyFill="1" applyBorder="1" applyAlignment="1">
      <alignment horizontal="center" vertical="center"/>
    </xf>
    <xf numFmtId="1" fontId="6" fillId="14" borderId="8" xfId="0" applyNumberFormat="1" applyFont="1" applyFill="1" applyBorder="1" applyAlignment="1">
      <alignment horizontal="center" vertical="center"/>
    </xf>
    <xf numFmtId="14" fontId="19" fillId="13" borderId="8" xfId="0" applyNumberFormat="1" applyFont="1" applyFill="1" applyBorder="1" applyAlignment="1">
      <alignment horizontal="center" vertical="center"/>
    </xf>
    <xf numFmtId="14" fontId="19" fillId="13" borderId="2" xfId="0" applyNumberFormat="1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167" fontId="47" fillId="13" borderId="2" xfId="0" applyNumberFormat="1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left" vertical="center"/>
    </xf>
    <xf numFmtId="0" fontId="30" fillId="15" borderId="3" xfId="0" applyFont="1" applyFill="1" applyBorder="1" applyAlignment="1">
      <alignment horizontal="center" vertical="center"/>
    </xf>
    <xf numFmtId="0" fontId="30" fillId="15" borderId="3" xfId="0" applyFont="1" applyFill="1" applyBorder="1" applyAlignment="1">
      <alignment horizontal="center" vertical="center" wrapText="1"/>
    </xf>
    <xf numFmtId="0" fontId="30" fillId="15" borderId="6" xfId="0" applyFont="1" applyFill="1" applyBorder="1" applyAlignment="1">
      <alignment horizontal="center" vertical="center"/>
    </xf>
    <xf numFmtId="0" fontId="19" fillId="17" borderId="11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center" vertical="center"/>
    </xf>
    <xf numFmtId="0" fontId="19" fillId="17" borderId="3" xfId="0" applyFont="1" applyFill="1" applyBorder="1" applyAlignment="1">
      <alignment horizontal="left" vertical="center"/>
    </xf>
    <xf numFmtId="0" fontId="19" fillId="17" borderId="3" xfId="0" applyFont="1" applyFill="1" applyBorder="1" applyAlignment="1">
      <alignment horizontal="center" vertical="center" wrapText="1"/>
    </xf>
    <xf numFmtId="0" fontId="19" fillId="17" borderId="6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30" fillId="15" borderId="7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30" fillId="15" borderId="8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right" vertical="center"/>
    </xf>
    <xf numFmtId="0" fontId="20" fillId="13" borderId="3" xfId="0" applyFont="1" applyFill="1" applyBorder="1" applyAlignment="1">
      <alignment horizontal="right" vertical="center"/>
    </xf>
    <xf numFmtId="0" fontId="6" fillId="14" borderId="29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center" vertical="center"/>
    </xf>
    <xf numFmtId="0" fontId="6" fillId="14" borderId="24" xfId="0" applyFont="1" applyFill="1" applyBorder="1" applyAlignment="1">
      <alignment horizontal="left" vertical="center"/>
    </xf>
    <xf numFmtId="0" fontId="6" fillId="14" borderId="24" xfId="0" applyFont="1" applyFill="1" applyBorder="1" applyAlignment="1">
      <alignment horizontal="center" vertical="center" wrapText="1"/>
    </xf>
    <xf numFmtId="0" fontId="6" fillId="14" borderId="16" xfId="0" applyFont="1" applyFill="1" applyBorder="1" applyAlignment="1">
      <alignment horizontal="center" vertical="center"/>
    </xf>
    <xf numFmtId="0" fontId="6" fillId="14" borderId="30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center" vertical="center"/>
    </xf>
    <xf numFmtId="0" fontId="6" fillId="14" borderId="27" xfId="0" applyFont="1" applyFill="1" applyBorder="1" applyAlignment="1">
      <alignment horizontal="left" vertical="center"/>
    </xf>
    <xf numFmtId="0" fontId="6" fillId="14" borderId="27" xfId="0" applyFont="1" applyFill="1" applyBorder="1" applyAlignment="1">
      <alignment horizontal="center" vertical="center" wrapText="1"/>
    </xf>
    <xf numFmtId="0" fontId="6" fillId="14" borderId="18" xfId="0" applyFont="1" applyFill="1" applyBorder="1" applyAlignment="1">
      <alignment horizontal="center" vertical="center"/>
    </xf>
    <xf numFmtId="14" fontId="19" fillId="13" borderId="5" xfId="0" applyNumberFormat="1" applyFont="1" applyFill="1" applyBorder="1" applyAlignment="1">
      <alignment horizontal="center" vertical="center"/>
    </xf>
    <xf numFmtId="167" fontId="42" fillId="13" borderId="3" xfId="0" applyNumberFormat="1" applyFont="1" applyFill="1" applyBorder="1" applyAlignment="1">
      <alignment horizontal="center" vertical="center"/>
    </xf>
    <xf numFmtId="14" fontId="19" fillId="13" borderId="3" xfId="0" applyNumberFormat="1" applyFont="1" applyFill="1" applyBorder="1" applyAlignment="1">
      <alignment horizontal="center" vertical="center"/>
    </xf>
    <xf numFmtId="14" fontId="19" fillId="13" borderId="6" xfId="0" applyNumberFormat="1" applyFont="1" applyFill="1" applyBorder="1" applyAlignment="1">
      <alignment horizontal="center" vertical="center"/>
    </xf>
    <xf numFmtId="167" fontId="36" fillId="14" borderId="3" xfId="0" applyNumberFormat="1" applyFont="1" applyFill="1" applyBorder="1" applyAlignment="1">
      <alignment horizontal="center" vertical="center"/>
    </xf>
    <xf numFmtId="167" fontId="46" fillId="14" borderId="3" xfId="0" applyNumberFormat="1" applyFont="1" applyFill="1" applyBorder="1" applyAlignment="1">
      <alignment horizontal="center" vertical="center"/>
    </xf>
    <xf numFmtId="14" fontId="19" fillId="9" borderId="2" xfId="0" applyNumberFormat="1" applyFont="1" applyFill="1" applyBorder="1" applyAlignment="1">
      <alignment horizontal="center" vertical="center"/>
    </xf>
    <xf numFmtId="14" fontId="19" fillId="9" borderId="4" xfId="0" applyNumberFormat="1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34" fillId="6" borderId="7" xfId="0" applyFont="1" applyFill="1" applyBorder="1" applyAlignment="1">
      <alignment horizontal="center" vertical="center" wrapText="1"/>
    </xf>
    <xf numFmtId="167" fontId="34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4" fillId="6" borderId="8" xfId="0" applyFont="1" applyFill="1" applyBorder="1" applyAlignment="1">
      <alignment horizontal="center" vertical="center" wrapText="1"/>
    </xf>
    <xf numFmtId="0" fontId="34" fillId="8" borderId="7" xfId="0" applyFont="1" applyFill="1" applyBorder="1" applyAlignment="1">
      <alignment horizontal="center" vertical="center" wrapText="1"/>
    </xf>
    <xf numFmtId="167" fontId="34" fillId="8" borderId="1" xfId="0" applyNumberFormat="1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4" fillId="8" borderId="8" xfId="0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0" fontId="34" fillId="6" borderId="4" xfId="0" applyFont="1" applyFill="1" applyBorder="1" applyAlignment="1">
      <alignment horizontal="center" vertical="center" wrapText="1"/>
    </xf>
    <xf numFmtId="0" fontId="34" fillId="8" borderId="5" xfId="0" applyFont="1" applyFill="1" applyBorder="1" applyAlignment="1">
      <alignment horizontal="center" vertical="center" wrapText="1"/>
    </xf>
    <xf numFmtId="167" fontId="34" fillId="8" borderId="3" xfId="0" applyNumberFormat="1" applyFont="1" applyFill="1" applyBorder="1" applyAlignment="1">
      <alignment horizontal="center" vertical="center" wrapText="1"/>
    </xf>
    <xf numFmtId="0" fontId="34" fillId="8" borderId="3" xfId="0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 vertical="center" wrapText="1"/>
    </xf>
    <xf numFmtId="14" fontId="19" fillId="13" borderId="14" xfId="0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167" fontId="40" fillId="15" borderId="3" xfId="0" applyNumberFormat="1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center" vertical="center" wrapText="1"/>
    </xf>
    <xf numFmtId="167" fontId="44" fillId="15" borderId="3" xfId="0" applyNumberFormat="1" applyFont="1" applyFill="1" applyBorder="1" applyAlignment="1">
      <alignment horizontal="center" vertical="center" wrapText="1"/>
    </xf>
    <xf numFmtId="0" fontId="37" fillId="8" borderId="4" xfId="0" applyFont="1" applyFill="1" applyBorder="1" applyAlignment="1">
      <alignment horizontal="center" vertical="center" wrapText="1"/>
    </xf>
    <xf numFmtId="0" fontId="37" fillId="8" borderId="3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 wrapText="1"/>
    </xf>
    <xf numFmtId="167" fontId="45" fillId="8" borderId="3" xfId="0" applyNumberFormat="1" applyFont="1" applyFill="1" applyBorder="1" applyAlignment="1">
      <alignment horizontal="center" vertical="center" wrapText="1"/>
    </xf>
    <xf numFmtId="0" fontId="34" fillId="6" borderId="5" xfId="0" applyFont="1" applyFill="1" applyBorder="1" applyAlignment="1">
      <alignment horizontal="center" vertical="center" wrapText="1"/>
    </xf>
    <xf numFmtId="167" fontId="41" fillId="6" borderId="3" xfId="0" applyNumberFormat="1" applyFont="1" applyFill="1" applyBorder="1" applyAlignment="1">
      <alignment horizontal="center" vertical="center" wrapText="1"/>
    </xf>
    <xf numFmtId="0" fontId="34" fillId="6" borderId="3" xfId="0" applyFont="1" applyFill="1" applyBorder="1" applyAlignment="1">
      <alignment horizontal="center" vertical="center" wrapText="1"/>
    </xf>
    <xf numFmtId="0" fontId="34" fillId="6" borderId="6" xfId="0" applyFont="1" applyFill="1" applyBorder="1" applyAlignment="1">
      <alignment horizontal="center" vertical="center" wrapText="1"/>
    </xf>
    <xf numFmtId="14" fontId="42" fillId="13" borderId="3" xfId="0" applyNumberFormat="1" applyFont="1" applyFill="1" applyBorder="1" applyAlignment="1">
      <alignment horizontal="center" vertical="center"/>
    </xf>
    <xf numFmtId="14" fontId="47" fillId="13" borderId="2" xfId="0" applyNumberFormat="1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8" fillId="14" borderId="28" xfId="0" applyFont="1" applyFill="1" applyBorder="1" applyAlignment="1">
      <alignment horizontal="center" vertical="center"/>
    </xf>
    <xf numFmtId="1" fontId="36" fillId="14" borderId="3" xfId="0" applyNumberFormat="1" applyFont="1" applyFill="1" applyBorder="1" applyAlignment="1">
      <alignment horizontal="center" vertical="center"/>
    </xf>
    <xf numFmtId="1" fontId="46" fillId="14" borderId="3" xfId="0" applyNumberFormat="1" applyFont="1" applyFill="1" applyBorder="1" applyAlignment="1">
      <alignment horizontal="center" vertical="center"/>
    </xf>
    <xf numFmtId="0" fontId="30" fillId="15" borderId="4" xfId="0" applyFont="1" applyFill="1" applyBorder="1" applyAlignment="1">
      <alignment horizontal="center" vertical="center"/>
    </xf>
    <xf numFmtId="0" fontId="40" fillId="15" borderId="3" xfId="0" applyFont="1" applyFill="1" applyBorder="1" applyAlignment="1">
      <alignment horizontal="center" vertical="center" wrapText="1"/>
    </xf>
    <xf numFmtId="0" fontId="44" fillId="15" borderId="3" xfId="0" applyFont="1" applyFill="1" applyBorder="1" applyAlignment="1">
      <alignment horizontal="center" vertical="center" wrapText="1"/>
    </xf>
    <xf numFmtId="0" fontId="41" fillId="6" borderId="3" xfId="0" applyFont="1" applyFill="1" applyBorder="1" applyAlignment="1">
      <alignment horizontal="center" vertical="center" wrapText="1"/>
    </xf>
    <xf numFmtId="0" fontId="45" fillId="8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5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  <dxf>
      <font>
        <color theme="0"/>
      </font>
      <fill>
        <patternFill patternType="solid">
          <bgColor theme="8"/>
        </patternFill>
      </fill>
    </dxf>
    <dxf>
      <font>
        <color theme="0"/>
      </font>
      <fill>
        <patternFill patternType="solid"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D0D9"/>
      <color rgb="FFF0B6EA"/>
      <color rgb="FFFB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581025</xdr:colOff>
      <xdr:row>2</xdr:row>
      <xdr:rowOff>95250</xdr:rowOff>
    </xdr:from>
    <xdr:to>
      <xdr:col>20</xdr:col>
      <xdr:colOff>971550</xdr:colOff>
      <xdr:row>3</xdr:row>
      <xdr:rowOff>114300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466AD84F-E50B-4E09-BBD7-89877C1CFA98}"/>
            </a:ext>
          </a:extLst>
        </xdr:cNvPr>
        <xdr:cNvSpPr/>
      </xdr:nvSpPr>
      <xdr:spPr>
        <a:xfrm>
          <a:off x="17383125" y="666750"/>
          <a:ext cx="39052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292100</xdr:colOff>
      <xdr:row>4</xdr:row>
      <xdr:rowOff>38100</xdr:rowOff>
    </xdr:from>
    <xdr:to>
      <xdr:col>12</xdr:col>
      <xdr:colOff>711200</xdr:colOff>
      <xdr:row>4</xdr:row>
      <xdr:rowOff>225425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795FD9A7-EFE5-46F3-BA22-F4C9A0FDB400}"/>
            </a:ext>
            <a:ext uri="{147F2762-F138-4A5C-976F-8EAC2B608ADB}">
              <a16:predDERef xmlns:a16="http://schemas.microsoft.com/office/drawing/2014/main" pred="{466AD84F-E50B-4E09-BBD7-89877C1CFA98}"/>
            </a:ext>
          </a:extLst>
        </xdr:cNvPr>
        <xdr:cNvSpPr/>
      </xdr:nvSpPr>
      <xdr:spPr>
        <a:xfrm>
          <a:off x="9988550" y="990600"/>
          <a:ext cx="419100" cy="1492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581025</xdr:colOff>
      <xdr:row>3</xdr:row>
      <xdr:rowOff>95250</xdr:rowOff>
    </xdr:from>
    <xdr:to>
      <xdr:col>21</xdr:col>
      <xdr:colOff>971550</xdr:colOff>
      <xdr:row>4</xdr:row>
      <xdr:rowOff>114300</xdr:rowOff>
    </xdr:to>
    <xdr:sp macro="" textlink="">
      <xdr:nvSpPr>
        <xdr:cNvPr id="7" name="Seta: para a Direita 1">
          <a:extLst>
            <a:ext uri="{FF2B5EF4-FFF2-40B4-BE49-F238E27FC236}">
              <a16:creationId xmlns:a16="http://schemas.microsoft.com/office/drawing/2014/main" id="{9706F493-B141-4127-B5F0-E98583D5C2B1}"/>
            </a:ext>
          </a:extLst>
        </xdr:cNvPr>
        <xdr:cNvSpPr/>
      </xdr:nvSpPr>
      <xdr:spPr>
        <a:xfrm>
          <a:off x="16773525" y="666750"/>
          <a:ext cx="390525" cy="2095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292100</xdr:colOff>
      <xdr:row>5</xdr:row>
      <xdr:rowOff>38100</xdr:rowOff>
    </xdr:from>
    <xdr:to>
      <xdr:col>13</xdr:col>
      <xdr:colOff>711200</xdr:colOff>
      <xdr:row>5</xdr:row>
      <xdr:rowOff>225425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493B1EDD-841E-4B39-B337-A27A25FF079E}"/>
            </a:ext>
          </a:extLst>
        </xdr:cNvPr>
        <xdr:cNvSpPr/>
      </xdr:nvSpPr>
      <xdr:spPr>
        <a:xfrm>
          <a:off x="4359275" y="962025"/>
          <a:ext cx="419100" cy="18732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letraenergy365.sharepoint.com/sites/comex/Shared%20Documents/General/COMEX%20-%20Follow%20Up%20IMPO%20&amp;%20EXPO/Follow%20Up%20Geral.xlsx" TargetMode="External"/><Relationship Id="rId1" Type="http://schemas.openxmlformats.org/officeDocument/2006/relationships/externalLinkPath" Target="Follow%20Up%20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dExS9wk4NkOwbEjV-0Y4PhN-4bWDilZAhU10Tmdq72k_JSC8Mo1NS6lpM731TFvC" itemId="01BTO7HJZPTMENS6T5NNBIWH4MAEYVV4SO">
      <xxl21:absoluteUrl r:id="rId2"/>
    </xxl21:alternateUrls>
    <sheetNames>
      <sheetName val="Status"/>
      <sheetName val="Status details"/>
      <sheetName val="Import Eletra"/>
      <sheetName val="Historical Finance"/>
      <sheetName val="BC"/>
      <sheetName val="Dashboard"/>
      <sheetName val="Financial"/>
      <sheetName val="Dashboard Customs Clearance"/>
      <sheetName val="BD"/>
      <sheetName val="Export.26"/>
      <sheetName val="Import Livoltek"/>
      <sheetName val="Demurrage"/>
      <sheetName val="Export.25"/>
      <sheetName val="Forecast"/>
      <sheetName val="Planilha1"/>
      <sheetName val="Status details - Export"/>
    </sheetNames>
    <sheetDataSet>
      <sheetData sheetId="0"/>
      <sheetData sheetId="1"/>
      <sheetData sheetId="2">
        <row r="1">
          <cell r="A1" t="str">
            <v>ok</v>
          </cell>
          <cell r="B1" t="str">
            <v>ok</v>
          </cell>
          <cell r="E1" t="str">
            <v>ok</v>
          </cell>
          <cell r="F1" t="str">
            <v>ok</v>
          </cell>
          <cell r="G1" t="str">
            <v>ok</v>
          </cell>
          <cell r="J1" t="str">
            <v>ok</v>
          </cell>
          <cell r="L1" t="str">
            <v>ok</v>
          </cell>
          <cell r="O1"/>
          <cell r="P1" t="str">
            <v>ok</v>
          </cell>
          <cell r="R1" t="str">
            <v>ok</v>
          </cell>
          <cell r="T1" t="str">
            <v>ok</v>
          </cell>
          <cell r="U1" t="str">
            <v>ok</v>
          </cell>
          <cell r="AC1"/>
          <cell r="AD1"/>
          <cell r="AE1"/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/>
          <cell r="AY1"/>
          <cell r="AZ1"/>
          <cell r="BA1"/>
          <cell r="BB1"/>
          <cell r="BC1"/>
          <cell r="BD1"/>
          <cell r="BE1"/>
          <cell r="BF1"/>
          <cell r="BG1"/>
          <cell r="BH1"/>
          <cell r="BQ1"/>
          <cell r="BR1"/>
          <cell r="BS1"/>
          <cell r="BT1"/>
          <cell r="BU1"/>
          <cell r="BV1"/>
          <cell r="CD1"/>
          <cell r="CE1"/>
          <cell r="CI1"/>
          <cell r="DW1"/>
        </row>
        <row r="2">
          <cell r="B2"/>
          <cell r="E2"/>
          <cell r="F2"/>
          <cell r="G2"/>
          <cell r="J2"/>
          <cell r="L2"/>
          <cell r="O2"/>
          <cell r="P2"/>
          <cell r="R2"/>
          <cell r="T2"/>
          <cell r="U2"/>
          <cell r="AC2"/>
          <cell r="AD2"/>
          <cell r="AE2"/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/>
          <cell r="AY2"/>
          <cell r="AZ2"/>
          <cell r="BA2"/>
          <cell r="BB2"/>
          <cell r="BC2"/>
          <cell r="BD2"/>
          <cell r="BE2"/>
          <cell r="BF2"/>
          <cell r="BG2"/>
          <cell r="BH2"/>
          <cell r="BQ2"/>
          <cell r="BR2"/>
          <cell r="BS2"/>
          <cell r="BT2"/>
          <cell r="BU2"/>
          <cell r="BV2"/>
          <cell r="CD2"/>
          <cell r="CE2"/>
          <cell r="CI2"/>
          <cell r="DW2"/>
        </row>
        <row r="3">
          <cell r="B3"/>
          <cell r="E3"/>
          <cell r="F3"/>
          <cell r="G3"/>
          <cell r="J3"/>
          <cell r="L3"/>
          <cell r="O3"/>
          <cell r="P3"/>
          <cell r="R3"/>
          <cell r="T3"/>
          <cell r="U3"/>
          <cell r="AC3"/>
          <cell r="AD3"/>
          <cell r="AE3"/>
          <cell r="AJ3"/>
          <cell r="AK3"/>
          <cell r="AL3"/>
          <cell r="AM3"/>
          <cell r="AN3"/>
          <cell r="AO3"/>
          <cell r="AP3"/>
          <cell r="AQ3"/>
          <cell r="AR3"/>
          <cell r="AS3"/>
          <cell r="AT3"/>
          <cell r="AU3"/>
          <cell r="AV3"/>
          <cell r="AW3"/>
          <cell r="AX3"/>
          <cell r="AY3"/>
          <cell r="AZ3"/>
          <cell r="BA3"/>
          <cell r="BB3"/>
          <cell r="BC3"/>
          <cell r="BD3"/>
          <cell r="BE3"/>
          <cell r="BF3"/>
          <cell r="BG3"/>
          <cell r="BH3"/>
          <cell r="BQ3"/>
          <cell r="BR3"/>
          <cell r="BS3"/>
          <cell r="BT3"/>
          <cell r="BU3"/>
          <cell r="BV3"/>
          <cell r="CD3"/>
          <cell r="CE3"/>
          <cell r="CI3"/>
          <cell r="DW3"/>
        </row>
        <row r="4">
          <cell r="A4"/>
          <cell r="B4" t="str">
            <v>Import followup</v>
          </cell>
          <cell r="E4"/>
          <cell r="F4"/>
          <cell r="G4"/>
          <cell r="J4"/>
          <cell r="L4"/>
          <cell r="O4"/>
          <cell r="P4"/>
          <cell r="R4"/>
          <cell r="T4"/>
          <cell r="U4">
            <v>391.29</v>
          </cell>
          <cell r="AC4"/>
          <cell r="AD4"/>
          <cell r="AE4"/>
          <cell r="AJ4">
            <v>196972682.74329999</v>
          </cell>
          <cell r="AK4"/>
          <cell r="AL4"/>
          <cell r="AM4"/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Q4">
            <v>2206985.0783332698</v>
          </cell>
          <cell r="BR4"/>
          <cell r="BS4">
            <v>2353116.28466667</v>
          </cell>
          <cell r="BT4"/>
          <cell r="BU4">
            <v>13693.19</v>
          </cell>
          <cell r="BV4"/>
          <cell r="CD4"/>
          <cell r="CE4"/>
          <cell r="CI4"/>
          <cell r="DX4"/>
        </row>
        <row r="5">
          <cell r="A5"/>
          <cell r="B5" t="str">
            <v>1</v>
          </cell>
          <cell r="E5" t="str">
            <v>4</v>
          </cell>
          <cell r="F5" t="str">
            <v>5</v>
          </cell>
          <cell r="G5" t="str">
            <v>6</v>
          </cell>
          <cell r="J5" t="str">
            <v>9</v>
          </cell>
          <cell r="L5" t="str">
            <v>11</v>
          </cell>
          <cell r="O5" t="str">
            <v>14</v>
          </cell>
          <cell r="P5" t="str">
            <v>15</v>
          </cell>
          <cell r="R5" t="str">
            <v>17</v>
          </cell>
          <cell r="T5" t="str">
            <v>19</v>
          </cell>
          <cell r="U5" t="str">
            <v>20</v>
          </cell>
          <cell r="AC5" t="str">
            <v>27</v>
          </cell>
          <cell r="AD5" t="str">
            <v>28</v>
          </cell>
          <cell r="AE5" t="str">
            <v>29</v>
          </cell>
          <cell r="AJ5" t="str">
            <v>34</v>
          </cell>
          <cell r="AK5" t="str">
            <v>36</v>
          </cell>
          <cell r="AL5" t="str">
            <v>37</v>
          </cell>
          <cell r="AM5" t="str">
            <v>38</v>
          </cell>
          <cell r="AN5" t="str">
            <v>39</v>
          </cell>
          <cell r="AO5" t="str">
            <v>40</v>
          </cell>
          <cell r="AP5" t="str">
            <v>41</v>
          </cell>
          <cell r="AQ5" t="str">
            <v>42</v>
          </cell>
          <cell r="AR5" t="str">
            <v>35</v>
          </cell>
          <cell r="AS5" t="str">
            <v>43</v>
          </cell>
          <cell r="AT5" t="str">
            <v>44</v>
          </cell>
          <cell r="AU5" t="str">
            <v>45</v>
          </cell>
          <cell r="AV5" t="str">
            <v>46</v>
          </cell>
          <cell r="AW5" t="str">
            <v>47</v>
          </cell>
          <cell r="AX5" t="str">
            <v>48</v>
          </cell>
          <cell r="AY5" t="str">
            <v>49</v>
          </cell>
          <cell r="AZ5" t="str">
            <v>50</v>
          </cell>
          <cell r="BA5" t="str">
            <v>51</v>
          </cell>
          <cell r="BB5" t="str">
            <v>52</v>
          </cell>
          <cell r="BC5" t="str">
            <v>53</v>
          </cell>
          <cell r="BD5" t="str">
            <v>54</v>
          </cell>
          <cell r="BE5" t="str">
            <v>55</v>
          </cell>
          <cell r="BF5" t="str">
            <v>56</v>
          </cell>
          <cell r="BG5" t="str">
            <v>57</v>
          </cell>
          <cell r="BH5" t="str">
            <v>58</v>
          </cell>
          <cell r="BQ5" t="str">
            <v>67</v>
          </cell>
          <cell r="BR5" t="str">
            <v>68</v>
          </cell>
          <cell r="BS5" t="str">
            <v>69</v>
          </cell>
          <cell r="BT5" t="str">
            <v>70</v>
          </cell>
          <cell r="BU5" t="str">
            <v>71</v>
          </cell>
          <cell r="BV5" t="str">
            <v>72</v>
          </cell>
          <cell r="CD5" t="str">
            <v>80</v>
          </cell>
          <cell r="CE5" t="str">
            <v>81</v>
          </cell>
          <cell r="CI5" t="str">
            <v>85</v>
          </cell>
          <cell r="DX5"/>
        </row>
        <row r="6">
          <cell r="A6"/>
          <cell r="B6" t="str">
            <v>Shipment details</v>
          </cell>
          <cell r="E6"/>
          <cell r="F6"/>
          <cell r="G6"/>
          <cell r="J6"/>
          <cell r="L6"/>
          <cell r="O6"/>
          <cell r="P6"/>
          <cell r="R6" t="str">
            <v>Cargo details</v>
          </cell>
          <cell r="T6"/>
          <cell r="U6"/>
          <cell r="AC6"/>
          <cell r="AD6" t="str">
            <v>Customs Clearance</v>
          </cell>
          <cell r="AE6"/>
          <cell r="AJ6"/>
          <cell r="AK6"/>
          <cell r="AL6"/>
          <cell r="AM6" t="str">
            <v>Despachante</v>
          </cell>
          <cell r="AN6"/>
          <cell r="AO6" t="str">
            <v>FISCAL</v>
          </cell>
          <cell r="AP6"/>
          <cell r="AQ6" t="str">
            <v>MS. FIONA/FINANCEIRO</v>
          </cell>
          <cell r="AR6"/>
          <cell r="AS6"/>
          <cell r="AT6"/>
          <cell r="AU6" t="str">
            <v>FISCAL</v>
          </cell>
          <cell r="AV6" t="str">
            <v>Despachante</v>
          </cell>
          <cell r="AW6"/>
          <cell r="AX6"/>
          <cell r="AY6"/>
          <cell r="AZ6" t="str">
            <v>FISCAL</v>
          </cell>
          <cell r="BA6" t="str">
            <v>Despachante</v>
          </cell>
          <cell r="BB6"/>
          <cell r="BC6" t="str">
            <v>FISCAL</v>
          </cell>
          <cell r="BD6"/>
          <cell r="BE6" t="str">
            <v>FISCAL</v>
          </cell>
          <cell r="BF6"/>
          <cell r="BG6" t="str">
            <v>Despachante</v>
          </cell>
          <cell r="BH6"/>
          <cell r="BQ6" t="str">
            <v>Shipment extra expenses</v>
          </cell>
          <cell r="BR6"/>
          <cell r="BS6"/>
          <cell r="BT6"/>
          <cell r="BU6"/>
          <cell r="BV6"/>
          <cell r="CD6"/>
          <cell r="CE6"/>
          <cell r="CI6"/>
          <cell r="DW6"/>
          <cell r="DX6"/>
        </row>
        <row r="7">
          <cell r="A7"/>
          <cell r="B7" t="str">
            <v>导入过程</v>
          </cell>
          <cell r="E7"/>
          <cell r="F7" t="str">
            <v>状态 当前操作</v>
          </cell>
          <cell r="G7" t="str">
            <v>模态</v>
          </cell>
          <cell r="J7" t="str">
            <v>当前从中国港口出发的日期。</v>
          </cell>
          <cell r="L7" t="str">
            <v>抵达巴西港口的时间</v>
          </cell>
          <cell r="O7" t="str">
            <v>ETE 最终目的地（工厂）- 真实</v>
          </cell>
          <cell r="P7"/>
          <cell r="R7"/>
          <cell r="T7"/>
          <cell r="U7" t="str">
            <v>容器数量</v>
          </cell>
          <cell r="AC7"/>
          <cell r="AD7" t="str">
            <v>DUIMP登记</v>
          </cell>
          <cell r="AE7" t="str">
            <v>DUIMP海关清关</v>
          </cell>
          <cell r="AJ7"/>
          <cell r="AK7" t="str">
            <v>系统上签发装运单（TXT）</v>
          </cell>
          <cell r="AL7" t="str">
            <v>向经纪人索取成本估算</v>
          </cell>
          <cell r="AM7" t="str">
            <v>收到费用估算</v>
          </cell>
          <cell r="AN7" t="str">
            <v>向税务团队申请预注册</v>
          </cell>
          <cell r="AO7" t="str">
            <v>收到预登记</v>
          </cell>
          <cell r="AP7" t="str">
            <v>提交资源申请（Fiona审批）</v>
          </cell>
          <cell r="AQ7" t="str">
            <v>确认 DUIMP 注册所需资源</v>
          </cell>
          <cell r="AR7" t="str">
            <v>货物抵达港口日期</v>
          </cell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Q7"/>
          <cell r="BR7"/>
          <cell r="BS7"/>
          <cell r="BT7"/>
          <cell r="BU7"/>
          <cell r="BV7"/>
          <cell r="CD7"/>
          <cell r="CE7"/>
          <cell r="CI7"/>
          <cell r="DW7"/>
          <cell r="DX7"/>
        </row>
        <row r="8">
          <cell r="A8" t="str">
            <v>Month production at Eletra</v>
          </cell>
          <cell r="B8" t="str">
            <v>Import Process</v>
          </cell>
          <cell r="E8" t="str">
            <v>Process Analyst</v>
          </cell>
          <cell r="F8" t="str">
            <v>Status</v>
          </cell>
          <cell r="G8" t="str">
            <v xml:space="preserve">Modal </v>
          </cell>
          <cell r="J8" t="str">
            <v>ETD</v>
          </cell>
          <cell r="L8" t="str">
            <v>ETA</v>
          </cell>
          <cell r="O8" t="str">
            <v>ETE Final destination (Plant)</v>
          </cell>
          <cell r="P8" t="str">
            <v>HBL/HAWB</v>
          </cell>
          <cell r="R8" t="str">
            <v>Invoice</v>
          </cell>
          <cell r="T8" t="str">
            <v>Containers</v>
          </cell>
          <cell r="U8" t="str">
            <v>Qnty container</v>
          </cell>
          <cell r="AC8" t="str">
            <v>Effective unstuffing date</v>
          </cell>
          <cell r="AD8" t="str">
            <v>DI/DUIMP Registration date</v>
          </cell>
          <cell r="AE8" t="str">
            <v>DI Clearance date</v>
          </cell>
          <cell r="AJ8" t="str">
            <v>Total taxes paid</v>
          </cell>
          <cell r="AK8" t="str">
            <v>EIC: Emissão Embarque, Invoice e TXT</v>
          </cell>
          <cell r="AL8" t="str">
            <v>Solicit Numerario</v>
          </cell>
          <cell r="AM8" t="str">
            <v>Receb Numerario</v>
          </cell>
          <cell r="AN8" t="str">
            <v xml:space="preserve">Solicit PRE Registro </v>
          </cell>
          <cell r="AO8" t="str">
            <v>Receb PRE Registro</v>
          </cell>
          <cell r="AP8" t="str">
            <v>Solicitação RECURSOS Diretoria (Aprovação Ms. Fiona)</v>
          </cell>
          <cell r="AQ8" t="str">
            <v>Aprovação Fiona/Confirmação Recursos para Registro DI/Entrega Docs Financeiro</v>
          </cell>
          <cell r="AR8" t="str">
            <v>Cargo Presence</v>
          </cell>
          <cell r="AS8" t="str">
            <v>Autorização Registro</v>
          </cell>
          <cell r="AT8" t="str">
            <v xml:space="preserve">Solicit POS Registro </v>
          </cell>
          <cell r="AU8" t="str">
            <v>Receb POS Registro</v>
          </cell>
          <cell r="AV8" t="str">
            <v>Recebimento ICMS DAE
 (Qdo necessário)</v>
          </cell>
          <cell r="AW8" t="str">
            <v>Data PG 
ICMS DAE
 (Qdo necessário)</v>
          </cell>
          <cell r="AX8" t="str">
            <v>Envio Comprovante ICMS (Qdo necessário)</v>
          </cell>
          <cell r="AY8" t="str">
            <v>Solicit DECLARAÇÃO ICMS (Qdo necessário)</v>
          </cell>
          <cell r="AZ8" t="str">
            <v>Recebimento DECLARAÇÃO ICMS (Qdo necessário)</v>
          </cell>
          <cell r="BA8" t="str">
            <v>Recebimento GLME (Qdo necessário)</v>
          </cell>
          <cell r="BB8" t="str">
            <v>Solicit POS CESUT (Qdo necessário)</v>
          </cell>
          <cell r="BC8" t="str">
            <v>RECEBIMENTO POS CESUT (Qdo necessário)</v>
          </cell>
          <cell r="BD8" t="str">
            <v>Solicitação NOTA FISCAL</v>
          </cell>
          <cell r="BE8" t="str">
            <v>Recebimento NOTA FISCAL</v>
          </cell>
          <cell r="BF8" t="str">
            <v>Envio NOTA FISCAL para DESPACHANTE</v>
          </cell>
          <cell r="BG8" t="str">
            <v>Homologação/Averbação NOTA FISCAL</v>
          </cell>
          <cell r="BH8" t="str">
            <v>Programação TRANSPORTE</v>
          </cell>
          <cell r="BQ8" t="str">
            <v>Storage/Unstuffing</v>
          </cell>
          <cell r="BR8" t="str">
            <v>Date Payment Storage</v>
          </cell>
          <cell r="BS8" t="str">
            <v>Demurrage</v>
          </cell>
          <cell r="BT8" t="str">
            <v>Date Payment Demurrage</v>
          </cell>
          <cell r="BU8" t="str">
            <v>Penalties</v>
          </cell>
          <cell r="BV8" t="str">
            <v>Date Payment Penalties</v>
          </cell>
          <cell r="CD8" t="str">
            <v>Container Devolution</v>
          </cell>
          <cell r="CE8" t="str">
            <v>Demurrage</v>
          </cell>
          <cell r="CI8" t="str">
            <v>Due date free time</v>
          </cell>
          <cell r="DW8" t="str">
            <v>LEAD TIME DELAY REASONS</v>
          </cell>
          <cell r="DX8" t="str">
            <v>DEADLINE 
Departure from China (1st PO sent + 30d)</v>
          </cell>
        </row>
        <row r="9">
          <cell r="A9"/>
          <cell r="B9" t="str">
            <v>056A/2024</v>
          </cell>
          <cell r="E9" t="str">
            <v>STELLA</v>
          </cell>
          <cell r="F9" t="str">
            <v>DELIVERED</v>
          </cell>
          <cell r="G9" t="str">
            <v>SEA</v>
          </cell>
          <cell r="J9">
            <v>45562</v>
          </cell>
          <cell r="L9">
            <v>45647</v>
          </cell>
          <cell r="O9">
            <v>45673</v>
          </cell>
          <cell r="P9" t="str">
            <v>CN103586297</v>
          </cell>
          <cell r="R9" t="str">
            <v>PWBR24010110A</v>
          </cell>
          <cell r="T9" t="str">
            <v>CGMU7012840</v>
          </cell>
          <cell r="U9">
            <v>1</v>
          </cell>
          <cell r="AC9"/>
          <cell r="AD9">
            <v>45659</v>
          </cell>
          <cell r="AE9">
            <v>45664</v>
          </cell>
          <cell r="AJ9">
            <v>833785.12</v>
          </cell>
          <cell r="AK9">
            <v>45602</v>
          </cell>
          <cell r="AL9">
            <v>45603</v>
          </cell>
          <cell r="AM9">
            <v>45607</v>
          </cell>
          <cell r="AN9">
            <v>45609</v>
          </cell>
          <cell r="AO9">
            <v>45614</v>
          </cell>
          <cell r="AP9">
            <v>45618</v>
          </cell>
          <cell r="AQ9">
            <v>45659</v>
          </cell>
          <cell r="AR9">
            <v>45649</v>
          </cell>
          <cell r="AS9">
            <v>45659</v>
          </cell>
          <cell r="AT9">
            <v>45664</v>
          </cell>
          <cell r="AU9">
            <v>45664</v>
          </cell>
          <cell r="AV9"/>
          <cell r="AW9"/>
          <cell r="AX9"/>
          <cell r="AY9">
            <v>45665</v>
          </cell>
          <cell r="AZ9">
            <v>45665</v>
          </cell>
          <cell r="BA9">
            <v>45666</v>
          </cell>
          <cell r="BB9">
            <v>45666</v>
          </cell>
          <cell r="BC9">
            <v>45666</v>
          </cell>
          <cell r="BD9">
            <v>45666</v>
          </cell>
          <cell r="BE9">
            <v>45670</v>
          </cell>
          <cell r="BF9">
            <v>45670</v>
          </cell>
          <cell r="BG9">
            <v>45671</v>
          </cell>
          <cell r="BH9">
            <v>45673</v>
          </cell>
          <cell r="BQ9">
            <v>0</v>
          </cell>
          <cell r="BR9">
            <v>45676</v>
          </cell>
          <cell r="BS9">
            <v>4961.54</v>
          </cell>
          <cell r="BT9">
            <v>45674</v>
          </cell>
          <cell r="BU9">
            <v>6112.31</v>
          </cell>
          <cell r="BV9">
            <v>45663</v>
          </cell>
          <cell r="CD9">
            <v>45667</v>
          </cell>
          <cell r="CE9" t="str">
            <v>SIM  2 dias</v>
          </cell>
          <cell r="CI9">
            <v>45665</v>
          </cell>
          <cell r="DX9"/>
        </row>
        <row r="10">
          <cell r="A10"/>
          <cell r="B10" t="str">
            <v>056B/2024</v>
          </cell>
          <cell r="E10" t="str">
            <v>STELLA</v>
          </cell>
          <cell r="F10" t="str">
            <v>DELIVERED</v>
          </cell>
          <cell r="G10" t="str">
            <v>SEA</v>
          </cell>
          <cell r="J10">
            <v>45562</v>
          </cell>
          <cell r="L10">
            <v>45647</v>
          </cell>
          <cell r="O10">
            <v>45673</v>
          </cell>
          <cell r="P10" t="str">
            <v>CN103586312</v>
          </cell>
          <cell r="R10" t="str">
            <v>PWBR24010110B</v>
          </cell>
          <cell r="T10" t="str">
            <v>CGMU7012644 / FBIU5124492 / SEGU9131398</v>
          </cell>
          <cell r="U10">
            <v>3</v>
          </cell>
          <cell r="AC10"/>
          <cell r="AD10">
            <v>45659</v>
          </cell>
          <cell r="AE10">
            <v>45660</v>
          </cell>
          <cell r="AJ10">
            <v>1277767.27</v>
          </cell>
          <cell r="AK10">
            <v>45617</v>
          </cell>
          <cell r="AL10">
            <v>45604</v>
          </cell>
          <cell r="AM10">
            <v>45617</v>
          </cell>
          <cell r="AN10">
            <v>45617</v>
          </cell>
          <cell r="AO10">
            <v>45622</v>
          </cell>
          <cell r="AP10">
            <v>45624</v>
          </cell>
          <cell r="AQ10">
            <v>45659</v>
          </cell>
          <cell r="AR10">
            <v>45649</v>
          </cell>
          <cell r="AS10">
            <v>45659</v>
          </cell>
          <cell r="AT10">
            <v>45664</v>
          </cell>
          <cell r="AU10">
            <v>45664</v>
          </cell>
          <cell r="AY10">
            <v>45665</v>
          </cell>
          <cell r="AZ10">
            <v>45665</v>
          </cell>
          <cell r="BA10">
            <v>45666</v>
          </cell>
          <cell r="BB10">
            <v>45666</v>
          </cell>
          <cell r="BC10">
            <v>45667</v>
          </cell>
          <cell r="BD10">
            <v>45666</v>
          </cell>
          <cell r="BE10">
            <v>45670</v>
          </cell>
          <cell r="BF10">
            <v>45670</v>
          </cell>
          <cell r="BG10">
            <v>45671</v>
          </cell>
          <cell r="BH10">
            <v>45673</v>
          </cell>
          <cell r="BQ10">
            <v>2359.4699999999998</v>
          </cell>
          <cell r="BR10">
            <v>45677</v>
          </cell>
          <cell r="BS10">
            <v>37648.9</v>
          </cell>
          <cell r="BT10">
            <v>45742</v>
          </cell>
          <cell r="CD10">
            <v>45675</v>
          </cell>
          <cell r="CE10" t="str">
            <v>SIM  10 dias</v>
          </cell>
          <cell r="CI10">
            <v>45665</v>
          </cell>
          <cell r="DX10"/>
        </row>
        <row r="11">
          <cell r="A11"/>
          <cell r="B11" t="str">
            <v>056C/2024</v>
          </cell>
          <cell r="E11" t="str">
            <v>STELLA</v>
          </cell>
          <cell r="F11" t="str">
            <v>DELIVERED</v>
          </cell>
          <cell r="G11" t="str">
            <v>SEA</v>
          </cell>
          <cell r="J11">
            <v>45562</v>
          </cell>
          <cell r="L11">
            <v>45647</v>
          </cell>
          <cell r="O11">
            <v>45672</v>
          </cell>
          <cell r="P11" t="str">
            <v>CN103586340</v>
          </cell>
          <cell r="R11" t="str">
            <v>PWBR24010110C</v>
          </cell>
          <cell r="T11" t="str">
            <v>CGMU7011015 / CGMU7011519 / CGMU7012897</v>
          </cell>
          <cell r="U11">
            <v>3</v>
          </cell>
          <cell r="AC11"/>
          <cell r="AD11">
            <v>45659</v>
          </cell>
          <cell r="AE11">
            <v>45660</v>
          </cell>
          <cell r="AJ11">
            <v>1216537.29</v>
          </cell>
          <cell r="AK11">
            <v>45607</v>
          </cell>
          <cell r="AL11">
            <v>45603</v>
          </cell>
          <cell r="AM11">
            <v>45607</v>
          </cell>
          <cell r="AN11">
            <v>45609</v>
          </cell>
          <cell r="AO11">
            <v>45614</v>
          </cell>
          <cell r="AP11">
            <v>45618</v>
          </cell>
          <cell r="AQ11">
            <v>45659</v>
          </cell>
          <cell r="AR11">
            <v>45649</v>
          </cell>
          <cell r="AS11">
            <v>45659</v>
          </cell>
          <cell r="AT11">
            <v>45664</v>
          </cell>
          <cell r="AU11">
            <v>45664</v>
          </cell>
          <cell r="AY11">
            <v>45665</v>
          </cell>
          <cell r="AZ11">
            <v>45665</v>
          </cell>
          <cell r="BA11">
            <v>45666</v>
          </cell>
          <cell r="BB11">
            <v>45666</v>
          </cell>
          <cell r="BC11">
            <v>45667</v>
          </cell>
          <cell r="BD11">
            <v>45666</v>
          </cell>
          <cell r="BE11">
            <v>45670</v>
          </cell>
          <cell r="BF11">
            <v>45670</v>
          </cell>
          <cell r="BG11">
            <v>45671</v>
          </cell>
          <cell r="BH11">
            <v>45672</v>
          </cell>
          <cell r="BQ11">
            <v>7563.6</v>
          </cell>
          <cell r="BR11">
            <v>45681</v>
          </cell>
          <cell r="BS11">
            <v>7463.28</v>
          </cell>
          <cell r="BT11">
            <v>45730</v>
          </cell>
          <cell r="CD11">
            <v>45666</v>
          </cell>
          <cell r="CE11" t="str">
            <v>SIM  1 dias</v>
          </cell>
          <cell r="CI11">
            <v>45665</v>
          </cell>
          <cell r="DX11"/>
        </row>
        <row r="12">
          <cell r="A12"/>
          <cell r="B12" t="str">
            <v>056D/2024</v>
          </cell>
          <cell r="E12" t="str">
            <v>STELLA</v>
          </cell>
          <cell r="F12" t="str">
            <v>DELIVERED</v>
          </cell>
          <cell r="G12" t="str">
            <v>SEA</v>
          </cell>
          <cell r="J12">
            <v>45562</v>
          </cell>
          <cell r="L12">
            <v>45647</v>
          </cell>
          <cell r="O12">
            <v>45674</v>
          </cell>
          <cell r="P12" t="str">
            <v>CN103586349</v>
          </cell>
          <cell r="R12" t="str">
            <v>PWBR24010110D</v>
          </cell>
          <cell r="T12" t="str">
            <v>CGMU7012900 / CGMU7012984 / FBIU5084086</v>
          </cell>
          <cell r="U12">
            <v>3</v>
          </cell>
          <cell r="AC12"/>
          <cell r="AD12">
            <v>45659</v>
          </cell>
          <cell r="AE12">
            <v>45660</v>
          </cell>
          <cell r="AJ12">
            <v>990515.02</v>
          </cell>
          <cell r="AK12">
            <v>45607</v>
          </cell>
          <cell r="AL12">
            <v>45603</v>
          </cell>
          <cell r="AM12">
            <v>45607</v>
          </cell>
          <cell r="AN12">
            <v>45609</v>
          </cell>
          <cell r="AO12">
            <v>45615</v>
          </cell>
          <cell r="AP12">
            <v>45618</v>
          </cell>
          <cell r="AQ12">
            <v>45659</v>
          </cell>
          <cell r="AR12">
            <v>45649</v>
          </cell>
          <cell r="AS12">
            <v>45659</v>
          </cell>
          <cell r="AT12">
            <v>45665</v>
          </cell>
          <cell r="AU12">
            <v>45665</v>
          </cell>
          <cell r="AY12">
            <v>45665</v>
          </cell>
          <cell r="AZ12">
            <v>45665</v>
          </cell>
          <cell r="BA12">
            <v>45666</v>
          </cell>
          <cell r="BB12">
            <v>45666</v>
          </cell>
          <cell r="BC12">
            <v>45667</v>
          </cell>
          <cell r="BD12">
            <v>45666</v>
          </cell>
          <cell r="BE12">
            <v>45670</v>
          </cell>
          <cell r="BF12">
            <v>45670</v>
          </cell>
          <cell r="BG12">
            <v>45672</v>
          </cell>
          <cell r="BH12">
            <v>45673</v>
          </cell>
          <cell r="BQ12">
            <v>2359.4699999999998</v>
          </cell>
          <cell r="BR12">
            <v>45677</v>
          </cell>
          <cell r="BS12">
            <v>41505.839999999997</v>
          </cell>
          <cell r="BT12">
            <v>45749</v>
          </cell>
          <cell r="CD12">
            <v>45677</v>
          </cell>
          <cell r="CE12" t="str">
            <v>SIM  12 dias</v>
          </cell>
          <cell r="CI12">
            <v>45665</v>
          </cell>
          <cell r="DX12"/>
        </row>
        <row r="13">
          <cell r="A13"/>
          <cell r="B13" t="str">
            <v>Z-021/2024</v>
          </cell>
          <cell r="E13" t="str">
            <v>POLYANE</v>
          </cell>
          <cell r="F13" t="str">
            <v>DELIVERED</v>
          </cell>
          <cell r="G13" t="str">
            <v>SEA</v>
          </cell>
          <cell r="J13">
            <v>45562</v>
          </cell>
          <cell r="L13">
            <v>45647</v>
          </cell>
          <cell r="O13">
            <v>45653</v>
          </cell>
          <cell r="P13" t="str">
            <v>CN0103533579</v>
          </cell>
          <cell r="R13" t="str">
            <v>PWBR24005010</v>
          </cell>
          <cell r="T13" t="str">
            <v>ECMU7120330/ ECMU7131062/ ECMU7135005</v>
          </cell>
          <cell r="U13">
            <v>3</v>
          </cell>
          <cell r="AC13"/>
          <cell r="AD13">
            <v>45649</v>
          </cell>
          <cell r="AE13">
            <v>45649</v>
          </cell>
          <cell r="AJ13">
            <v>2907125.91</v>
          </cell>
          <cell r="AK13">
            <v>45586</v>
          </cell>
          <cell r="AL13">
            <v>45603</v>
          </cell>
          <cell r="AM13">
            <v>45609</v>
          </cell>
          <cell r="AN13">
            <v>45618</v>
          </cell>
          <cell r="AO13">
            <v>45630</v>
          </cell>
          <cell r="AP13">
            <v>45631</v>
          </cell>
          <cell r="AQ13">
            <v>45649</v>
          </cell>
          <cell r="AR13">
            <v>45649</v>
          </cell>
          <cell r="AS13">
            <v>45649</v>
          </cell>
          <cell r="AT13">
            <v>45649</v>
          </cell>
          <cell r="AU13">
            <v>45649</v>
          </cell>
          <cell r="AY13">
            <v>45649</v>
          </cell>
          <cell r="AZ13">
            <v>45649</v>
          </cell>
          <cell r="BA13">
            <v>45649</v>
          </cell>
          <cell r="BB13">
            <v>45649</v>
          </cell>
          <cell r="BC13">
            <v>45649</v>
          </cell>
          <cell r="BD13">
            <v>45649</v>
          </cell>
          <cell r="BE13">
            <v>45652</v>
          </cell>
          <cell r="BF13">
            <v>45652</v>
          </cell>
          <cell r="BG13">
            <v>45652</v>
          </cell>
          <cell r="BH13">
            <v>45652</v>
          </cell>
          <cell r="BQ13"/>
          <cell r="CD13">
            <v>45684</v>
          </cell>
          <cell r="CE13" t="str">
            <v>SIM  19 dias</v>
          </cell>
          <cell r="CI13">
            <v>45665</v>
          </cell>
          <cell r="DX13"/>
        </row>
        <row r="14">
          <cell r="A14"/>
          <cell r="B14" t="str">
            <v>061/2024</v>
          </cell>
          <cell r="E14" t="str">
            <v>STELLA</v>
          </cell>
          <cell r="F14" t="str">
            <v>DELIVERED</v>
          </cell>
          <cell r="G14" t="str">
            <v>SEA</v>
          </cell>
          <cell r="J14">
            <v>45567</v>
          </cell>
          <cell r="L14">
            <v>45616</v>
          </cell>
          <cell r="O14">
            <v>45632</v>
          </cell>
          <cell r="P14" t="str">
            <v>CN0103504599</v>
          </cell>
          <cell r="R14" t="str">
            <v>PWBR24011910</v>
          </cell>
          <cell r="T14" t="str">
            <v>CMGU9392522 / TCLU1008468 / TRIU8108822</v>
          </cell>
          <cell r="U14">
            <v>3</v>
          </cell>
          <cell r="AC14"/>
          <cell r="AD14">
            <v>45623</v>
          </cell>
          <cell r="AE14">
            <v>45624</v>
          </cell>
          <cell r="AJ14">
            <v>691960.3</v>
          </cell>
          <cell r="AK14">
            <v>45582</v>
          </cell>
          <cell r="AL14">
            <v>45608</v>
          </cell>
          <cell r="AM14">
            <v>45610</v>
          </cell>
          <cell r="AN14">
            <v>45610</v>
          </cell>
          <cell r="AO14">
            <v>45615</v>
          </cell>
          <cell r="AP14">
            <v>45623</v>
          </cell>
          <cell r="AQ14">
            <v>45623</v>
          </cell>
          <cell r="AR14">
            <v>45617</v>
          </cell>
          <cell r="AS14">
            <v>45623</v>
          </cell>
          <cell r="AT14">
            <v>45624</v>
          </cell>
          <cell r="AU14">
            <v>45625</v>
          </cell>
          <cell r="BA14">
            <v>45623</v>
          </cell>
          <cell r="BB14">
            <v>45624</v>
          </cell>
          <cell r="BC14">
            <v>45625</v>
          </cell>
          <cell r="BD14">
            <v>45624</v>
          </cell>
          <cell r="BE14">
            <v>45625</v>
          </cell>
          <cell r="BF14">
            <v>45628</v>
          </cell>
          <cell r="BG14">
            <v>45629</v>
          </cell>
          <cell r="BH14">
            <v>45631</v>
          </cell>
          <cell r="BQ14">
            <v>2006.94</v>
          </cell>
          <cell r="BR14">
            <v>45631</v>
          </cell>
          <cell r="CD14">
            <v>45633</v>
          </cell>
          <cell r="CE14" t="str">
            <v>NÃO</v>
          </cell>
          <cell r="CI14">
            <v>45634</v>
          </cell>
          <cell r="DX14" t="str">
            <v>CANAL RFB (CUSTOMS)</v>
          </cell>
        </row>
        <row r="15">
          <cell r="A15"/>
          <cell r="B15" t="str">
            <v>E-003/2024</v>
          </cell>
          <cell r="E15" t="str">
            <v>POLYANE</v>
          </cell>
          <cell r="F15" t="str">
            <v>DELIVERED</v>
          </cell>
          <cell r="G15" t="str">
            <v>SEA</v>
          </cell>
          <cell r="J15">
            <v>45586</v>
          </cell>
          <cell r="L15">
            <v>45613</v>
          </cell>
          <cell r="O15">
            <v>45635</v>
          </cell>
          <cell r="P15" t="str">
            <v>CN24091190</v>
          </cell>
          <cell r="R15">
            <v>8000479121</v>
          </cell>
          <cell r="T15" t="str">
            <v>MRSU5913631</v>
          </cell>
          <cell r="U15">
            <v>1</v>
          </cell>
          <cell r="AC15"/>
          <cell r="AD15">
            <v>45621</v>
          </cell>
          <cell r="AE15">
            <v>45622</v>
          </cell>
          <cell r="AJ15">
            <v>329028.76</v>
          </cell>
          <cell r="AK15">
            <v>45587</v>
          </cell>
          <cell r="AL15">
            <v>45608</v>
          </cell>
          <cell r="AM15">
            <v>45614</v>
          </cell>
          <cell r="AN15">
            <v>45614</v>
          </cell>
          <cell r="AO15">
            <v>45615</v>
          </cell>
          <cell r="AP15">
            <v>45621</v>
          </cell>
          <cell r="AQ15">
            <v>45621</v>
          </cell>
          <cell r="AR15">
            <v>45614</v>
          </cell>
          <cell r="AS15">
            <v>45621</v>
          </cell>
          <cell r="AT15">
            <v>45621</v>
          </cell>
          <cell r="AU15">
            <v>45623</v>
          </cell>
          <cell r="AY15">
            <v>45622</v>
          </cell>
          <cell r="AZ15">
            <v>45622</v>
          </cell>
          <cell r="BA15">
            <v>45623</v>
          </cell>
          <cell r="BB15">
            <v>45623</v>
          </cell>
          <cell r="BC15">
            <v>45624</v>
          </cell>
          <cell r="BD15">
            <v>45623</v>
          </cell>
          <cell r="BE15">
            <v>45624</v>
          </cell>
          <cell r="BF15">
            <v>45624</v>
          </cell>
          <cell r="BG15">
            <v>45624</v>
          </cell>
          <cell r="BH15">
            <v>45625</v>
          </cell>
          <cell r="BQ15">
            <v>10169.209999999999</v>
          </cell>
          <cell r="BR15">
            <v>45622</v>
          </cell>
          <cell r="CD15">
            <v>45626</v>
          </cell>
          <cell r="CE15" t="str">
            <v>NÃO</v>
          </cell>
          <cell r="CI15">
            <v>45631</v>
          </cell>
        </row>
        <row r="16">
          <cell r="A16"/>
          <cell r="B16" t="str">
            <v>Z-026/2024</v>
          </cell>
          <cell r="E16" t="str">
            <v>POLYANE</v>
          </cell>
          <cell r="F16" t="str">
            <v>DELIVERED</v>
          </cell>
          <cell r="G16" t="str">
            <v>SEA</v>
          </cell>
          <cell r="J16">
            <v>45596</v>
          </cell>
          <cell r="L16">
            <v>45641</v>
          </cell>
          <cell r="O16">
            <v>45649</v>
          </cell>
          <cell r="P16" t="str">
            <v>CN103696667</v>
          </cell>
          <cell r="R16" t="str">
            <v>PWBR24010620</v>
          </cell>
          <cell r="T16" t="str">
            <v xml:space="preserve">SEKU9057124 </v>
          </cell>
          <cell r="U16">
            <v>0.5</v>
          </cell>
          <cell r="AC16"/>
          <cell r="AD16">
            <v>45643</v>
          </cell>
          <cell r="AE16">
            <v>45643</v>
          </cell>
          <cell r="AJ16">
            <v>1308276.75</v>
          </cell>
          <cell r="AK16">
            <v>45630</v>
          </cell>
          <cell r="AL16">
            <v>45635</v>
          </cell>
          <cell r="AM16">
            <v>45638</v>
          </cell>
          <cell r="AN16">
            <v>45642</v>
          </cell>
          <cell r="AO16">
            <v>45642</v>
          </cell>
          <cell r="AP16">
            <v>45642</v>
          </cell>
          <cell r="AQ16">
            <v>45642</v>
          </cell>
          <cell r="AR16">
            <v>45643</v>
          </cell>
          <cell r="AS16">
            <v>45643</v>
          </cell>
          <cell r="AT16">
            <v>45643</v>
          </cell>
          <cell r="AU16">
            <v>45644</v>
          </cell>
          <cell r="AY16">
            <v>45644</v>
          </cell>
          <cell r="AZ16">
            <v>45644</v>
          </cell>
          <cell r="BA16">
            <v>45646</v>
          </cell>
          <cell r="BB16">
            <v>45646</v>
          </cell>
          <cell r="BC16">
            <v>45646</v>
          </cell>
          <cell r="BD16">
            <v>45646</v>
          </cell>
          <cell r="BE16">
            <v>45646</v>
          </cell>
          <cell r="BF16">
            <v>45646</v>
          </cell>
          <cell r="BG16">
            <v>45649</v>
          </cell>
          <cell r="BH16">
            <v>45649</v>
          </cell>
          <cell r="BQ16"/>
          <cell r="CD16">
            <v>45652</v>
          </cell>
          <cell r="CE16" t="str">
            <v>NÃO</v>
          </cell>
          <cell r="CI16">
            <v>45659</v>
          </cell>
        </row>
        <row r="17">
          <cell r="A17"/>
          <cell r="B17" t="str">
            <v>062A/2024</v>
          </cell>
          <cell r="E17" t="str">
            <v>STELLA</v>
          </cell>
          <cell r="F17" t="str">
            <v>DELIVERED</v>
          </cell>
          <cell r="G17" t="str">
            <v>SEA</v>
          </cell>
          <cell r="J17">
            <v>45599</v>
          </cell>
          <cell r="L17">
            <v>45641</v>
          </cell>
          <cell r="O17">
            <v>45646</v>
          </cell>
          <cell r="P17" t="str">
            <v>CN103696657</v>
          </cell>
          <cell r="R17" t="str">
            <v>PWBR24012210A</v>
          </cell>
          <cell r="T17" t="str">
            <v>AMCU9306329 / SEKU9256682</v>
          </cell>
          <cell r="U17">
            <v>2</v>
          </cell>
          <cell r="AC17"/>
          <cell r="AD17">
            <v>45643</v>
          </cell>
          <cell r="AE17">
            <v>45643</v>
          </cell>
          <cell r="AJ17">
            <v>1105861.21</v>
          </cell>
          <cell r="AK17">
            <v>45614</v>
          </cell>
          <cell r="AL17">
            <v>45621</v>
          </cell>
          <cell r="AM17">
            <v>45630</v>
          </cell>
          <cell r="AN17">
            <v>45632</v>
          </cell>
          <cell r="AO17">
            <v>45635</v>
          </cell>
          <cell r="AP17">
            <v>45637</v>
          </cell>
          <cell r="AQ17">
            <v>45642</v>
          </cell>
          <cell r="AR17">
            <v>45643</v>
          </cell>
          <cell r="AS17">
            <v>45642</v>
          </cell>
          <cell r="AT17">
            <v>45643</v>
          </cell>
          <cell r="AU17">
            <v>45643</v>
          </cell>
          <cell r="AY17">
            <v>45643</v>
          </cell>
          <cell r="AZ17">
            <v>45643</v>
          </cell>
          <cell r="BA17">
            <v>45644</v>
          </cell>
          <cell r="BB17">
            <v>45645</v>
          </cell>
          <cell r="BC17">
            <v>45645</v>
          </cell>
          <cell r="BD17">
            <v>45644</v>
          </cell>
          <cell r="BE17">
            <v>45645</v>
          </cell>
          <cell r="BF17">
            <v>45645</v>
          </cell>
          <cell r="BG17">
            <v>45645</v>
          </cell>
          <cell r="BH17">
            <v>45646</v>
          </cell>
          <cell r="BQ17"/>
          <cell r="CD17">
            <v>45647</v>
          </cell>
          <cell r="CE17" t="str">
            <v>NÃO</v>
          </cell>
          <cell r="CI17">
            <v>45659</v>
          </cell>
        </row>
        <row r="18">
          <cell r="A18"/>
          <cell r="B18" t="str">
            <v>062B/2024</v>
          </cell>
          <cell r="E18" t="str">
            <v>STELLA</v>
          </cell>
          <cell r="F18" t="str">
            <v>DELIVERED</v>
          </cell>
          <cell r="G18" t="str">
            <v>SEA</v>
          </cell>
          <cell r="J18">
            <v>45599</v>
          </cell>
          <cell r="L18">
            <v>45641</v>
          </cell>
          <cell r="O18">
            <v>45647</v>
          </cell>
          <cell r="P18" t="str">
            <v>CN103696660</v>
          </cell>
          <cell r="R18" t="str">
            <v>PWBR24012210B</v>
          </cell>
          <cell r="T18" t="str">
            <v>CGMU5523075 / TTNU8276523 / TTNU8882560</v>
          </cell>
          <cell r="U18">
            <v>3</v>
          </cell>
          <cell r="AC18"/>
          <cell r="AD18">
            <v>45643</v>
          </cell>
          <cell r="AE18">
            <v>45643</v>
          </cell>
          <cell r="AJ18">
            <v>1253376.8</v>
          </cell>
          <cell r="AK18">
            <v>45621</v>
          </cell>
          <cell r="AL18">
            <v>45621</v>
          </cell>
          <cell r="AM18">
            <v>45628</v>
          </cell>
          <cell r="AN18">
            <v>45628</v>
          </cell>
          <cell r="AO18">
            <v>45635</v>
          </cell>
          <cell r="AP18">
            <v>45637</v>
          </cell>
          <cell r="AQ18">
            <v>45642</v>
          </cell>
          <cell r="AR18">
            <v>45643</v>
          </cell>
          <cell r="AS18">
            <v>45642</v>
          </cell>
          <cell r="AT18">
            <v>45643</v>
          </cell>
          <cell r="AU18">
            <v>45643</v>
          </cell>
          <cell r="AY18">
            <v>45643</v>
          </cell>
          <cell r="AZ18">
            <v>45643</v>
          </cell>
          <cell r="BA18">
            <v>45644</v>
          </cell>
          <cell r="BB18">
            <v>45645</v>
          </cell>
          <cell r="BC18">
            <v>45645</v>
          </cell>
          <cell r="BD18">
            <v>45644</v>
          </cell>
          <cell r="BE18">
            <v>45645</v>
          </cell>
          <cell r="BF18">
            <v>45645</v>
          </cell>
          <cell r="BG18">
            <v>45645</v>
          </cell>
          <cell r="BH18">
            <v>45647</v>
          </cell>
          <cell r="BQ18"/>
          <cell r="CD18">
            <v>45647</v>
          </cell>
          <cell r="CE18" t="str">
            <v>NÃO</v>
          </cell>
          <cell r="CI18">
            <v>45659</v>
          </cell>
        </row>
        <row r="19">
          <cell r="A19"/>
          <cell r="B19" t="str">
            <v>062C/2024</v>
          </cell>
          <cell r="E19" t="str">
            <v>STELLA</v>
          </cell>
          <cell r="F19" t="str">
            <v>DELIVERED</v>
          </cell>
          <cell r="G19" t="str">
            <v>SEA</v>
          </cell>
          <cell r="J19">
            <v>45599</v>
          </cell>
          <cell r="L19">
            <v>45641</v>
          </cell>
          <cell r="O19">
            <v>45646</v>
          </cell>
          <cell r="P19" t="str">
            <v>CN103696661</v>
          </cell>
          <cell r="R19" t="str">
            <v>PWBR24012210C</v>
          </cell>
          <cell r="T19" t="str">
            <v>AMCU9370729 / CGMU5187638 / SZLU9029712</v>
          </cell>
          <cell r="U19">
            <v>3</v>
          </cell>
          <cell r="AC19"/>
          <cell r="AD19">
            <v>45643</v>
          </cell>
          <cell r="AE19">
            <v>45643</v>
          </cell>
          <cell r="AJ19">
            <v>1395259.3</v>
          </cell>
          <cell r="AK19">
            <v>45621</v>
          </cell>
          <cell r="AL19">
            <v>45621</v>
          </cell>
          <cell r="AM19">
            <v>45635</v>
          </cell>
          <cell r="AN19">
            <v>45635</v>
          </cell>
          <cell r="AO19">
            <v>45636</v>
          </cell>
          <cell r="AP19">
            <v>45637</v>
          </cell>
          <cell r="AQ19">
            <v>45642</v>
          </cell>
          <cell r="AR19">
            <v>45643</v>
          </cell>
          <cell r="AS19">
            <v>45642</v>
          </cell>
          <cell r="AT19">
            <v>45643</v>
          </cell>
          <cell r="AU19">
            <v>45644</v>
          </cell>
          <cell r="AY19">
            <v>45643</v>
          </cell>
          <cell r="AZ19">
            <v>45643</v>
          </cell>
          <cell r="BA19">
            <v>45644</v>
          </cell>
          <cell r="BB19">
            <v>45645</v>
          </cell>
          <cell r="BC19">
            <v>45645</v>
          </cell>
          <cell r="BD19">
            <v>45644</v>
          </cell>
          <cell r="BE19">
            <v>45645</v>
          </cell>
          <cell r="BF19">
            <v>45645</v>
          </cell>
          <cell r="BG19">
            <v>45645</v>
          </cell>
          <cell r="BH19">
            <v>45646</v>
          </cell>
          <cell r="BQ19"/>
          <cell r="CD19">
            <v>45646</v>
          </cell>
          <cell r="CE19" t="str">
            <v>NÃO</v>
          </cell>
          <cell r="CI19">
            <v>45659</v>
          </cell>
        </row>
        <row r="20">
          <cell r="A20"/>
          <cell r="B20" t="str">
            <v>062D/2024</v>
          </cell>
          <cell r="E20" t="str">
            <v>STELLA</v>
          </cell>
          <cell r="F20" t="str">
            <v>DELIVERED</v>
          </cell>
          <cell r="G20" t="str">
            <v>SEA</v>
          </cell>
          <cell r="J20">
            <v>45599</v>
          </cell>
          <cell r="L20">
            <v>45641</v>
          </cell>
          <cell r="O20">
            <v>45649</v>
          </cell>
          <cell r="P20" t="str">
            <v>CN103696663</v>
          </cell>
          <cell r="R20" t="str">
            <v>PWBR24012210D</v>
          </cell>
          <cell r="T20" t="str">
            <v>SEKU9057124</v>
          </cell>
          <cell r="U20">
            <v>0.5</v>
          </cell>
          <cell r="AC20"/>
          <cell r="AD20">
            <v>45643</v>
          </cell>
          <cell r="AE20">
            <v>45643</v>
          </cell>
          <cell r="AJ20">
            <v>889159.92</v>
          </cell>
          <cell r="AK20">
            <v>45628</v>
          </cell>
          <cell r="AL20">
            <v>45635</v>
          </cell>
          <cell r="AM20">
            <v>45637</v>
          </cell>
          <cell r="AN20">
            <v>45637</v>
          </cell>
          <cell r="AO20">
            <v>45637</v>
          </cell>
          <cell r="AP20">
            <v>45637</v>
          </cell>
          <cell r="AQ20">
            <v>45642</v>
          </cell>
          <cell r="AR20">
            <v>45643</v>
          </cell>
          <cell r="AS20">
            <v>45642</v>
          </cell>
          <cell r="AT20">
            <v>45643</v>
          </cell>
          <cell r="AU20">
            <v>45644</v>
          </cell>
          <cell r="AY20">
            <v>45643</v>
          </cell>
          <cell r="AZ20">
            <v>45643</v>
          </cell>
          <cell r="BA20">
            <v>45644</v>
          </cell>
          <cell r="BB20">
            <v>45645</v>
          </cell>
          <cell r="BC20">
            <v>45645</v>
          </cell>
          <cell r="BD20">
            <v>45644</v>
          </cell>
          <cell r="BE20">
            <v>45644</v>
          </cell>
          <cell r="BF20">
            <v>45645</v>
          </cell>
          <cell r="BG20">
            <v>45645</v>
          </cell>
          <cell r="BH20">
            <v>45647</v>
          </cell>
          <cell r="BQ20"/>
          <cell r="CD20">
            <v>45647</v>
          </cell>
          <cell r="CE20" t="str">
            <v>NÃO</v>
          </cell>
          <cell r="CI20">
            <v>45659</v>
          </cell>
        </row>
        <row r="21">
          <cell r="A21"/>
          <cell r="B21" t="str">
            <v>NH-001/2025</v>
          </cell>
          <cell r="E21" t="str">
            <v>POLYANE</v>
          </cell>
          <cell r="F21" t="str">
            <v>DELIVERED</v>
          </cell>
          <cell r="G21" t="str">
            <v>AIR</v>
          </cell>
          <cell r="J21">
            <v>45661</v>
          </cell>
          <cell r="L21">
            <v>45665</v>
          </cell>
          <cell r="O21">
            <v>45685</v>
          </cell>
          <cell r="P21" t="str">
            <v xml:space="preserve">05753992945
DTW250101FOR </v>
          </cell>
          <cell r="R21" t="str">
            <v>YRN240003101</v>
          </cell>
          <cell r="U21" t="str">
            <v>N/A</v>
          </cell>
          <cell r="AC21"/>
          <cell r="AD21">
            <v>45680</v>
          </cell>
          <cell r="AE21">
            <v>45680</v>
          </cell>
          <cell r="AJ21">
            <v>14289.41</v>
          </cell>
          <cell r="AK21">
            <v>45666</v>
          </cell>
          <cell r="AL21">
            <v>45670</v>
          </cell>
          <cell r="AM21">
            <v>45674</v>
          </cell>
          <cell r="AN21">
            <v>45678</v>
          </cell>
          <cell r="AO21">
            <v>45679</v>
          </cell>
          <cell r="AP21">
            <v>45679</v>
          </cell>
          <cell r="AQ21">
            <v>45679</v>
          </cell>
          <cell r="AR21">
            <v>45665</v>
          </cell>
          <cell r="AS21">
            <v>45680</v>
          </cell>
          <cell r="AT21">
            <v>45680</v>
          </cell>
          <cell r="AU21">
            <v>45680</v>
          </cell>
          <cell r="AV21">
            <v>45680</v>
          </cell>
          <cell r="AW21">
            <v>45680</v>
          </cell>
          <cell r="AX21">
            <v>45680</v>
          </cell>
          <cell r="BD21">
            <v>45680</v>
          </cell>
          <cell r="BE21">
            <v>45681</v>
          </cell>
          <cell r="BF21">
            <v>45681</v>
          </cell>
          <cell r="BG21">
            <v>45684</v>
          </cell>
          <cell r="BH21">
            <v>45685</v>
          </cell>
          <cell r="BQ21">
            <v>972.67</v>
          </cell>
          <cell r="BR21">
            <v>45729</v>
          </cell>
          <cell r="BS21"/>
          <cell r="CE21" t="str">
            <v>NÃO</v>
          </cell>
          <cell r="CI21" t="str">
            <v/>
          </cell>
        </row>
        <row r="22">
          <cell r="A22"/>
          <cell r="B22" t="str">
            <v>Z-027/2024</v>
          </cell>
          <cell r="E22" t="str">
            <v>POLYANE</v>
          </cell>
          <cell r="F22" t="str">
            <v>DELIVERED</v>
          </cell>
          <cell r="G22" t="str">
            <v>SEA</v>
          </cell>
          <cell r="J22">
            <v>45608</v>
          </cell>
          <cell r="L22">
            <v>45668</v>
          </cell>
          <cell r="O22">
            <v>45685</v>
          </cell>
          <cell r="P22" t="str">
            <v>CN0103697442</v>
          </cell>
          <cell r="R22" t="str">
            <v>PWBR24011610</v>
          </cell>
          <cell r="T22" t="str">
            <v>UETU7191488</v>
          </cell>
          <cell r="U22">
            <v>1</v>
          </cell>
          <cell r="AC22"/>
          <cell r="AD22">
            <v>45679</v>
          </cell>
          <cell r="AE22">
            <v>45679</v>
          </cell>
          <cell r="AJ22">
            <v>1075246.58</v>
          </cell>
          <cell r="AK22">
            <v>45643</v>
          </cell>
          <cell r="AL22">
            <v>45643</v>
          </cell>
          <cell r="AM22">
            <v>45656</v>
          </cell>
          <cell r="AN22">
            <v>45659</v>
          </cell>
          <cell r="AO22">
            <v>45674</v>
          </cell>
          <cell r="AP22">
            <v>45670</v>
          </cell>
          <cell r="AQ22">
            <v>45674</v>
          </cell>
          <cell r="AR22">
            <v>45669</v>
          </cell>
          <cell r="AS22">
            <v>45678</v>
          </cell>
          <cell r="AT22">
            <v>45679</v>
          </cell>
          <cell r="AU22">
            <v>45680</v>
          </cell>
          <cell r="AY22">
            <v>45679</v>
          </cell>
          <cell r="AZ22">
            <v>45680</v>
          </cell>
          <cell r="BA22">
            <v>45681</v>
          </cell>
          <cell r="BB22">
            <v>45681</v>
          </cell>
          <cell r="BC22">
            <v>45681</v>
          </cell>
          <cell r="BD22">
            <v>45681</v>
          </cell>
          <cell r="BE22">
            <v>45681</v>
          </cell>
          <cell r="BF22">
            <v>45681</v>
          </cell>
          <cell r="BG22">
            <v>45681</v>
          </cell>
          <cell r="BH22">
            <v>45684</v>
          </cell>
          <cell r="BQ22">
            <v>1762.81</v>
          </cell>
          <cell r="BR22">
            <v>45681</v>
          </cell>
          <cell r="BS22">
            <v>1754.21</v>
          </cell>
          <cell r="BT22">
            <v>45806</v>
          </cell>
          <cell r="CD22">
            <v>45686</v>
          </cell>
          <cell r="CE22" t="str">
            <v>SIM  0 dias</v>
          </cell>
          <cell r="CI22">
            <v>45686</v>
          </cell>
        </row>
        <row r="23">
          <cell r="A23"/>
          <cell r="B23" t="str">
            <v>070D/2024</v>
          </cell>
          <cell r="E23" t="str">
            <v>STELLA</v>
          </cell>
          <cell r="F23" t="str">
            <v>DELIVERED</v>
          </cell>
          <cell r="G23" t="str">
            <v>SEA</v>
          </cell>
          <cell r="J23">
            <v>45612</v>
          </cell>
          <cell r="L23">
            <v>45668</v>
          </cell>
          <cell r="O23">
            <v>45678</v>
          </cell>
          <cell r="P23" t="str">
            <v>CN103791561</v>
          </cell>
          <cell r="R23" t="str">
            <v>PWBR24013410D</v>
          </cell>
          <cell r="T23" t="str">
            <v>BMOU9661410</v>
          </cell>
          <cell r="U23">
            <v>1</v>
          </cell>
          <cell r="AC23"/>
          <cell r="AD23">
            <v>45670</v>
          </cell>
          <cell r="AE23">
            <v>45671</v>
          </cell>
          <cell r="AJ23">
            <v>53873.58</v>
          </cell>
          <cell r="AK23">
            <v>45632</v>
          </cell>
          <cell r="AL23">
            <v>45635</v>
          </cell>
          <cell r="AM23">
            <v>45652</v>
          </cell>
          <cell r="AN23">
            <v>45659</v>
          </cell>
          <cell r="AO23">
            <v>45660</v>
          </cell>
          <cell r="AP23">
            <v>45667</v>
          </cell>
          <cell r="AQ23">
            <v>45670</v>
          </cell>
          <cell r="AR23">
            <v>45670</v>
          </cell>
          <cell r="AS23">
            <v>45670</v>
          </cell>
          <cell r="AT23">
            <v>45670</v>
          </cell>
          <cell r="AU23">
            <v>45671</v>
          </cell>
          <cell r="AY23">
            <v>45670</v>
          </cell>
          <cell r="AZ23">
            <v>45670</v>
          </cell>
          <cell r="BA23">
            <v>45672</v>
          </cell>
          <cell r="BB23">
            <v>45672</v>
          </cell>
          <cell r="BC23">
            <v>45673</v>
          </cell>
          <cell r="BD23">
            <v>45672</v>
          </cell>
          <cell r="BE23">
            <v>45673</v>
          </cell>
          <cell r="BF23">
            <v>45673</v>
          </cell>
          <cell r="BG23">
            <v>45674</v>
          </cell>
          <cell r="BH23">
            <v>45677</v>
          </cell>
          <cell r="BQ23"/>
          <cell r="CD23">
            <v>45678</v>
          </cell>
          <cell r="CE23" t="str">
            <v>NÃO</v>
          </cell>
          <cell r="CI23">
            <v>45686</v>
          </cell>
        </row>
        <row r="24">
          <cell r="A24"/>
          <cell r="B24" t="str">
            <v>070A/2024</v>
          </cell>
          <cell r="E24" t="str">
            <v>STELLA</v>
          </cell>
          <cell r="F24" t="str">
            <v>DELIVERED</v>
          </cell>
          <cell r="G24" t="str">
            <v>SEA</v>
          </cell>
          <cell r="J24">
            <v>45612</v>
          </cell>
          <cell r="L24">
            <v>45668</v>
          </cell>
          <cell r="O24">
            <v>45681</v>
          </cell>
          <cell r="P24" t="str">
            <v>CN103791542</v>
          </cell>
          <cell r="R24" t="str">
            <v>PWBR24013410A</v>
          </cell>
          <cell r="T24" t="str">
            <v>CGMU5291853 / SZLU9857018 / TTNU8274747</v>
          </cell>
          <cell r="U24">
            <v>3</v>
          </cell>
          <cell r="AC24"/>
          <cell r="AD24">
            <v>45674</v>
          </cell>
          <cell r="AE24">
            <v>45674</v>
          </cell>
          <cell r="AJ24">
            <v>1592242.91</v>
          </cell>
          <cell r="AK24">
            <v>45632</v>
          </cell>
          <cell r="AL24">
            <v>45635</v>
          </cell>
          <cell r="AM24">
            <v>45672</v>
          </cell>
          <cell r="AN24">
            <v>45673</v>
          </cell>
          <cell r="AO24">
            <v>45673</v>
          </cell>
          <cell r="AP24">
            <v>45667</v>
          </cell>
          <cell r="AQ24">
            <v>45673</v>
          </cell>
          <cell r="AR24">
            <v>45670</v>
          </cell>
          <cell r="AS24">
            <v>45674</v>
          </cell>
          <cell r="AT24">
            <v>45674</v>
          </cell>
          <cell r="AU24">
            <v>45674</v>
          </cell>
          <cell r="AY24">
            <v>45674</v>
          </cell>
          <cell r="AZ24">
            <v>45677</v>
          </cell>
          <cell r="BA24">
            <v>45678</v>
          </cell>
          <cell r="BB24">
            <v>45678</v>
          </cell>
          <cell r="BC24">
            <v>45678</v>
          </cell>
          <cell r="BD24">
            <v>45678</v>
          </cell>
          <cell r="BE24">
            <v>45679</v>
          </cell>
          <cell r="BF24">
            <v>45679</v>
          </cell>
          <cell r="BG24">
            <v>45679</v>
          </cell>
          <cell r="BH24">
            <v>45681</v>
          </cell>
          <cell r="BQ24"/>
          <cell r="CD24">
            <v>45680</v>
          </cell>
          <cell r="CE24" t="str">
            <v>NÃO</v>
          </cell>
          <cell r="CI24">
            <v>45686</v>
          </cell>
        </row>
        <row r="25">
          <cell r="A25"/>
          <cell r="B25" t="str">
            <v>070B/2024</v>
          </cell>
          <cell r="E25" t="str">
            <v>STELLA</v>
          </cell>
          <cell r="F25" t="str">
            <v>DELIVERED</v>
          </cell>
          <cell r="G25" t="str">
            <v>SEA</v>
          </cell>
          <cell r="J25">
            <v>45612</v>
          </cell>
          <cell r="L25">
            <v>45668</v>
          </cell>
          <cell r="O25">
            <v>45682</v>
          </cell>
          <cell r="P25" t="str">
            <v>CN103791547</v>
          </cell>
          <cell r="R25" t="str">
            <v>PWBR24013410B</v>
          </cell>
          <cell r="T25" t="str">
            <v>CRSU6108920 / CXRU1191381 / TRLU1719399</v>
          </cell>
          <cell r="U25">
            <v>3</v>
          </cell>
          <cell r="AC25"/>
          <cell r="AD25">
            <v>45673</v>
          </cell>
          <cell r="AE25">
            <v>45674</v>
          </cell>
          <cell r="AJ25">
            <v>1116837.83</v>
          </cell>
          <cell r="AK25">
            <v>45632</v>
          </cell>
          <cell r="AL25">
            <v>45635</v>
          </cell>
          <cell r="AM25">
            <v>45672</v>
          </cell>
          <cell r="AN25">
            <v>45673</v>
          </cell>
          <cell r="AO25">
            <v>45673</v>
          </cell>
          <cell r="AP25">
            <v>45667</v>
          </cell>
          <cell r="AQ25">
            <v>45673</v>
          </cell>
          <cell r="AR25">
            <v>45670</v>
          </cell>
          <cell r="AS25">
            <v>45673</v>
          </cell>
          <cell r="AT25">
            <v>45674</v>
          </cell>
          <cell r="AU25">
            <v>45674</v>
          </cell>
          <cell r="AY25">
            <v>45674</v>
          </cell>
          <cell r="AZ25">
            <v>45678</v>
          </cell>
          <cell r="BA25">
            <v>45679</v>
          </cell>
          <cell r="BB25">
            <v>45679</v>
          </cell>
          <cell r="BC25">
            <v>45679</v>
          </cell>
          <cell r="BD25">
            <v>45679</v>
          </cell>
          <cell r="BE25">
            <v>45679</v>
          </cell>
          <cell r="BF25">
            <v>45679</v>
          </cell>
          <cell r="BG25">
            <v>45680</v>
          </cell>
          <cell r="BH25">
            <v>45682</v>
          </cell>
          <cell r="BQ25">
            <v>2127.33</v>
          </cell>
          <cell r="BR25">
            <v>45681</v>
          </cell>
          <cell r="CD25">
            <v>45684</v>
          </cell>
          <cell r="CE25" t="str">
            <v>NÃO</v>
          </cell>
          <cell r="CI25">
            <v>45686</v>
          </cell>
        </row>
        <row r="26">
          <cell r="A26"/>
          <cell r="B26" t="str">
            <v>069/2024</v>
          </cell>
          <cell r="E26" t="str">
            <v>STELLA</v>
          </cell>
          <cell r="F26" t="str">
            <v>DELIVERED</v>
          </cell>
          <cell r="G26" t="str">
            <v>AIR</v>
          </cell>
          <cell r="J26">
            <v>45617</v>
          </cell>
          <cell r="L26">
            <v>45620</v>
          </cell>
          <cell r="O26">
            <v>45629</v>
          </cell>
          <cell r="P26" t="str">
            <v>05753387596 / DTW241112FOR</v>
          </cell>
          <cell r="R26" t="str">
            <v>PWBR24013020</v>
          </cell>
          <cell r="AC26"/>
          <cell r="AD26">
            <v>45623</v>
          </cell>
          <cell r="AE26">
            <v>45623</v>
          </cell>
          <cell r="AJ26">
            <v>18611.72</v>
          </cell>
          <cell r="AK26">
            <v>45615</v>
          </cell>
          <cell r="AL26">
            <v>45617</v>
          </cell>
          <cell r="AM26">
            <v>45618</v>
          </cell>
          <cell r="AN26">
            <v>45618</v>
          </cell>
          <cell r="AO26">
            <v>45622</v>
          </cell>
          <cell r="AP26">
            <v>45622</v>
          </cell>
          <cell r="AQ26">
            <v>45622</v>
          </cell>
          <cell r="AR26">
            <v>45620</v>
          </cell>
          <cell r="AS26">
            <v>45622</v>
          </cell>
          <cell r="AT26">
            <v>45623</v>
          </cell>
          <cell r="AU26">
            <v>45624</v>
          </cell>
          <cell r="BA26">
            <v>45624</v>
          </cell>
          <cell r="BB26">
            <v>45624</v>
          </cell>
          <cell r="BC26">
            <v>45625</v>
          </cell>
          <cell r="BD26">
            <v>45624</v>
          </cell>
          <cell r="BE26">
            <v>45625</v>
          </cell>
          <cell r="BF26">
            <v>45625</v>
          </cell>
          <cell r="BG26">
            <v>45629</v>
          </cell>
          <cell r="BH26">
            <v>45629</v>
          </cell>
          <cell r="BQ26">
            <v>1038.0999999999999</v>
          </cell>
          <cell r="BR26">
            <v>45667</v>
          </cell>
          <cell r="BS26"/>
          <cell r="CE26" t="str">
            <v>NÃO</v>
          </cell>
          <cell r="CI26" t="str">
            <v/>
          </cell>
        </row>
        <row r="27">
          <cell r="A27"/>
          <cell r="B27" t="str">
            <v>072/2024</v>
          </cell>
          <cell r="E27" t="str">
            <v>STELLA</v>
          </cell>
          <cell r="F27" t="str">
            <v>DELIVERED</v>
          </cell>
          <cell r="G27" t="str">
            <v>COURIER</v>
          </cell>
          <cell r="J27">
            <v>45617</v>
          </cell>
          <cell r="L27">
            <v>45621</v>
          </cell>
          <cell r="O27">
            <v>45642</v>
          </cell>
          <cell r="P27">
            <v>3581873934</v>
          </cell>
          <cell r="R27" t="str">
            <v>SBR240003310</v>
          </cell>
          <cell r="AC27"/>
          <cell r="AD27">
            <v>45628</v>
          </cell>
          <cell r="AE27">
            <v>45628</v>
          </cell>
          <cell r="AJ27">
            <v>1650.88</v>
          </cell>
          <cell r="AK27">
            <v>45622</v>
          </cell>
          <cell r="AL27">
            <v>45622</v>
          </cell>
          <cell r="AM27">
            <v>45623</v>
          </cell>
          <cell r="AN27">
            <v>45624</v>
          </cell>
          <cell r="AO27">
            <v>45628</v>
          </cell>
          <cell r="AP27">
            <v>45628</v>
          </cell>
          <cell r="AQ27">
            <v>45628</v>
          </cell>
          <cell r="AR27">
            <v>45621</v>
          </cell>
          <cell r="AS27">
            <v>45628</v>
          </cell>
          <cell r="AT27">
            <v>45628</v>
          </cell>
          <cell r="AU27">
            <v>45629</v>
          </cell>
          <cell r="AV27">
            <v>45629</v>
          </cell>
          <cell r="AW27">
            <v>45629</v>
          </cell>
          <cell r="AX27">
            <v>45630</v>
          </cell>
          <cell r="BB27">
            <v>45629</v>
          </cell>
          <cell r="BC27">
            <v>45630</v>
          </cell>
          <cell r="BD27">
            <v>45630</v>
          </cell>
          <cell r="BE27">
            <v>45631</v>
          </cell>
          <cell r="BF27">
            <v>45631</v>
          </cell>
          <cell r="BG27">
            <v>45631</v>
          </cell>
          <cell r="BH27">
            <v>45635</v>
          </cell>
          <cell r="BQ27">
            <v>88.54</v>
          </cell>
          <cell r="BR27">
            <v>45632</v>
          </cell>
          <cell r="BS27"/>
          <cell r="CE27" t="str">
            <v>NÃO</v>
          </cell>
          <cell r="CI27" t="str">
            <v/>
          </cell>
        </row>
        <row r="28">
          <cell r="A28"/>
          <cell r="B28" t="str">
            <v>076/2024</v>
          </cell>
          <cell r="E28" t="str">
            <v>STELLA</v>
          </cell>
          <cell r="F28" t="str">
            <v>DELIVERED</v>
          </cell>
          <cell r="G28" t="str">
            <v>AIR</v>
          </cell>
          <cell r="J28">
            <v>45631</v>
          </cell>
          <cell r="L28">
            <v>45634</v>
          </cell>
          <cell r="O28">
            <v>45643</v>
          </cell>
          <cell r="P28" t="str">
            <v>DTW241202FOR</v>
          </cell>
          <cell r="R28" t="str">
            <v>SBR240003000047</v>
          </cell>
          <cell r="AC28"/>
          <cell r="AD28">
            <v>45639</v>
          </cell>
          <cell r="AE28">
            <v>45639</v>
          </cell>
          <cell r="AJ28">
            <v>31283.42</v>
          </cell>
          <cell r="AK28">
            <v>45631</v>
          </cell>
          <cell r="AL28">
            <v>45635</v>
          </cell>
          <cell r="AM28">
            <v>45637</v>
          </cell>
          <cell r="AN28">
            <v>45637</v>
          </cell>
          <cell r="AO28">
            <v>45638</v>
          </cell>
          <cell r="AP28">
            <v>45639</v>
          </cell>
          <cell r="AQ28">
            <v>45639</v>
          </cell>
          <cell r="AR28">
            <v>45634</v>
          </cell>
          <cell r="AS28">
            <v>45639</v>
          </cell>
          <cell r="AT28">
            <v>45639</v>
          </cell>
          <cell r="AU28">
            <v>45642</v>
          </cell>
          <cell r="AY28">
            <v>45639</v>
          </cell>
          <cell r="AZ28">
            <v>45639</v>
          </cell>
          <cell r="BA28">
            <v>45642</v>
          </cell>
          <cell r="BB28">
            <v>45642</v>
          </cell>
          <cell r="BC28">
            <v>45642</v>
          </cell>
          <cell r="BD28">
            <v>45642</v>
          </cell>
          <cell r="BE28">
            <v>45642</v>
          </cell>
          <cell r="BF28">
            <v>45642</v>
          </cell>
          <cell r="BG28">
            <v>45643</v>
          </cell>
          <cell r="BH28">
            <v>45643</v>
          </cell>
          <cell r="BQ28">
            <v>1841.2</v>
          </cell>
          <cell r="BR28">
            <v>45667</v>
          </cell>
          <cell r="BS28"/>
          <cell r="CE28" t="str">
            <v>NÃO</v>
          </cell>
          <cell r="CI28" t="str">
            <v/>
          </cell>
        </row>
        <row r="29">
          <cell r="A29"/>
          <cell r="B29" t="str">
            <v>Z-029/2024</v>
          </cell>
          <cell r="E29" t="str">
            <v>POLYANE</v>
          </cell>
          <cell r="F29" t="str">
            <v>DELIVERED</v>
          </cell>
          <cell r="G29" t="str">
            <v>AIR</v>
          </cell>
          <cell r="J29">
            <v>45637</v>
          </cell>
          <cell r="L29">
            <v>45639</v>
          </cell>
          <cell r="O29">
            <v>45644</v>
          </cell>
          <cell r="P29" t="str">
            <v>05753992761 / DTW241205FOR</v>
          </cell>
          <cell r="R29" t="str">
            <v>PWBR240144</v>
          </cell>
          <cell r="AC29"/>
          <cell r="AD29">
            <v>45642</v>
          </cell>
          <cell r="AE29">
            <v>45642</v>
          </cell>
          <cell r="AJ29">
            <v>152235.47</v>
          </cell>
          <cell r="AK29">
            <v>45575</v>
          </cell>
          <cell r="AL29">
            <v>45636</v>
          </cell>
          <cell r="AM29">
            <v>45637</v>
          </cell>
          <cell r="AN29">
            <v>45638</v>
          </cell>
          <cell r="AO29">
            <v>45638</v>
          </cell>
          <cell r="AP29">
            <v>45637</v>
          </cell>
          <cell r="AQ29">
            <v>45642</v>
          </cell>
          <cell r="AR29">
            <v>45642</v>
          </cell>
          <cell r="AS29">
            <v>45642</v>
          </cell>
          <cell r="AT29">
            <v>45642</v>
          </cell>
          <cell r="AU29">
            <v>45642</v>
          </cell>
          <cell r="BA29">
            <v>45643</v>
          </cell>
          <cell r="BB29">
            <v>45643</v>
          </cell>
          <cell r="BC29">
            <v>45643</v>
          </cell>
          <cell r="BD29">
            <v>45643</v>
          </cell>
          <cell r="BE29">
            <v>45643</v>
          </cell>
          <cell r="BF29">
            <v>45643</v>
          </cell>
          <cell r="BG29">
            <v>45643</v>
          </cell>
          <cell r="BH29">
            <v>45644</v>
          </cell>
          <cell r="BQ29">
            <v>4696.71</v>
          </cell>
          <cell r="BR29">
            <v>45667</v>
          </cell>
          <cell r="BS29"/>
          <cell r="CE29" t="str">
            <v>NÃO</v>
          </cell>
          <cell r="CI29" t="str">
            <v/>
          </cell>
        </row>
        <row r="30">
          <cell r="A30"/>
          <cell r="B30" t="str">
            <v>078/2024</v>
          </cell>
          <cell r="E30" t="str">
            <v>STELLA</v>
          </cell>
          <cell r="F30" t="str">
            <v>DELIVERED</v>
          </cell>
          <cell r="G30" t="str">
            <v>COURIER</v>
          </cell>
          <cell r="J30">
            <v>45638</v>
          </cell>
          <cell r="L30">
            <v>45646</v>
          </cell>
          <cell r="O30">
            <v>45653</v>
          </cell>
          <cell r="P30">
            <v>8122172612</v>
          </cell>
          <cell r="R30" t="str">
            <v>SBR240003839</v>
          </cell>
          <cell r="AC30"/>
          <cell r="AD30">
            <v>45639</v>
          </cell>
          <cell r="AE30">
            <v>45639</v>
          </cell>
          <cell r="AJ30">
            <v>4433.53</v>
          </cell>
          <cell r="AR30">
            <v>45644</v>
          </cell>
          <cell r="BQ30"/>
          <cell r="BS30"/>
          <cell r="CE30" t="str">
            <v>NÃO</v>
          </cell>
          <cell r="CI30" t="str">
            <v/>
          </cell>
        </row>
        <row r="31">
          <cell r="A31"/>
          <cell r="B31" t="str">
            <v>070C/2024</v>
          </cell>
          <cell r="E31" t="str">
            <v>STELLA</v>
          </cell>
          <cell r="F31" t="str">
            <v>DELIVERED</v>
          </cell>
          <cell r="G31" t="str">
            <v>SEA</v>
          </cell>
          <cell r="J31">
            <v>45612</v>
          </cell>
          <cell r="L31">
            <v>45668</v>
          </cell>
          <cell r="O31">
            <v>45685</v>
          </cell>
          <cell r="P31" t="str">
            <v>CN103791549</v>
          </cell>
          <cell r="R31" t="str">
            <v>PWBR24013410C</v>
          </cell>
          <cell r="T31" t="str">
            <v>CGMU5282316 / CXRU1246062 / FSCU5696863</v>
          </cell>
          <cell r="U31">
            <v>3</v>
          </cell>
          <cell r="AC31"/>
          <cell r="AD31">
            <v>45673</v>
          </cell>
          <cell r="AE31">
            <v>45674</v>
          </cell>
          <cell r="AJ31">
            <v>845894.76</v>
          </cell>
          <cell r="AK31">
            <v>45632</v>
          </cell>
          <cell r="AL31">
            <v>45635</v>
          </cell>
          <cell r="AM31">
            <v>45672</v>
          </cell>
          <cell r="AN31">
            <v>45673</v>
          </cell>
          <cell r="AO31">
            <v>45673</v>
          </cell>
          <cell r="AP31">
            <v>45667</v>
          </cell>
          <cell r="AQ31">
            <v>45673</v>
          </cell>
          <cell r="AR31">
            <v>45670</v>
          </cell>
          <cell r="AS31">
            <v>45673</v>
          </cell>
          <cell r="AT31">
            <v>45674</v>
          </cell>
          <cell r="AU31">
            <v>45674</v>
          </cell>
          <cell r="AY31">
            <v>45674</v>
          </cell>
          <cell r="AZ31">
            <v>45674</v>
          </cell>
          <cell r="BA31">
            <v>45677</v>
          </cell>
          <cell r="BB31">
            <v>45677</v>
          </cell>
          <cell r="BC31">
            <v>45678</v>
          </cell>
          <cell r="BD31">
            <v>45677</v>
          </cell>
          <cell r="BE31">
            <v>45678</v>
          </cell>
          <cell r="BF31">
            <v>45678</v>
          </cell>
          <cell r="BG31">
            <v>45679</v>
          </cell>
          <cell r="BH31">
            <v>45684</v>
          </cell>
          <cell r="BQ31">
            <v>2127.33</v>
          </cell>
          <cell r="BR31">
            <v>45681</v>
          </cell>
          <cell r="BS31">
            <v>3508.42</v>
          </cell>
          <cell r="BT31">
            <v>45806</v>
          </cell>
          <cell r="CD31">
            <v>45687</v>
          </cell>
          <cell r="CE31" t="str">
            <v>SIM  1 dias</v>
          </cell>
          <cell r="CI31">
            <v>45686</v>
          </cell>
        </row>
        <row r="32">
          <cell r="A32"/>
          <cell r="B32" t="str">
            <v>077/2024</v>
          </cell>
          <cell r="E32" t="str">
            <v>STELLA</v>
          </cell>
          <cell r="F32" t="str">
            <v>DELIVERED</v>
          </cell>
          <cell r="G32" t="str">
            <v>AIR</v>
          </cell>
          <cell r="J32">
            <v>45666</v>
          </cell>
          <cell r="L32">
            <v>45669</v>
          </cell>
          <cell r="O32">
            <v>45686</v>
          </cell>
          <cell r="P32" t="str">
            <v>05754348000
DTW250106FOR</v>
          </cell>
          <cell r="R32" t="str">
            <v>SBR240003400041</v>
          </cell>
          <cell r="U32" t="str">
            <v>N/A</v>
          </cell>
          <cell r="AC32"/>
          <cell r="AD32">
            <v>45681</v>
          </cell>
          <cell r="AE32">
            <v>45684</v>
          </cell>
          <cell r="AJ32">
            <v>38385.620000000003</v>
          </cell>
          <cell r="AK32">
            <v>45670</v>
          </cell>
          <cell r="AL32">
            <v>45670</v>
          </cell>
          <cell r="AM32">
            <v>45674</v>
          </cell>
          <cell r="AN32">
            <v>45678</v>
          </cell>
          <cell r="AO32">
            <v>45680</v>
          </cell>
          <cell r="AP32">
            <v>45681</v>
          </cell>
          <cell r="AQ32">
            <v>45681</v>
          </cell>
          <cell r="AR32">
            <v>45669</v>
          </cell>
          <cell r="AS32">
            <v>45681</v>
          </cell>
          <cell r="AT32">
            <v>45684</v>
          </cell>
          <cell r="AU32">
            <v>45684</v>
          </cell>
          <cell r="AV32">
            <v>45684</v>
          </cell>
          <cell r="AW32">
            <v>45684</v>
          </cell>
          <cell r="AX32">
            <v>45685</v>
          </cell>
          <cell r="BD32">
            <v>45684</v>
          </cell>
          <cell r="BE32">
            <v>45684</v>
          </cell>
          <cell r="BF32">
            <v>45685</v>
          </cell>
          <cell r="BG32">
            <v>45686</v>
          </cell>
          <cell r="BH32">
            <v>45686</v>
          </cell>
          <cell r="BQ32">
            <v>2252.85</v>
          </cell>
          <cell r="BS32"/>
          <cell r="CE32" t="str">
            <v>NÃO</v>
          </cell>
          <cell r="CI32" t="str">
            <v/>
          </cell>
        </row>
        <row r="33">
          <cell r="A33"/>
          <cell r="B33" t="str">
            <v>Z-030/2024</v>
          </cell>
          <cell r="E33" t="str">
            <v>POLYANE</v>
          </cell>
          <cell r="F33" t="str">
            <v>DELIVERED</v>
          </cell>
          <cell r="G33" t="str">
            <v>COURIER</v>
          </cell>
          <cell r="J33">
            <v>45664</v>
          </cell>
          <cell r="L33">
            <v>45670</v>
          </cell>
          <cell r="O33">
            <v>45699</v>
          </cell>
          <cell r="P33">
            <v>5237519000</v>
          </cell>
          <cell r="R33" t="str">
            <v>PWBR230006/SBR2400032/37</v>
          </cell>
          <cell r="AC33"/>
          <cell r="AD33">
            <v>45681</v>
          </cell>
          <cell r="AE33">
            <v>45682</v>
          </cell>
          <cell r="AJ33">
            <v>10633.77</v>
          </cell>
          <cell r="AK33">
            <v>45670</v>
          </cell>
          <cell r="AL33">
            <v>45670</v>
          </cell>
          <cell r="AM33">
            <v>45677</v>
          </cell>
          <cell r="AN33">
            <v>45677</v>
          </cell>
          <cell r="AO33">
            <v>45679</v>
          </cell>
          <cell r="AP33">
            <v>45681</v>
          </cell>
          <cell r="AQ33">
            <v>45681</v>
          </cell>
          <cell r="AR33">
            <v>45667</v>
          </cell>
          <cell r="AS33">
            <v>45681</v>
          </cell>
          <cell r="AT33">
            <v>45686</v>
          </cell>
          <cell r="AU33">
            <v>45686</v>
          </cell>
          <cell r="AY33">
            <v>45685</v>
          </cell>
          <cell r="AZ33">
            <v>45686</v>
          </cell>
          <cell r="BA33">
            <v>45693</v>
          </cell>
          <cell r="BB33">
            <v>45688</v>
          </cell>
          <cell r="BC33">
            <v>45692</v>
          </cell>
          <cell r="BD33">
            <v>45693</v>
          </cell>
          <cell r="BE33">
            <v>45694</v>
          </cell>
          <cell r="BF33">
            <v>45694</v>
          </cell>
          <cell r="BG33">
            <v>45695</v>
          </cell>
          <cell r="BH33">
            <v>45699</v>
          </cell>
          <cell r="BQ33">
            <v>1588.11</v>
          </cell>
          <cell r="BR33">
            <v>45687</v>
          </cell>
          <cell r="BS33"/>
          <cell r="CE33" t="str">
            <v>NÃO</v>
          </cell>
          <cell r="CI33" t="str">
            <v/>
          </cell>
        </row>
        <row r="34">
          <cell r="A34"/>
          <cell r="B34" t="str">
            <v>NH-003/2025</v>
          </cell>
          <cell r="E34" t="str">
            <v>POLYANE</v>
          </cell>
          <cell r="F34" t="str">
            <v>DELIVERED</v>
          </cell>
          <cell r="G34" t="str">
            <v>AIR</v>
          </cell>
          <cell r="J34">
            <v>45673</v>
          </cell>
          <cell r="L34">
            <v>45676</v>
          </cell>
          <cell r="O34">
            <v>45691</v>
          </cell>
          <cell r="P34" t="str">
            <v>DTW250113FOR</v>
          </cell>
          <cell r="R34" t="str">
            <v>PW2025003</v>
          </cell>
          <cell r="U34" t="str">
            <v>N/A</v>
          </cell>
          <cell r="AC34"/>
          <cell r="AD34">
            <v>45684</v>
          </cell>
          <cell r="AE34">
            <v>45684</v>
          </cell>
          <cell r="AJ34">
            <v>6740.33</v>
          </cell>
          <cell r="AK34">
            <v>45673</v>
          </cell>
          <cell r="AL34">
            <v>45673</v>
          </cell>
          <cell r="AM34">
            <v>45677</v>
          </cell>
          <cell r="AN34">
            <v>45678</v>
          </cell>
          <cell r="AO34">
            <v>45684</v>
          </cell>
          <cell r="AP34">
            <v>45684</v>
          </cell>
          <cell r="AQ34">
            <v>45684</v>
          </cell>
          <cell r="AR34">
            <v>45676</v>
          </cell>
          <cell r="AS34">
            <v>45684</v>
          </cell>
          <cell r="AT34">
            <v>45685</v>
          </cell>
          <cell r="AU34">
            <v>45685</v>
          </cell>
          <cell r="AY34">
            <v>45685</v>
          </cell>
          <cell r="AZ34">
            <v>45685</v>
          </cell>
          <cell r="BA34">
            <v>45687</v>
          </cell>
          <cell r="BB34">
            <v>45687</v>
          </cell>
          <cell r="BC34">
            <v>45688</v>
          </cell>
          <cell r="BD34">
            <v>45687</v>
          </cell>
          <cell r="BE34">
            <v>45688</v>
          </cell>
          <cell r="BF34">
            <v>45688</v>
          </cell>
          <cell r="BG34">
            <v>45691</v>
          </cell>
          <cell r="BH34">
            <v>45691</v>
          </cell>
          <cell r="BQ34">
            <v>909.02</v>
          </cell>
          <cell r="BR34">
            <v>45729</v>
          </cell>
          <cell r="BS34"/>
          <cell r="CE34" t="str">
            <v>NÃO</v>
          </cell>
          <cell r="CI34" t="str">
            <v/>
          </cell>
        </row>
        <row r="35">
          <cell r="A35"/>
          <cell r="B35" t="str">
            <v>082/2024</v>
          </cell>
          <cell r="E35" t="str">
            <v>STELLA</v>
          </cell>
          <cell r="F35" t="str">
            <v>DELIVERED</v>
          </cell>
          <cell r="G35" t="str">
            <v>AIR</v>
          </cell>
          <cell r="J35">
            <v>45680</v>
          </cell>
          <cell r="L35">
            <v>45685</v>
          </cell>
          <cell r="O35">
            <v>45693</v>
          </cell>
          <cell r="P35" t="str">
            <v xml:space="preserve">05753993015 
DTW250123FOR </v>
          </cell>
          <cell r="R35" t="str">
            <v xml:space="preserve">PWBR24016810 </v>
          </cell>
          <cell r="U35" t="str">
            <v>N/A</v>
          </cell>
          <cell r="AC35"/>
          <cell r="AD35">
            <v>45686</v>
          </cell>
          <cell r="AE35">
            <v>45686</v>
          </cell>
          <cell r="AJ35">
            <v>20062.95</v>
          </cell>
          <cell r="AK35">
            <v>45679</v>
          </cell>
          <cell r="AL35">
            <v>45680</v>
          </cell>
          <cell r="AM35">
            <v>45681</v>
          </cell>
          <cell r="AN35">
            <v>45681</v>
          </cell>
          <cell r="AO35">
            <v>45681</v>
          </cell>
          <cell r="AP35">
            <v>45684</v>
          </cell>
          <cell r="AQ35">
            <v>45686</v>
          </cell>
          <cell r="AR35">
            <v>45685</v>
          </cell>
          <cell r="AS35">
            <v>45686</v>
          </cell>
          <cell r="AT35">
            <v>45686</v>
          </cell>
          <cell r="AU35">
            <v>45688</v>
          </cell>
          <cell r="AY35">
            <v>45687</v>
          </cell>
          <cell r="AZ35">
            <v>45691</v>
          </cell>
          <cell r="BA35">
            <v>45691</v>
          </cell>
          <cell r="BB35">
            <v>45691</v>
          </cell>
          <cell r="BC35">
            <v>45692</v>
          </cell>
          <cell r="BD35">
            <v>45691</v>
          </cell>
          <cell r="BE35">
            <v>45692</v>
          </cell>
          <cell r="BF35">
            <v>45692</v>
          </cell>
          <cell r="BG35">
            <v>45692</v>
          </cell>
          <cell r="BH35">
            <v>45693</v>
          </cell>
          <cell r="BQ35">
            <v>1224.58</v>
          </cell>
          <cell r="BR35">
            <v>45729</v>
          </cell>
          <cell r="BS35"/>
          <cell r="CE35" t="str">
            <v>NÃO</v>
          </cell>
          <cell r="CI35" t="str">
            <v/>
          </cell>
        </row>
        <row r="36">
          <cell r="A36"/>
          <cell r="B36" t="str">
            <v>NH-006/2025</v>
          </cell>
          <cell r="E36" t="str">
            <v>POLYANE</v>
          </cell>
          <cell r="F36" t="str">
            <v>DELIVERED</v>
          </cell>
          <cell r="G36" t="str">
            <v>AIR</v>
          </cell>
          <cell r="J36">
            <v>45680</v>
          </cell>
          <cell r="L36">
            <v>45685</v>
          </cell>
          <cell r="O36">
            <v>45701</v>
          </cell>
          <cell r="P36" t="str">
            <v>05753993052
DTW250125FOR</v>
          </cell>
          <cell r="R36" t="str">
            <v>PW2025006</v>
          </cell>
          <cell r="U36" t="str">
            <v>N/A</v>
          </cell>
          <cell r="AC36"/>
          <cell r="AD36">
            <v>45687</v>
          </cell>
          <cell r="AE36">
            <v>45688</v>
          </cell>
          <cell r="AJ36">
            <v>22977.69</v>
          </cell>
          <cell r="AK36">
            <v>45681</v>
          </cell>
          <cell r="AL36">
            <v>45681</v>
          </cell>
          <cell r="AM36">
            <v>45681</v>
          </cell>
          <cell r="AN36">
            <v>45684</v>
          </cell>
          <cell r="AO36">
            <v>45686</v>
          </cell>
          <cell r="AP36">
            <v>45687</v>
          </cell>
          <cell r="AQ36">
            <v>45687</v>
          </cell>
          <cell r="AR36">
            <v>45685</v>
          </cell>
          <cell r="AS36">
            <v>45687</v>
          </cell>
          <cell r="AT36">
            <v>45688</v>
          </cell>
          <cell r="AU36">
            <v>45688</v>
          </cell>
          <cell r="AV36">
            <v>45688</v>
          </cell>
          <cell r="AW36">
            <v>45688</v>
          </cell>
          <cell r="AX36">
            <v>45688</v>
          </cell>
          <cell r="BD36">
            <v>45688</v>
          </cell>
          <cell r="BE36">
            <v>45700</v>
          </cell>
          <cell r="BF36">
            <v>45700</v>
          </cell>
          <cell r="BG36">
            <v>45700</v>
          </cell>
          <cell r="BH36">
            <v>45701</v>
          </cell>
          <cell r="BQ36">
            <v>1408.83</v>
          </cell>
          <cell r="BR36">
            <v>45729</v>
          </cell>
          <cell r="BS36"/>
          <cell r="CE36" t="str">
            <v>NÃO</v>
          </cell>
          <cell r="CI36" t="str">
            <v/>
          </cell>
        </row>
        <row r="37">
          <cell r="A37"/>
          <cell r="B37" t="str">
            <v>005/2025</v>
          </cell>
          <cell r="E37" t="str">
            <v>STELLA</v>
          </cell>
          <cell r="F37" t="str">
            <v>DELIVERED</v>
          </cell>
          <cell r="G37" t="str">
            <v>COURIER</v>
          </cell>
          <cell r="J37">
            <v>45677</v>
          </cell>
          <cell r="L37">
            <v>45686</v>
          </cell>
          <cell r="O37">
            <v>45706</v>
          </cell>
          <cell r="P37" t="str">
            <v>13 0380 8951</v>
          </cell>
          <cell r="R37" t="str">
            <v>SBR240004910</v>
          </cell>
          <cell r="AC37"/>
          <cell r="AD37">
            <v>45679</v>
          </cell>
          <cell r="AE37">
            <v>45679</v>
          </cell>
          <cell r="AJ37">
            <v>3641.44</v>
          </cell>
          <cell r="AR37">
            <v>45681</v>
          </cell>
          <cell r="BQ37"/>
          <cell r="BS37"/>
          <cell r="CE37" t="str">
            <v>NÃO</v>
          </cell>
          <cell r="CI37" t="str">
            <v/>
          </cell>
        </row>
        <row r="38">
          <cell r="A38"/>
          <cell r="B38" t="str">
            <v>LH-001.2024</v>
          </cell>
          <cell r="E38" t="str">
            <v>POLYANE</v>
          </cell>
          <cell r="F38" t="str">
            <v>DELIVERED</v>
          </cell>
          <cell r="G38" t="str">
            <v>COURIER</v>
          </cell>
          <cell r="J38">
            <v>45645</v>
          </cell>
          <cell r="L38">
            <v>45649</v>
          </cell>
          <cell r="O38">
            <v>45680</v>
          </cell>
          <cell r="P38">
            <v>2321267966</v>
          </cell>
          <cell r="R38" t="str">
            <v>PWBR240153+WX1013786</v>
          </cell>
          <cell r="AC38"/>
          <cell r="AD38">
            <v>45670</v>
          </cell>
          <cell r="AE38">
            <v>45671</v>
          </cell>
          <cell r="AJ38">
            <v>15293.68</v>
          </cell>
          <cell r="AK38">
            <v>45652</v>
          </cell>
          <cell r="AL38">
            <v>45664</v>
          </cell>
          <cell r="AM38">
            <v>45664</v>
          </cell>
          <cell r="AN38">
            <v>45664</v>
          </cell>
          <cell r="AO38">
            <v>45664</v>
          </cell>
          <cell r="AP38">
            <v>45664</v>
          </cell>
          <cell r="AQ38">
            <v>45667</v>
          </cell>
          <cell r="AR38">
            <v>45649</v>
          </cell>
          <cell r="AS38">
            <v>45667</v>
          </cell>
          <cell r="AT38">
            <v>45670</v>
          </cell>
          <cell r="AU38">
            <v>45670</v>
          </cell>
          <cell r="AV38">
            <v>45670</v>
          </cell>
          <cell r="AW38">
            <v>45670</v>
          </cell>
          <cell r="AX38">
            <v>45670</v>
          </cell>
          <cell r="AY38">
            <v>45670</v>
          </cell>
          <cell r="AZ38">
            <v>45670</v>
          </cell>
          <cell r="BA38">
            <v>45670</v>
          </cell>
          <cell r="BB38">
            <v>45671</v>
          </cell>
          <cell r="BC38">
            <v>45671</v>
          </cell>
          <cell r="BD38">
            <v>45671</v>
          </cell>
          <cell r="BE38">
            <v>45671</v>
          </cell>
          <cell r="BF38">
            <v>45671</v>
          </cell>
          <cell r="BG38">
            <v>45672</v>
          </cell>
          <cell r="BH38">
            <v>45673</v>
          </cell>
          <cell r="BQ38"/>
          <cell r="BS38"/>
          <cell r="CE38" t="str">
            <v>NÃO</v>
          </cell>
          <cell r="CI38" t="str">
            <v/>
          </cell>
        </row>
        <row r="39">
          <cell r="A39"/>
          <cell r="B39" t="str">
            <v>Z-028/2024</v>
          </cell>
          <cell r="E39" t="str">
            <v>POLYANE</v>
          </cell>
          <cell r="F39" t="str">
            <v>DELIVERED</v>
          </cell>
          <cell r="G39" t="str">
            <v>SEA</v>
          </cell>
          <cell r="J39">
            <v>45646</v>
          </cell>
          <cell r="L39">
            <v>45689</v>
          </cell>
          <cell r="O39">
            <v>45699</v>
          </cell>
          <cell r="P39" t="str">
            <v>CN0103811118</v>
          </cell>
          <cell r="R39" t="str">
            <v>PWBR240131A</v>
          </cell>
          <cell r="T39" t="str">
            <v>SEGU4966687</v>
          </cell>
          <cell r="U39">
            <v>1</v>
          </cell>
          <cell r="AC39"/>
          <cell r="AD39">
            <v>45694</v>
          </cell>
          <cell r="AE39">
            <v>45694</v>
          </cell>
          <cell r="AJ39">
            <v>1027402.6</v>
          </cell>
          <cell r="AK39">
            <v>45666</v>
          </cell>
          <cell r="AL39">
            <v>45681</v>
          </cell>
          <cell r="AM39">
            <v>45681</v>
          </cell>
          <cell r="AN39">
            <v>45685</v>
          </cell>
          <cell r="AO39">
            <v>45691</v>
          </cell>
          <cell r="AP39">
            <v>45691</v>
          </cell>
          <cell r="AQ39">
            <v>45693</v>
          </cell>
          <cell r="AR39">
            <v>45691</v>
          </cell>
          <cell r="AS39">
            <v>45694</v>
          </cell>
          <cell r="AT39">
            <v>45694</v>
          </cell>
          <cell r="AU39">
            <v>45694</v>
          </cell>
          <cell r="AY39">
            <v>45694</v>
          </cell>
          <cell r="AZ39">
            <v>45694</v>
          </cell>
          <cell r="BA39">
            <v>45695</v>
          </cell>
          <cell r="BB39">
            <v>45695</v>
          </cell>
          <cell r="BC39">
            <v>45695</v>
          </cell>
          <cell r="BD39">
            <v>45695</v>
          </cell>
          <cell r="BE39">
            <v>45696</v>
          </cell>
          <cell r="BF39">
            <v>45696</v>
          </cell>
          <cell r="BG39">
            <v>45698</v>
          </cell>
          <cell r="BH39">
            <v>45699</v>
          </cell>
          <cell r="BQ39">
            <v>735.88</v>
          </cell>
          <cell r="BR39">
            <v>45729</v>
          </cell>
          <cell r="CD39">
            <v>45700</v>
          </cell>
          <cell r="CE39" t="str">
            <v>NÃO</v>
          </cell>
          <cell r="CI39">
            <v>45707</v>
          </cell>
        </row>
        <row r="40">
          <cell r="A40"/>
          <cell r="B40" t="str">
            <v>Z-028B/2024</v>
          </cell>
          <cell r="E40" t="str">
            <v>POLYANE</v>
          </cell>
          <cell r="F40" t="str">
            <v>DELIVERED</v>
          </cell>
          <cell r="G40" t="str">
            <v>SEA</v>
          </cell>
          <cell r="J40">
            <v>45646</v>
          </cell>
          <cell r="L40">
            <v>45689</v>
          </cell>
          <cell r="O40">
            <v>45698</v>
          </cell>
          <cell r="P40" t="str">
            <v>CN0103811113</v>
          </cell>
          <cell r="R40" t="str">
            <v>PWBR240131B</v>
          </cell>
          <cell r="T40" t="str">
            <v>AMCU9314710 ; TTNU8836021</v>
          </cell>
          <cell r="U40">
            <v>2</v>
          </cell>
          <cell r="AC40"/>
          <cell r="AD40">
            <v>45691</v>
          </cell>
          <cell r="AE40">
            <v>45691</v>
          </cell>
          <cell r="AJ40">
            <v>133393.38</v>
          </cell>
          <cell r="AK40">
            <v>45666</v>
          </cell>
          <cell r="AL40">
            <v>45666</v>
          </cell>
          <cell r="AM40">
            <v>45673</v>
          </cell>
          <cell r="AN40">
            <v>45674</v>
          </cell>
          <cell r="AO40">
            <v>45685</v>
          </cell>
          <cell r="AP40">
            <v>45686</v>
          </cell>
          <cell r="AQ40">
            <v>45691</v>
          </cell>
          <cell r="AR40">
            <v>45691</v>
          </cell>
          <cell r="AS40">
            <v>45691</v>
          </cell>
          <cell r="AT40">
            <v>45691</v>
          </cell>
          <cell r="AU40">
            <v>45692</v>
          </cell>
          <cell r="AY40">
            <v>45691</v>
          </cell>
          <cell r="AZ40">
            <v>45691</v>
          </cell>
          <cell r="BA40">
            <v>45692</v>
          </cell>
          <cell r="BB40">
            <v>45692</v>
          </cell>
          <cell r="BC40">
            <v>45693</v>
          </cell>
          <cell r="BD40">
            <v>45692</v>
          </cell>
          <cell r="BE40">
            <v>45695</v>
          </cell>
          <cell r="BF40">
            <v>45695</v>
          </cell>
          <cell r="BG40">
            <v>45696</v>
          </cell>
          <cell r="BH40">
            <v>45698</v>
          </cell>
          <cell r="BQ40"/>
          <cell r="CD40">
            <v>45699</v>
          </cell>
          <cell r="CE40" t="str">
            <v>NÃO</v>
          </cell>
          <cell r="CI40">
            <v>45707</v>
          </cell>
        </row>
        <row r="41">
          <cell r="A41"/>
          <cell r="B41" t="str">
            <v>Z-032/2024</v>
          </cell>
          <cell r="E41" t="str">
            <v>POLYANE</v>
          </cell>
          <cell r="F41" t="str">
            <v>DELIVERED</v>
          </cell>
          <cell r="G41" t="str">
            <v>AIR</v>
          </cell>
          <cell r="J41">
            <v>45648</v>
          </cell>
          <cell r="L41">
            <v>45655</v>
          </cell>
          <cell r="O41">
            <v>45672</v>
          </cell>
          <cell r="P41" t="str">
            <v xml:space="preserve">05753992820 
DTW241218FOR </v>
          </cell>
          <cell r="R41" t="str">
            <v>PWBR240160</v>
          </cell>
          <cell r="U41" t="str">
            <v>N/A</v>
          </cell>
          <cell r="AC41"/>
          <cell r="AD41">
            <v>45665</v>
          </cell>
          <cell r="AE41">
            <v>45666</v>
          </cell>
          <cell r="AJ41">
            <v>8776.06</v>
          </cell>
          <cell r="AK41">
            <v>45652</v>
          </cell>
          <cell r="AL41">
            <v>45652</v>
          </cell>
          <cell r="AM41">
            <v>45656</v>
          </cell>
          <cell r="AN41">
            <v>45659</v>
          </cell>
          <cell r="AO41">
            <v>45664</v>
          </cell>
          <cell r="AP41">
            <v>45664</v>
          </cell>
          <cell r="AQ41">
            <v>45665</v>
          </cell>
          <cell r="AR41">
            <v>45655</v>
          </cell>
          <cell r="AS41">
            <v>45665</v>
          </cell>
          <cell r="AT41">
            <v>45666</v>
          </cell>
          <cell r="AU41">
            <v>45666</v>
          </cell>
          <cell r="AV41"/>
          <cell r="AW41"/>
          <cell r="AX41"/>
          <cell r="AY41">
            <v>45666</v>
          </cell>
          <cell r="AZ41">
            <v>45666</v>
          </cell>
          <cell r="BA41">
            <v>45670</v>
          </cell>
          <cell r="BB41">
            <v>45670</v>
          </cell>
          <cell r="BC41">
            <v>45671</v>
          </cell>
          <cell r="BD41">
            <v>45670</v>
          </cell>
          <cell r="BE41">
            <v>45671</v>
          </cell>
          <cell r="BF41">
            <v>45671</v>
          </cell>
          <cell r="BG41">
            <v>45672</v>
          </cell>
          <cell r="BH41">
            <v>45672</v>
          </cell>
          <cell r="BQ41">
            <v>1435.78</v>
          </cell>
          <cell r="BR41">
            <v>45699</v>
          </cell>
          <cell r="BS41"/>
          <cell r="CE41" t="str">
            <v>NÃO</v>
          </cell>
          <cell r="CI41" t="str">
            <v/>
          </cell>
        </row>
        <row r="42">
          <cell r="A42"/>
          <cell r="B42" t="str">
            <v>079/2024</v>
          </cell>
          <cell r="E42" t="str">
            <v>STELLA</v>
          </cell>
          <cell r="F42" t="str">
            <v>DELIVERED</v>
          </cell>
          <cell r="G42" t="str">
            <v>AIR</v>
          </cell>
          <cell r="J42">
            <v>45651</v>
          </cell>
          <cell r="L42">
            <v>45653</v>
          </cell>
          <cell r="O42">
            <v>45680</v>
          </cell>
          <cell r="P42" t="str">
            <v xml:space="preserve">07467642304 
DTW241220FOR </v>
          </cell>
          <cell r="R42" t="str">
            <v>PWBR240143</v>
          </cell>
          <cell r="U42" t="str">
            <v>N/A</v>
          </cell>
          <cell r="AC42"/>
          <cell r="AD42">
            <v>45667</v>
          </cell>
          <cell r="AE42">
            <v>45667</v>
          </cell>
          <cell r="AJ42">
            <v>24857.040000000001</v>
          </cell>
          <cell r="AK42">
            <v>45652</v>
          </cell>
          <cell r="AL42">
            <v>45652</v>
          </cell>
          <cell r="AM42">
            <v>45656</v>
          </cell>
          <cell r="AN42">
            <v>45659</v>
          </cell>
          <cell r="AO42">
            <v>45666</v>
          </cell>
          <cell r="AP42">
            <v>45666</v>
          </cell>
          <cell r="AQ42">
            <v>45666</v>
          </cell>
          <cell r="AR42">
            <v>45653</v>
          </cell>
          <cell r="AS42">
            <v>45667</v>
          </cell>
          <cell r="AT42">
            <v>45670</v>
          </cell>
          <cell r="AU42">
            <v>45670</v>
          </cell>
          <cell r="AV42">
            <v>45670</v>
          </cell>
          <cell r="AW42">
            <v>45670</v>
          </cell>
          <cell r="AX42">
            <v>45670</v>
          </cell>
          <cell r="AY42">
            <v>45670</v>
          </cell>
          <cell r="AZ42">
            <v>45670</v>
          </cell>
          <cell r="BA42">
            <v>45671</v>
          </cell>
          <cell r="BB42">
            <v>45672</v>
          </cell>
          <cell r="BC42">
            <v>45673</v>
          </cell>
          <cell r="BD42">
            <v>45672</v>
          </cell>
          <cell r="BE42">
            <v>45679</v>
          </cell>
          <cell r="BF42">
            <v>45679</v>
          </cell>
          <cell r="BG42">
            <v>45679</v>
          </cell>
          <cell r="BH42">
            <v>45680</v>
          </cell>
          <cell r="BQ42">
            <v>3480.24</v>
          </cell>
          <cell r="BR42">
            <v>45699</v>
          </cell>
          <cell r="BS42"/>
          <cell r="CE42" t="str">
            <v>NÃO</v>
          </cell>
          <cell r="CI42" t="str">
            <v/>
          </cell>
        </row>
        <row r="43">
          <cell r="A43"/>
          <cell r="B43" t="str">
            <v>081/2024</v>
          </cell>
          <cell r="E43" t="str">
            <v>STELLA</v>
          </cell>
          <cell r="F43" t="str">
            <v>DELIVERED</v>
          </cell>
          <cell r="G43" t="str">
            <v>AIR</v>
          </cell>
          <cell r="J43">
            <v>45655</v>
          </cell>
          <cell r="L43">
            <v>45657</v>
          </cell>
          <cell r="O43">
            <v>45677</v>
          </cell>
          <cell r="P43" t="str">
            <v xml:space="preserve">05753992912
DTW241227FOR </v>
          </cell>
          <cell r="R43" t="str">
            <v xml:space="preserve">PWBR24004260 </v>
          </cell>
          <cell r="U43" t="str">
            <v>N/A</v>
          </cell>
          <cell r="AC43"/>
          <cell r="AD43">
            <v>45670</v>
          </cell>
          <cell r="AE43">
            <v>45670</v>
          </cell>
          <cell r="AJ43">
            <v>283648.36</v>
          </cell>
          <cell r="AK43">
            <v>45656</v>
          </cell>
          <cell r="AL43">
            <v>45659</v>
          </cell>
          <cell r="AM43">
            <v>45660</v>
          </cell>
          <cell r="AN43">
            <v>45665</v>
          </cell>
          <cell r="AO43">
            <v>45666</v>
          </cell>
          <cell r="AP43">
            <v>45667</v>
          </cell>
          <cell r="AQ43">
            <v>45667</v>
          </cell>
          <cell r="AR43">
            <v>45670</v>
          </cell>
          <cell r="AS43">
            <v>45670</v>
          </cell>
          <cell r="AT43">
            <v>45670</v>
          </cell>
          <cell r="AU43">
            <v>45671</v>
          </cell>
          <cell r="AZ43">
            <v>45670</v>
          </cell>
          <cell r="BA43">
            <v>45672</v>
          </cell>
          <cell r="BB43">
            <v>45672</v>
          </cell>
          <cell r="BC43">
            <v>45673</v>
          </cell>
          <cell r="BD43">
            <v>45672</v>
          </cell>
          <cell r="BE43">
            <v>45673</v>
          </cell>
          <cell r="BF43">
            <v>45673</v>
          </cell>
          <cell r="BG43">
            <v>45674</v>
          </cell>
          <cell r="BH43">
            <v>45677</v>
          </cell>
          <cell r="BQ43">
            <v>31153.07</v>
          </cell>
          <cell r="BR43">
            <v>45699</v>
          </cell>
          <cell r="BS43"/>
          <cell r="CE43" t="str">
            <v>NÃO</v>
          </cell>
          <cell r="CI43" t="str">
            <v/>
          </cell>
        </row>
        <row r="44">
          <cell r="A44"/>
          <cell r="B44" t="str">
            <v>GE-006/2024</v>
          </cell>
          <cell r="E44" t="str">
            <v>POLYANE</v>
          </cell>
          <cell r="F44" t="str">
            <v>DELIVERED</v>
          </cell>
          <cell r="G44" t="str">
            <v>AIR</v>
          </cell>
          <cell r="J44">
            <v>45656</v>
          </cell>
          <cell r="L44">
            <v>45662</v>
          </cell>
          <cell r="O44">
            <v>45672</v>
          </cell>
          <cell r="P44">
            <v>125144</v>
          </cell>
          <cell r="R44">
            <v>90209873</v>
          </cell>
          <cell r="U44" t="str">
            <v>N/A</v>
          </cell>
          <cell r="AC44"/>
          <cell r="AD44">
            <v>45667</v>
          </cell>
          <cell r="AE44">
            <v>45668</v>
          </cell>
          <cell r="AJ44">
            <v>373649.45</v>
          </cell>
          <cell r="AK44">
            <v>45663</v>
          </cell>
          <cell r="AL44">
            <v>45664</v>
          </cell>
          <cell r="AM44">
            <v>45664</v>
          </cell>
          <cell r="AN44">
            <v>45665</v>
          </cell>
          <cell r="AO44">
            <v>45666</v>
          </cell>
          <cell r="AP44">
            <v>45665</v>
          </cell>
          <cell r="AQ44">
            <v>45667</v>
          </cell>
          <cell r="AR44">
            <v>45662</v>
          </cell>
          <cell r="AS44">
            <v>45667</v>
          </cell>
          <cell r="AT44">
            <v>45670</v>
          </cell>
          <cell r="AU44">
            <v>45670</v>
          </cell>
          <cell r="AV44">
            <v>45670</v>
          </cell>
          <cell r="AW44">
            <v>45670</v>
          </cell>
          <cell r="AX44">
            <v>45670</v>
          </cell>
          <cell r="AY44"/>
          <cell r="AZ44"/>
          <cell r="BA44"/>
          <cell r="BB44"/>
          <cell r="BC44"/>
          <cell r="BD44">
            <v>45670</v>
          </cell>
          <cell r="BE44">
            <v>45671</v>
          </cell>
          <cell r="BF44">
            <v>45671</v>
          </cell>
          <cell r="BG44">
            <v>45672</v>
          </cell>
          <cell r="BH44">
            <v>45672</v>
          </cell>
          <cell r="BQ44">
            <v>10996.61</v>
          </cell>
          <cell r="BR44">
            <v>45699</v>
          </cell>
          <cell r="BS44"/>
          <cell r="CE44" t="str">
            <v>NÃO</v>
          </cell>
          <cell r="CI44" t="str">
            <v/>
          </cell>
        </row>
        <row r="45">
          <cell r="A45"/>
          <cell r="B45" t="str">
            <v>073A/2024</v>
          </cell>
          <cell r="E45" t="str">
            <v>STELLA</v>
          </cell>
          <cell r="F45" t="str">
            <v>DELIVERED</v>
          </cell>
          <cell r="G45" t="str">
            <v>SEA</v>
          </cell>
          <cell r="J45">
            <v>45643</v>
          </cell>
          <cell r="L45">
            <v>45699</v>
          </cell>
          <cell r="O45">
            <v>45717</v>
          </cell>
          <cell r="P45" t="str">
            <v>M: NGP1896886
H: CN103962738</v>
          </cell>
          <cell r="R45" t="str">
            <v>PWBR24014010A</v>
          </cell>
          <cell r="T45" t="str">
            <v>APZU4444487 ; APZU4744252 ; BMOU3076819</v>
          </cell>
          <cell r="U45">
            <v>3</v>
          </cell>
          <cell r="AC45"/>
          <cell r="AD45">
            <v>45706</v>
          </cell>
          <cell r="AE45">
            <v>45707</v>
          </cell>
          <cell r="AJ45">
            <v>1013698.37</v>
          </cell>
          <cell r="AK45">
            <v>45679</v>
          </cell>
          <cell r="AL45">
            <v>45681</v>
          </cell>
          <cell r="AM45">
            <v>45681</v>
          </cell>
          <cell r="AN45">
            <v>45681</v>
          </cell>
          <cell r="AO45">
            <v>45684</v>
          </cell>
          <cell r="AP45">
            <v>45691</v>
          </cell>
          <cell r="AQ45">
            <v>45706</v>
          </cell>
          <cell r="AR45">
            <v>45700</v>
          </cell>
          <cell r="AS45">
            <v>45706</v>
          </cell>
          <cell r="AT45" t="str">
            <v>19/02/25</v>
          </cell>
          <cell r="AU45">
            <v>45707</v>
          </cell>
          <cell r="AY45">
            <v>45708</v>
          </cell>
          <cell r="AZ45">
            <v>45708</v>
          </cell>
          <cell r="BA45">
            <v>45709</v>
          </cell>
          <cell r="BB45">
            <v>45709</v>
          </cell>
          <cell r="BC45">
            <v>45709</v>
          </cell>
          <cell r="BD45">
            <v>45709</v>
          </cell>
          <cell r="BE45">
            <v>45712</v>
          </cell>
          <cell r="BF45">
            <v>45712</v>
          </cell>
          <cell r="BG45">
            <v>45712</v>
          </cell>
          <cell r="BH45">
            <v>45717</v>
          </cell>
          <cell r="BQ45">
            <v>2207.64</v>
          </cell>
          <cell r="BR45">
            <v>45712</v>
          </cell>
          <cell r="BS45">
            <v>3708.9</v>
          </cell>
          <cell r="BT45">
            <v>45754</v>
          </cell>
          <cell r="CD45">
            <v>45717</v>
          </cell>
          <cell r="CE45" t="str">
            <v>SIM  0 dias</v>
          </cell>
          <cell r="CI45">
            <v>45717</v>
          </cell>
        </row>
        <row r="46">
          <cell r="A46"/>
          <cell r="B46" t="str">
            <v>073E/2024</v>
          </cell>
          <cell r="E46" t="str">
            <v>STELLA</v>
          </cell>
          <cell r="F46" t="str">
            <v>DELIVERED</v>
          </cell>
          <cell r="G46" t="str">
            <v>SEA</v>
          </cell>
          <cell r="J46">
            <v>45643</v>
          </cell>
          <cell r="L46">
            <v>45699</v>
          </cell>
          <cell r="O46">
            <v>45719</v>
          </cell>
          <cell r="P46" t="str">
            <v>M: NGP1896886
H: CN0103810101</v>
          </cell>
          <cell r="R46" t="str">
            <v>PWBR24014010E</v>
          </cell>
          <cell r="T46" t="str">
            <v>TCKU4707517</v>
          </cell>
          <cell r="U46">
            <v>1</v>
          </cell>
          <cell r="AC46"/>
          <cell r="AD46">
            <v>45709</v>
          </cell>
          <cell r="AE46">
            <v>45712</v>
          </cell>
          <cell r="AJ46">
            <v>319563</v>
          </cell>
          <cell r="AK46">
            <v>45680</v>
          </cell>
          <cell r="AL46">
            <v>45681</v>
          </cell>
          <cell r="AM46">
            <v>45684</v>
          </cell>
          <cell r="AN46">
            <v>45686</v>
          </cell>
          <cell r="AO46">
            <v>45687</v>
          </cell>
          <cell r="AP46">
            <v>45687</v>
          </cell>
          <cell r="AQ46">
            <v>45709</v>
          </cell>
          <cell r="AR46">
            <v>45700</v>
          </cell>
          <cell r="AS46">
            <v>45709</v>
          </cell>
          <cell r="AT46">
            <v>45709</v>
          </cell>
          <cell r="AU46">
            <v>45712</v>
          </cell>
          <cell r="AY46">
            <v>45712</v>
          </cell>
          <cell r="AZ46">
            <v>45712</v>
          </cell>
          <cell r="BA46">
            <v>45714</v>
          </cell>
          <cell r="BB46">
            <v>45714</v>
          </cell>
          <cell r="BC46">
            <v>45714</v>
          </cell>
          <cell r="BD46">
            <v>45714</v>
          </cell>
          <cell r="BE46">
            <v>45714</v>
          </cell>
          <cell r="BF46">
            <v>45714</v>
          </cell>
          <cell r="BG46">
            <v>45715</v>
          </cell>
          <cell r="BH46">
            <v>45720</v>
          </cell>
          <cell r="BQ46">
            <v>753.88</v>
          </cell>
          <cell r="BR46">
            <v>45714</v>
          </cell>
          <cell r="BS46">
            <v>3708.9</v>
          </cell>
          <cell r="BT46">
            <v>45754</v>
          </cell>
          <cell r="CD46">
            <v>45719</v>
          </cell>
          <cell r="CE46" t="str">
            <v>SIM  2 dias</v>
          </cell>
          <cell r="CI46">
            <v>45717</v>
          </cell>
        </row>
        <row r="47">
          <cell r="A47"/>
          <cell r="B47" t="str">
            <v>073G/2024</v>
          </cell>
          <cell r="E47" t="str">
            <v>STELLA</v>
          </cell>
          <cell r="F47" t="str">
            <v>DELIVERED</v>
          </cell>
          <cell r="G47" t="str">
            <v>SEA</v>
          </cell>
          <cell r="J47">
            <v>45643</v>
          </cell>
          <cell r="L47">
            <v>45699</v>
          </cell>
          <cell r="O47">
            <v>45719</v>
          </cell>
          <cell r="P47" t="str">
            <v>M: NGP1896886
H: CN103962741</v>
          </cell>
          <cell r="R47" t="str">
            <v>PWBR24014010G</v>
          </cell>
          <cell r="T47" t="str">
            <v>TCKU4707081 ; UETU4005070</v>
          </cell>
          <cell r="U47">
            <v>2</v>
          </cell>
          <cell r="AC47"/>
          <cell r="AD47">
            <v>45709</v>
          </cell>
          <cell r="AE47">
            <v>45709</v>
          </cell>
          <cell r="AJ47">
            <v>104365.19</v>
          </cell>
          <cell r="AK47">
            <v>45666</v>
          </cell>
          <cell r="AL47">
            <v>45666</v>
          </cell>
          <cell r="AM47">
            <v>45673</v>
          </cell>
          <cell r="AN47">
            <v>45677</v>
          </cell>
          <cell r="AO47">
            <v>45677</v>
          </cell>
          <cell r="AP47">
            <v>45684</v>
          </cell>
          <cell r="AQ47">
            <v>45709</v>
          </cell>
          <cell r="AR47">
            <v>45700</v>
          </cell>
          <cell r="AS47" t="str">
            <v>21/02/25</v>
          </cell>
          <cell r="AT47">
            <v>45709</v>
          </cell>
          <cell r="AU47">
            <v>45709</v>
          </cell>
          <cell r="AY47">
            <v>45712</v>
          </cell>
          <cell r="AZ47">
            <v>45712</v>
          </cell>
          <cell r="BA47">
            <v>45712</v>
          </cell>
          <cell r="BB47">
            <v>45713</v>
          </cell>
          <cell r="BC47">
            <v>45713</v>
          </cell>
          <cell r="BD47">
            <v>45712</v>
          </cell>
          <cell r="BE47">
            <v>45713</v>
          </cell>
          <cell r="BF47">
            <v>45713</v>
          </cell>
          <cell r="BG47">
            <v>45715</v>
          </cell>
          <cell r="BH47">
            <v>45720</v>
          </cell>
          <cell r="BQ47">
            <v>1471.76</v>
          </cell>
          <cell r="BR47">
            <v>45714</v>
          </cell>
          <cell r="BS47">
            <v>7417.8</v>
          </cell>
          <cell r="BT47">
            <v>45754</v>
          </cell>
          <cell r="CD47">
            <v>45719</v>
          </cell>
          <cell r="CE47" t="str">
            <v>SIM  2 dias</v>
          </cell>
          <cell r="CI47">
            <v>45717</v>
          </cell>
        </row>
        <row r="48">
          <cell r="A48"/>
          <cell r="B48" t="str">
            <v>Z-001/2025</v>
          </cell>
          <cell r="E48" t="str">
            <v>POLYANE</v>
          </cell>
          <cell r="F48" t="str">
            <v>DELIVERED</v>
          </cell>
          <cell r="G48" t="str">
            <v>AIR</v>
          </cell>
          <cell r="J48">
            <v>45736</v>
          </cell>
          <cell r="L48">
            <v>45739</v>
          </cell>
          <cell r="O48">
            <v>45751</v>
          </cell>
          <cell r="P48" t="str">
            <v>M: 05753993380
DTW250313FOR</v>
          </cell>
          <cell r="R48" t="str">
            <v>SBR2500001</v>
          </cell>
          <cell r="U48" t="str">
            <v>N/A</v>
          </cell>
          <cell r="AC48"/>
          <cell r="AD48">
            <v>45743</v>
          </cell>
          <cell r="AE48">
            <v>45744</v>
          </cell>
          <cell r="AJ48">
            <v>15572.71</v>
          </cell>
          <cell r="AK48">
            <v>45734</v>
          </cell>
          <cell r="AL48">
            <v>45734</v>
          </cell>
          <cell r="AM48">
            <v>45737</v>
          </cell>
          <cell r="AN48">
            <v>45740</v>
          </cell>
          <cell r="AO48">
            <v>45740</v>
          </cell>
          <cell r="AP48">
            <v>45743</v>
          </cell>
          <cell r="AQ48">
            <v>45742</v>
          </cell>
          <cell r="AR48">
            <v>45739</v>
          </cell>
          <cell r="AS48">
            <v>45742</v>
          </cell>
          <cell r="AT48">
            <v>45744</v>
          </cell>
          <cell r="AU48">
            <v>45744</v>
          </cell>
          <cell r="AV48">
            <v>45744</v>
          </cell>
          <cell r="AW48">
            <v>45744</v>
          </cell>
          <cell r="AX48">
            <v>45744</v>
          </cell>
          <cell r="AY48">
            <v>45744</v>
          </cell>
          <cell r="AZ48">
            <v>45744</v>
          </cell>
          <cell r="BA48">
            <v>45747</v>
          </cell>
          <cell r="BB48">
            <v>45747</v>
          </cell>
          <cell r="BC48">
            <v>45749</v>
          </cell>
          <cell r="BD48">
            <v>45747</v>
          </cell>
          <cell r="BE48">
            <v>45749</v>
          </cell>
          <cell r="BF48">
            <v>45749</v>
          </cell>
          <cell r="BG48">
            <v>45751</v>
          </cell>
          <cell r="BH48">
            <v>45751</v>
          </cell>
          <cell r="BQ48"/>
          <cell r="BS48"/>
          <cell r="CE48" t="str">
            <v>NÃO</v>
          </cell>
          <cell r="CI48" t="str">
            <v/>
          </cell>
        </row>
        <row r="49">
          <cell r="A49"/>
          <cell r="B49" t="str">
            <v>073B/2024</v>
          </cell>
          <cell r="E49" t="str">
            <v>STELLA</v>
          </cell>
          <cell r="F49" t="str">
            <v>DELIVERED</v>
          </cell>
          <cell r="G49" t="str">
            <v>SEA</v>
          </cell>
          <cell r="J49">
            <v>45660</v>
          </cell>
          <cell r="L49">
            <v>45710</v>
          </cell>
          <cell r="O49">
            <v>45719</v>
          </cell>
          <cell r="P49" t="str">
            <v>M: NGP1975789
H: CN103855813</v>
          </cell>
          <cell r="R49" t="str">
            <v>PWBR24014010B</v>
          </cell>
          <cell r="T49" t="str">
            <v>CAIU5564474 ; SZLU9645317 ; TRIU8991830</v>
          </cell>
          <cell r="U49">
            <v>3</v>
          </cell>
          <cell r="AC49"/>
          <cell r="AD49">
            <v>45713</v>
          </cell>
          <cell r="AE49">
            <v>45714</v>
          </cell>
          <cell r="AJ49">
            <v>1171346.6499999999</v>
          </cell>
          <cell r="AK49">
            <v>45673</v>
          </cell>
          <cell r="AL49">
            <v>45677</v>
          </cell>
          <cell r="AM49">
            <v>45678</v>
          </cell>
          <cell r="AN49">
            <v>45679</v>
          </cell>
          <cell r="AO49">
            <v>45679</v>
          </cell>
          <cell r="AP49">
            <v>45681</v>
          </cell>
          <cell r="AQ49">
            <v>45713</v>
          </cell>
          <cell r="AR49">
            <v>45713</v>
          </cell>
          <cell r="AS49">
            <v>45713</v>
          </cell>
          <cell r="AT49">
            <v>45714</v>
          </cell>
          <cell r="AU49">
            <v>45714</v>
          </cell>
          <cell r="AY49">
            <v>45715</v>
          </cell>
          <cell r="AZ49">
            <v>45715</v>
          </cell>
          <cell r="BA49">
            <v>45716</v>
          </cell>
          <cell r="BB49">
            <v>45716</v>
          </cell>
          <cell r="BC49">
            <v>45717</v>
          </cell>
          <cell r="BD49">
            <v>45716</v>
          </cell>
          <cell r="BE49">
            <v>45717</v>
          </cell>
          <cell r="BF49">
            <v>45717</v>
          </cell>
          <cell r="BG49">
            <v>45717</v>
          </cell>
          <cell r="BH49">
            <v>45719</v>
          </cell>
          <cell r="BQ49"/>
          <cell r="CD49">
            <v>45721</v>
          </cell>
          <cell r="CE49" t="str">
            <v>NÃO</v>
          </cell>
          <cell r="CI49">
            <v>45728</v>
          </cell>
        </row>
        <row r="50">
          <cell r="A50"/>
          <cell r="B50" t="str">
            <v>073D/2024</v>
          </cell>
          <cell r="E50" t="str">
            <v>STELLA</v>
          </cell>
          <cell r="F50" t="str">
            <v>DELIVERED</v>
          </cell>
          <cell r="G50" t="str">
            <v>SEA</v>
          </cell>
          <cell r="J50">
            <v>45660</v>
          </cell>
          <cell r="L50">
            <v>45710</v>
          </cell>
          <cell r="O50">
            <v>45731</v>
          </cell>
          <cell r="P50" t="str">
            <v>M: NGP1975789
H: CN103951815</v>
          </cell>
          <cell r="R50" t="str">
            <v>PWBR24014010D</v>
          </cell>
          <cell r="T50" t="str">
            <v>CGMU5525020 ; CGMU6519737 ; TTNU8262089</v>
          </cell>
          <cell r="U50">
            <v>3</v>
          </cell>
          <cell r="AC50"/>
          <cell r="AD50">
            <v>45721</v>
          </cell>
          <cell r="AE50">
            <v>45722</v>
          </cell>
          <cell r="AJ50">
            <v>845694.56</v>
          </cell>
          <cell r="AK50">
            <v>45673</v>
          </cell>
          <cell r="AL50">
            <v>45677</v>
          </cell>
          <cell r="AM50">
            <v>45678</v>
          </cell>
          <cell r="AN50">
            <v>45679</v>
          </cell>
          <cell r="AO50">
            <v>45681</v>
          </cell>
          <cell r="AP50">
            <v>45684</v>
          </cell>
          <cell r="AQ50">
            <v>45721</v>
          </cell>
          <cell r="AR50">
            <v>45713</v>
          </cell>
          <cell r="AS50">
            <v>45721</v>
          </cell>
          <cell r="AT50">
            <v>45722</v>
          </cell>
          <cell r="AU50">
            <v>45725</v>
          </cell>
          <cell r="AY50">
            <v>45722</v>
          </cell>
          <cell r="AZ50">
            <v>45725</v>
          </cell>
          <cell r="BA50">
            <v>45728</v>
          </cell>
          <cell r="BB50">
            <v>45729</v>
          </cell>
          <cell r="BC50">
            <v>45729</v>
          </cell>
          <cell r="BD50">
            <v>45729</v>
          </cell>
          <cell r="BE50">
            <v>45729</v>
          </cell>
          <cell r="BF50">
            <v>45729</v>
          </cell>
          <cell r="BG50">
            <v>45729</v>
          </cell>
          <cell r="BH50">
            <v>45731</v>
          </cell>
          <cell r="BQ50">
            <v>4803.0600000000004</v>
          </cell>
          <cell r="BR50">
            <v>45739</v>
          </cell>
          <cell r="BS50">
            <v>19488.96</v>
          </cell>
          <cell r="BT50">
            <v>45796</v>
          </cell>
          <cell r="CD50">
            <v>45733</v>
          </cell>
          <cell r="CE50" t="str">
            <v>SIM  5 dias</v>
          </cell>
          <cell r="CI50">
            <v>45728</v>
          </cell>
        </row>
        <row r="51">
          <cell r="A51"/>
          <cell r="B51" t="str">
            <v>084A/2024</v>
          </cell>
          <cell r="E51" t="str">
            <v>STELLA</v>
          </cell>
          <cell r="F51" t="str">
            <v>DELIVERED</v>
          </cell>
          <cell r="G51" t="str">
            <v>COURIER</v>
          </cell>
          <cell r="J51">
            <v>45666</v>
          </cell>
          <cell r="L51">
            <v>45677</v>
          </cell>
          <cell r="O51">
            <v>45677</v>
          </cell>
          <cell r="P51">
            <v>5441389516</v>
          </cell>
          <cell r="R51" t="str">
            <v>SBR2400045</v>
          </cell>
          <cell r="AC51"/>
          <cell r="AD51">
            <v>45670</v>
          </cell>
          <cell r="AE51">
            <v>45670</v>
          </cell>
          <cell r="AJ51">
            <v>4234.93</v>
          </cell>
          <cell r="AR51">
            <v>45670</v>
          </cell>
          <cell r="BQ51"/>
          <cell r="BS51"/>
          <cell r="CE51" t="str">
            <v>NÃO</v>
          </cell>
          <cell r="CI51" t="str">
            <v/>
          </cell>
        </row>
        <row r="52">
          <cell r="A52"/>
          <cell r="B52" t="str">
            <v>084B/2024</v>
          </cell>
          <cell r="E52" t="str">
            <v>STELLA</v>
          </cell>
          <cell r="F52" t="str">
            <v>DELIVERED</v>
          </cell>
          <cell r="G52" t="str">
            <v>COURIER</v>
          </cell>
          <cell r="J52">
            <v>45666</v>
          </cell>
          <cell r="L52">
            <v>45677</v>
          </cell>
          <cell r="O52">
            <v>45677</v>
          </cell>
          <cell r="P52">
            <v>1286556272</v>
          </cell>
          <cell r="R52" t="str">
            <v>SBR2400045</v>
          </cell>
          <cell r="AC52"/>
          <cell r="AD52">
            <v>45670</v>
          </cell>
          <cell r="AE52">
            <v>45670</v>
          </cell>
          <cell r="AJ52">
            <v>5337.14</v>
          </cell>
          <cell r="AR52">
            <v>45670</v>
          </cell>
          <cell r="BQ52"/>
          <cell r="BS52"/>
          <cell r="CE52" t="str">
            <v>NÃO</v>
          </cell>
          <cell r="CI52" t="str">
            <v/>
          </cell>
        </row>
        <row r="53">
          <cell r="A53"/>
          <cell r="B53" t="str">
            <v>073F/2024</v>
          </cell>
          <cell r="E53" t="str">
            <v>STELLA</v>
          </cell>
          <cell r="F53" t="str">
            <v>DELIVERED</v>
          </cell>
          <cell r="G53" t="str">
            <v>SEA</v>
          </cell>
          <cell r="J53">
            <v>45660</v>
          </cell>
          <cell r="L53">
            <v>45710</v>
          </cell>
          <cell r="O53">
            <v>45758</v>
          </cell>
          <cell r="P53" t="str">
            <v>M: NGP1975789
H: CN103951831</v>
          </cell>
          <cell r="R53" t="str">
            <v>PWBR24014010F</v>
          </cell>
          <cell r="T53" t="str">
            <v>CGMU5323380</v>
          </cell>
          <cell r="U53">
            <v>0.5</v>
          </cell>
          <cell r="AC53"/>
          <cell r="AD53">
            <v>45721</v>
          </cell>
          <cell r="AE53">
            <v>45722</v>
          </cell>
          <cell r="AJ53">
            <v>587080.15</v>
          </cell>
          <cell r="AK53">
            <v>45673</v>
          </cell>
          <cell r="AL53">
            <v>45677</v>
          </cell>
          <cell r="AM53">
            <v>45680</v>
          </cell>
          <cell r="AN53">
            <v>45680</v>
          </cell>
          <cell r="AO53">
            <v>45681</v>
          </cell>
          <cell r="AP53">
            <v>45693</v>
          </cell>
          <cell r="AQ53">
            <v>45721</v>
          </cell>
          <cell r="AR53">
            <v>45713</v>
          </cell>
          <cell r="AS53">
            <v>45721</v>
          </cell>
          <cell r="AT53">
            <v>45722</v>
          </cell>
          <cell r="AU53">
            <v>45725</v>
          </cell>
          <cell r="AY53">
            <v>45722</v>
          </cell>
          <cell r="AZ53">
            <v>45726</v>
          </cell>
          <cell r="BA53">
            <v>45728</v>
          </cell>
          <cell r="BB53">
            <v>45729</v>
          </cell>
          <cell r="BC53">
            <v>45729</v>
          </cell>
          <cell r="BD53">
            <v>45729</v>
          </cell>
          <cell r="BE53">
            <v>45756</v>
          </cell>
          <cell r="BF53">
            <v>45756</v>
          </cell>
          <cell r="BG53">
            <v>45757</v>
          </cell>
          <cell r="BH53">
            <v>45758</v>
          </cell>
          <cell r="BQ53">
            <v>1919.48</v>
          </cell>
          <cell r="BR53">
            <v>45754</v>
          </cell>
          <cell r="CD53">
            <v>45759</v>
          </cell>
          <cell r="CE53" t="str">
            <v>SIM  31 dias</v>
          </cell>
          <cell r="CI53">
            <v>45728</v>
          </cell>
        </row>
        <row r="54">
          <cell r="A54"/>
          <cell r="B54" t="str">
            <v>NH-008/2024</v>
          </cell>
          <cell r="E54" t="str">
            <v>POLYANE</v>
          </cell>
          <cell r="F54" t="str">
            <v>DELIVERED</v>
          </cell>
          <cell r="G54" t="str">
            <v>SEA</v>
          </cell>
          <cell r="J54">
            <v>45660</v>
          </cell>
          <cell r="L54">
            <v>45710</v>
          </cell>
          <cell r="O54">
            <v>45758</v>
          </cell>
          <cell r="P54" t="str">
            <v>M:NGP1975789
H: CN103951838</v>
          </cell>
          <cell r="R54" t="str">
            <v>PWBR24011260</v>
          </cell>
          <cell r="T54" t="str">
            <v>CGMU5323380</v>
          </cell>
          <cell r="U54">
            <v>0.5</v>
          </cell>
          <cell r="AC54"/>
          <cell r="AD54">
            <v>45721</v>
          </cell>
          <cell r="AE54">
            <v>45722</v>
          </cell>
          <cell r="AJ54">
            <v>264239.56</v>
          </cell>
          <cell r="AK54">
            <v>45673</v>
          </cell>
          <cell r="AL54">
            <v>45673</v>
          </cell>
          <cell r="AM54">
            <v>45677</v>
          </cell>
          <cell r="AN54">
            <v>45678</v>
          </cell>
          <cell r="AO54">
            <v>45681</v>
          </cell>
          <cell r="AP54">
            <v>45684</v>
          </cell>
          <cell r="AQ54">
            <v>45721</v>
          </cell>
          <cell r="AR54">
            <v>45713</v>
          </cell>
          <cell r="AS54">
            <v>45721</v>
          </cell>
          <cell r="AT54">
            <v>45722</v>
          </cell>
          <cell r="AU54">
            <v>45725</v>
          </cell>
          <cell r="AY54">
            <v>45722</v>
          </cell>
          <cell r="AZ54">
            <v>45725</v>
          </cell>
          <cell r="BA54">
            <v>45727</v>
          </cell>
          <cell r="BB54">
            <v>45727</v>
          </cell>
          <cell r="BC54">
            <v>45728</v>
          </cell>
          <cell r="BD54">
            <v>45727</v>
          </cell>
          <cell r="BE54">
            <v>45728</v>
          </cell>
          <cell r="BF54">
            <v>45728</v>
          </cell>
          <cell r="BG54">
            <v>45757</v>
          </cell>
          <cell r="BH54">
            <v>45758</v>
          </cell>
          <cell r="BQ54">
            <v>1919.48</v>
          </cell>
          <cell r="BR54">
            <v>45754</v>
          </cell>
          <cell r="BS54">
            <v>37744</v>
          </cell>
          <cell r="BT54">
            <v>45824</v>
          </cell>
          <cell r="CD54">
            <v>45759</v>
          </cell>
          <cell r="CE54" t="str">
            <v>SIM  31 dias</v>
          </cell>
          <cell r="CI54">
            <v>45728</v>
          </cell>
        </row>
        <row r="55">
          <cell r="A55"/>
          <cell r="B55" t="str">
            <v>073C/2024</v>
          </cell>
          <cell r="E55" t="str">
            <v>STELLA</v>
          </cell>
          <cell r="F55" t="str">
            <v>DELIVERED</v>
          </cell>
          <cell r="G55" t="str">
            <v>SEA</v>
          </cell>
          <cell r="J55">
            <v>45667</v>
          </cell>
          <cell r="L55">
            <v>45710</v>
          </cell>
          <cell r="O55">
            <v>45726</v>
          </cell>
          <cell r="P55" t="str">
            <v>M: NGP1981806
H: CN103929983</v>
          </cell>
          <cell r="R55" t="str">
            <v>PWBR24014010C</v>
          </cell>
          <cell r="T55" t="str">
            <v>CMAU9080059 ; ECMU4508595 ; TTNU4998404</v>
          </cell>
          <cell r="U55">
            <v>3</v>
          </cell>
          <cell r="AC55"/>
          <cell r="AD55">
            <v>45721</v>
          </cell>
          <cell r="AE55">
            <v>45722</v>
          </cell>
          <cell r="AJ55">
            <v>907522.24</v>
          </cell>
          <cell r="AK55">
            <v>45673</v>
          </cell>
          <cell r="AL55">
            <v>45675</v>
          </cell>
          <cell r="AM55">
            <v>45678</v>
          </cell>
          <cell r="AN55">
            <v>45679</v>
          </cell>
          <cell r="AO55">
            <v>45679</v>
          </cell>
          <cell r="AP55">
            <v>45681</v>
          </cell>
          <cell r="AQ55">
            <v>45721</v>
          </cell>
          <cell r="AR55">
            <v>45712</v>
          </cell>
          <cell r="AS55">
            <v>45721</v>
          </cell>
          <cell r="AT55">
            <v>45722</v>
          </cell>
          <cell r="AU55">
            <v>45725</v>
          </cell>
          <cell r="AY55">
            <v>45722</v>
          </cell>
          <cell r="AZ55">
            <v>45725</v>
          </cell>
          <cell r="BA55">
            <v>45727</v>
          </cell>
          <cell r="BB55">
            <v>45727</v>
          </cell>
          <cell r="BC55">
            <v>45727</v>
          </cell>
          <cell r="BD55">
            <v>45727</v>
          </cell>
          <cell r="BE55">
            <v>45727</v>
          </cell>
          <cell r="BF55">
            <v>45727</v>
          </cell>
          <cell r="BG55">
            <v>45727</v>
          </cell>
          <cell r="BQ55">
            <v>5049.8900000000003</v>
          </cell>
          <cell r="BR55">
            <v>45734</v>
          </cell>
          <cell r="CE55" t="str">
            <v>NÃO</v>
          </cell>
          <cell r="CI55">
            <v>45728</v>
          </cell>
        </row>
        <row r="56">
          <cell r="A56" t="str">
            <v>IMO</v>
          </cell>
          <cell r="B56" t="str">
            <v>E-004/2024</v>
          </cell>
          <cell r="E56" t="str">
            <v>POLYANE</v>
          </cell>
          <cell r="F56" t="str">
            <v>DELIVERED</v>
          </cell>
          <cell r="G56" t="str">
            <v>SEA</v>
          </cell>
          <cell r="J56">
            <v>45663</v>
          </cell>
          <cell r="L56">
            <v>45724</v>
          </cell>
          <cell r="O56">
            <v>45763</v>
          </cell>
          <cell r="P56" t="str">
            <v>MD24123155</v>
          </cell>
          <cell r="R56">
            <v>8000505887</v>
          </cell>
          <cell r="T56" t="str">
            <v>TCLU4169743</v>
          </cell>
          <cell r="U56">
            <v>1</v>
          </cell>
          <cell r="AC56"/>
          <cell r="AD56">
            <v>45743</v>
          </cell>
          <cell r="AE56">
            <v>45743</v>
          </cell>
          <cell r="AJ56">
            <v>414910.1</v>
          </cell>
          <cell r="AK56">
            <v>45672</v>
          </cell>
          <cell r="AL56">
            <v>45672</v>
          </cell>
          <cell r="AM56">
            <v>45677</v>
          </cell>
          <cell r="AN56">
            <v>45687</v>
          </cell>
          <cell r="AO56">
            <v>45692</v>
          </cell>
          <cell r="AP56">
            <v>45737</v>
          </cell>
          <cell r="AQ56">
            <v>45742</v>
          </cell>
          <cell r="AR56">
            <v>45726</v>
          </cell>
          <cell r="AS56">
            <v>45742</v>
          </cell>
          <cell r="AT56">
            <v>45743</v>
          </cell>
          <cell r="AU56">
            <v>45743</v>
          </cell>
          <cell r="AY56">
            <v>45743</v>
          </cell>
          <cell r="AZ56">
            <v>45743</v>
          </cell>
          <cell r="BA56">
            <v>45747</v>
          </cell>
          <cell r="BB56">
            <v>45747</v>
          </cell>
          <cell r="BC56">
            <v>45749</v>
          </cell>
          <cell r="BD56">
            <v>45747</v>
          </cell>
          <cell r="BE56">
            <v>45749</v>
          </cell>
          <cell r="BF56">
            <v>45749</v>
          </cell>
          <cell r="BG56">
            <v>45757</v>
          </cell>
          <cell r="BH56">
            <v>45763</v>
          </cell>
          <cell r="BQ56">
            <v>8081.58</v>
          </cell>
          <cell r="BR56">
            <v>45763</v>
          </cell>
          <cell r="BS56">
            <v>33621.06</v>
          </cell>
          <cell r="BT56">
            <v>45776</v>
          </cell>
          <cell r="CD56">
            <v>45763</v>
          </cell>
          <cell r="CE56" t="str">
            <v>SIM  21 dias</v>
          </cell>
          <cell r="CI56">
            <v>45742</v>
          </cell>
        </row>
        <row r="57">
          <cell r="A57"/>
          <cell r="B57" t="str">
            <v>Z-031/2024</v>
          </cell>
          <cell r="E57" t="str">
            <v>POLYANE</v>
          </cell>
          <cell r="F57" t="str">
            <v>DELIVERED</v>
          </cell>
          <cell r="G57" t="str">
            <v>SEA</v>
          </cell>
          <cell r="J57">
            <v>45660</v>
          </cell>
          <cell r="L57">
            <v>45724</v>
          </cell>
          <cell r="O57">
            <v>45743</v>
          </cell>
          <cell r="P57" t="str">
            <v>NGP1994832</v>
          </cell>
          <cell r="R57" t="str">
            <v>PWBR24011660</v>
          </cell>
          <cell r="T57" t="str">
            <v>CGMU5128682 ; SEGU9650304 ; TTNU8372189</v>
          </cell>
          <cell r="U57">
            <v>3</v>
          </cell>
          <cell r="AC57"/>
          <cell r="AD57">
            <v>45728</v>
          </cell>
          <cell r="AE57">
            <v>45728</v>
          </cell>
          <cell r="AJ57">
            <v>1864935.23</v>
          </cell>
          <cell r="AK57">
            <v>45685</v>
          </cell>
          <cell r="AL57">
            <v>45685</v>
          </cell>
          <cell r="AM57">
            <v>45687</v>
          </cell>
          <cell r="AN57">
            <v>45688</v>
          </cell>
          <cell r="AO57">
            <v>45692</v>
          </cell>
          <cell r="AP57">
            <v>45693</v>
          </cell>
          <cell r="AQ57">
            <v>45727</v>
          </cell>
          <cell r="AR57">
            <v>45726</v>
          </cell>
          <cell r="AS57">
            <v>45727</v>
          </cell>
          <cell r="AT57">
            <v>45728</v>
          </cell>
          <cell r="AU57">
            <v>45729</v>
          </cell>
          <cell r="AY57">
            <v>45729</v>
          </cell>
          <cell r="AZ57">
            <v>45729</v>
          </cell>
          <cell r="BA57">
            <v>45729</v>
          </cell>
          <cell r="BB57">
            <v>45729</v>
          </cell>
          <cell r="BC57">
            <v>45734</v>
          </cell>
          <cell r="BD57">
            <v>45729</v>
          </cell>
          <cell r="BE57">
            <v>45734</v>
          </cell>
          <cell r="BF57">
            <v>45734</v>
          </cell>
          <cell r="BG57">
            <v>45736</v>
          </cell>
          <cell r="BH57">
            <v>45743</v>
          </cell>
          <cell r="BQ57">
            <v>2207.64</v>
          </cell>
          <cell r="BR57">
            <v>45734</v>
          </cell>
          <cell r="CE57" t="str">
            <v>NÃO</v>
          </cell>
          <cell r="CI57">
            <v>45742</v>
          </cell>
        </row>
        <row r="58">
          <cell r="A58"/>
          <cell r="B58" t="str">
            <v>080G/2024</v>
          </cell>
          <cell r="E58" t="str">
            <v>STELLA</v>
          </cell>
          <cell r="F58" t="str">
            <v>DELIVERED</v>
          </cell>
          <cell r="G58" t="str">
            <v>SEA</v>
          </cell>
          <cell r="J58">
            <v>45679</v>
          </cell>
          <cell r="L58">
            <v>45726</v>
          </cell>
          <cell r="O58">
            <v>45752</v>
          </cell>
          <cell r="P58" t="str">
            <v>SYNHGH25SE011083</v>
          </cell>
          <cell r="R58" t="str">
            <v>PWBR24016110G</v>
          </cell>
          <cell r="T58" t="str">
            <v>MRKU3724739 ; MSKU9146352</v>
          </cell>
          <cell r="U58">
            <v>2</v>
          </cell>
          <cell r="AC58">
            <v>45750</v>
          </cell>
          <cell r="AD58">
            <v>45743</v>
          </cell>
          <cell r="AE58">
            <v>45744</v>
          </cell>
          <cell r="AJ58">
            <v>103235.15</v>
          </cell>
          <cell r="AK58">
            <v>45709</v>
          </cell>
          <cell r="AL58">
            <v>45712</v>
          </cell>
          <cell r="AM58">
            <v>45716</v>
          </cell>
          <cell r="AN58">
            <v>45716</v>
          </cell>
          <cell r="AO58">
            <v>45721</v>
          </cell>
          <cell r="AP58">
            <v>45742</v>
          </cell>
          <cell r="AQ58">
            <v>45742</v>
          </cell>
          <cell r="AR58">
            <v>45727</v>
          </cell>
          <cell r="AS58">
            <v>45742</v>
          </cell>
          <cell r="AT58">
            <v>45743</v>
          </cell>
          <cell r="AU58">
            <v>45744</v>
          </cell>
          <cell r="AY58">
            <v>45743</v>
          </cell>
          <cell r="AZ58">
            <v>45744</v>
          </cell>
          <cell r="BA58">
            <v>45747</v>
          </cell>
          <cell r="BB58">
            <v>45747</v>
          </cell>
          <cell r="BC58">
            <v>45749</v>
          </cell>
          <cell r="BD58">
            <v>45747</v>
          </cell>
          <cell r="BE58">
            <v>45749</v>
          </cell>
          <cell r="BF58">
            <v>45749</v>
          </cell>
          <cell r="BG58">
            <v>45750</v>
          </cell>
          <cell r="BH58">
            <v>45752</v>
          </cell>
          <cell r="BQ58">
            <v>3202.04</v>
          </cell>
          <cell r="BR58">
            <v>45755</v>
          </cell>
          <cell r="CD58">
            <v>45752</v>
          </cell>
          <cell r="CE58" t="str">
            <v>SIM  8 dias</v>
          </cell>
          <cell r="CI58">
            <v>45744</v>
          </cell>
        </row>
        <row r="59">
          <cell r="A59"/>
          <cell r="B59" t="str">
            <v>009/2025</v>
          </cell>
          <cell r="E59" t="str">
            <v>STELLA</v>
          </cell>
          <cell r="F59" t="str">
            <v>DELIVERED</v>
          </cell>
          <cell r="G59" t="str">
            <v>COURIER</v>
          </cell>
          <cell r="J59">
            <v>45720</v>
          </cell>
          <cell r="L59">
            <v>45728</v>
          </cell>
          <cell r="O59">
            <v>45742</v>
          </cell>
          <cell r="P59" t="str">
            <v>41 9225 2282</v>
          </cell>
          <cell r="R59" t="str">
            <v>SBR240005010</v>
          </cell>
          <cell r="AC59"/>
          <cell r="AD59">
            <v>45721</v>
          </cell>
          <cell r="AE59">
            <v>45724</v>
          </cell>
          <cell r="AJ59">
            <v>1702.47</v>
          </cell>
          <cell r="AR59">
            <v>45724</v>
          </cell>
          <cell r="BQ59"/>
          <cell r="BS59"/>
          <cell r="CE59" t="str">
            <v>NÃO</v>
          </cell>
          <cell r="CI59" t="str">
            <v/>
          </cell>
        </row>
        <row r="60">
          <cell r="A60" t="str">
            <v>IMO</v>
          </cell>
          <cell r="B60" t="str">
            <v>E-001/2025</v>
          </cell>
          <cell r="E60" t="str">
            <v>POLYANE</v>
          </cell>
          <cell r="F60" t="str">
            <v>DELIVERED</v>
          </cell>
          <cell r="G60" t="str">
            <v>SEA</v>
          </cell>
          <cell r="J60">
            <v>45692</v>
          </cell>
          <cell r="L60">
            <v>45729</v>
          </cell>
          <cell r="O60">
            <v>45757</v>
          </cell>
          <cell r="P60" t="str">
            <v>249496525
MD25013108</v>
          </cell>
          <cell r="R60">
            <v>8000513499</v>
          </cell>
          <cell r="T60" t="str">
            <v>MRKU9418398</v>
          </cell>
          <cell r="U60">
            <v>1</v>
          </cell>
          <cell r="AC60"/>
          <cell r="AD60">
            <v>45734</v>
          </cell>
          <cell r="AE60">
            <v>45735</v>
          </cell>
          <cell r="AJ60">
            <v>203447.88</v>
          </cell>
          <cell r="AK60">
            <v>45714</v>
          </cell>
          <cell r="AL60">
            <v>45714</v>
          </cell>
          <cell r="AM60">
            <v>45722</v>
          </cell>
          <cell r="AN60">
            <v>45722</v>
          </cell>
          <cell r="AO60">
            <v>45725</v>
          </cell>
          <cell r="AP60">
            <v>45726</v>
          </cell>
          <cell r="AQ60">
            <v>45734</v>
          </cell>
          <cell r="AR60">
            <v>45729</v>
          </cell>
          <cell r="AS60">
            <v>45734</v>
          </cell>
          <cell r="AT60">
            <v>45736</v>
          </cell>
          <cell r="AU60">
            <v>45736</v>
          </cell>
          <cell r="AY60">
            <v>45736</v>
          </cell>
          <cell r="AZ60">
            <v>45736</v>
          </cell>
          <cell r="BA60">
            <v>45736</v>
          </cell>
          <cell r="BB60">
            <v>45736</v>
          </cell>
          <cell r="BC60">
            <v>45736</v>
          </cell>
          <cell r="BD60">
            <v>45736</v>
          </cell>
          <cell r="BE60">
            <v>45736</v>
          </cell>
          <cell r="BF60">
            <v>45736</v>
          </cell>
          <cell r="BG60">
            <v>45737</v>
          </cell>
          <cell r="BH60">
            <v>45757</v>
          </cell>
          <cell r="BQ60">
            <v>2730.97</v>
          </cell>
          <cell r="BR60">
            <v>45756</v>
          </cell>
          <cell r="CD60">
            <v>45758</v>
          </cell>
          <cell r="CE60" t="str">
            <v>SIM  11 dias</v>
          </cell>
          <cell r="CI60">
            <v>45747</v>
          </cell>
        </row>
        <row r="61">
          <cell r="A61"/>
          <cell r="B61" t="str">
            <v>080F/2024</v>
          </cell>
          <cell r="E61" t="str">
            <v>STELLA</v>
          </cell>
          <cell r="F61" t="str">
            <v>DELIVERED</v>
          </cell>
          <cell r="G61" t="str">
            <v>SEA</v>
          </cell>
          <cell r="J61">
            <v>45679</v>
          </cell>
          <cell r="L61">
            <v>45734</v>
          </cell>
          <cell r="O61">
            <v>45764</v>
          </cell>
          <cell r="P61" t="str">
            <v>SYNHGH25SE01040202</v>
          </cell>
          <cell r="R61" t="str">
            <v>PWBR24016110F</v>
          </cell>
          <cell r="T61" t="str">
            <v>CGMU5376420 ; CGMU5615696</v>
          </cell>
          <cell r="U61">
            <v>2</v>
          </cell>
          <cell r="AC61"/>
          <cell r="AD61">
            <v>45751</v>
          </cell>
          <cell r="AE61">
            <v>45751</v>
          </cell>
          <cell r="AJ61">
            <v>656270.93999999994</v>
          </cell>
          <cell r="AK61">
            <v>45709</v>
          </cell>
          <cell r="AL61">
            <v>45712</v>
          </cell>
          <cell r="AM61">
            <v>45715</v>
          </cell>
          <cell r="AN61">
            <v>45716</v>
          </cell>
          <cell r="AO61">
            <v>45725</v>
          </cell>
          <cell r="AP61">
            <v>45742</v>
          </cell>
          <cell r="AQ61">
            <v>45751</v>
          </cell>
          <cell r="AR61">
            <v>45737</v>
          </cell>
          <cell r="AS61">
            <v>45751</v>
          </cell>
          <cell r="AT61">
            <v>45751</v>
          </cell>
          <cell r="AU61">
            <v>45754</v>
          </cell>
          <cell r="AY61">
            <v>45751</v>
          </cell>
          <cell r="AZ61">
            <v>45754</v>
          </cell>
          <cell r="BA61">
            <v>45755</v>
          </cell>
          <cell r="BB61">
            <v>45755</v>
          </cell>
          <cell r="BC61">
            <v>45756</v>
          </cell>
          <cell r="BD61">
            <v>45755</v>
          </cell>
          <cell r="BE61">
            <v>45756</v>
          </cell>
          <cell r="BF61">
            <v>45756</v>
          </cell>
          <cell r="BG61">
            <v>45757</v>
          </cell>
          <cell r="BH61">
            <v>45763</v>
          </cell>
          <cell r="BQ61">
            <v>3202.04</v>
          </cell>
          <cell r="BR61">
            <v>45758</v>
          </cell>
          <cell r="BS61">
            <v>25854.0625</v>
          </cell>
          <cell r="BT61">
            <v>45799</v>
          </cell>
          <cell r="CD61">
            <v>45769</v>
          </cell>
          <cell r="CE61" t="str">
            <v>SIM  17 dias</v>
          </cell>
          <cell r="CI61">
            <v>45752</v>
          </cell>
        </row>
        <row r="62">
          <cell r="A62"/>
          <cell r="B62" t="str">
            <v>NH-002/2025</v>
          </cell>
          <cell r="E62" t="str">
            <v>POLYANE</v>
          </cell>
          <cell r="F62" t="str">
            <v>DELIVERED</v>
          </cell>
          <cell r="G62" t="str">
            <v>SEA</v>
          </cell>
          <cell r="J62" t="str">
            <v>22/01/25</v>
          </cell>
          <cell r="L62">
            <v>45734</v>
          </cell>
          <cell r="O62">
            <v>45786</v>
          </cell>
          <cell r="P62" t="str">
            <v>M: NGP2016495E
H: SYNHGH25SE01040204</v>
          </cell>
          <cell r="R62" t="str">
            <v>PW2025002</v>
          </cell>
          <cell r="T62" t="str">
            <v>SEKU9139789</v>
          </cell>
          <cell r="U62">
            <v>0.33</v>
          </cell>
          <cell r="AC62"/>
          <cell r="AD62">
            <v>45762</v>
          </cell>
          <cell r="AE62">
            <v>45763</v>
          </cell>
          <cell r="AJ62">
            <v>259921.87</v>
          </cell>
          <cell r="AK62">
            <v>45706</v>
          </cell>
          <cell r="AL62">
            <v>45706</v>
          </cell>
          <cell r="AM62">
            <v>45707</v>
          </cell>
          <cell r="AN62" t="str">
            <v>19/02/25</v>
          </cell>
          <cell r="AO62">
            <v>45709</v>
          </cell>
          <cell r="AP62">
            <v>45721</v>
          </cell>
          <cell r="AQ62">
            <v>45762</v>
          </cell>
          <cell r="AR62">
            <v>45737</v>
          </cell>
          <cell r="AS62">
            <v>45762</v>
          </cell>
          <cell r="AT62">
            <v>45762</v>
          </cell>
          <cell r="AU62">
            <v>45764</v>
          </cell>
          <cell r="AY62">
            <v>45764</v>
          </cell>
          <cell r="AZ62">
            <v>45764</v>
          </cell>
          <cell r="BA62">
            <v>45769</v>
          </cell>
          <cell r="BB62">
            <v>45769</v>
          </cell>
          <cell r="BD62">
            <v>45769</v>
          </cell>
          <cell r="BE62">
            <v>45777</v>
          </cell>
          <cell r="BF62">
            <v>45777</v>
          </cell>
          <cell r="BG62">
            <v>45779</v>
          </cell>
          <cell r="BH62">
            <v>45786</v>
          </cell>
          <cell r="BQ62">
            <v>825.39</v>
          </cell>
          <cell r="BR62">
            <v>45785</v>
          </cell>
          <cell r="CE62" t="str">
            <v>NÃO</v>
          </cell>
          <cell r="CI62">
            <v>45752</v>
          </cell>
        </row>
        <row r="63">
          <cell r="A63"/>
          <cell r="B63" t="str">
            <v>080A/2024</v>
          </cell>
          <cell r="E63" t="str">
            <v>STELLA</v>
          </cell>
          <cell r="F63" t="str">
            <v>DELIVERED</v>
          </cell>
          <cell r="G63" t="str">
            <v>SEA</v>
          </cell>
          <cell r="J63">
            <v>45679</v>
          </cell>
          <cell r="L63">
            <v>45734</v>
          </cell>
          <cell r="O63">
            <v>45786</v>
          </cell>
          <cell r="P63" t="str">
            <v>SYNHGH25SE01040205</v>
          </cell>
          <cell r="R63" t="str">
            <v>PWBR24016110A</v>
          </cell>
          <cell r="T63" t="str">
            <v>SEKU9139789</v>
          </cell>
          <cell r="U63">
            <v>0.33</v>
          </cell>
          <cell r="AC63"/>
          <cell r="AD63">
            <v>45758</v>
          </cell>
          <cell r="AE63">
            <v>45761</v>
          </cell>
          <cell r="AJ63">
            <v>11936.74</v>
          </cell>
          <cell r="AK63">
            <v>45722</v>
          </cell>
          <cell r="AL63">
            <v>45722</v>
          </cell>
          <cell r="AM63">
            <v>45723</v>
          </cell>
          <cell r="AN63">
            <v>45723</v>
          </cell>
          <cell r="AO63">
            <v>45725</v>
          </cell>
          <cell r="AP63">
            <v>45742</v>
          </cell>
          <cell r="AQ63">
            <v>45758</v>
          </cell>
          <cell r="AR63">
            <v>45737</v>
          </cell>
          <cell r="AS63">
            <v>45758</v>
          </cell>
          <cell r="AT63">
            <v>45761</v>
          </cell>
          <cell r="AU63">
            <v>45761</v>
          </cell>
          <cell r="AY63">
            <v>45763</v>
          </cell>
          <cell r="AZ63">
            <v>45763</v>
          </cell>
          <cell r="BA63">
            <v>45769</v>
          </cell>
          <cell r="BB63">
            <v>45769</v>
          </cell>
          <cell r="BD63">
            <v>45769</v>
          </cell>
          <cell r="BE63">
            <v>45783</v>
          </cell>
          <cell r="BF63">
            <v>45783</v>
          </cell>
          <cell r="BG63">
            <v>45784</v>
          </cell>
          <cell r="BH63">
            <v>45786</v>
          </cell>
          <cell r="BQ63">
            <v>825.39</v>
          </cell>
          <cell r="BR63">
            <v>45785</v>
          </cell>
          <cell r="BS63">
            <v>16546.599999999999</v>
          </cell>
          <cell r="BT63">
            <v>45805</v>
          </cell>
          <cell r="CD63">
            <v>45786</v>
          </cell>
          <cell r="CE63" t="str">
            <v>SIM  34 dias</v>
          </cell>
          <cell r="CI63">
            <v>45752</v>
          </cell>
        </row>
        <row r="64">
          <cell r="A64"/>
          <cell r="B64" t="str">
            <v>080B/2024</v>
          </cell>
          <cell r="E64" t="str">
            <v>STELLA</v>
          </cell>
          <cell r="F64" t="str">
            <v>DELIVERED</v>
          </cell>
          <cell r="G64" t="str">
            <v>SEA</v>
          </cell>
          <cell r="J64">
            <v>45679</v>
          </cell>
          <cell r="L64">
            <v>45734</v>
          </cell>
          <cell r="O64">
            <v>45755</v>
          </cell>
          <cell r="P64" t="str">
            <v>SYNHGH25SE01040206</v>
          </cell>
          <cell r="R64" t="str">
            <v>PWBR24016110B</v>
          </cell>
          <cell r="T64" t="str">
            <v>CGMU6507309</v>
          </cell>
          <cell r="U64">
            <v>1</v>
          </cell>
          <cell r="AC64"/>
          <cell r="AD64">
            <v>45749</v>
          </cell>
          <cell r="AE64">
            <v>45749</v>
          </cell>
          <cell r="AJ64">
            <v>816042.81</v>
          </cell>
          <cell r="AK64">
            <v>45709</v>
          </cell>
          <cell r="AL64">
            <v>45712</v>
          </cell>
          <cell r="AM64">
            <v>45729</v>
          </cell>
          <cell r="AN64">
            <v>45733</v>
          </cell>
          <cell r="AO64">
            <v>45734</v>
          </cell>
          <cell r="AP64">
            <v>45740</v>
          </cell>
          <cell r="AQ64">
            <v>45748</v>
          </cell>
          <cell r="AR64">
            <v>45737</v>
          </cell>
          <cell r="AS64">
            <v>45748</v>
          </cell>
          <cell r="AT64">
            <v>45749</v>
          </cell>
          <cell r="AU64">
            <v>45750</v>
          </cell>
          <cell r="AY64">
            <v>45750</v>
          </cell>
          <cell r="AZ64">
            <v>45750</v>
          </cell>
          <cell r="BA64">
            <v>45751</v>
          </cell>
          <cell r="BB64">
            <v>45751</v>
          </cell>
          <cell r="BD64">
            <v>45751</v>
          </cell>
          <cell r="BE64">
            <v>45752</v>
          </cell>
          <cell r="BF64">
            <v>45752</v>
          </cell>
          <cell r="BG64">
            <v>45754</v>
          </cell>
          <cell r="BH64">
            <v>45755</v>
          </cell>
          <cell r="BQ64">
            <v>1601.02</v>
          </cell>
          <cell r="BR64">
            <v>45750</v>
          </cell>
          <cell r="BS64">
            <v>1034.1624999999999</v>
          </cell>
          <cell r="BT64">
            <v>45799</v>
          </cell>
          <cell r="CD64">
            <v>45755</v>
          </cell>
          <cell r="CE64" t="str">
            <v>SIM  3 dias</v>
          </cell>
          <cell r="CI64">
            <v>45752</v>
          </cell>
        </row>
        <row r="65">
          <cell r="A65"/>
          <cell r="B65" t="str">
            <v>080C/2024</v>
          </cell>
          <cell r="E65" t="str">
            <v>STELLA</v>
          </cell>
          <cell r="F65" t="str">
            <v>DELIVERED</v>
          </cell>
          <cell r="G65" t="str">
            <v>SEA</v>
          </cell>
          <cell r="J65">
            <v>45679</v>
          </cell>
          <cell r="L65">
            <v>45734</v>
          </cell>
          <cell r="O65">
            <v>45763</v>
          </cell>
          <cell r="P65" t="str">
            <v>SYNHGH25SE01040201</v>
          </cell>
          <cell r="R65" t="str">
            <v>PWBR24016110C</v>
          </cell>
          <cell r="T65" t="str">
            <v>CGMU5576429 ; CGMU6517483 ; TRIU8690857</v>
          </cell>
          <cell r="U65">
            <v>3</v>
          </cell>
          <cell r="AC65"/>
          <cell r="AD65">
            <v>45755</v>
          </cell>
          <cell r="AE65">
            <v>45756</v>
          </cell>
          <cell r="AJ65">
            <v>1223121.6499999999</v>
          </cell>
          <cell r="AK65">
            <v>45709</v>
          </cell>
          <cell r="AL65">
            <v>45712</v>
          </cell>
          <cell r="AM65">
            <v>45715</v>
          </cell>
          <cell r="AN65">
            <v>45715</v>
          </cell>
          <cell r="AO65">
            <v>45719</v>
          </cell>
          <cell r="AP65">
            <v>45728</v>
          </cell>
          <cell r="AQ65">
            <v>45755</v>
          </cell>
          <cell r="AR65">
            <v>45737</v>
          </cell>
          <cell r="AS65">
            <v>45755</v>
          </cell>
          <cell r="AT65">
            <v>45756</v>
          </cell>
          <cell r="AU65">
            <v>45756</v>
          </cell>
          <cell r="AY65">
            <v>45756</v>
          </cell>
          <cell r="AZ65">
            <v>45756</v>
          </cell>
          <cell r="BA65">
            <v>45757</v>
          </cell>
          <cell r="BB65">
            <v>45757</v>
          </cell>
          <cell r="BC65">
            <v>45758</v>
          </cell>
          <cell r="BD65">
            <v>45757</v>
          </cell>
          <cell r="BE65">
            <v>45758</v>
          </cell>
          <cell r="BF65">
            <v>45758</v>
          </cell>
          <cell r="BG65">
            <v>45761</v>
          </cell>
          <cell r="BH65">
            <v>45764</v>
          </cell>
          <cell r="BQ65">
            <v>4803.0600000000004</v>
          </cell>
          <cell r="BR65">
            <v>45758</v>
          </cell>
          <cell r="BS65">
            <v>29990.712500000001</v>
          </cell>
          <cell r="BT65">
            <v>45799</v>
          </cell>
          <cell r="CD65">
            <v>45763</v>
          </cell>
          <cell r="CE65" t="str">
            <v>SIM  11 dias</v>
          </cell>
          <cell r="CI65">
            <v>45752</v>
          </cell>
        </row>
        <row r="66">
          <cell r="A66"/>
          <cell r="B66" t="str">
            <v>080D/2024</v>
          </cell>
          <cell r="E66" t="str">
            <v>STELLA</v>
          </cell>
          <cell r="F66" t="str">
            <v>DELIVERED</v>
          </cell>
          <cell r="G66" t="str">
            <v>SEA</v>
          </cell>
          <cell r="J66">
            <v>45679</v>
          </cell>
          <cell r="L66">
            <v>45734</v>
          </cell>
          <cell r="O66">
            <v>45787</v>
          </cell>
          <cell r="P66" t="str">
            <v>SYNHGH25SE01040203</v>
          </cell>
          <cell r="R66" t="str">
            <v>PWBR24016110D</v>
          </cell>
          <cell r="T66" t="str">
            <v>CGMU5474469 ; CGMU9407941 ; TCLU1241567</v>
          </cell>
          <cell r="U66">
            <v>3</v>
          </cell>
          <cell r="AC66"/>
          <cell r="AD66">
            <v>45750</v>
          </cell>
          <cell r="AE66">
            <v>45751</v>
          </cell>
          <cell r="AJ66">
            <v>1731413.03</v>
          </cell>
          <cell r="AK66">
            <v>45709</v>
          </cell>
          <cell r="AL66">
            <v>45712</v>
          </cell>
          <cell r="AM66">
            <v>45715</v>
          </cell>
          <cell r="AN66">
            <v>45715</v>
          </cell>
          <cell r="AO66">
            <v>45719</v>
          </cell>
          <cell r="AP66">
            <v>45728</v>
          </cell>
          <cell r="AQ66">
            <v>45750</v>
          </cell>
          <cell r="AR66">
            <v>45737</v>
          </cell>
          <cell r="AS66">
            <v>45750</v>
          </cell>
          <cell r="AT66">
            <v>45750</v>
          </cell>
          <cell r="AU66">
            <v>45751</v>
          </cell>
          <cell r="AY66">
            <v>45751</v>
          </cell>
          <cell r="AZ66">
            <v>45754</v>
          </cell>
          <cell r="BA66">
            <v>45756</v>
          </cell>
          <cell r="BB66">
            <v>45756</v>
          </cell>
          <cell r="BC66">
            <v>45784</v>
          </cell>
          <cell r="BD66">
            <v>45756</v>
          </cell>
          <cell r="BE66">
            <v>45784</v>
          </cell>
          <cell r="BF66">
            <v>45785</v>
          </cell>
          <cell r="BG66">
            <v>45785</v>
          </cell>
          <cell r="BH66">
            <v>45787</v>
          </cell>
          <cell r="BQ66">
            <v>22490.61</v>
          </cell>
          <cell r="BR66">
            <v>45785</v>
          </cell>
          <cell r="BS66">
            <v>104450.41250000001</v>
          </cell>
          <cell r="BT66">
            <v>45805</v>
          </cell>
          <cell r="CD66">
            <v>45789</v>
          </cell>
          <cell r="CE66" t="str">
            <v>SIM  37 dias</v>
          </cell>
          <cell r="CI66">
            <v>45752</v>
          </cell>
        </row>
        <row r="67">
          <cell r="A67"/>
          <cell r="B67" t="str">
            <v>080E/2024</v>
          </cell>
          <cell r="E67" t="str">
            <v>STELLA</v>
          </cell>
          <cell r="F67" t="str">
            <v>DELIVERED</v>
          </cell>
          <cell r="G67" t="str">
            <v>SEA</v>
          </cell>
          <cell r="J67">
            <v>45679</v>
          </cell>
          <cell r="L67">
            <v>45734</v>
          </cell>
          <cell r="O67">
            <v>45786</v>
          </cell>
          <cell r="P67" t="str">
            <v>SYNHGH25SE010402</v>
          </cell>
          <cell r="R67" t="str">
            <v>PWBR24016110E</v>
          </cell>
          <cell r="T67" t="str">
            <v>SEKU9139789</v>
          </cell>
          <cell r="U67">
            <v>0.33</v>
          </cell>
          <cell r="AC67"/>
          <cell r="AD67">
            <v>45737</v>
          </cell>
          <cell r="AE67">
            <v>45740</v>
          </cell>
          <cell r="AJ67">
            <v>206659.91</v>
          </cell>
          <cell r="AK67">
            <v>45709</v>
          </cell>
          <cell r="AL67">
            <v>45712</v>
          </cell>
          <cell r="AM67">
            <v>45714</v>
          </cell>
          <cell r="AN67">
            <v>45714</v>
          </cell>
          <cell r="AO67">
            <v>45715</v>
          </cell>
          <cell r="AP67">
            <v>45728</v>
          </cell>
          <cell r="AQ67">
            <v>45737</v>
          </cell>
          <cell r="AR67">
            <v>45737</v>
          </cell>
          <cell r="AS67">
            <v>45737</v>
          </cell>
          <cell r="AT67">
            <v>45740</v>
          </cell>
          <cell r="AU67">
            <v>45740</v>
          </cell>
          <cell r="AY67">
            <v>45740</v>
          </cell>
          <cell r="AZ67">
            <v>45740</v>
          </cell>
          <cell r="BA67">
            <v>45742</v>
          </cell>
          <cell r="BB67">
            <v>45742</v>
          </cell>
          <cell r="BC67">
            <v>45742</v>
          </cell>
          <cell r="BD67">
            <v>45742</v>
          </cell>
          <cell r="BE67">
            <v>45743</v>
          </cell>
          <cell r="BF67">
            <v>45743</v>
          </cell>
          <cell r="BG67">
            <v>45744</v>
          </cell>
          <cell r="BH67">
            <v>45786</v>
          </cell>
          <cell r="BQ67">
            <v>825.39</v>
          </cell>
          <cell r="BR67">
            <v>45785</v>
          </cell>
          <cell r="BS67">
            <v>16546.599999999999</v>
          </cell>
          <cell r="BT67">
            <v>45805</v>
          </cell>
          <cell r="CD67">
            <v>45786</v>
          </cell>
          <cell r="CE67" t="str">
            <v>SIM  34 dias</v>
          </cell>
          <cell r="CI67">
            <v>45752</v>
          </cell>
        </row>
        <row r="68">
          <cell r="A68"/>
          <cell r="B68" t="str">
            <v>Z-033/2024</v>
          </cell>
          <cell r="E68" t="str">
            <v>POLYANE</v>
          </cell>
          <cell r="F68" t="str">
            <v>DELIVERED</v>
          </cell>
          <cell r="G68" t="str">
            <v>SEA</v>
          </cell>
          <cell r="J68" t="str">
            <v>24/01/25</v>
          </cell>
          <cell r="L68">
            <v>45734</v>
          </cell>
          <cell r="O68">
            <v>45792</v>
          </cell>
          <cell r="P68" t="str">
            <v>M:NGP2057577C
H: SYNHGH25SE01105502</v>
          </cell>
          <cell r="R68" t="str">
            <v>PWBR24013930+SBR2400008</v>
          </cell>
          <cell r="T68" t="str">
            <v>SEGU4843682</v>
          </cell>
          <cell r="U68">
            <v>0.33</v>
          </cell>
          <cell r="AC68"/>
          <cell r="AD68">
            <v>45743</v>
          </cell>
          <cell r="AE68">
            <v>45744</v>
          </cell>
          <cell r="AJ68">
            <v>364095.97</v>
          </cell>
          <cell r="AK68">
            <v>45714</v>
          </cell>
          <cell r="AL68">
            <v>45714</v>
          </cell>
          <cell r="AM68">
            <v>45726</v>
          </cell>
          <cell r="AN68">
            <v>45727</v>
          </cell>
          <cell r="AO68">
            <v>45727</v>
          </cell>
          <cell r="AP68">
            <v>45743</v>
          </cell>
          <cell r="AQ68">
            <v>45742</v>
          </cell>
          <cell r="AR68">
            <v>45737</v>
          </cell>
          <cell r="AS68">
            <v>45742</v>
          </cell>
          <cell r="AT68">
            <v>45743</v>
          </cell>
          <cell r="AU68">
            <v>45744</v>
          </cell>
          <cell r="AV68">
            <v>45743</v>
          </cell>
          <cell r="AW68">
            <v>45744</v>
          </cell>
          <cell r="AX68">
            <v>45744</v>
          </cell>
          <cell r="AY68">
            <v>45743</v>
          </cell>
          <cell r="AZ68">
            <v>45744</v>
          </cell>
          <cell r="BA68">
            <v>45747</v>
          </cell>
          <cell r="BB68">
            <v>45747</v>
          </cell>
          <cell r="BC68">
            <v>45749</v>
          </cell>
          <cell r="BD68">
            <v>45747</v>
          </cell>
          <cell r="BE68">
            <v>45749</v>
          </cell>
          <cell r="BF68">
            <v>45749</v>
          </cell>
          <cell r="BG68">
            <v>45750</v>
          </cell>
          <cell r="BH68">
            <v>45792</v>
          </cell>
          <cell r="BQ68">
            <v>6069.3966665999997</v>
          </cell>
          <cell r="BR68">
            <v>45791</v>
          </cell>
          <cell r="BS68">
            <v>54904.79</v>
          </cell>
          <cell r="BT68">
            <v>45805</v>
          </cell>
          <cell r="CD68">
            <v>45792</v>
          </cell>
          <cell r="CE68" t="str">
            <v>SIM  40 dias</v>
          </cell>
          <cell r="CI68">
            <v>45752</v>
          </cell>
        </row>
        <row r="69">
          <cell r="A69"/>
          <cell r="B69" t="str">
            <v>004/2025</v>
          </cell>
          <cell r="E69" t="str">
            <v>STELLA</v>
          </cell>
          <cell r="F69" t="str">
            <v>DELIVERED</v>
          </cell>
          <cell r="G69" t="str">
            <v>SEA</v>
          </cell>
          <cell r="J69">
            <v>45681</v>
          </cell>
          <cell r="L69">
            <v>45734</v>
          </cell>
          <cell r="O69">
            <v>45792</v>
          </cell>
          <cell r="P69" t="str">
            <v xml:space="preserve">M: NGP2057577B
H: SYNHGH25SE01105501 </v>
          </cell>
          <cell r="R69" t="str">
            <v>PWBR24016330</v>
          </cell>
          <cell r="T69" t="str">
            <v>SEGU4843682</v>
          </cell>
          <cell r="U69">
            <v>0.33</v>
          </cell>
          <cell r="AC69"/>
          <cell r="AD69">
            <v>45743</v>
          </cell>
          <cell r="AE69">
            <v>45743</v>
          </cell>
          <cell r="AJ69">
            <v>22446.68</v>
          </cell>
          <cell r="AK69">
            <v>45709</v>
          </cell>
          <cell r="AL69">
            <v>45709</v>
          </cell>
          <cell r="AM69">
            <v>45730</v>
          </cell>
          <cell r="AN69">
            <v>45730</v>
          </cell>
          <cell r="AO69">
            <v>45733</v>
          </cell>
          <cell r="AP69">
            <v>45742</v>
          </cell>
          <cell r="AQ69">
            <v>45742</v>
          </cell>
          <cell r="AR69">
            <v>45737</v>
          </cell>
          <cell r="AS69">
            <v>45742</v>
          </cell>
          <cell r="AT69">
            <v>45743</v>
          </cell>
          <cell r="AU69">
            <v>45744</v>
          </cell>
          <cell r="AY69">
            <v>45743</v>
          </cell>
          <cell r="AZ69">
            <v>45743</v>
          </cell>
          <cell r="BA69">
            <v>45747</v>
          </cell>
          <cell r="BB69">
            <v>45747</v>
          </cell>
          <cell r="BC69">
            <v>45748</v>
          </cell>
          <cell r="BD69">
            <v>45747</v>
          </cell>
          <cell r="BE69">
            <v>45748</v>
          </cell>
          <cell r="BF69">
            <v>45748</v>
          </cell>
          <cell r="BG69">
            <v>45749</v>
          </cell>
          <cell r="BH69">
            <v>45792</v>
          </cell>
          <cell r="BQ69">
            <v>6066.0630000000001</v>
          </cell>
          <cell r="BR69">
            <v>45791</v>
          </cell>
          <cell r="BS69">
            <v>18301.596666666672</v>
          </cell>
          <cell r="BT69">
            <v>45805</v>
          </cell>
          <cell r="CD69">
            <v>45792</v>
          </cell>
          <cell r="CE69" t="str">
            <v>SIM  40 dias</v>
          </cell>
          <cell r="CI69">
            <v>45752</v>
          </cell>
        </row>
        <row r="70">
          <cell r="A70"/>
          <cell r="B70" t="str">
            <v>003A/2025</v>
          </cell>
          <cell r="E70" t="str">
            <v>STELLA</v>
          </cell>
          <cell r="F70" t="str">
            <v>DELIVERED</v>
          </cell>
          <cell r="G70" t="str">
            <v>SEA</v>
          </cell>
          <cell r="J70">
            <v>45712</v>
          </cell>
          <cell r="L70">
            <v>45752</v>
          </cell>
          <cell r="O70">
            <v>45794</v>
          </cell>
          <cell r="P70" t="str">
            <v>SDB63S538306</v>
          </cell>
          <cell r="R70" t="str">
            <v xml:space="preserve">
PWBR25000710A</v>
          </cell>
          <cell r="T70" t="str">
            <v>CGMU5574642</v>
          </cell>
          <cell r="U70">
            <v>1</v>
          </cell>
          <cell r="AC70"/>
          <cell r="AD70">
            <v>45786</v>
          </cell>
          <cell r="AE70">
            <v>45786</v>
          </cell>
          <cell r="AJ70">
            <v>789012.45</v>
          </cell>
          <cell r="AK70">
            <v>45740</v>
          </cell>
          <cell r="AL70">
            <v>45743</v>
          </cell>
          <cell r="AM70">
            <v>45755</v>
          </cell>
          <cell r="AN70">
            <v>45755</v>
          </cell>
          <cell r="AO70">
            <v>45755</v>
          </cell>
          <cell r="AP70">
            <v>45757</v>
          </cell>
          <cell r="AQ70">
            <v>45786</v>
          </cell>
          <cell r="AR70">
            <v>45756</v>
          </cell>
          <cell r="AS70">
            <v>45786</v>
          </cell>
          <cell r="AT70">
            <v>45789</v>
          </cell>
          <cell r="AU70">
            <v>45790</v>
          </cell>
          <cell r="AY70">
            <v>45790</v>
          </cell>
          <cell r="AZ70">
            <v>45790</v>
          </cell>
          <cell r="BA70">
            <v>45791</v>
          </cell>
          <cell r="BB70">
            <v>45791</v>
          </cell>
          <cell r="BC70">
            <v>45793</v>
          </cell>
          <cell r="BD70">
            <v>45791</v>
          </cell>
          <cell r="BE70">
            <v>45793</v>
          </cell>
          <cell r="BF70">
            <v>45793</v>
          </cell>
          <cell r="BG70">
            <v>45793</v>
          </cell>
          <cell r="BH70">
            <v>45794</v>
          </cell>
          <cell r="BQ70">
            <v>4704.1099999999997</v>
          </cell>
          <cell r="BR70">
            <v>45793</v>
          </cell>
          <cell r="BS70">
            <v>30536.36</v>
          </cell>
          <cell r="BT70">
            <v>45829</v>
          </cell>
          <cell r="CD70">
            <v>45796</v>
          </cell>
          <cell r="CE70" t="str">
            <v>SIM  26 dias</v>
          </cell>
          <cell r="CI70">
            <v>45770</v>
          </cell>
        </row>
        <row r="71">
          <cell r="A71"/>
          <cell r="B71" t="str">
            <v>003B/2025</v>
          </cell>
          <cell r="E71" t="str">
            <v>STELLA</v>
          </cell>
          <cell r="F71" t="str">
            <v>DELIVERED</v>
          </cell>
          <cell r="G71" t="str">
            <v>SEA</v>
          </cell>
          <cell r="J71">
            <v>45712</v>
          </cell>
          <cell r="L71">
            <v>45752</v>
          </cell>
          <cell r="O71">
            <v>45797</v>
          </cell>
          <cell r="P71" t="str">
            <v>SDB63S538307</v>
          </cell>
          <cell r="R71" t="str">
            <v>PWBR25000710B</v>
          </cell>
          <cell r="T71" t="str">
            <v>CGMU5328340; CGMU5611221; SEGU9060329</v>
          </cell>
          <cell r="U71">
            <v>3</v>
          </cell>
          <cell r="AC71"/>
          <cell r="AD71">
            <v>45758</v>
          </cell>
          <cell r="AE71">
            <v>45761</v>
          </cell>
          <cell r="AJ71">
            <v>886925.18</v>
          </cell>
          <cell r="AK71">
            <v>45733</v>
          </cell>
          <cell r="AL71">
            <v>45734</v>
          </cell>
          <cell r="AM71">
            <v>45747</v>
          </cell>
          <cell r="AN71">
            <v>45748</v>
          </cell>
          <cell r="AO71">
            <v>45749</v>
          </cell>
          <cell r="AP71">
            <v>45757</v>
          </cell>
          <cell r="AQ71">
            <v>45758</v>
          </cell>
          <cell r="AR71">
            <v>45756</v>
          </cell>
          <cell r="AS71">
            <v>45758</v>
          </cell>
          <cell r="AT71">
            <v>45761</v>
          </cell>
          <cell r="AU71">
            <v>45761</v>
          </cell>
          <cell r="AY71">
            <v>45761</v>
          </cell>
          <cell r="AZ71">
            <v>45761</v>
          </cell>
          <cell r="BA71">
            <v>45764</v>
          </cell>
          <cell r="BB71">
            <v>45764</v>
          </cell>
          <cell r="BC71">
            <v>45791</v>
          </cell>
          <cell r="BD71">
            <v>45764</v>
          </cell>
          <cell r="BE71">
            <v>45791</v>
          </cell>
          <cell r="BF71">
            <v>45791</v>
          </cell>
          <cell r="BG71">
            <v>45793</v>
          </cell>
          <cell r="BH71">
            <v>45796</v>
          </cell>
          <cell r="BQ71">
            <v>14112.33</v>
          </cell>
          <cell r="BR71">
            <v>45793</v>
          </cell>
          <cell r="BS71">
            <v>95565.51</v>
          </cell>
          <cell r="BT71">
            <v>45829</v>
          </cell>
          <cell r="CD71">
            <v>45797</v>
          </cell>
          <cell r="CE71" t="str">
            <v>SIM  27 dias</v>
          </cell>
          <cell r="CI71">
            <v>45770</v>
          </cell>
        </row>
        <row r="72">
          <cell r="A72"/>
          <cell r="B72" t="str">
            <v>003C/2025</v>
          </cell>
          <cell r="E72" t="str">
            <v>STELLA</v>
          </cell>
          <cell r="F72" t="str">
            <v>DELIVERED</v>
          </cell>
          <cell r="G72" t="str">
            <v>SEA</v>
          </cell>
          <cell r="J72">
            <v>45712</v>
          </cell>
          <cell r="L72">
            <v>45752</v>
          </cell>
          <cell r="O72">
            <v>45798</v>
          </cell>
          <cell r="P72" t="str">
            <v>SDB63S538310</v>
          </cell>
          <cell r="R72" t="str">
            <v>PWBR25000710C</v>
          </cell>
          <cell r="T72" t="str">
            <v>SZLU9865820; TTNU8056149; TTNU8161735</v>
          </cell>
          <cell r="U72">
            <v>3</v>
          </cell>
          <cell r="AC72"/>
          <cell r="AD72">
            <v>45757</v>
          </cell>
          <cell r="AE72">
            <v>45758</v>
          </cell>
          <cell r="AJ72">
            <v>1118500.74</v>
          </cell>
          <cell r="AK72">
            <v>45733</v>
          </cell>
          <cell r="AL72">
            <v>45734</v>
          </cell>
          <cell r="AM72">
            <v>45749</v>
          </cell>
          <cell r="AN72">
            <v>45750</v>
          </cell>
          <cell r="AO72">
            <v>45754</v>
          </cell>
          <cell r="AP72">
            <v>45757</v>
          </cell>
          <cell r="AQ72">
            <v>45757</v>
          </cell>
          <cell r="AR72">
            <v>45756</v>
          </cell>
          <cell r="AS72">
            <v>45757</v>
          </cell>
          <cell r="AT72">
            <v>45757</v>
          </cell>
          <cell r="AU72">
            <v>45758</v>
          </cell>
          <cell r="AY72">
            <v>45757</v>
          </cell>
          <cell r="AZ72">
            <v>45758</v>
          </cell>
          <cell r="BA72">
            <v>45761</v>
          </cell>
          <cell r="BB72">
            <v>45761</v>
          </cell>
          <cell r="BC72">
            <v>45791</v>
          </cell>
          <cell r="BD72">
            <v>45761</v>
          </cell>
          <cell r="BE72">
            <v>45791</v>
          </cell>
          <cell r="BF72">
            <v>45791</v>
          </cell>
          <cell r="BG72">
            <v>45793</v>
          </cell>
          <cell r="BH72">
            <v>45798</v>
          </cell>
          <cell r="BQ72">
            <v>11904.69</v>
          </cell>
          <cell r="BR72">
            <v>45796</v>
          </cell>
          <cell r="BS72">
            <v>101010.54</v>
          </cell>
          <cell r="BT72">
            <v>45829</v>
          </cell>
          <cell r="CD72">
            <v>45799</v>
          </cell>
          <cell r="CE72" t="str">
            <v>SIM  29 dias</v>
          </cell>
          <cell r="CI72">
            <v>45770</v>
          </cell>
        </row>
        <row r="73">
          <cell r="A73"/>
          <cell r="B73" t="str">
            <v>003D/2025</v>
          </cell>
          <cell r="E73" t="str">
            <v>STELLA</v>
          </cell>
          <cell r="F73" t="str">
            <v>DELIVERED</v>
          </cell>
          <cell r="G73" t="str">
            <v>SEA</v>
          </cell>
          <cell r="J73">
            <v>45712</v>
          </cell>
          <cell r="L73">
            <v>45752</v>
          </cell>
          <cell r="O73">
            <v>45800</v>
          </cell>
          <cell r="P73" t="str">
            <v>SDB63S538311</v>
          </cell>
          <cell r="R73" t="str">
            <v xml:space="preserve">
PWBR25000710D</v>
          </cell>
          <cell r="T73" t="str">
            <v xml:space="preserve">CGMU9287506; SEKU9291596; TTNU8091670 </v>
          </cell>
          <cell r="U73">
            <v>3</v>
          </cell>
          <cell r="AC73"/>
          <cell r="AD73">
            <v>45786</v>
          </cell>
          <cell r="AE73">
            <v>45786</v>
          </cell>
          <cell r="AJ73">
            <v>1053381.81</v>
          </cell>
          <cell r="AK73">
            <v>45733</v>
          </cell>
          <cell r="AL73">
            <v>45734</v>
          </cell>
          <cell r="AM73">
            <v>45750</v>
          </cell>
          <cell r="AN73">
            <v>45750</v>
          </cell>
          <cell r="AO73">
            <v>45754</v>
          </cell>
          <cell r="AP73">
            <v>45757</v>
          </cell>
          <cell r="AQ73">
            <v>45786</v>
          </cell>
          <cell r="AR73">
            <v>45756</v>
          </cell>
          <cell r="AS73">
            <v>45786</v>
          </cell>
          <cell r="AT73">
            <v>45789</v>
          </cell>
          <cell r="AU73">
            <v>45796</v>
          </cell>
          <cell r="AY73">
            <v>45790</v>
          </cell>
          <cell r="AZ73">
            <v>45791</v>
          </cell>
          <cell r="BA73">
            <v>45793</v>
          </cell>
          <cell r="BB73">
            <v>45796</v>
          </cell>
          <cell r="BC73">
            <v>45797</v>
          </cell>
          <cell r="BD73">
            <v>45796</v>
          </cell>
          <cell r="BE73">
            <v>45797</v>
          </cell>
          <cell r="BF73">
            <v>45797</v>
          </cell>
          <cell r="BG73">
            <v>45799</v>
          </cell>
          <cell r="BH73">
            <v>45799</v>
          </cell>
          <cell r="BQ73">
            <v>22490.639999999999</v>
          </cell>
          <cell r="BR73">
            <v>45798</v>
          </cell>
          <cell r="BS73">
            <v>105302.56</v>
          </cell>
          <cell r="BT73">
            <v>45833</v>
          </cell>
          <cell r="CD73">
            <v>45801</v>
          </cell>
          <cell r="CE73" t="str">
            <v>SIM  31 dias</v>
          </cell>
          <cell r="CI73">
            <v>45770</v>
          </cell>
        </row>
        <row r="74">
          <cell r="A74"/>
          <cell r="B74" t="str">
            <v>003E/2025</v>
          </cell>
          <cell r="E74" t="str">
            <v>STELLA</v>
          </cell>
          <cell r="F74" t="str">
            <v>DELIVERED</v>
          </cell>
          <cell r="G74" t="str">
            <v>SEA</v>
          </cell>
          <cell r="J74">
            <v>45712</v>
          </cell>
          <cell r="L74">
            <v>45752</v>
          </cell>
          <cell r="O74">
            <v>45801</v>
          </cell>
          <cell r="P74" t="str">
            <v>SDB63S538313</v>
          </cell>
          <cell r="R74" t="str">
            <v xml:space="preserve">
PWBR25000710E</v>
          </cell>
          <cell r="T74" t="str">
            <v>TRIU8867201</v>
          </cell>
          <cell r="U74">
            <v>0.5</v>
          </cell>
          <cell r="AC74"/>
          <cell r="AD74">
            <v>45758</v>
          </cell>
          <cell r="AE74">
            <v>45761</v>
          </cell>
          <cell r="AJ74">
            <v>241587.32</v>
          </cell>
          <cell r="AK74">
            <v>45742</v>
          </cell>
          <cell r="AL74">
            <v>45743</v>
          </cell>
          <cell r="AM74">
            <v>45754</v>
          </cell>
          <cell r="AN74">
            <v>45754</v>
          </cell>
          <cell r="AO74">
            <v>45754</v>
          </cell>
          <cell r="AP74">
            <v>45757</v>
          </cell>
          <cell r="AQ74">
            <v>45758</v>
          </cell>
          <cell r="AR74">
            <v>45756</v>
          </cell>
          <cell r="AS74">
            <v>45758</v>
          </cell>
          <cell r="AT74">
            <v>45761</v>
          </cell>
          <cell r="AU74">
            <v>45761</v>
          </cell>
          <cell r="AY74">
            <v>45761</v>
          </cell>
          <cell r="AZ74">
            <v>45761</v>
          </cell>
          <cell r="BA74">
            <v>45764</v>
          </cell>
          <cell r="BB74">
            <v>45764</v>
          </cell>
          <cell r="BC74">
            <v>45786</v>
          </cell>
          <cell r="BD74">
            <v>45764</v>
          </cell>
          <cell r="BE74">
            <v>45786</v>
          </cell>
          <cell r="BF74">
            <v>45789</v>
          </cell>
          <cell r="BG74">
            <v>45792</v>
          </cell>
          <cell r="BH74">
            <v>45801</v>
          </cell>
          <cell r="BQ74">
            <v>2352.0549999999998</v>
          </cell>
          <cell r="BR74">
            <v>45796</v>
          </cell>
          <cell r="BS74">
            <v>18074.59</v>
          </cell>
          <cell r="BT74">
            <v>45833</v>
          </cell>
          <cell r="CD74">
            <v>45801</v>
          </cell>
          <cell r="CE74" t="str">
            <v>SIM  31 dias</v>
          </cell>
          <cell r="CI74">
            <v>45770</v>
          </cell>
        </row>
        <row r="75">
          <cell r="A75"/>
          <cell r="B75" t="str">
            <v>003E2/2025</v>
          </cell>
          <cell r="E75" t="str">
            <v>STELLA</v>
          </cell>
          <cell r="F75" t="str">
            <v>DELIVERED</v>
          </cell>
          <cell r="G75" t="str">
            <v>SEA</v>
          </cell>
          <cell r="J75">
            <v>45712</v>
          </cell>
          <cell r="L75">
            <v>45752</v>
          </cell>
          <cell r="O75">
            <v>45801</v>
          </cell>
          <cell r="P75" t="str">
            <v>SDB63S538314</v>
          </cell>
          <cell r="R75" t="str">
            <v>PWBR25000710E2</v>
          </cell>
          <cell r="T75" t="str">
            <v>TRIU8867201</v>
          </cell>
          <cell r="U75">
            <v>0.5</v>
          </cell>
          <cell r="AC75"/>
          <cell r="AD75">
            <v>45786</v>
          </cell>
          <cell r="AE75">
            <v>45786</v>
          </cell>
          <cell r="AJ75">
            <v>687751.71</v>
          </cell>
          <cell r="AK75">
            <v>45742</v>
          </cell>
          <cell r="AL75">
            <v>45743</v>
          </cell>
          <cell r="AM75">
            <v>45756</v>
          </cell>
          <cell r="AN75">
            <v>45756</v>
          </cell>
          <cell r="AO75">
            <v>45757</v>
          </cell>
          <cell r="AP75">
            <v>45761</v>
          </cell>
          <cell r="AQ75">
            <v>45786</v>
          </cell>
          <cell r="AR75">
            <v>45756</v>
          </cell>
          <cell r="AS75">
            <v>45786</v>
          </cell>
          <cell r="AT75">
            <v>45789</v>
          </cell>
          <cell r="AU75">
            <v>45796</v>
          </cell>
          <cell r="AY75">
            <v>45796</v>
          </cell>
          <cell r="AZ75">
            <v>45797</v>
          </cell>
          <cell r="BA75">
            <v>45798</v>
          </cell>
          <cell r="BB75">
            <v>45798</v>
          </cell>
          <cell r="BC75">
            <v>45799</v>
          </cell>
          <cell r="BD75">
            <v>45798</v>
          </cell>
          <cell r="BE75">
            <v>45799</v>
          </cell>
          <cell r="BF75">
            <v>45799</v>
          </cell>
          <cell r="BG75">
            <v>45800</v>
          </cell>
          <cell r="BH75">
            <v>45801</v>
          </cell>
          <cell r="BQ75">
            <v>2352.0549999999998</v>
          </cell>
          <cell r="BR75">
            <v>45796</v>
          </cell>
          <cell r="BS75">
            <v>18074.59</v>
          </cell>
          <cell r="BT75">
            <v>45833</v>
          </cell>
          <cell r="CD75">
            <v>45801</v>
          </cell>
          <cell r="CE75" t="str">
            <v>SIM  31 dias</v>
          </cell>
          <cell r="CI75">
            <v>45770</v>
          </cell>
        </row>
        <row r="76">
          <cell r="A76"/>
          <cell r="B76" t="str">
            <v>003F/2025</v>
          </cell>
          <cell r="E76" t="str">
            <v>STELLA</v>
          </cell>
          <cell r="F76" t="str">
            <v>DELIVERED</v>
          </cell>
          <cell r="G76" t="str">
            <v>SEA</v>
          </cell>
          <cell r="J76">
            <v>45712</v>
          </cell>
          <cell r="L76">
            <v>45752</v>
          </cell>
          <cell r="O76">
            <v>45803</v>
          </cell>
          <cell r="P76" t="str">
            <v>SDB63S538316</v>
          </cell>
          <cell r="R76" t="str">
            <v>PWBR25000710F</v>
          </cell>
          <cell r="T76" t="str">
            <v>CGMU5467808; CGMU6526150; SEKU9285206</v>
          </cell>
          <cell r="U76">
            <v>3</v>
          </cell>
          <cell r="AC76"/>
          <cell r="AD76">
            <v>45792</v>
          </cell>
          <cell r="AE76">
            <v>45792</v>
          </cell>
          <cell r="AJ76">
            <v>1047780.19</v>
          </cell>
          <cell r="AK76">
            <v>45744</v>
          </cell>
          <cell r="AL76">
            <v>45744</v>
          </cell>
          <cell r="AM76">
            <v>45756</v>
          </cell>
          <cell r="AN76">
            <v>45756</v>
          </cell>
          <cell r="AO76">
            <v>45756</v>
          </cell>
          <cell r="AP76">
            <v>45757</v>
          </cell>
          <cell r="AQ76">
            <v>45792</v>
          </cell>
          <cell r="AR76">
            <v>45756</v>
          </cell>
          <cell r="AS76">
            <v>45792</v>
          </cell>
          <cell r="AT76">
            <v>45793</v>
          </cell>
          <cell r="AU76">
            <v>45793</v>
          </cell>
          <cell r="AY76">
            <v>45796</v>
          </cell>
          <cell r="AZ76">
            <v>45797</v>
          </cell>
          <cell r="BA76">
            <v>45798</v>
          </cell>
          <cell r="BB76">
            <v>45798</v>
          </cell>
          <cell r="BC76">
            <v>45799</v>
          </cell>
          <cell r="BD76">
            <v>45798</v>
          </cell>
          <cell r="BE76">
            <v>45799</v>
          </cell>
          <cell r="BF76">
            <v>45799</v>
          </cell>
          <cell r="BG76">
            <v>45800</v>
          </cell>
          <cell r="BH76">
            <v>45803</v>
          </cell>
          <cell r="BQ76">
            <v>22490.639999999999</v>
          </cell>
          <cell r="BR76">
            <v>45799</v>
          </cell>
          <cell r="BS76">
            <v>113886.59</v>
          </cell>
          <cell r="BT76">
            <v>45833</v>
          </cell>
          <cell r="CD76">
            <v>45799</v>
          </cell>
          <cell r="CE76" t="str">
            <v>SIM  29 dias</v>
          </cell>
          <cell r="CI76">
            <v>45770</v>
          </cell>
        </row>
        <row r="77">
          <cell r="A77"/>
          <cell r="B77" t="str">
            <v>003G/2025</v>
          </cell>
          <cell r="E77" t="str">
            <v>STELLA</v>
          </cell>
          <cell r="F77" t="str">
            <v>DELIVERED</v>
          </cell>
          <cell r="G77" t="str">
            <v>SEA</v>
          </cell>
          <cell r="J77">
            <v>45712</v>
          </cell>
          <cell r="L77">
            <v>45752</v>
          </cell>
          <cell r="O77">
            <v>45800</v>
          </cell>
          <cell r="P77" t="str">
            <v>SDB63S538317</v>
          </cell>
          <cell r="R77" t="str">
            <v>PWBR25000710G</v>
          </cell>
          <cell r="T77" t="str">
            <v>CGMU5566077; TRIU8920522</v>
          </cell>
          <cell r="U77">
            <v>2</v>
          </cell>
          <cell r="AC77"/>
          <cell r="AD77">
            <v>45786</v>
          </cell>
          <cell r="AE77">
            <v>45786</v>
          </cell>
          <cell r="AJ77">
            <v>1073435.31</v>
          </cell>
          <cell r="AK77">
            <v>45743</v>
          </cell>
          <cell r="AL77">
            <v>45743</v>
          </cell>
          <cell r="AM77">
            <v>45755</v>
          </cell>
          <cell r="AN77">
            <v>45755</v>
          </cell>
          <cell r="AO77">
            <v>45755</v>
          </cell>
          <cell r="AP77">
            <v>45757</v>
          </cell>
          <cell r="AQ77">
            <v>45786</v>
          </cell>
          <cell r="AR77">
            <v>45756</v>
          </cell>
          <cell r="AS77">
            <v>45786</v>
          </cell>
          <cell r="AT77">
            <v>45789</v>
          </cell>
          <cell r="AU77">
            <v>45789</v>
          </cell>
          <cell r="AY77">
            <v>45789</v>
          </cell>
          <cell r="AZ77">
            <v>45790</v>
          </cell>
          <cell r="BA77">
            <v>45792</v>
          </cell>
          <cell r="BB77">
            <v>45793</v>
          </cell>
          <cell r="BC77">
            <v>45793</v>
          </cell>
          <cell r="BD77">
            <v>45793</v>
          </cell>
          <cell r="BE77">
            <v>45793</v>
          </cell>
          <cell r="BF77">
            <v>45793</v>
          </cell>
          <cell r="BG77">
            <v>45799</v>
          </cell>
          <cell r="BH77">
            <v>45800</v>
          </cell>
          <cell r="BQ77">
            <v>9408.2199999999993</v>
          </cell>
          <cell r="BR77">
            <v>45796</v>
          </cell>
          <cell r="BS77">
            <v>69552.97</v>
          </cell>
          <cell r="BT77">
            <v>45833</v>
          </cell>
          <cell r="CD77">
            <v>45800</v>
          </cell>
          <cell r="CE77" t="str">
            <v>SIM  30 dias</v>
          </cell>
          <cell r="CI77">
            <v>45770</v>
          </cell>
        </row>
        <row r="78">
          <cell r="A78"/>
          <cell r="B78" t="str">
            <v>003H/2025</v>
          </cell>
          <cell r="E78" t="str">
            <v>STELLA</v>
          </cell>
          <cell r="F78" t="str">
            <v>DELIVERED</v>
          </cell>
          <cell r="G78" t="str">
            <v>SEA</v>
          </cell>
          <cell r="J78">
            <v>45712</v>
          </cell>
          <cell r="L78">
            <v>45752</v>
          </cell>
          <cell r="O78">
            <v>45794</v>
          </cell>
          <cell r="P78" t="str">
            <v>SDB63S538319</v>
          </cell>
          <cell r="R78" t="str">
            <v>PWBR25000710H</v>
          </cell>
          <cell r="T78" t="str">
            <v>TRIU8118184</v>
          </cell>
          <cell r="U78">
            <v>0.33</v>
          </cell>
          <cell r="AC78"/>
          <cell r="AD78">
            <v>45758</v>
          </cell>
          <cell r="AE78">
            <v>45761</v>
          </cell>
          <cell r="AJ78">
            <v>129249.53</v>
          </cell>
          <cell r="AK78">
            <v>45733</v>
          </cell>
          <cell r="AL78">
            <v>45734</v>
          </cell>
          <cell r="AM78">
            <v>45747</v>
          </cell>
          <cell r="AN78">
            <v>45747</v>
          </cell>
          <cell r="AO78">
            <v>45747</v>
          </cell>
          <cell r="AP78">
            <v>45748</v>
          </cell>
          <cell r="AQ78">
            <v>45758</v>
          </cell>
          <cell r="AR78">
            <v>45756</v>
          </cell>
          <cell r="AS78">
            <v>45758</v>
          </cell>
          <cell r="AT78">
            <v>45761</v>
          </cell>
          <cell r="AU78">
            <v>45761</v>
          </cell>
          <cell r="AV78">
            <v>45761</v>
          </cell>
          <cell r="AW78">
            <v>45762</v>
          </cell>
          <cell r="AX78">
            <v>45762</v>
          </cell>
          <cell r="AY78">
            <v>45761</v>
          </cell>
          <cell r="AZ78">
            <v>45761</v>
          </cell>
          <cell r="BA78">
            <v>45764</v>
          </cell>
          <cell r="BB78">
            <v>45764</v>
          </cell>
          <cell r="BC78">
            <v>45764</v>
          </cell>
          <cell r="BD78">
            <v>45764</v>
          </cell>
          <cell r="BE78">
            <v>45789</v>
          </cell>
          <cell r="BF78">
            <v>45789</v>
          </cell>
          <cell r="BG78">
            <v>45793</v>
          </cell>
          <cell r="BH78">
            <v>45794</v>
          </cell>
          <cell r="BQ78">
            <v>1568.03666666666</v>
          </cell>
          <cell r="BR78">
            <v>45791</v>
          </cell>
          <cell r="BS78">
            <v>10311.42</v>
          </cell>
          <cell r="BT78">
            <v>45829</v>
          </cell>
          <cell r="CD78">
            <v>45796</v>
          </cell>
          <cell r="CE78" t="str">
            <v>SIM  26 dias</v>
          </cell>
          <cell r="CI78">
            <v>45770</v>
          </cell>
        </row>
        <row r="79">
          <cell r="A79"/>
          <cell r="B79" t="str">
            <v>003I/2025</v>
          </cell>
          <cell r="E79" t="str">
            <v>STELLA</v>
          </cell>
          <cell r="F79" t="str">
            <v>DELIVERED</v>
          </cell>
          <cell r="G79" t="str">
            <v>SEA</v>
          </cell>
          <cell r="J79">
            <v>45712</v>
          </cell>
          <cell r="L79">
            <v>45752</v>
          </cell>
          <cell r="O79">
            <v>45811</v>
          </cell>
          <cell r="P79" t="str">
            <v>SDB63S538321</v>
          </cell>
          <cell r="R79" t="str">
            <v>PWBR25000710I</v>
          </cell>
          <cell r="T79" t="str">
            <v>CXRU1037843; TTNU8531737</v>
          </cell>
          <cell r="U79">
            <v>2</v>
          </cell>
          <cell r="AC79"/>
          <cell r="AD79">
            <v>45804</v>
          </cell>
          <cell r="AE79">
            <v>45804</v>
          </cell>
          <cell r="AJ79">
            <v>714216.93</v>
          </cell>
          <cell r="AK79">
            <v>45726</v>
          </cell>
          <cell r="AL79">
            <v>45733</v>
          </cell>
          <cell r="AM79">
            <v>45747</v>
          </cell>
          <cell r="AN79">
            <v>45747</v>
          </cell>
          <cell r="AO79">
            <v>45747</v>
          </cell>
          <cell r="AP79">
            <v>45748</v>
          </cell>
          <cell r="AQ79">
            <v>45803</v>
          </cell>
          <cell r="AR79">
            <v>45756</v>
          </cell>
          <cell r="AS79">
            <v>45803</v>
          </cell>
          <cell r="AT79">
            <v>45804</v>
          </cell>
          <cell r="AU79">
            <v>45804</v>
          </cell>
          <cell r="AY79">
            <v>45804</v>
          </cell>
          <cell r="AZ79">
            <v>45804</v>
          </cell>
          <cell r="BA79">
            <v>45805</v>
          </cell>
          <cell r="BB79">
            <v>45805</v>
          </cell>
          <cell r="BC79">
            <v>45805</v>
          </cell>
          <cell r="BD79">
            <v>45805</v>
          </cell>
          <cell r="BE79">
            <v>45805</v>
          </cell>
          <cell r="BF79">
            <v>45805</v>
          </cell>
          <cell r="BG79">
            <v>45806</v>
          </cell>
          <cell r="BH79">
            <v>45811</v>
          </cell>
          <cell r="BQ79">
            <v>14993.76</v>
          </cell>
          <cell r="BR79">
            <v>45810</v>
          </cell>
          <cell r="BS79">
            <v>69552.97</v>
          </cell>
          <cell r="BT79">
            <v>45831</v>
          </cell>
          <cell r="CD79">
            <v>45812</v>
          </cell>
          <cell r="CE79" t="str">
            <v>SIM  42 dias</v>
          </cell>
          <cell r="CI79">
            <v>45770</v>
          </cell>
        </row>
        <row r="80">
          <cell r="A80"/>
          <cell r="B80" t="str">
            <v>003J/2025</v>
          </cell>
          <cell r="E80" t="str">
            <v>STELLA</v>
          </cell>
          <cell r="F80" t="str">
            <v>DELIVERED</v>
          </cell>
          <cell r="G80" t="str">
            <v>SEA</v>
          </cell>
          <cell r="J80">
            <v>45712</v>
          </cell>
          <cell r="L80">
            <v>45752</v>
          </cell>
          <cell r="O80">
            <v>45791</v>
          </cell>
          <cell r="P80" t="str">
            <v>SDB63S538324</v>
          </cell>
          <cell r="R80" t="str">
            <v>PWBR25000710J</v>
          </cell>
          <cell r="T80" t="str">
            <v>CGMU5333877</v>
          </cell>
          <cell r="U80">
            <v>1</v>
          </cell>
          <cell r="AC80"/>
          <cell r="AD80">
            <v>45761</v>
          </cell>
          <cell r="AE80">
            <v>45763</v>
          </cell>
          <cell r="AJ80">
            <v>81783.289999999994</v>
          </cell>
          <cell r="AK80">
            <v>45726</v>
          </cell>
          <cell r="AL80">
            <v>45733</v>
          </cell>
          <cell r="AM80">
            <v>45737</v>
          </cell>
          <cell r="AN80">
            <v>45740</v>
          </cell>
          <cell r="AO80">
            <v>45743</v>
          </cell>
          <cell r="AP80">
            <v>45748</v>
          </cell>
          <cell r="AQ80">
            <v>45758</v>
          </cell>
          <cell r="AR80">
            <v>45756</v>
          </cell>
          <cell r="AS80">
            <v>45758</v>
          </cell>
          <cell r="AT80">
            <v>45761</v>
          </cell>
          <cell r="AU80">
            <v>45761</v>
          </cell>
          <cell r="AY80">
            <v>45761</v>
          </cell>
          <cell r="AZ80">
            <v>45761</v>
          </cell>
          <cell r="BA80">
            <v>45764</v>
          </cell>
          <cell r="BB80">
            <v>45764</v>
          </cell>
          <cell r="BC80">
            <v>45783</v>
          </cell>
          <cell r="BD80">
            <v>45764</v>
          </cell>
          <cell r="BE80">
            <v>45783</v>
          </cell>
          <cell r="BF80">
            <v>45785</v>
          </cell>
          <cell r="BG80">
            <v>45786</v>
          </cell>
          <cell r="BH80">
            <v>45791</v>
          </cell>
          <cell r="BQ80">
            <v>2842.26</v>
          </cell>
          <cell r="BR80">
            <v>45790</v>
          </cell>
          <cell r="BS80">
            <v>25091.34</v>
          </cell>
          <cell r="BT80">
            <v>45829</v>
          </cell>
          <cell r="CD80">
            <v>45800</v>
          </cell>
          <cell r="CE80" t="str">
            <v>SIM  30 dias</v>
          </cell>
          <cell r="CI80">
            <v>45770</v>
          </cell>
        </row>
        <row r="81">
          <cell r="A81"/>
          <cell r="B81" t="str">
            <v>007A/2025</v>
          </cell>
          <cell r="E81" t="str">
            <v>STELLA</v>
          </cell>
          <cell r="F81" t="str">
            <v>DELIVERED</v>
          </cell>
          <cell r="G81" t="str">
            <v>SEA</v>
          </cell>
          <cell r="J81">
            <v>45728</v>
          </cell>
          <cell r="L81">
            <v>45766</v>
          </cell>
          <cell r="O81">
            <v>45804</v>
          </cell>
          <cell r="P81" t="str">
            <v>SDB63S540033</v>
          </cell>
          <cell r="R81" t="str">
            <v>PWBR24016260A</v>
          </cell>
          <cell r="T81" t="str">
            <v>TRIU8122266</v>
          </cell>
          <cell r="U81">
            <v>0.33</v>
          </cell>
          <cell r="AC81"/>
          <cell r="AD81">
            <v>45792</v>
          </cell>
          <cell r="AE81">
            <v>45793</v>
          </cell>
          <cell r="AJ81">
            <v>679721.25</v>
          </cell>
          <cell r="AK81">
            <v>45782</v>
          </cell>
          <cell r="AL81">
            <v>45783</v>
          </cell>
          <cell r="AM81">
            <v>45784</v>
          </cell>
          <cell r="AN81">
            <v>45785</v>
          </cell>
          <cell r="AO81">
            <v>45785</v>
          </cell>
          <cell r="AP81">
            <v>45789</v>
          </cell>
          <cell r="AQ81">
            <v>45792</v>
          </cell>
          <cell r="AR81">
            <v>45771</v>
          </cell>
          <cell r="AS81">
            <v>45792</v>
          </cell>
          <cell r="AT81">
            <v>45793</v>
          </cell>
          <cell r="AU81">
            <v>45796</v>
          </cell>
          <cell r="AV81">
            <v>45793</v>
          </cell>
          <cell r="AW81">
            <v>45797</v>
          </cell>
          <cell r="AX81">
            <v>45798</v>
          </cell>
          <cell r="AY81">
            <v>45796</v>
          </cell>
          <cell r="AZ81">
            <v>45797</v>
          </cell>
          <cell r="BA81">
            <v>45798</v>
          </cell>
          <cell r="BB81">
            <v>45798</v>
          </cell>
          <cell r="BC81">
            <v>45800</v>
          </cell>
          <cell r="BD81">
            <v>45798</v>
          </cell>
          <cell r="BE81">
            <v>45800</v>
          </cell>
          <cell r="BF81">
            <v>45800</v>
          </cell>
          <cell r="BG81">
            <v>45803</v>
          </cell>
          <cell r="BH81">
            <v>45804</v>
          </cell>
          <cell r="BQ81">
            <v>947.42</v>
          </cell>
          <cell r="BR81">
            <v>45798</v>
          </cell>
          <cell r="BS81">
            <v>8176.7</v>
          </cell>
          <cell r="BT81">
            <v>45844</v>
          </cell>
          <cell r="CD81">
            <v>45804</v>
          </cell>
          <cell r="CE81" t="str">
            <v>SIM  20 dias</v>
          </cell>
          <cell r="CI81">
            <v>45784</v>
          </cell>
        </row>
        <row r="82">
          <cell r="A82"/>
          <cell r="B82" t="str">
            <v>007B/2025</v>
          </cell>
          <cell r="E82" t="str">
            <v>STELLA</v>
          </cell>
          <cell r="F82" t="str">
            <v>DELIVERED</v>
          </cell>
          <cell r="G82" t="str">
            <v>SEA</v>
          </cell>
          <cell r="J82">
            <v>45728</v>
          </cell>
          <cell r="L82">
            <v>45766</v>
          </cell>
          <cell r="O82">
            <v>45805</v>
          </cell>
          <cell r="P82" t="str">
            <v>SDB63S540041</v>
          </cell>
          <cell r="R82" t="str">
            <v>PWBR24016260B</v>
          </cell>
          <cell r="T82" t="str">
            <v>TRIU8655795 ; TRIU8673103</v>
          </cell>
          <cell r="U82">
            <v>2</v>
          </cell>
          <cell r="AC82"/>
          <cell r="AD82">
            <v>45792</v>
          </cell>
          <cell r="AE82">
            <v>45793</v>
          </cell>
          <cell r="AJ82">
            <v>153229.09</v>
          </cell>
          <cell r="AK82">
            <v>45743</v>
          </cell>
          <cell r="AL82">
            <v>45744</v>
          </cell>
          <cell r="AM82">
            <v>45758</v>
          </cell>
          <cell r="AN82">
            <v>45758</v>
          </cell>
          <cell r="AO82">
            <v>45761</v>
          </cell>
          <cell r="AP82">
            <v>45771</v>
          </cell>
          <cell r="AQ82">
            <v>45792</v>
          </cell>
          <cell r="AR82">
            <v>45771</v>
          </cell>
          <cell r="AS82">
            <v>45792</v>
          </cell>
          <cell r="AT82">
            <v>45793</v>
          </cell>
          <cell r="AU82">
            <v>45797</v>
          </cell>
          <cell r="AY82">
            <v>45798</v>
          </cell>
          <cell r="AZ82">
            <v>45798</v>
          </cell>
          <cell r="BA82">
            <v>45798</v>
          </cell>
          <cell r="BB82">
            <v>45799</v>
          </cell>
          <cell r="BC82">
            <v>45799</v>
          </cell>
          <cell r="BD82">
            <v>45799</v>
          </cell>
          <cell r="BE82">
            <v>45799</v>
          </cell>
          <cell r="BF82">
            <v>45799</v>
          </cell>
          <cell r="BG82">
            <v>45800</v>
          </cell>
          <cell r="BH82">
            <v>45805</v>
          </cell>
          <cell r="BQ82">
            <v>5684.52</v>
          </cell>
          <cell r="BR82">
            <v>45804</v>
          </cell>
          <cell r="BS82">
            <v>50250.74</v>
          </cell>
          <cell r="BT82">
            <v>45844</v>
          </cell>
          <cell r="CE82" t="str">
            <v>NÃO</v>
          </cell>
          <cell r="CI82">
            <v>45784</v>
          </cell>
        </row>
        <row r="83">
          <cell r="A83"/>
          <cell r="B83" t="str">
            <v>NH-004/2025</v>
          </cell>
          <cell r="E83" t="str">
            <v>POLYANE</v>
          </cell>
          <cell r="F83" t="str">
            <v>DELIVERED</v>
          </cell>
          <cell r="G83" t="str">
            <v>SEA</v>
          </cell>
          <cell r="J83">
            <v>45712</v>
          </cell>
          <cell r="L83">
            <v>45752</v>
          </cell>
          <cell r="O83">
            <v>45794</v>
          </cell>
          <cell r="P83" t="str">
            <v>SDB63S538327</v>
          </cell>
          <cell r="R83" t="str">
            <v>PW2025004</v>
          </cell>
          <cell r="T83" t="str">
            <v>TRIU8118184</v>
          </cell>
          <cell r="U83">
            <v>0.33</v>
          </cell>
          <cell r="AC83"/>
          <cell r="AD83">
            <v>45758</v>
          </cell>
          <cell r="AE83">
            <v>45763</v>
          </cell>
          <cell r="AJ83">
            <v>115512.33</v>
          </cell>
          <cell r="AK83">
            <v>45734</v>
          </cell>
          <cell r="AL83">
            <v>45736</v>
          </cell>
          <cell r="AM83">
            <v>45740</v>
          </cell>
          <cell r="AN83">
            <v>45740</v>
          </cell>
          <cell r="AO83">
            <v>45747</v>
          </cell>
          <cell r="AP83">
            <v>45748</v>
          </cell>
          <cell r="AQ83">
            <v>45758</v>
          </cell>
          <cell r="AR83">
            <v>45756</v>
          </cell>
          <cell r="AS83">
            <v>45758</v>
          </cell>
          <cell r="AT83">
            <v>45761</v>
          </cell>
          <cell r="AU83">
            <v>45762</v>
          </cell>
          <cell r="AY83">
            <v>45763</v>
          </cell>
          <cell r="AZ83">
            <v>45764</v>
          </cell>
          <cell r="BA83">
            <v>45769</v>
          </cell>
          <cell r="BB83">
            <v>45769</v>
          </cell>
          <cell r="BC83">
            <v>45783</v>
          </cell>
          <cell r="BD83">
            <v>45769</v>
          </cell>
          <cell r="BE83">
            <v>45783</v>
          </cell>
          <cell r="BF83">
            <v>45783</v>
          </cell>
          <cell r="BG83">
            <v>45791</v>
          </cell>
          <cell r="BH83">
            <v>45794</v>
          </cell>
          <cell r="BQ83">
            <v>1568.0360000000001</v>
          </cell>
          <cell r="BR83">
            <v>45791</v>
          </cell>
          <cell r="BS83">
            <v>10313.1</v>
          </cell>
          <cell r="BT83">
            <v>45829</v>
          </cell>
          <cell r="BU83">
            <v>3841.8</v>
          </cell>
          <cell r="BV83">
            <v>45763</v>
          </cell>
          <cell r="CD83">
            <v>45796</v>
          </cell>
          <cell r="CE83" t="str">
            <v>SIM  26 dias</v>
          </cell>
          <cell r="CI83">
            <v>45770</v>
          </cell>
        </row>
        <row r="84">
          <cell r="A84"/>
          <cell r="B84" t="str">
            <v>008A/2025</v>
          </cell>
          <cell r="E84" t="str">
            <v>STELLA</v>
          </cell>
          <cell r="F84" t="str">
            <v>DELIVERED</v>
          </cell>
          <cell r="G84" t="str">
            <v>AIR</v>
          </cell>
          <cell r="J84">
            <v>45730</v>
          </cell>
          <cell r="L84">
            <v>45734</v>
          </cell>
          <cell r="O84">
            <v>45740</v>
          </cell>
          <cell r="P84" t="str">
            <v>M: 05753993262
H: DTW250307FOR</v>
          </cell>
          <cell r="R84" t="str">
            <v>PWBR25001810A</v>
          </cell>
          <cell r="U84" t="str">
            <v>N/A</v>
          </cell>
          <cell r="AC84"/>
          <cell r="AD84">
            <v>45736</v>
          </cell>
          <cell r="AE84">
            <v>45736</v>
          </cell>
          <cell r="AJ84">
            <v>35396.74</v>
          </cell>
          <cell r="AK84">
            <v>45728</v>
          </cell>
          <cell r="AL84">
            <v>45728</v>
          </cell>
          <cell r="AM84">
            <v>45729</v>
          </cell>
          <cell r="AN84">
            <v>45729</v>
          </cell>
          <cell r="AO84">
            <v>45729</v>
          </cell>
          <cell r="AP84">
            <v>45730</v>
          </cell>
          <cell r="AQ84">
            <v>45736</v>
          </cell>
          <cell r="AR84">
            <v>45734</v>
          </cell>
          <cell r="AS84">
            <v>45736</v>
          </cell>
          <cell r="AT84">
            <v>45736</v>
          </cell>
          <cell r="AU84">
            <v>45736</v>
          </cell>
          <cell r="AY84">
            <v>45736</v>
          </cell>
          <cell r="AZ84">
            <v>45736</v>
          </cell>
          <cell r="BA84">
            <v>45737</v>
          </cell>
          <cell r="BB84">
            <v>45737</v>
          </cell>
          <cell r="BC84">
            <v>45737</v>
          </cell>
          <cell r="BD84">
            <v>45737</v>
          </cell>
          <cell r="BE84">
            <v>45737</v>
          </cell>
          <cell r="BF84">
            <v>45737</v>
          </cell>
          <cell r="BG84">
            <v>45737</v>
          </cell>
          <cell r="BH84">
            <v>45740</v>
          </cell>
          <cell r="BQ84">
            <v>1462.43</v>
          </cell>
          <cell r="BR84">
            <v>45757</v>
          </cell>
          <cell r="BS84"/>
          <cell r="CE84" t="str">
            <v>NÃO</v>
          </cell>
          <cell r="CI84" t="str">
            <v/>
          </cell>
        </row>
        <row r="85">
          <cell r="A85"/>
          <cell r="B85" t="str">
            <v>008B/2025</v>
          </cell>
          <cell r="E85" t="str">
            <v>STELLA</v>
          </cell>
          <cell r="F85" t="str">
            <v>DELIVERED</v>
          </cell>
          <cell r="G85" t="str">
            <v>AIR</v>
          </cell>
          <cell r="J85">
            <v>45730</v>
          </cell>
          <cell r="L85">
            <v>45734</v>
          </cell>
          <cell r="O85">
            <v>45754</v>
          </cell>
          <cell r="P85" t="str">
            <v xml:space="preserve">M: 05753993262
H: DTW250308FOR
</v>
          </cell>
          <cell r="R85" t="str">
            <v>PWBR25001810B</v>
          </cell>
          <cell r="U85" t="str">
            <v>N/A</v>
          </cell>
          <cell r="AC85"/>
          <cell r="AD85">
            <v>45737</v>
          </cell>
          <cell r="AE85">
            <v>45740</v>
          </cell>
          <cell r="AJ85">
            <v>79342.259999999995</v>
          </cell>
          <cell r="AK85">
            <v>45729</v>
          </cell>
          <cell r="AL85">
            <v>45730</v>
          </cell>
          <cell r="AM85">
            <v>45733</v>
          </cell>
          <cell r="AN85">
            <v>45734</v>
          </cell>
          <cell r="AO85">
            <v>45734</v>
          </cell>
          <cell r="AP85">
            <v>45736</v>
          </cell>
          <cell r="AQ85">
            <v>45737</v>
          </cell>
          <cell r="AR85">
            <v>45734</v>
          </cell>
          <cell r="AS85">
            <v>45737</v>
          </cell>
          <cell r="AT85">
            <v>45740</v>
          </cell>
          <cell r="AU85">
            <v>45742</v>
          </cell>
          <cell r="AV85">
            <v>45740</v>
          </cell>
          <cell r="AW85">
            <v>45742</v>
          </cell>
          <cell r="AX85">
            <v>45743</v>
          </cell>
          <cell r="AY85">
            <v>45742</v>
          </cell>
          <cell r="AZ85">
            <v>45742</v>
          </cell>
          <cell r="BA85">
            <v>45743</v>
          </cell>
          <cell r="BB85">
            <v>45743</v>
          </cell>
          <cell r="BC85">
            <v>45750</v>
          </cell>
          <cell r="BD85">
            <v>45743</v>
          </cell>
          <cell r="BE85">
            <v>45750</v>
          </cell>
          <cell r="BF85">
            <v>45750</v>
          </cell>
          <cell r="BG85">
            <v>45751</v>
          </cell>
          <cell r="BH85">
            <v>45754</v>
          </cell>
          <cell r="BS85"/>
          <cell r="CE85" t="str">
            <v>NÃO</v>
          </cell>
          <cell r="CI85" t="str">
            <v/>
          </cell>
        </row>
        <row r="86">
          <cell r="A86"/>
          <cell r="B86" t="str">
            <v>006/2025</v>
          </cell>
          <cell r="E86" t="str">
            <v>STELLA</v>
          </cell>
          <cell r="F86" t="str">
            <v>DELIVERED</v>
          </cell>
          <cell r="G86" t="str">
            <v>COURIER</v>
          </cell>
          <cell r="J86">
            <v>45706</v>
          </cell>
          <cell r="L86">
            <v>45729</v>
          </cell>
          <cell r="O86">
            <v>45729</v>
          </cell>
          <cell r="P86">
            <v>9605812171</v>
          </cell>
          <cell r="R86" t="str">
            <v>SBR24000452</v>
          </cell>
          <cell r="AC86"/>
          <cell r="AD86">
            <v>45707</v>
          </cell>
          <cell r="AE86">
            <v>45707</v>
          </cell>
          <cell r="AJ86">
            <v>1169.2</v>
          </cell>
          <cell r="AR86">
            <v>45709</v>
          </cell>
          <cell r="BQ86"/>
          <cell r="BS86"/>
          <cell r="CE86" t="str">
            <v>NÃO</v>
          </cell>
          <cell r="CI86" t="str">
            <v/>
          </cell>
        </row>
        <row r="87">
          <cell r="A87"/>
          <cell r="B87" t="str">
            <v>NH-007/2025</v>
          </cell>
          <cell r="E87" t="str">
            <v>POLYANE</v>
          </cell>
          <cell r="F87" t="str">
            <v>DELIVERED</v>
          </cell>
          <cell r="G87" t="str">
            <v>SEA</v>
          </cell>
          <cell r="J87">
            <v>45728</v>
          </cell>
          <cell r="L87">
            <v>45766</v>
          </cell>
          <cell r="O87">
            <v>45804</v>
          </cell>
          <cell r="P87" t="str">
            <v>SDB63S540026</v>
          </cell>
          <cell r="R87" t="str">
            <v>PW2025007</v>
          </cell>
          <cell r="T87" t="str">
            <v>TRIU8122266</v>
          </cell>
          <cell r="U87">
            <v>0.33</v>
          </cell>
          <cell r="AC87"/>
          <cell r="AD87">
            <v>45772</v>
          </cell>
          <cell r="AE87">
            <v>45779</v>
          </cell>
          <cell r="AJ87">
            <v>111832.79</v>
          </cell>
          <cell r="AK87">
            <v>45747</v>
          </cell>
          <cell r="AL87">
            <v>45747</v>
          </cell>
          <cell r="AM87">
            <v>45761</v>
          </cell>
          <cell r="AN87">
            <v>45761</v>
          </cell>
          <cell r="AO87">
            <v>45762</v>
          </cell>
          <cell r="AP87">
            <v>45763</v>
          </cell>
          <cell r="AQ87">
            <v>45772</v>
          </cell>
          <cell r="AR87">
            <v>45771</v>
          </cell>
          <cell r="AS87">
            <v>45772</v>
          </cell>
          <cell r="AT87">
            <v>45772</v>
          </cell>
          <cell r="AU87">
            <v>45775</v>
          </cell>
          <cell r="AY87">
            <v>45776</v>
          </cell>
          <cell r="AZ87">
            <v>45776</v>
          </cell>
          <cell r="BA87">
            <v>45776</v>
          </cell>
          <cell r="BC87">
            <v>45791</v>
          </cell>
          <cell r="BD87">
            <v>45789</v>
          </cell>
          <cell r="BE87">
            <v>45791</v>
          </cell>
          <cell r="BF87">
            <v>45791</v>
          </cell>
          <cell r="BG87">
            <v>45793</v>
          </cell>
          <cell r="BH87">
            <v>45804</v>
          </cell>
          <cell r="BQ87">
            <v>947.42</v>
          </cell>
          <cell r="BR87">
            <v>45798</v>
          </cell>
          <cell r="BS87">
            <v>8176.7</v>
          </cell>
          <cell r="BT87">
            <v>45844</v>
          </cell>
          <cell r="BU87">
            <v>3739.08</v>
          </cell>
          <cell r="BV87">
            <v>45749</v>
          </cell>
          <cell r="CD87">
            <v>45804</v>
          </cell>
          <cell r="CE87" t="str">
            <v>SIM  20 dias</v>
          </cell>
          <cell r="CI87">
            <v>45784</v>
          </cell>
        </row>
        <row r="88">
          <cell r="A88" t="str">
            <v>IMO</v>
          </cell>
          <cell r="B88" t="str">
            <v>E-002/2025</v>
          </cell>
          <cell r="E88" t="str">
            <v>POLYANE</v>
          </cell>
          <cell r="F88" t="str">
            <v>DELIVERED</v>
          </cell>
          <cell r="G88" t="str">
            <v>SEA</v>
          </cell>
          <cell r="J88">
            <v>45732</v>
          </cell>
          <cell r="L88">
            <v>45773</v>
          </cell>
          <cell r="O88">
            <v>45797</v>
          </cell>
          <cell r="P88" t="str">
            <v>M: HKA2515490
H: MD25033035</v>
          </cell>
          <cell r="R88" t="str">
            <v>8000531754 ; 8000531755 ; 8000531757 ; 8000531753</v>
          </cell>
          <cell r="T88" t="str">
            <v>CMAU2310020</v>
          </cell>
          <cell r="U88">
            <v>1</v>
          </cell>
          <cell r="AC88"/>
          <cell r="AD88">
            <v>45786</v>
          </cell>
          <cell r="AE88">
            <v>45786</v>
          </cell>
          <cell r="AJ88">
            <v>199736.98</v>
          </cell>
          <cell r="AK88">
            <v>45737</v>
          </cell>
          <cell r="AL88">
            <v>45740</v>
          </cell>
          <cell r="AM88">
            <v>45743</v>
          </cell>
          <cell r="AN88">
            <v>45744</v>
          </cell>
          <cell r="AO88">
            <v>45747</v>
          </cell>
          <cell r="AP88">
            <v>45748</v>
          </cell>
          <cell r="AQ88">
            <v>45786</v>
          </cell>
          <cell r="AR88">
            <v>45775</v>
          </cell>
          <cell r="AS88">
            <v>45786</v>
          </cell>
          <cell r="AT88">
            <v>45789</v>
          </cell>
          <cell r="AU88">
            <v>45789</v>
          </cell>
          <cell r="AY88">
            <v>45790</v>
          </cell>
          <cell r="AZ88">
            <v>45790</v>
          </cell>
          <cell r="BA88">
            <v>45790</v>
          </cell>
          <cell r="BB88">
            <v>45791</v>
          </cell>
          <cell r="BC88">
            <v>45792</v>
          </cell>
          <cell r="BD88">
            <v>45791</v>
          </cell>
          <cell r="BE88">
            <v>45792</v>
          </cell>
          <cell r="BF88">
            <v>45792</v>
          </cell>
          <cell r="BG88">
            <v>45796</v>
          </cell>
          <cell r="BH88">
            <v>45797</v>
          </cell>
          <cell r="BQ88">
            <v>2730.97</v>
          </cell>
          <cell r="BR88">
            <v>45793</v>
          </cell>
          <cell r="BS88">
            <v>5701.63</v>
          </cell>
          <cell r="BT88">
            <v>45812</v>
          </cell>
          <cell r="CD88">
            <v>45798</v>
          </cell>
          <cell r="CE88" t="str">
            <v>SIM  7 dias</v>
          </cell>
          <cell r="CI88">
            <v>45791</v>
          </cell>
        </row>
        <row r="89">
          <cell r="A89"/>
          <cell r="B89" t="str">
            <v>Z-002A/2025</v>
          </cell>
          <cell r="E89" t="str">
            <v>POLYANE</v>
          </cell>
          <cell r="F89" t="str">
            <v>DELIVERED</v>
          </cell>
          <cell r="G89" t="str">
            <v>SEA</v>
          </cell>
          <cell r="J89">
            <v>45712</v>
          </cell>
          <cell r="L89">
            <v>45752</v>
          </cell>
          <cell r="O89">
            <v>45794</v>
          </cell>
          <cell r="P89" t="str">
            <v>SDB63S538334</v>
          </cell>
          <cell r="R89" t="str">
            <v>PWBR24015110A_x000D_</v>
          </cell>
          <cell r="T89" t="str">
            <v>TRIU8118184</v>
          </cell>
          <cell r="U89">
            <v>0.33</v>
          </cell>
          <cell r="AC89"/>
          <cell r="AD89">
            <v>45757</v>
          </cell>
          <cell r="AE89">
            <v>45758</v>
          </cell>
          <cell r="AJ89">
            <v>537869.88</v>
          </cell>
          <cell r="AK89">
            <v>45736</v>
          </cell>
          <cell r="AL89">
            <v>45736</v>
          </cell>
          <cell r="AM89">
            <v>45751</v>
          </cell>
          <cell r="AN89">
            <v>45751</v>
          </cell>
          <cell r="AO89">
            <v>45754</v>
          </cell>
          <cell r="AP89">
            <v>45757</v>
          </cell>
          <cell r="AQ89">
            <v>45757</v>
          </cell>
          <cell r="AR89">
            <v>45756</v>
          </cell>
          <cell r="AS89">
            <v>45757</v>
          </cell>
          <cell r="AT89">
            <v>45757</v>
          </cell>
          <cell r="AU89">
            <v>45757</v>
          </cell>
          <cell r="AY89">
            <v>45757</v>
          </cell>
          <cell r="AZ89">
            <v>45758</v>
          </cell>
          <cell r="BA89">
            <v>45761</v>
          </cell>
          <cell r="BB89">
            <v>45761</v>
          </cell>
          <cell r="BC89">
            <v>45761</v>
          </cell>
          <cell r="BD89">
            <v>45761</v>
          </cell>
          <cell r="BE89">
            <v>45785</v>
          </cell>
          <cell r="BF89">
            <v>45785</v>
          </cell>
          <cell r="BG89">
            <v>45791</v>
          </cell>
          <cell r="BH89">
            <v>45794</v>
          </cell>
          <cell r="BQ89">
            <v>1568.0360000000001</v>
          </cell>
          <cell r="BR89">
            <v>45791</v>
          </cell>
          <cell r="BS89">
            <v>10311.42</v>
          </cell>
          <cell r="BT89">
            <v>45829</v>
          </cell>
          <cell r="CD89">
            <v>45796</v>
          </cell>
          <cell r="CE89" t="str">
            <v>SIM  26 dias</v>
          </cell>
          <cell r="CI89">
            <v>45770</v>
          </cell>
        </row>
        <row r="90">
          <cell r="A90" t="str">
            <v>IMO</v>
          </cell>
          <cell r="B90" t="str">
            <v>Z-002B/2025</v>
          </cell>
          <cell r="E90" t="str">
            <v>POLYANE</v>
          </cell>
          <cell r="F90" t="str">
            <v>DELIVERED</v>
          </cell>
          <cell r="G90" t="str">
            <v>SEA</v>
          </cell>
          <cell r="J90">
            <v>45712</v>
          </cell>
          <cell r="L90">
            <v>45752</v>
          </cell>
          <cell r="O90">
            <v>45791</v>
          </cell>
          <cell r="P90" t="str">
            <v>SYNHGH25SE020524</v>
          </cell>
          <cell r="R90" t="str">
            <v>PWBR24015110B</v>
          </cell>
          <cell r="T90" t="str">
            <v>SEKU5832795</v>
          </cell>
          <cell r="U90">
            <v>1</v>
          </cell>
          <cell r="AC90"/>
          <cell r="AD90">
            <v>45757</v>
          </cell>
          <cell r="AE90">
            <v>45758</v>
          </cell>
          <cell r="AJ90">
            <v>652175.18999999994</v>
          </cell>
          <cell r="AK90">
            <v>45740</v>
          </cell>
          <cell r="AL90">
            <v>45740</v>
          </cell>
          <cell r="AM90">
            <v>45751</v>
          </cell>
          <cell r="AN90">
            <v>45754</v>
          </cell>
          <cell r="AO90">
            <v>45754</v>
          </cell>
          <cell r="AP90">
            <v>45757</v>
          </cell>
          <cell r="AQ90">
            <v>45757</v>
          </cell>
          <cell r="AR90">
            <v>45756</v>
          </cell>
          <cell r="AS90">
            <v>45757</v>
          </cell>
          <cell r="AT90">
            <v>45757</v>
          </cell>
          <cell r="AU90">
            <v>45757</v>
          </cell>
          <cell r="AY90">
            <v>45757</v>
          </cell>
          <cell r="AZ90">
            <v>45758</v>
          </cell>
          <cell r="BA90">
            <v>45764</v>
          </cell>
          <cell r="BB90">
            <v>45764</v>
          </cell>
          <cell r="BD90">
            <v>45764</v>
          </cell>
          <cell r="BE90">
            <v>45783</v>
          </cell>
          <cell r="BF90">
            <v>45784</v>
          </cell>
          <cell r="BG90">
            <v>45790</v>
          </cell>
          <cell r="BH90">
            <v>45791</v>
          </cell>
          <cell r="BQ90">
            <v>8081.72</v>
          </cell>
          <cell r="BR90">
            <v>45790</v>
          </cell>
          <cell r="BS90">
            <v>27452.400000000001</v>
          </cell>
          <cell r="BT90">
            <v>45805</v>
          </cell>
          <cell r="CD90">
            <v>45791</v>
          </cell>
          <cell r="CE90" t="str">
            <v>SIM  21 dias</v>
          </cell>
          <cell r="CI90">
            <v>45770</v>
          </cell>
        </row>
        <row r="91">
          <cell r="A91"/>
          <cell r="B91" t="str">
            <v>Z-003A/2025</v>
          </cell>
          <cell r="E91" t="str">
            <v>POLYANE</v>
          </cell>
          <cell r="F91" t="str">
            <v>DELIVERED</v>
          </cell>
          <cell r="G91" t="str">
            <v>AIR</v>
          </cell>
          <cell r="J91">
            <v>45730</v>
          </cell>
          <cell r="L91">
            <v>45732</v>
          </cell>
          <cell r="O91">
            <v>45744</v>
          </cell>
          <cell r="P91" t="str">
            <v>M: 05753827152
H: DTW250309FOR</v>
          </cell>
          <cell r="R91" t="str">
            <v>PWBR25002310A_x000D_</v>
          </cell>
          <cell r="U91" t="str">
            <v>N/A</v>
          </cell>
          <cell r="AC91"/>
          <cell r="AD91">
            <v>45737</v>
          </cell>
          <cell r="AE91">
            <v>45740</v>
          </cell>
          <cell r="AJ91">
            <v>287399.06</v>
          </cell>
          <cell r="AK91">
            <v>45733</v>
          </cell>
          <cell r="AL91">
            <v>45733</v>
          </cell>
          <cell r="AM91">
            <v>45734</v>
          </cell>
          <cell r="AN91">
            <v>45736</v>
          </cell>
          <cell r="AO91">
            <v>45736</v>
          </cell>
          <cell r="AP91">
            <v>45736</v>
          </cell>
          <cell r="AQ91">
            <v>45737</v>
          </cell>
          <cell r="AR91">
            <v>45732</v>
          </cell>
          <cell r="AS91">
            <v>45737</v>
          </cell>
          <cell r="AT91">
            <v>45740</v>
          </cell>
          <cell r="AU91">
            <v>45740</v>
          </cell>
          <cell r="AY91">
            <v>45740</v>
          </cell>
          <cell r="AZ91">
            <v>45740</v>
          </cell>
          <cell r="BA91">
            <v>45742</v>
          </cell>
          <cell r="BB91">
            <v>45742</v>
          </cell>
          <cell r="BC91">
            <v>45742</v>
          </cell>
          <cell r="BD91">
            <v>45742</v>
          </cell>
          <cell r="BE91">
            <v>45742</v>
          </cell>
          <cell r="BF91">
            <v>45742</v>
          </cell>
          <cell r="BG91">
            <v>45743</v>
          </cell>
          <cell r="BH91">
            <v>45744</v>
          </cell>
          <cell r="BS91"/>
          <cell r="CE91" t="str">
            <v>NÃO</v>
          </cell>
          <cell r="CI91" t="str">
            <v/>
          </cell>
        </row>
        <row r="92">
          <cell r="A92"/>
          <cell r="B92" t="str">
            <v>Z-003B/2025</v>
          </cell>
          <cell r="E92" t="str">
            <v>POLYANE</v>
          </cell>
          <cell r="F92" t="str">
            <v>DELIVERED</v>
          </cell>
          <cell r="G92" t="str">
            <v>AIR</v>
          </cell>
          <cell r="J92">
            <v>45730</v>
          </cell>
          <cell r="L92">
            <v>45732</v>
          </cell>
          <cell r="O92">
            <v>45750</v>
          </cell>
          <cell r="P92" t="str">
            <v>M: 05753827163
H: DTW250366FOR</v>
          </cell>
          <cell r="R92" t="str">
            <v>PWBR25002310B</v>
          </cell>
          <cell r="U92" t="str">
            <v>N/A</v>
          </cell>
          <cell r="AC92"/>
          <cell r="AD92">
            <v>45743</v>
          </cell>
          <cell r="AE92">
            <v>45743</v>
          </cell>
          <cell r="AJ92">
            <v>99274.08</v>
          </cell>
          <cell r="AK92">
            <v>45733</v>
          </cell>
          <cell r="AL92">
            <v>45733</v>
          </cell>
          <cell r="AM92">
            <v>45733</v>
          </cell>
          <cell r="AN92">
            <v>45734</v>
          </cell>
          <cell r="AO92">
            <v>45734</v>
          </cell>
          <cell r="AP92">
            <v>45742</v>
          </cell>
          <cell r="AQ92">
            <v>45742</v>
          </cell>
          <cell r="AR92">
            <v>45732</v>
          </cell>
          <cell r="AS92">
            <v>45742</v>
          </cell>
          <cell r="AT92">
            <v>45743</v>
          </cell>
          <cell r="AU92">
            <v>45744</v>
          </cell>
          <cell r="AY92">
            <v>45743</v>
          </cell>
          <cell r="AZ92">
            <v>45744</v>
          </cell>
          <cell r="BA92">
            <v>45747</v>
          </cell>
          <cell r="BB92">
            <v>45747</v>
          </cell>
          <cell r="BC92">
            <v>45749</v>
          </cell>
          <cell r="BD92">
            <v>45747</v>
          </cell>
          <cell r="BE92">
            <v>45749</v>
          </cell>
          <cell r="BF92">
            <v>45749</v>
          </cell>
          <cell r="BG92">
            <v>45750</v>
          </cell>
          <cell r="BH92">
            <v>45750</v>
          </cell>
          <cell r="BS92"/>
          <cell r="CE92" t="str">
            <v>NÃO</v>
          </cell>
          <cell r="CI92" t="str">
            <v/>
          </cell>
        </row>
        <row r="93">
          <cell r="A93"/>
          <cell r="B93" t="str">
            <v>Z-003C/2025</v>
          </cell>
          <cell r="E93" t="str">
            <v>POLYANE</v>
          </cell>
          <cell r="F93" t="str">
            <v>DELIVERED</v>
          </cell>
          <cell r="G93" t="str">
            <v>AIR</v>
          </cell>
          <cell r="J93">
            <v>45730</v>
          </cell>
          <cell r="L93">
            <v>45732</v>
          </cell>
          <cell r="O93">
            <v>45756</v>
          </cell>
          <cell r="P93" t="str">
            <v xml:space="preserve">M: 05753827152
H: DTW250310FOR
</v>
          </cell>
          <cell r="R93" t="str">
            <v>PWBR25002310C</v>
          </cell>
          <cell r="U93" t="str">
            <v>N/A</v>
          </cell>
          <cell r="AC93"/>
          <cell r="AD93">
            <v>45743</v>
          </cell>
          <cell r="AE93">
            <v>45743</v>
          </cell>
          <cell r="AJ93">
            <v>71360.23</v>
          </cell>
          <cell r="AK93">
            <v>45733</v>
          </cell>
          <cell r="AL93">
            <v>45733</v>
          </cell>
          <cell r="AM93">
            <v>45733</v>
          </cell>
          <cell r="AN93">
            <v>45734</v>
          </cell>
          <cell r="AO93">
            <v>45737</v>
          </cell>
          <cell r="AP93">
            <v>45737</v>
          </cell>
          <cell r="AQ93">
            <v>45742</v>
          </cell>
          <cell r="AR93">
            <v>45732</v>
          </cell>
          <cell r="AS93">
            <v>45742</v>
          </cell>
          <cell r="AT93">
            <v>45743</v>
          </cell>
          <cell r="AU93">
            <v>45744</v>
          </cell>
          <cell r="AY93">
            <v>45743</v>
          </cell>
          <cell r="AZ93">
            <v>45744</v>
          </cell>
          <cell r="BA93">
            <v>45747</v>
          </cell>
          <cell r="BB93">
            <v>45747</v>
          </cell>
          <cell r="BC93">
            <v>45754</v>
          </cell>
          <cell r="BD93">
            <v>45747</v>
          </cell>
          <cell r="BE93">
            <v>45754</v>
          </cell>
          <cell r="BF93">
            <v>45754</v>
          </cell>
          <cell r="BG93">
            <v>45755</v>
          </cell>
          <cell r="BH93">
            <v>45756</v>
          </cell>
          <cell r="BS93"/>
          <cell r="CE93" t="str">
            <v>NÃO</v>
          </cell>
          <cell r="CI93" t="str">
            <v/>
          </cell>
        </row>
        <row r="94">
          <cell r="A94"/>
          <cell r="B94" t="str">
            <v>Z-004/2025</v>
          </cell>
          <cell r="E94" t="str">
            <v>POLYANE</v>
          </cell>
          <cell r="F94" t="str">
            <v>DELIVERED</v>
          </cell>
          <cell r="G94" t="str">
            <v>SEA</v>
          </cell>
          <cell r="J94">
            <v>45728</v>
          </cell>
          <cell r="L94">
            <v>45766</v>
          </cell>
          <cell r="O94">
            <v>45804</v>
          </cell>
          <cell r="P94" t="str">
            <v>SDB63S540016</v>
          </cell>
          <cell r="R94" t="str">
            <v>PWBR24017040</v>
          </cell>
          <cell r="T94" t="str">
            <v>TRIU8122266</v>
          </cell>
          <cell r="U94">
            <v>0.33</v>
          </cell>
          <cell r="AC94"/>
          <cell r="AD94">
            <v>45772</v>
          </cell>
          <cell r="AE94">
            <v>45772</v>
          </cell>
          <cell r="AJ94">
            <v>33548.31</v>
          </cell>
          <cell r="AK94">
            <v>45736</v>
          </cell>
          <cell r="AL94">
            <v>45736</v>
          </cell>
          <cell r="AM94">
            <v>45758</v>
          </cell>
          <cell r="AN94">
            <v>45762</v>
          </cell>
          <cell r="AO94">
            <v>45762</v>
          </cell>
          <cell r="AP94">
            <v>45763</v>
          </cell>
          <cell r="AQ94">
            <v>45772</v>
          </cell>
          <cell r="AR94">
            <v>45771</v>
          </cell>
          <cell r="AS94">
            <v>45772</v>
          </cell>
          <cell r="AT94">
            <v>45772</v>
          </cell>
          <cell r="AU94">
            <v>45775</v>
          </cell>
          <cell r="BD94">
            <v>45783</v>
          </cell>
          <cell r="BE94">
            <v>45784</v>
          </cell>
          <cell r="BF94">
            <v>45784</v>
          </cell>
          <cell r="BG94">
            <v>45785</v>
          </cell>
          <cell r="BH94">
            <v>45804</v>
          </cell>
          <cell r="BQ94">
            <v>947.42</v>
          </cell>
          <cell r="BR94">
            <v>45798</v>
          </cell>
          <cell r="BS94">
            <v>8176.7</v>
          </cell>
          <cell r="BT94">
            <v>45844</v>
          </cell>
          <cell r="CD94">
            <v>45804</v>
          </cell>
          <cell r="CE94" t="str">
            <v>SIM  20 dias</v>
          </cell>
          <cell r="CI94">
            <v>45784</v>
          </cell>
        </row>
        <row r="95">
          <cell r="A95"/>
          <cell r="B95" t="str">
            <v>NH-005/2025</v>
          </cell>
          <cell r="E95" t="str">
            <v>POLYANE</v>
          </cell>
          <cell r="F95" t="str">
            <v>DELIVERED</v>
          </cell>
          <cell r="G95" t="str">
            <v>AIR</v>
          </cell>
          <cell r="J95">
            <v>45736</v>
          </cell>
          <cell r="L95">
            <v>45740</v>
          </cell>
          <cell r="O95">
            <v>45751</v>
          </cell>
          <cell r="P95" t="str">
            <v xml:space="preserve">M: 05753993391
H: DTW250314FOR
</v>
          </cell>
          <cell r="R95" t="str">
            <v>PW2025005</v>
          </cell>
          <cell r="U95" t="str">
            <v>N/A</v>
          </cell>
          <cell r="AC95"/>
          <cell r="AD95">
            <v>45743</v>
          </cell>
          <cell r="AE95">
            <v>45744</v>
          </cell>
          <cell r="AJ95">
            <v>34168.120000000003</v>
          </cell>
          <cell r="AK95">
            <v>45736</v>
          </cell>
          <cell r="AL95">
            <v>45737</v>
          </cell>
          <cell r="AM95">
            <v>45740</v>
          </cell>
          <cell r="AN95">
            <v>45740</v>
          </cell>
          <cell r="AO95">
            <v>45742</v>
          </cell>
          <cell r="AP95">
            <v>45742</v>
          </cell>
          <cell r="AQ95">
            <v>45742</v>
          </cell>
          <cell r="AR95">
            <v>45740</v>
          </cell>
          <cell r="AS95">
            <v>45742</v>
          </cell>
          <cell r="AT95">
            <v>45744</v>
          </cell>
          <cell r="AU95">
            <v>45744</v>
          </cell>
          <cell r="AV95">
            <v>45743</v>
          </cell>
          <cell r="AW95">
            <v>45744</v>
          </cell>
          <cell r="AX95">
            <v>45744</v>
          </cell>
          <cell r="BD95">
            <v>45744</v>
          </cell>
          <cell r="BE95">
            <v>45748</v>
          </cell>
          <cell r="BF95">
            <v>45748</v>
          </cell>
          <cell r="BG95">
            <v>45751</v>
          </cell>
          <cell r="BH95">
            <v>45750</v>
          </cell>
          <cell r="BS95"/>
          <cell r="CE95" t="str">
            <v>NÃO</v>
          </cell>
          <cell r="CI95" t="str">
            <v/>
          </cell>
        </row>
        <row r="96">
          <cell r="A96"/>
          <cell r="B96" t="str">
            <v>GE-001/2025</v>
          </cell>
          <cell r="E96" t="str">
            <v>POLYANE</v>
          </cell>
          <cell r="F96" t="str">
            <v>DELIVERED</v>
          </cell>
          <cell r="G96" t="str">
            <v>AIR</v>
          </cell>
          <cell r="J96">
            <v>45748</v>
          </cell>
          <cell r="L96">
            <v>45748</v>
          </cell>
          <cell r="O96">
            <v>45782</v>
          </cell>
          <cell r="P96" t="str">
            <v>H: HFF18062
M: 04511650962</v>
          </cell>
          <cell r="R96">
            <v>90217474</v>
          </cell>
          <cell r="U96" t="str">
            <v>N/A</v>
          </cell>
          <cell r="AC96"/>
          <cell r="AD96">
            <v>45757</v>
          </cell>
          <cell r="AE96">
            <v>45757</v>
          </cell>
          <cell r="AJ96">
            <v>531203.96</v>
          </cell>
          <cell r="AK96">
            <v>45737</v>
          </cell>
          <cell r="AL96">
            <v>45747</v>
          </cell>
          <cell r="AM96">
            <v>45748</v>
          </cell>
          <cell r="AN96">
            <v>45748</v>
          </cell>
          <cell r="AO96">
            <v>45754</v>
          </cell>
          <cell r="AP96">
            <v>45757</v>
          </cell>
          <cell r="AQ96">
            <v>45757</v>
          </cell>
          <cell r="AR96">
            <v>45748</v>
          </cell>
          <cell r="AS96">
            <v>45757</v>
          </cell>
          <cell r="AT96">
            <v>45757</v>
          </cell>
          <cell r="AU96">
            <v>45757</v>
          </cell>
          <cell r="AY96">
            <v>45769</v>
          </cell>
          <cell r="AZ96">
            <v>45769</v>
          </cell>
          <cell r="BA96">
            <v>45771</v>
          </cell>
          <cell r="BB96">
            <v>45758</v>
          </cell>
          <cell r="BD96">
            <v>45758</v>
          </cell>
          <cell r="BE96">
            <v>45777</v>
          </cell>
          <cell r="BF96">
            <v>45777</v>
          </cell>
          <cell r="BG96">
            <v>45779</v>
          </cell>
          <cell r="BH96">
            <v>45782</v>
          </cell>
          <cell r="BQ96">
            <v>86463.19</v>
          </cell>
          <cell r="BR96">
            <v>45818</v>
          </cell>
          <cell r="BS96"/>
          <cell r="CE96" t="str">
            <v>NÃO</v>
          </cell>
          <cell r="CI96" t="str">
            <v/>
          </cell>
        </row>
        <row r="97">
          <cell r="A97"/>
          <cell r="B97" t="str">
            <v>010A/2025</v>
          </cell>
          <cell r="E97" t="str">
            <v>STELLA</v>
          </cell>
          <cell r="F97" t="str">
            <v>DELIVERED</v>
          </cell>
          <cell r="G97" t="str">
            <v>SEA</v>
          </cell>
          <cell r="J97">
            <v>45757</v>
          </cell>
          <cell r="L97">
            <v>45801</v>
          </cell>
          <cell r="O97">
            <v>45825</v>
          </cell>
          <cell r="P97" t="str">
            <v>SDBLBS543986</v>
          </cell>
          <cell r="R97" t="str">
            <v>PWBR25003310A</v>
          </cell>
          <cell r="T97" t="str">
            <v>SZLU9653729</v>
          </cell>
          <cell r="U97">
            <v>0.5</v>
          </cell>
          <cell r="AC97"/>
          <cell r="AD97">
            <v>45811</v>
          </cell>
          <cell r="AE97">
            <v>45812</v>
          </cell>
          <cell r="AJ97">
            <v>37827.78</v>
          </cell>
          <cell r="AK97">
            <v>45779</v>
          </cell>
          <cell r="AL97">
            <v>45782</v>
          </cell>
          <cell r="AM97">
            <v>45796</v>
          </cell>
          <cell r="AN97">
            <v>45797</v>
          </cell>
          <cell r="AO97">
            <v>45798</v>
          </cell>
          <cell r="AP97">
            <v>45800</v>
          </cell>
          <cell r="AQ97">
            <v>45810</v>
          </cell>
          <cell r="AR97">
            <v>45807</v>
          </cell>
          <cell r="AS97">
            <v>45811</v>
          </cell>
          <cell r="AT97">
            <v>45812</v>
          </cell>
          <cell r="AU97">
            <v>45812</v>
          </cell>
          <cell r="AY97">
            <v>45812</v>
          </cell>
          <cell r="AZ97">
            <v>45812</v>
          </cell>
          <cell r="BA97">
            <v>45813</v>
          </cell>
          <cell r="BB97">
            <v>45813</v>
          </cell>
          <cell r="BC97">
            <v>45814</v>
          </cell>
          <cell r="BD97">
            <v>45813</v>
          </cell>
          <cell r="BE97">
            <v>45814</v>
          </cell>
          <cell r="BF97">
            <v>45814</v>
          </cell>
          <cell r="BG97">
            <v>45817</v>
          </cell>
          <cell r="BH97">
            <v>45825</v>
          </cell>
          <cell r="BQ97">
            <v>800.51499999999999</v>
          </cell>
          <cell r="BR97">
            <v>45825</v>
          </cell>
          <cell r="BS97">
            <v>4033.74</v>
          </cell>
          <cell r="BT97">
            <v>45851</v>
          </cell>
          <cell r="CD97">
            <v>45825</v>
          </cell>
          <cell r="CE97" t="str">
            <v>SIM  6 dias</v>
          </cell>
          <cell r="CI97">
            <v>45819</v>
          </cell>
        </row>
        <row r="98">
          <cell r="A98"/>
          <cell r="B98" t="str">
            <v>010A2/2025</v>
          </cell>
          <cell r="E98" t="str">
            <v>STELLA</v>
          </cell>
          <cell r="F98" t="str">
            <v>DELIVERED</v>
          </cell>
          <cell r="G98" t="str">
            <v>SEA</v>
          </cell>
          <cell r="J98">
            <v>45757</v>
          </cell>
          <cell r="L98">
            <v>45801</v>
          </cell>
          <cell r="O98">
            <v>45825</v>
          </cell>
          <cell r="P98" t="str">
            <v>SDBLBS543730</v>
          </cell>
          <cell r="R98" t="str">
            <v>PWBR25003310A2</v>
          </cell>
          <cell r="T98" t="str">
            <v>SZLU9653729</v>
          </cell>
          <cell r="U98">
            <v>0.5</v>
          </cell>
          <cell r="AC98"/>
          <cell r="AD98">
            <v>45811</v>
          </cell>
          <cell r="AE98">
            <v>45812</v>
          </cell>
          <cell r="AJ98">
            <v>704035.08</v>
          </cell>
          <cell r="AK98">
            <v>45786</v>
          </cell>
          <cell r="AL98">
            <v>45786</v>
          </cell>
          <cell r="AM98">
            <v>45797</v>
          </cell>
          <cell r="AN98">
            <v>45797</v>
          </cell>
          <cell r="AO98">
            <v>45798</v>
          </cell>
          <cell r="AP98">
            <v>45800</v>
          </cell>
          <cell r="AQ98">
            <v>45810</v>
          </cell>
          <cell r="AR98">
            <v>45807</v>
          </cell>
          <cell r="AS98">
            <v>45811</v>
          </cell>
          <cell r="AT98">
            <v>45812</v>
          </cell>
          <cell r="AU98">
            <v>45812</v>
          </cell>
          <cell r="AY98">
            <v>45812</v>
          </cell>
          <cell r="AZ98">
            <v>45812</v>
          </cell>
          <cell r="BA98">
            <v>45813</v>
          </cell>
          <cell r="BB98">
            <v>45813</v>
          </cell>
          <cell r="BC98">
            <v>45824</v>
          </cell>
          <cell r="BD98">
            <v>45813</v>
          </cell>
          <cell r="BE98">
            <v>45824</v>
          </cell>
          <cell r="BF98">
            <v>45824</v>
          </cell>
          <cell r="BG98">
            <v>45825</v>
          </cell>
          <cell r="BH98">
            <v>45825</v>
          </cell>
          <cell r="BQ98">
            <v>800.51499999999999</v>
          </cell>
          <cell r="BR98">
            <v>45825</v>
          </cell>
          <cell r="BS98">
            <v>4033.74</v>
          </cell>
          <cell r="BT98">
            <v>45851</v>
          </cell>
          <cell r="CD98">
            <v>45825</v>
          </cell>
          <cell r="CE98" t="str">
            <v>SIM  6 dias</v>
          </cell>
          <cell r="CI98">
            <v>45819</v>
          </cell>
        </row>
        <row r="99">
          <cell r="A99"/>
          <cell r="B99" t="str">
            <v>010B/2025</v>
          </cell>
          <cell r="E99" t="str">
            <v>STELLA</v>
          </cell>
          <cell r="F99" t="str">
            <v>DELIVERED</v>
          </cell>
          <cell r="G99" t="str">
            <v>SEA</v>
          </cell>
          <cell r="J99">
            <v>45757</v>
          </cell>
          <cell r="L99">
            <v>45801</v>
          </cell>
          <cell r="O99">
            <v>45835</v>
          </cell>
          <cell r="P99" t="str">
            <v>SDBLBS543979</v>
          </cell>
          <cell r="R99" t="str">
            <v>PWBR25003310B</v>
          </cell>
          <cell r="T99" t="str">
            <v>CGMU5154336; CGMU5400620; IKSU5201828</v>
          </cell>
          <cell r="U99">
            <v>3</v>
          </cell>
          <cell r="AC99">
            <v>45817</v>
          </cell>
          <cell r="AD99">
            <v>45819</v>
          </cell>
          <cell r="AE99">
            <v>45820</v>
          </cell>
          <cell r="AJ99">
            <v>866303.49</v>
          </cell>
          <cell r="AK99">
            <v>45790</v>
          </cell>
          <cell r="AL99">
            <v>45790</v>
          </cell>
          <cell r="AM99">
            <v>45797</v>
          </cell>
          <cell r="AN99">
            <v>45797</v>
          </cell>
          <cell r="AO99">
            <v>45798</v>
          </cell>
          <cell r="AP99">
            <v>45800</v>
          </cell>
          <cell r="AQ99">
            <v>45819</v>
          </cell>
          <cell r="AR99">
            <v>45807</v>
          </cell>
          <cell r="AS99">
            <v>45819</v>
          </cell>
          <cell r="AT99">
            <v>45820</v>
          </cell>
          <cell r="AU99">
            <v>45820</v>
          </cell>
          <cell r="AY99">
            <v>45820</v>
          </cell>
          <cell r="AZ99">
            <v>45820</v>
          </cell>
          <cell r="BA99">
            <v>45821</v>
          </cell>
          <cell r="BB99">
            <v>45821</v>
          </cell>
          <cell r="BC99">
            <v>45828</v>
          </cell>
          <cell r="BD99">
            <v>45821</v>
          </cell>
          <cell r="BE99">
            <v>45828</v>
          </cell>
          <cell r="BF99">
            <v>45828</v>
          </cell>
          <cell r="BG99">
            <v>45832</v>
          </cell>
          <cell r="BH99">
            <v>45834</v>
          </cell>
          <cell r="BQ99">
            <v>16905.39</v>
          </cell>
          <cell r="BR99">
            <v>45833</v>
          </cell>
          <cell r="CD99">
            <v>45818</v>
          </cell>
          <cell r="CE99" t="str">
            <v>NÃO</v>
          </cell>
          <cell r="CI99">
            <v>45819</v>
          </cell>
        </row>
        <row r="100">
          <cell r="A100"/>
          <cell r="B100" t="str">
            <v>010C/2025</v>
          </cell>
          <cell r="E100" t="str">
            <v>STELLA</v>
          </cell>
          <cell r="F100" t="str">
            <v>DELIVERED</v>
          </cell>
          <cell r="G100" t="str">
            <v>SEA</v>
          </cell>
          <cell r="J100">
            <v>45757</v>
          </cell>
          <cell r="L100">
            <v>45801</v>
          </cell>
          <cell r="O100">
            <v>45820</v>
          </cell>
          <cell r="P100" t="str">
            <v>SDBLBS543981</v>
          </cell>
          <cell r="R100" t="str">
            <v>PWBR25003310C</v>
          </cell>
          <cell r="T100" t="str">
            <v>TLLU1043410</v>
          </cell>
          <cell r="U100">
            <v>1</v>
          </cell>
          <cell r="AC100"/>
          <cell r="AD100">
            <v>45812</v>
          </cell>
          <cell r="AE100">
            <v>45812</v>
          </cell>
          <cell r="AJ100">
            <v>384763.42</v>
          </cell>
          <cell r="AK100">
            <v>45783</v>
          </cell>
          <cell r="AL100">
            <v>45783</v>
          </cell>
          <cell r="AM100">
            <v>45796</v>
          </cell>
          <cell r="AN100">
            <v>45798</v>
          </cell>
          <cell r="AO100">
            <v>45799</v>
          </cell>
          <cell r="AP100">
            <v>45800</v>
          </cell>
          <cell r="AQ100">
            <v>45812</v>
          </cell>
          <cell r="AR100">
            <v>45807</v>
          </cell>
          <cell r="AS100">
            <v>45812</v>
          </cell>
          <cell r="AT100">
            <v>45812</v>
          </cell>
          <cell r="AU100">
            <v>45813</v>
          </cell>
          <cell r="AY100">
            <v>45812</v>
          </cell>
          <cell r="AZ100">
            <v>45813</v>
          </cell>
          <cell r="BA100">
            <v>45814</v>
          </cell>
          <cell r="BB100">
            <v>45814</v>
          </cell>
          <cell r="BC100">
            <v>45817</v>
          </cell>
          <cell r="BD100">
            <v>45814</v>
          </cell>
          <cell r="BE100">
            <v>45817</v>
          </cell>
          <cell r="BF100">
            <v>45817</v>
          </cell>
          <cell r="BG100">
            <v>45818</v>
          </cell>
          <cell r="BH100">
            <v>45819</v>
          </cell>
          <cell r="BQ100">
            <v>735.88</v>
          </cell>
          <cell r="BR100">
            <v>45818</v>
          </cell>
          <cell r="CD100">
            <v>45820</v>
          </cell>
          <cell r="CE100" t="str">
            <v>SIM  1 dias</v>
          </cell>
          <cell r="CI100">
            <v>45819</v>
          </cell>
        </row>
        <row r="101">
          <cell r="A101"/>
          <cell r="B101" t="str">
            <v>010D/2025</v>
          </cell>
          <cell r="E101" t="str">
            <v>STELLA</v>
          </cell>
          <cell r="F101" t="str">
            <v>DELIVERED</v>
          </cell>
          <cell r="G101" t="str">
            <v>SEA</v>
          </cell>
          <cell r="J101">
            <v>45757</v>
          </cell>
          <cell r="L101">
            <v>45801</v>
          </cell>
          <cell r="O101">
            <v>45817</v>
          </cell>
          <cell r="P101" t="str">
            <v>SDBLBS543983</v>
          </cell>
          <cell r="R101" t="str">
            <v>PWBR25003310D</v>
          </cell>
          <cell r="T101" t="str">
            <v>CAIU5564983</v>
          </cell>
          <cell r="U101">
            <v>0.5</v>
          </cell>
          <cell r="AC101"/>
          <cell r="AD101">
            <v>45811</v>
          </cell>
          <cell r="AE101">
            <v>45812</v>
          </cell>
          <cell r="AJ101">
            <v>1229821.4099999999</v>
          </cell>
          <cell r="AK101">
            <v>45790</v>
          </cell>
          <cell r="AL101">
            <v>45791</v>
          </cell>
          <cell r="AM101">
            <v>45797</v>
          </cell>
          <cell r="AN101">
            <v>45797</v>
          </cell>
          <cell r="AO101">
            <v>45803</v>
          </cell>
          <cell r="AP101">
            <v>45806</v>
          </cell>
          <cell r="AQ101">
            <v>45810</v>
          </cell>
          <cell r="AR101">
            <v>45807</v>
          </cell>
          <cell r="AS101">
            <v>45811</v>
          </cell>
          <cell r="AT101">
            <v>45812</v>
          </cell>
          <cell r="AU101">
            <v>45812</v>
          </cell>
          <cell r="AY101">
            <v>45812</v>
          </cell>
          <cell r="AZ101">
            <v>45812</v>
          </cell>
          <cell r="BA101">
            <v>45813</v>
          </cell>
          <cell r="BB101">
            <v>45813</v>
          </cell>
          <cell r="BC101">
            <v>45813</v>
          </cell>
          <cell r="BD101">
            <v>45813</v>
          </cell>
          <cell r="BE101">
            <v>45813</v>
          </cell>
          <cell r="BF101">
            <v>45813</v>
          </cell>
          <cell r="BG101">
            <v>45814</v>
          </cell>
          <cell r="BH101">
            <v>45817</v>
          </cell>
          <cell r="BQ101">
            <v>367.94</v>
          </cell>
          <cell r="BR101">
            <v>45814</v>
          </cell>
          <cell r="CD101">
            <v>45818</v>
          </cell>
          <cell r="CE101" t="str">
            <v>NÃO</v>
          </cell>
          <cell r="CI101">
            <v>45819</v>
          </cell>
        </row>
        <row r="102">
          <cell r="A102"/>
          <cell r="B102" t="str">
            <v>010E/2025</v>
          </cell>
          <cell r="E102" t="str">
            <v>STELLA</v>
          </cell>
          <cell r="F102" t="str">
            <v>DELIVERED</v>
          </cell>
          <cell r="G102" t="str">
            <v>SEA</v>
          </cell>
          <cell r="J102">
            <v>45757</v>
          </cell>
          <cell r="L102">
            <v>45801</v>
          </cell>
          <cell r="O102">
            <v>45820</v>
          </cell>
          <cell r="P102" t="str">
            <v>SDBLBS543985</v>
          </cell>
          <cell r="R102" t="str">
            <v>PWBR25003310E</v>
          </cell>
          <cell r="T102" t="str">
            <v>CXRU1280236</v>
          </cell>
          <cell r="U102">
            <v>1</v>
          </cell>
          <cell r="AC102"/>
          <cell r="AD102">
            <v>45811</v>
          </cell>
          <cell r="AE102">
            <v>45812</v>
          </cell>
          <cell r="AJ102">
            <v>303635.28999999998</v>
          </cell>
          <cell r="AK102">
            <v>45785</v>
          </cell>
          <cell r="AL102">
            <v>45785</v>
          </cell>
          <cell r="AM102">
            <v>45796</v>
          </cell>
          <cell r="AN102">
            <v>45797</v>
          </cell>
          <cell r="AO102">
            <v>45798</v>
          </cell>
          <cell r="AP102">
            <v>45800</v>
          </cell>
          <cell r="AQ102">
            <v>45810</v>
          </cell>
          <cell r="AR102">
            <v>45807</v>
          </cell>
          <cell r="AS102">
            <v>45811</v>
          </cell>
          <cell r="AT102">
            <v>45812</v>
          </cell>
          <cell r="AU102">
            <v>45812</v>
          </cell>
          <cell r="AY102">
            <v>45812</v>
          </cell>
          <cell r="AZ102">
            <v>45812</v>
          </cell>
          <cell r="BA102">
            <v>45813</v>
          </cell>
          <cell r="BB102">
            <v>45814</v>
          </cell>
          <cell r="BC102">
            <v>45818</v>
          </cell>
          <cell r="BD102">
            <v>45813</v>
          </cell>
          <cell r="BE102">
            <v>45818</v>
          </cell>
          <cell r="BF102">
            <v>45818</v>
          </cell>
          <cell r="BG102">
            <v>45819</v>
          </cell>
          <cell r="BH102">
            <v>45820</v>
          </cell>
          <cell r="BQ102">
            <v>735.88</v>
          </cell>
          <cell r="BR102">
            <v>45819</v>
          </cell>
          <cell r="CD102">
            <v>45820</v>
          </cell>
          <cell r="CE102" t="str">
            <v>SIM  1 dias</v>
          </cell>
          <cell r="CI102">
            <v>45819</v>
          </cell>
        </row>
        <row r="103">
          <cell r="A103"/>
          <cell r="B103" t="str">
            <v>Z-005A/2025</v>
          </cell>
          <cell r="E103" t="str">
            <v>POLYANE</v>
          </cell>
          <cell r="F103" t="str">
            <v>DELIVERED</v>
          </cell>
          <cell r="G103" t="str">
            <v>AIR</v>
          </cell>
          <cell r="J103">
            <v>45744</v>
          </cell>
          <cell r="L103">
            <v>45747</v>
          </cell>
          <cell r="O103">
            <v>45755</v>
          </cell>
          <cell r="P103" t="str">
            <v>M: 05753388112
H: DTW250321FOR</v>
          </cell>
          <cell r="R103" t="str">
            <v>PWBR25003610A</v>
          </cell>
          <cell r="U103" t="str">
            <v>N/A</v>
          </cell>
          <cell r="AC103"/>
          <cell r="AD103">
            <v>45748</v>
          </cell>
          <cell r="AE103">
            <v>45748</v>
          </cell>
          <cell r="AJ103">
            <v>144299.59</v>
          </cell>
          <cell r="AK103">
            <v>45740</v>
          </cell>
          <cell r="AL103">
            <v>45740</v>
          </cell>
          <cell r="AM103">
            <v>45743</v>
          </cell>
          <cell r="AN103">
            <v>45744</v>
          </cell>
          <cell r="AO103">
            <v>45747</v>
          </cell>
          <cell r="AP103">
            <v>45748</v>
          </cell>
          <cell r="AQ103">
            <v>45748</v>
          </cell>
          <cell r="AR103">
            <v>45747</v>
          </cell>
          <cell r="AS103">
            <v>45748</v>
          </cell>
          <cell r="AT103">
            <v>45748</v>
          </cell>
          <cell r="AU103">
            <v>45748</v>
          </cell>
          <cell r="AY103">
            <v>45748</v>
          </cell>
          <cell r="AZ103">
            <v>45749</v>
          </cell>
          <cell r="BA103">
            <v>45750</v>
          </cell>
          <cell r="BB103">
            <v>45750</v>
          </cell>
          <cell r="BC103">
            <v>45754</v>
          </cell>
          <cell r="BD103">
            <v>45750</v>
          </cell>
          <cell r="BE103">
            <v>45754</v>
          </cell>
          <cell r="BF103">
            <v>45754</v>
          </cell>
          <cell r="BG103">
            <v>45755</v>
          </cell>
          <cell r="BH103">
            <v>45755</v>
          </cell>
          <cell r="BS103"/>
          <cell r="CE103" t="str">
            <v>NÃO</v>
          </cell>
          <cell r="CI103" t="str">
            <v/>
          </cell>
        </row>
        <row r="104">
          <cell r="A104"/>
          <cell r="B104" t="str">
            <v>Z-005B/2025</v>
          </cell>
          <cell r="E104" t="str">
            <v>POLYANE</v>
          </cell>
          <cell r="F104" t="str">
            <v>DELIVERED</v>
          </cell>
          <cell r="G104" t="str">
            <v>AIR</v>
          </cell>
          <cell r="J104">
            <v>45743</v>
          </cell>
          <cell r="L104">
            <v>45747</v>
          </cell>
          <cell r="O104">
            <v>45755</v>
          </cell>
          <cell r="P104" t="str">
            <v>M: 05708541890
H: DTW250322FOR</v>
          </cell>
          <cell r="R104" t="str">
            <v>PWBR25003610B</v>
          </cell>
          <cell r="U104" t="str">
            <v>N/A</v>
          </cell>
          <cell r="AC104"/>
          <cell r="AD104">
            <v>45748</v>
          </cell>
          <cell r="AE104">
            <v>45748</v>
          </cell>
          <cell r="AJ104">
            <v>98996.63</v>
          </cell>
          <cell r="AK104">
            <v>45740</v>
          </cell>
          <cell r="AL104">
            <v>45740</v>
          </cell>
          <cell r="AM104">
            <v>45743</v>
          </cell>
          <cell r="AN104">
            <v>45744</v>
          </cell>
          <cell r="AO104">
            <v>45747</v>
          </cell>
          <cell r="AP104">
            <v>45748</v>
          </cell>
          <cell r="AQ104">
            <v>45748</v>
          </cell>
          <cell r="AR104">
            <v>45747</v>
          </cell>
          <cell r="AS104">
            <v>45748</v>
          </cell>
          <cell r="AT104">
            <v>45748</v>
          </cell>
          <cell r="AU104">
            <v>45749</v>
          </cell>
          <cell r="AY104">
            <v>45749</v>
          </cell>
          <cell r="AZ104">
            <v>45749</v>
          </cell>
          <cell r="BA104">
            <v>45751</v>
          </cell>
          <cell r="BB104">
            <v>45751</v>
          </cell>
          <cell r="BC104">
            <v>45754</v>
          </cell>
          <cell r="BD104">
            <v>45751</v>
          </cell>
          <cell r="BE104">
            <v>45754</v>
          </cell>
          <cell r="BF104">
            <v>45754</v>
          </cell>
          <cell r="BG104">
            <v>45755</v>
          </cell>
          <cell r="BH104">
            <v>45755</v>
          </cell>
          <cell r="BS104"/>
          <cell r="CE104" t="str">
            <v>NÃO</v>
          </cell>
          <cell r="CI104" t="str">
            <v/>
          </cell>
        </row>
        <row r="105">
          <cell r="A105"/>
          <cell r="B105" t="str">
            <v>HN-001/2025</v>
          </cell>
          <cell r="E105" t="str">
            <v>POLYANE</v>
          </cell>
          <cell r="F105" t="str">
            <v>DELIVERED</v>
          </cell>
          <cell r="G105" t="str">
            <v>SEA</v>
          </cell>
          <cell r="J105">
            <v>45783</v>
          </cell>
          <cell r="L105">
            <v>45833</v>
          </cell>
          <cell r="O105">
            <v>45848</v>
          </cell>
          <cell r="P105" t="str">
            <v>HXEJ201.R310</v>
          </cell>
          <cell r="R105">
            <v>2025033551</v>
          </cell>
          <cell r="T105" t="str">
            <v>TLLU2509971; BMOU6989920</v>
          </cell>
          <cell r="U105">
            <v>2</v>
          </cell>
          <cell r="AC105"/>
          <cell r="AD105">
            <v>45839</v>
          </cell>
          <cell r="AE105">
            <v>45839</v>
          </cell>
          <cell r="AJ105">
            <v>188584.02</v>
          </cell>
          <cell r="AK105">
            <v>45793</v>
          </cell>
          <cell r="AL105">
            <v>45796</v>
          </cell>
          <cell r="AM105">
            <v>45800</v>
          </cell>
          <cell r="AN105">
            <v>45803</v>
          </cell>
          <cell r="AO105">
            <v>45803</v>
          </cell>
          <cell r="AP105">
            <v>45806</v>
          </cell>
          <cell r="AQ105">
            <v>45839</v>
          </cell>
          <cell r="AR105">
            <v>45833</v>
          </cell>
          <cell r="AS105">
            <v>45839</v>
          </cell>
          <cell r="AT105">
            <v>45839</v>
          </cell>
          <cell r="AU105">
            <v>45840</v>
          </cell>
          <cell r="BA105">
            <v>45841</v>
          </cell>
          <cell r="BB105">
            <v>45841</v>
          </cell>
          <cell r="BC105">
            <v>45842</v>
          </cell>
          <cell r="BD105">
            <v>45841</v>
          </cell>
          <cell r="BE105">
            <v>45842</v>
          </cell>
          <cell r="BF105">
            <v>45842</v>
          </cell>
          <cell r="BG105">
            <v>45845</v>
          </cell>
          <cell r="BH105">
            <v>45847</v>
          </cell>
          <cell r="CD105">
            <v>45849</v>
          </cell>
          <cell r="CE105" t="str">
            <v>NÃO</v>
          </cell>
          <cell r="CI105">
            <v>45851</v>
          </cell>
        </row>
        <row r="106">
          <cell r="A106"/>
          <cell r="B106" t="str">
            <v>HSA-001/2025</v>
          </cell>
          <cell r="E106" t="str">
            <v>POLYANE</v>
          </cell>
          <cell r="F106" t="str">
            <v>DELIVERED</v>
          </cell>
          <cell r="G106" t="str">
            <v>AIR</v>
          </cell>
          <cell r="J106">
            <v>45759</v>
          </cell>
          <cell r="L106">
            <v>45766</v>
          </cell>
          <cell r="O106">
            <v>45798</v>
          </cell>
          <cell r="P106">
            <v>17282264965</v>
          </cell>
          <cell r="R106" t="str">
            <v>BWZA40014</v>
          </cell>
          <cell r="U106" t="str">
            <v>N/A</v>
          </cell>
          <cell r="AC106"/>
          <cell r="AD106">
            <v>45776</v>
          </cell>
          <cell r="AE106">
            <v>45776</v>
          </cell>
          <cell r="AJ106">
            <v>349259.62</v>
          </cell>
          <cell r="AK106">
            <v>45786</v>
          </cell>
          <cell r="AL106">
            <v>45770</v>
          </cell>
          <cell r="AM106">
            <v>45770</v>
          </cell>
          <cell r="AN106">
            <v>45770</v>
          </cell>
          <cell r="AO106">
            <v>45775</v>
          </cell>
          <cell r="AP106">
            <v>45776</v>
          </cell>
          <cell r="AQ106">
            <v>45776</v>
          </cell>
          <cell r="AR106">
            <v>45768</v>
          </cell>
          <cell r="AS106">
            <v>45776</v>
          </cell>
          <cell r="AT106">
            <v>45776</v>
          </cell>
          <cell r="AU106">
            <v>45776</v>
          </cell>
          <cell r="BD106">
            <v>45790</v>
          </cell>
          <cell r="BE106">
            <v>45791</v>
          </cell>
          <cell r="BF106">
            <v>45791</v>
          </cell>
          <cell r="BG106">
            <v>45793</v>
          </cell>
          <cell r="BH106">
            <v>45793</v>
          </cell>
          <cell r="BS106"/>
          <cell r="CE106" t="str">
            <v>NÃO</v>
          </cell>
          <cell r="CI106" t="str">
            <v/>
          </cell>
        </row>
        <row r="107">
          <cell r="A107" t="str">
            <v>IMO</v>
          </cell>
          <cell r="B107" t="str">
            <v>E-003/2025</v>
          </cell>
          <cell r="E107" t="str">
            <v>POLYANE</v>
          </cell>
          <cell r="F107" t="str">
            <v>DELIVERED</v>
          </cell>
          <cell r="G107" t="str">
            <v>SEA</v>
          </cell>
          <cell r="J107">
            <v>45744</v>
          </cell>
          <cell r="L107">
            <v>45780</v>
          </cell>
          <cell r="O107">
            <v>45800</v>
          </cell>
          <cell r="P107" t="str">
            <v>MD25033148</v>
          </cell>
          <cell r="R107">
            <v>8000537939</v>
          </cell>
          <cell r="T107" t="str">
            <v>CMAU9090308</v>
          </cell>
          <cell r="U107">
            <v>1</v>
          </cell>
          <cell r="AC107"/>
          <cell r="AD107">
            <v>45792</v>
          </cell>
          <cell r="AE107">
            <v>45793</v>
          </cell>
          <cell r="AJ107">
            <v>372698.63</v>
          </cell>
          <cell r="AK107">
            <v>45749</v>
          </cell>
          <cell r="AL107">
            <v>45749</v>
          </cell>
          <cell r="AM107">
            <v>45757</v>
          </cell>
          <cell r="AN107">
            <v>45757</v>
          </cell>
          <cell r="AO107">
            <v>45757</v>
          </cell>
          <cell r="AP107">
            <v>45762</v>
          </cell>
          <cell r="AQ107">
            <v>45792</v>
          </cell>
          <cell r="AR107">
            <v>45782</v>
          </cell>
          <cell r="AS107">
            <v>45792</v>
          </cell>
          <cell r="AT107">
            <v>45793</v>
          </cell>
          <cell r="AU107">
            <v>45793</v>
          </cell>
          <cell r="AY107">
            <v>45793</v>
          </cell>
          <cell r="AZ107">
            <v>45793</v>
          </cell>
          <cell r="BA107">
            <v>45796</v>
          </cell>
          <cell r="BB107">
            <v>45797</v>
          </cell>
          <cell r="BC107">
            <v>45797</v>
          </cell>
          <cell r="BD107">
            <v>45796</v>
          </cell>
          <cell r="BE107">
            <v>45797</v>
          </cell>
          <cell r="BF107">
            <v>45797</v>
          </cell>
          <cell r="BG107">
            <v>45799</v>
          </cell>
          <cell r="BH107">
            <v>45800</v>
          </cell>
          <cell r="BQ107">
            <v>4096.4399999999996</v>
          </cell>
          <cell r="BR107">
            <v>45799</v>
          </cell>
          <cell r="CD107">
            <v>45801</v>
          </cell>
          <cell r="CE107" t="str">
            <v>SIM  3 dias</v>
          </cell>
          <cell r="CI107">
            <v>45798</v>
          </cell>
        </row>
        <row r="108">
          <cell r="A108"/>
          <cell r="B108" t="str">
            <v>Z-006/2025</v>
          </cell>
          <cell r="E108" t="str">
            <v>POLYANE</v>
          </cell>
          <cell r="F108" t="str">
            <v>DELIVERED</v>
          </cell>
          <cell r="G108" t="str">
            <v>SEA</v>
          </cell>
          <cell r="J108">
            <v>45767</v>
          </cell>
          <cell r="L108">
            <v>45836</v>
          </cell>
          <cell r="O108">
            <v>45845</v>
          </cell>
          <cell r="P108" t="str">
            <v>SDBLBS545081</v>
          </cell>
          <cell r="R108" t="str">
            <v>PWBR250025</v>
          </cell>
          <cell r="T108" t="str">
            <v>TRIU8921637; CXRU1361106; CGMU5408955</v>
          </cell>
          <cell r="U108">
            <v>3</v>
          </cell>
          <cell r="AC108"/>
          <cell r="AD108">
            <v>45839</v>
          </cell>
          <cell r="AE108">
            <v>45839</v>
          </cell>
          <cell r="AJ108">
            <v>5154581.3099999996</v>
          </cell>
          <cell r="AK108">
            <v>45782</v>
          </cell>
          <cell r="AL108">
            <v>45783</v>
          </cell>
          <cell r="AM108">
            <v>45799</v>
          </cell>
          <cell r="AN108">
            <v>45800</v>
          </cell>
          <cell r="AO108">
            <v>45803</v>
          </cell>
          <cell r="AP108">
            <v>45806</v>
          </cell>
          <cell r="AQ108">
            <v>45839</v>
          </cell>
          <cell r="AR108">
            <v>45838</v>
          </cell>
          <cell r="AS108">
            <v>45839</v>
          </cell>
          <cell r="AT108">
            <v>45839</v>
          </cell>
          <cell r="AU108">
            <v>45840</v>
          </cell>
          <cell r="AY108">
            <v>45839</v>
          </cell>
          <cell r="AZ108">
            <v>45840</v>
          </cell>
          <cell r="BA108">
            <v>45841</v>
          </cell>
          <cell r="BB108">
            <v>45841</v>
          </cell>
          <cell r="BC108">
            <v>45841</v>
          </cell>
          <cell r="BD108">
            <v>45841</v>
          </cell>
          <cell r="BE108">
            <v>45841</v>
          </cell>
          <cell r="BF108">
            <v>45841</v>
          </cell>
          <cell r="BG108">
            <v>45842</v>
          </cell>
          <cell r="BH108">
            <v>45842</v>
          </cell>
          <cell r="CD108">
            <v>45846</v>
          </cell>
          <cell r="CE108" t="str">
            <v>NÃO</v>
          </cell>
          <cell r="CI108">
            <v>45854</v>
          </cell>
        </row>
        <row r="109">
          <cell r="A109"/>
          <cell r="B109" t="str">
            <v>Z-008/2025</v>
          </cell>
          <cell r="E109" t="str">
            <v>POLYANE</v>
          </cell>
          <cell r="F109" t="str">
            <v>DELIVERED</v>
          </cell>
          <cell r="G109" t="str">
            <v>AIR</v>
          </cell>
          <cell r="J109">
            <v>45755</v>
          </cell>
          <cell r="L109">
            <v>45758</v>
          </cell>
          <cell r="O109">
            <v>45791</v>
          </cell>
          <cell r="P109" t="str">
            <v>M: 05753993553
H: DTW250406FOR</v>
          </cell>
          <cell r="R109" t="str">
            <v>PWBR25005010</v>
          </cell>
          <cell r="U109" t="str">
            <v>N/A</v>
          </cell>
          <cell r="AC109"/>
          <cell r="AD109">
            <v>45775</v>
          </cell>
          <cell r="AE109">
            <v>45776</v>
          </cell>
          <cell r="AJ109">
            <v>14394.14</v>
          </cell>
          <cell r="AK109">
            <v>45751</v>
          </cell>
          <cell r="AL109">
            <v>45751</v>
          </cell>
          <cell r="AM109">
            <v>45757</v>
          </cell>
          <cell r="AN109">
            <v>45763</v>
          </cell>
          <cell r="AO109">
            <v>45764</v>
          </cell>
          <cell r="AP109">
            <v>45771</v>
          </cell>
          <cell r="AQ109">
            <v>45775</v>
          </cell>
          <cell r="AR109">
            <v>45760</v>
          </cell>
          <cell r="AS109">
            <v>45775</v>
          </cell>
          <cell r="AT109">
            <v>45775</v>
          </cell>
          <cell r="AU109">
            <v>45776</v>
          </cell>
          <cell r="AY109">
            <v>45777</v>
          </cell>
          <cell r="AZ109">
            <v>45779</v>
          </cell>
          <cell r="BA109">
            <v>45779</v>
          </cell>
          <cell r="BB109">
            <v>45779</v>
          </cell>
          <cell r="BC109">
            <v>45789</v>
          </cell>
          <cell r="BD109">
            <v>45779</v>
          </cell>
          <cell r="BE109">
            <v>45789</v>
          </cell>
          <cell r="BF109">
            <v>45789</v>
          </cell>
          <cell r="BG109">
            <v>45791</v>
          </cell>
          <cell r="BH109">
            <v>45791</v>
          </cell>
          <cell r="BQ109">
            <v>2250.37</v>
          </cell>
          <cell r="BR109">
            <v>45818</v>
          </cell>
          <cell r="BS109"/>
          <cell r="CE109" t="str">
            <v>NÃO</v>
          </cell>
          <cell r="CI109" t="str">
            <v/>
          </cell>
        </row>
        <row r="110">
          <cell r="A110"/>
          <cell r="B110" t="str">
            <v>Z-009/2025</v>
          </cell>
          <cell r="E110" t="str">
            <v>POLYANE</v>
          </cell>
          <cell r="F110" t="str">
            <v>DELIVERED</v>
          </cell>
          <cell r="G110" t="str">
            <v>COURIER</v>
          </cell>
          <cell r="J110">
            <v>45759</v>
          </cell>
          <cell r="L110">
            <v>45790</v>
          </cell>
          <cell r="O110">
            <v>45789</v>
          </cell>
          <cell r="P110">
            <v>2249467091</v>
          </cell>
          <cell r="R110" t="str">
            <v>SBR250000520</v>
          </cell>
          <cell r="AC110"/>
          <cell r="AD110">
            <v>45761</v>
          </cell>
          <cell r="AE110">
            <v>45763</v>
          </cell>
          <cell r="AJ110">
            <v>4776.2</v>
          </cell>
          <cell r="BH110">
            <v>45789</v>
          </cell>
          <cell r="BS110"/>
          <cell r="CE110" t="str">
            <v>NÃO</v>
          </cell>
          <cell r="CI110" t="str">
            <v/>
          </cell>
        </row>
        <row r="111">
          <cell r="A111" t="str">
            <v>IMO</v>
          </cell>
          <cell r="B111" t="str">
            <v>E-004/2025</v>
          </cell>
          <cell r="E111" t="str">
            <v>POLYANE</v>
          </cell>
          <cell r="F111" t="str">
            <v>DELIVERED</v>
          </cell>
          <cell r="G111" t="str">
            <v>SEA</v>
          </cell>
          <cell r="J111">
            <v>45754</v>
          </cell>
          <cell r="L111">
            <v>45794</v>
          </cell>
          <cell r="O111">
            <v>45810</v>
          </cell>
          <cell r="P111" t="str">
            <v>MD25043001</v>
          </cell>
          <cell r="R111" t="str">
            <v>8000537943; 8000540623</v>
          </cell>
          <cell r="T111" t="str">
            <v>CMAU2459396</v>
          </cell>
          <cell r="U111">
            <v>1</v>
          </cell>
          <cell r="AC111"/>
          <cell r="AD111">
            <v>45803</v>
          </cell>
          <cell r="AE111">
            <v>45804</v>
          </cell>
          <cell r="AJ111">
            <v>94472.59</v>
          </cell>
          <cell r="AK111">
            <v>45756</v>
          </cell>
          <cell r="AL111">
            <v>45756</v>
          </cell>
          <cell r="AM111">
            <v>45789</v>
          </cell>
          <cell r="AN111">
            <v>45789</v>
          </cell>
          <cell r="AO111">
            <v>45791</v>
          </cell>
          <cell r="AP111">
            <v>45793</v>
          </cell>
          <cell r="AQ111">
            <v>45803</v>
          </cell>
          <cell r="AR111">
            <v>45796</v>
          </cell>
          <cell r="AS111">
            <v>45803</v>
          </cell>
          <cell r="AT111">
            <v>45804</v>
          </cell>
          <cell r="AU111">
            <v>45804</v>
          </cell>
          <cell r="AY111">
            <v>45804</v>
          </cell>
          <cell r="AZ111">
            <v>45804</v>
          </cell>
          <cell r="BA111">
            <v>45805</v>
          </cell>
          <cell r="BB111">
            <v>45805</v>
          </cell>
          <cell r="BC111">
            <v>45805</v>
          </cell>
          <cell r="BD111">
            <v>45805</v>
          </cell>
          <cell r="BE111">
            <v>45805</v>
          </cell>
          <cell r="BF111">
            <v>45805</v>
          </cell>
          <cell r="BG111">
            <v>45806</v>
          </cell>
          <cell r="BH111">
            <v>45806</v>
          </cell>
          <cell r="BQ111">
            <v>1206.76</v>
          </cell>
          <cell r="BR111">
            <v>45806</v>
          </cell>
          <cell r="CD111">
            <v>45810</v>
          </cell>
          <cell r="CE111" t="str">
            <v>NÃO</v>
          </cell>
          <cell r="CI111">
            <v>45812</v>
          </cell>
        </row>
        <row r="112">
          <cell r="A112" t="str">
            <v>IMO</v>
          </cell>
          <cell r="B112" t="str">
            <v>E-005/2025</v>
          </cell>
          <cell r="E112" t="str">
            <v>POLYANE</v>
          </cell>
          <cell r="F112" t="str">
            <v>DELIVERED</v>
          </cell>
          <cell r="G112" t="str">
            <v>SEA</v>
          </cell>
          <cell r="J112">
            <v>45782</v>
          </cell>
          <cell r="L112">
            <v>45837</v>
          </cell>
          <cell r="O112">
            <v>45843</v>
          </cell>
          <cell r="P112" t="str">
            <v>MD25043072</v>
          </cell>
          <cell r="R112" t="str">
            <v>8000549026; 8000540624</v>
          </cell>
          <cell r="T112" t="str">
            <v>MRKU0201781</v>
          </cell>
          <cell r="U112">
            <v>1</v>
          </cell>
          <cell r="AC112"/>
          <cell r="AD112">
            <v>45839</v>
          </cell>
          <cell r="AE112">
            <v>45840</v>
          </cell>
          <cell r="AJ112">
            <v>230953.16</v>
          </cell>
          <cell r="AK112">
            <v>45792</v>
          </cell>
          <cell r="AL112">
            <v>45793</v>
          </cell>
          <cell r="AM112">
            <v>45800</v>
          </cell>
          <cell r="AN112">
            <v>45803</v>
          </cell>
          <cell r="AO112">
            <v>45803</v>
          </cell>
          <cell r="AP112">
            <v>45806</v>
          </cell>
          <cell r="AQ112">
            <v>45839</v>
          </cell>
          <cell r="AR112">
            <v>45838</v>
          </cell>
          <cell r="AS112">
            <v>45839</v>
          </cell>
          <cell r="AT112">
            <v>45839</v>
          </cell>
          <cell r="AU112">
            <v>45840</v>
          </cell>
          <cell r="AY112">
            <v>45839</v>
          </cell>
          <cell r="AZ112">
            <v>45840</v>
          </cell>
          <cell r="BA112">
            <v>45840</v>
          </cell>
          <cell r="BB112">
            <v>45840</v>
          </cell>
          <cell r="BC112">
            <v>45840</v>
          </cell>
          <cell r="BD112">
            <v>45840</v>
          </cell>
          <cell r="BE112">
            <v>45840</v>
          </cell>
          <cell r="BF112">
            <v>45840</v>
          </cell>
          <cell r="BG112">
            <v>45841</v>
          </cell>
          <cell r="BH112">
            <v>45841</v>
          </cell>
          <cell r="CD112">
            <v>45843</v>
          </cell>
          <cell r="CE112" t="str">
            <v>NÃO</v>
          </cell>
          <cell r="CI112">
            <v>45855</v>
          </cell>
        </row>
        <row r="113">
          <cell r="A113"/>
          <cell r="B113" t="str">
            <v>015/2025</v>
          </cell>
          <cell r="E113" t="str">
            <v>STELLA</v>
          </cell>
          <cell r="F113" t="str">
            <v>DELIVERED</v>
          </cell>
          <cell r="G113" t="str">
            <v>AIR</v>
          </cell>
          <cell r="J113">
            <v>45757</v>
          </cell>
          <cell r="L113">
            <v>45765</v>
          </cell>
          <cell r="O113">
            <v>45792</v>
          </cell>
          <cell r="P113" t="str">
            <v>M: 05753993575
H: DTW250410FOR</v>
          </cell>
          <cell r="R113" t="str">
            <v>PWBR25000940</v>
          </cell>
          <cell r="U113" t="str">
            <v>N/A</v>
          </cell>
          <cell r="AC113"/>
          <cell r="AD113">
            <v>45779</v>
          </cell>
          <cell r="AE113">
            <v>45782</v>
          </cell>
          <cell r="AJ113">
            <v>470750.76</v>
          </cell>
          <cell r="AK113">
            <v>45756</v>
          </cell>
          <cell r="AL113">
            <v>45756</v>
          </cell>
          <cell r="AM113">
            <v>45762</v>
          </cell>
          <cell r="AN113">
            <v>45764</v>
          </cell>
          <cell r="AO113">
            <v>45770</v>
          </cell>
          <cell r="AP113">
            <v>45771</v>
          </cell>
          <cell r="AQ113">
            <v>45779</v>
          </cell>
          <cell r="AR113">
            <v>45765</v>
          </cell>
          <cell r="AS113">
            <v>45779</v>
          </cell>
          <cell r="AT113">
            <v>45782</v>
          </cell>
          <cell r="AU113">
            <v>45782</v>
          </cell>
          <cell r="AV113">
            <v>45782</v>
          </cell>
          <cell r="AW113">
            <v>45782</v>
          </cell>
          <cell r="AX113">
            <v>45783</v>
          </cell>
          <cell r="AY113">
            <v>45783</v>
          </cell>
          <cell r="AZ113">
            <v>45783</v>
          </cell>
          <cell r="BA113">
            <v>45785</v>
          </cell>
          <cell r="BB113">
            <v>45789</v>
          </cell>
          <cell r="BC113">
            <v>45791</v>
          </cell>
          <cell r="BD113">
            <v>45789</v>
          </cell>
          <cell r="BE113">
            <v>45791</v>
          </cell>
          <cell r="BF113">
            <v>45791</v>
          </cell>
          <cell r="BG113">
            <v>45792</v>
          </cell>
          <cell r="BH113">
            <v>45792</v>
          </cell>
          <cell r="BQ113">
            <v>50879.74</v>
          </cell>
          <cell r="BR113">
            <v>45818</v>
          </cell>
          <cell r="BS113"/>
          <cell r="CE113" t="str">
            <v>NÃO</v>
          </cell>
          <cell r="CI113" t="str">
            <v/>
          </cell>
        </row>
        <row r="114">
          <cell r="A114"/>
          <cell r="B114" t="str">
            <v>NH-008/2025</v>
          </cell>
          <cell r="E114" t="str">
            <v>POLYANE</v>
          </cell>
          <cell r="F114" t="str">
            <v>DELIVERED</v>
          </cell>
          <cell r="G114" t="str">
            <v>SEA</v>
          </cell>
          <cell r="J114">
            <v>45757</v>
          </cell>
          <cell r="L114">
            <v>45801</v>
          </cell>
          <cell r="O114">
            <v>45817</v>
          </cell>
          <cell r="P114" t="str">
            <v>SDBLBS543717</v>
          </cell>
          <cell r="R114" t="str">
            <v>PW2025008</v>
          </cell>
          <cell r="T114" t="str">
            <v>CAIU5564983</v>
          </cell>
          <cell r="U114">
            <v>0.5</v>
          </cell>
          <cell r="AC114"/>
          <cell r="AD114">
            <v>45811</v>
          </cell>
          <cell r="AE114">
            <v>45812</v>
          </cell>
          <cell r="AJ114">
            <v>101103.05</v>
          </cell>
          <cell r="AK114">
            <v>45777</v>
          </cell>
          <cell r="AL114">
            <v>45777</v>
          </cell>
          <cell r="AM114">
            <v>45790</v>
          </cell>
          <cell r="AN114">
            <v>45790</v>
          </cell>
          <cell r="AO114">
            <v>45792</v>
          </cell>
          <cell r="AP114">
            <v>45793</v>
          </cell>
          <cell r="AQ114">
            <v>45811</v>
          </cell>
          <cell r="AR114">
            <v>45807</v>
          </cell>
          <cell r="AS114">
            <v>45811</v>
          </cell>
          <cell r="AT114">
            <v>45812</v>
          </cell>
          <cell r="AU114">
            <v>45812</v>
          </cell>
          <cell r="AY114">
            <v>45812</v>
          </cell>
          <cell r="AZ114">
            <v>45812</v>
          </cell>
          <cell r="BA114">
            <v>45813</v>
          </cell>
          <cell r="BB114">
            <v>45813</v>
          </cell>
          <cell r="BC114">
            <v>45813</v>
          </cell>
          <cell r="BD114">
            <v>45813</v>
          </cell>
          <cell r="BE114">
            <v>45813</v>
          </cell>
          <cell r="BF114">
            <v>45813</v>
          </cell>
          <cell r="BG114">
            <v>45814</v>
          </cell>
          <cell r="BH114">
            <v>45817</v>
          </cell>
          <cell r="BQ114">
            <v>367.94</v>
          </cell>
          <cell r="BR114">
            <v>45814</v>
          </cell>
          <cell r="CD114">
            <v>45818</v>
          </cell>
          <cell r="CE114" t="str">
            <v>NÃO</v>
          </cell>
          <cell r="CI114">
            <v>45819</v>
          </cell>
        </row>
        <row r="115">
          <cell r="A115"/>
          <cell r="B115" t="str">
            <v>012A&amp;012B/2025</v>
          </cell>
          <cell r="E115" t="str">
            <v>STELLA</v>
          </cell>
          <cell r="F115" t="str">
            <v>DELIVERED</v>
          </cell>
          <cell r="G115" t="str">
            <v>AIR</v>
          </cell>
          <cell r="J115">
            <v>45767</v>
          </cell>
          <cell r="L115">
            <v>45769</v>
          </cell>
          <cell r="O115">
            <v>45805</v>
          </cell>
          <cell r="P115" t="str">
            <v>M: 05753993682
H:  DTW250418FOR</v>
          </cell>
          <cell r="R115" t="str">
            <v>SBR250000910/YXN250003120</v>
          </cell>
          <cell r="U115" t="str">
            <v>N/A</v>
          </cell>
          <cell r="AC115"/>
          <cell r="AD115">
            <v>45792</v>
          </cell>
          <cell r="AE115">
            <v>45792</v>
          </cell>
          <cell r="AJ115">
            <v>20896.28</v>
          </cell>
          <cell r="AK115">
            <v>45770</v>
          </cell>
          <cell r="AL115">
            <v>45770</v>
          </cell>
          <cell r="AM115">
            <v>45772</v>
          </cell>
          <cell r="AN115">
            <v>45772</v>
          </cell>
          <cell r="AO115">
            <v>45785</v>
          </cell>
          <cell r="AP115">
            <v>45786</v>
          </cell>
          <cell r="AQ115">
            <v>45792</v>
          </cell>
          <cell r="AR115">
            <v>45769</v>
          </cell>
          <cell r="AS115">
            <v>45792</v>
          </cell>
          <cell r="AT115">
            <v>45792</v>
          </cell>
          <cell r="AU115">
            <v>45793</v>
          </cell>
          <cell r="AV115">
            <v>45793</v>
          </cell>
          <cell r="AW115">
            <v>45796</v>
          </cell>
          <cell r="AX115">
            <v>45796</v>
          </cell>
          <cell r="AY115">
            <v>45798</v>
          </cell>
          <cell r="AZ115">
            <v>45798</v>
          </cell>
          <cell r="BA115">
            <v>45800</v>
          </cell>
          <cell r="BB115">
            <v>45803</v>
          </cell>
          <cell r="BC115">
            <v>45804</v>
          </cell>
          <cell r="BD115">
            <v>45803</v>
          </cell>
          <cell r="BE115">
            <v>45804</v>
          </cell>
          <cell r="BF115">
            <v>45804</v>
          </cell>
          <cell r="BG115">
            <v>45805</v>
          </cell>
          <cell r="BH115">
            <v>45805</v>
          </cell>
          <cell r="BS115"/>
          <cell r="CE115" t="str">
            <v>NÃO</v>
          </cell>
          <cell r="CI115" t="str">
            <v/>
          </cell>
        </row>
        <row r="116">
          <cell r="A116"/>
          <cell r="B116" t="str">
            <v>014A/2025</v>
          </cell>
          <cell r="E116" t="str">
            <v>STELLA</v>
          </cell>
          <cell r="F116" t="str">
            <v>DELIVERED</v>
          </cell>
          <cell r="G116" t="str">
            <v>SEA</v>
          </cell>
          <cell r="J116">
            <v>45772</v>
          </cell>
          <cell r="L116">
            <v>45832</v>
          </cell>
          <cell r="O116">
            <v>45850</v>
          </cell>
          <cell r="P116" t="str">
            <v>SDBLBS546139</v>
          </cell>
          <cell r="R116" t="str">
            <v>PWBR25004710A</v>
          </cell>
          <cell r="T116" t="str">
            <v>CGMU5638330; CGMU5641381</v>
          </cell>
          <cell r="U116">
            <v>2</v>
          </cell>
          <cell r="AC116">
            <v>45839</v>
          </cell>
          <cell r="AD116">
            <v>45840</v>
          </cell>
          <cell r="AE116">
            <v>45841</v>
          </cell>
          <cell r="AJ116">
            <v>982341.99</v>
          </cell>
          <cell r="AK116">
            <v>45821</v>
          </cell>
          <cell r="AL116">
            <v>45821</v>
          </cell>
          <cell r="AM116">
            <v>45826</v>
          </cell>
          <cell r="AN116">
            <v>45826</v>
          </cell>
          <cell r="AO116">
            <v>45828</v>
          </cell>
          <cell r="AP116">
            <v>45835</v>
          </cell>
          <cell r="AQ116">
            <v>45840</v>
          </cell>
          <cell r="AR116">
            <v>45834</v>
          </cell>
          <cell r="AS116">
            <v>45840</v>
          </cell>
          <cell r="AT116">
            <v>45841</v>
          </cell>
          <cell r="AU116">
            <v>45841</v>
          </cell>
          <cell r="AY116">
            <v>45841</v>
          </cell>
          <cell r="AZ116">
            <v>45841</v>
          </cell>
          <cell r="BA116">
            <v>45842</v>
          </cell>
          <cell r="BB116">
            <v>45842</v>
          </cell>
          <cell r="BC116">
            <v>45842</v>
          </cell>
          <cell r="BD116">
            <v>45842</v>
          </cell>
          <cell r="BE116">
            <v>45842</v>
          </cell>
          <cell r="BF116">
            <v>45842</v>
          </cell>
          <cell r="BG116">
            <v>45846</v>
          </cell>
          <cell r="BH116">
            <v>45849</v>
          </cell>
          <cell r="BQ116">
            <v>2932.82</v>
          </cell>
          <cell r="BR116">
            <v>45847</v>
          </cell>
          <cell r="CD116">
            <v>45840</v>
          </cell>
          <cell r="CE116" t="str">
            <v>NÃO</v>
          </cell>
          <cell r="CI116">
            <v>45850</v>
          </cell>
        </row>
        <row r="117">
          <cell r="A117"/>
          <cell r="B117" t="str">
            <v>014B/2025</v>
          </cell>
          <cell r="E117" t="str">
            <v>STELLA</v>
          </cell>
          <cell r="F117" t="str">
            <v>DELIVERED</v>
          </cell>
          <cell r="G117" t="str">
            <v>SEA</v>
          </cell>
          <cell r="J117">
            <v>45772</v>
          </cell>
          <cell r="L117">
            <v>45832</v>
          </cell>
          <cell r="O117">
            <v>45842</v>
          </cell>
          <cell r="P117" t="str">
            <v>SDBLBS546148</v>
          </cell>
          <cell r="R117" t="str">
            <v>PWBR25004710B</v>
          </cell>
          <cell r="T117" t="str">
            <v>CGMU5637925; CGMU5642114; CGMU5642916</v>
          </cell>
          <cell r="U117">
            <v>3</v>
          </cell>
          <cell r="AC117"/>
          <cell r="AD117">
            <v>45834</v>
          </cell>
          <cell r="AE117">
            <v>45835</v>
          </cell>
          <cell r="AJ117">
            <v>1198389.52</v>
          </cell>
          <cell r="AK117">
            <v>45821</v>
          </cell>
          <cell r="AL117">
            <v>45824</v>
          </cell>
          <cell r="AM117">
            <v>45828</v>
          </cell>
          <cell r="AN117">
            <v>45828</v>
          </cell>
          <cell r="AO117">
            <v>45828</v>
          </cell>
          <cell r="AP117">
            <v>45835</v>
          </cell>
          <cell r="AQ117">
            <v>45834</v>
          </cell>
          <cell r="AR117">
            <v>45834</v>
          </cell>
          <cell r="AS117">
            <v>45834</v>
          </cell>
          <cell r="AT117">
            <v>45834</v>
          </cell>
          <cell r="AU117">
            <v>45835</v>
          </cell>
          <cell r="AY117">
            <v>45834</v>
          </cell>
          <cell r="AZ117">
            <v>45835</v>
          </cell>
          <cell r="BA117">
            <v>45835</v>
          </cell>
          <cell r="BB117">
            <v>45835</v>
          </cell>
          <cell r="BC117">
            <v>45839</v>
          </cell>
          <cell r="BD117">
            <v>45835</v>
          </cell>
          <cell r="BE117">
            <v>45839</v>
          </cell>
          <cell r="BF117">
            <v>45839</v>
          </cell>
          <cell r="BG117">
            <v>45841</v>
          </cell>
          <cell r="BH117">
            <v>45842</v>
          </cell>
          <cell r="CD117">
            <v>45842</v>
          </cell>
          <cell r="CE117" t="str">
            <v>NÃO</v>
          </cell>
          <cell r="CI117">
            <v>45850</v>
          </cell>
        </row>
        <row r="118">
          <cell r="A118"/>
          <cell r="B118" t="str">
            <v>014C/2025</v>
          </cell>
          <cell r="E118" t="str">
            <v>STELLA</v>
          </cell>
          <cell r="F118" t="str">
            <v>DELIVERED</v>
          </cell>
          <cell r="G118" t="str">
            <v>SEA</v>
          </cell>
          <cell r="J118">
            <v>45772</v>
          </cell>
          <cell r="L118">
            <v>45832</v>
          </cell>
          <cell r="O118">
            <v>45849</v>
          </cell>
          <cell r="P118" t="str">
            <v>SDBLBS546149</v>
          </cell>
          <cell r="R118" t="str">
            <v>PWBR25004710C</v>
          </cell>
          <cell r="T118" t="str">
            <v>SZLU9862539; CGMU5643445; CGMU5643830</v>
          </cell>
          <cell r="U118">
            <v>3</v>
          </cell>
          <cell r="AC118">
            <v>45841</v>
          </cell>
          <cell r="AD118">
            <v>45841</v>
          </cell>
          <cell r="AE118">
            <v>45842</v>
          </cell>
          <cell r="AJ118">
            <v>1076750.92</v>
          </cell>
          <cell r="AK118">
            <v>45813</v>
          </cell>
          <cell r="AL118">
            <v>45813</v>
          </cell>
          <cell r="AM118">
            <v>45814</v>
          </cell>
          <cell r="AN118">
            <v>45814</v>
          </cell>
          <cell r="AO118">
            <v>45817</v>
          </cell>
          <cell r="AP118">
            <v>45817</v>
          </cell>
          <cell r="AQ118">
            <v>45841</v>
          </cell>
          <cell r="AR118">
            <v>45833</v>
          </cell>
          <cell r="AS118">
            <v>45841</v>
          </cell>
          <cell r="AT118">
            <v>45842</v>
          </cell>
          <cell r="AU118">
            <v>45842</v>
          </cell>
          <cell r="AY118">
            <v>45842</v>
          </cell>
          <cell r="AZ118">
            <v>45842</v>
          </cell>
          <cell r="BA118">
            <v>45843</v>
          </cell>
          <cell r="BB118">
            <v>45845</v>
          </cell>
          <cell r="BC118">
            <v>45845</v>
          </cell>
          <cell r="BD118">
            <v>45845</v>
          </cell>
          <cell r="BE118">
            <v>45845</v>
          </cell>
          <cell r="BF118">
            <v>45845</v>
          </cell>
          <cell r="BG118">
            <v>45846</v>
          </cell>
          <cell r="BH118">
            <v>45848</v>
          </cell>
          <cell r="BQ118">
            <v>4399.2299999999996</v>
          </cell>
          <cell r="BR118">
            <v>45847</v>
          </cell>
          <cell r="CD118">
            <v>45842</v>
          </cell>
          <cell r="CE118" t="str">
            <v>NÃO</v>
          </cell>
          <cell r="CI118">
            <v>45850</v>
          </cell>
        </row>
        <row r="119">
          <cell r="A119"/>
          <cell r="B119" t="str">
            <v>014D/2025</v>
          </cell>
          <cell r="E119" t="str">
            <v>STELLA</v>
          </cell>
          <cell r="F119" t="str">
            <v>DELIVERED</v>
          </cell>
          <cell r="G119" t="str">
            <v>SEA</v>
          </cell>
          <cell r="J119">
            <v>45772</v>
          </cell>
          <cell r="L119">
            <v>45832</v>
          </cell>
          <cell r="O119">
            <v>45847</v>
          </cell>
          <cell r="P119" t="str">
            <v>SDBLBS546151</v>
          </cell>
          <cell r="R119" t="str">
            <v>PWBR25004710D</v>
          </cell>
          <cell r="T119" t="str">
            <v>CGMU5638053; CGMU5638069</v>
          </cell>
          <cell r="U119">
            <v>2</v>
          </cell>
          <cell r="AC119">
            <v>45839</v>
          </cell>
          <cell r="AD119">
            <v>45840</v>
          </cell>
          <cell r="AE119">
            <v>45841</v>
          </cell>
          <cell r="AJ119">
            <v>1182044.1299999999</v>
          </cell>
          <cell r="AK119">
            <v>45824</v>
          </cell>
          <cell r="AL119">
            <v>45825</v>
          </cell>
          <cell r="AM119">
            <v>45831</v>
          </cell>
          <cell r="AN119">
            <v>45831</v>
          </cell>
          <cell r="AO119">
            <v>45832</v>
          </cell>
          <cell r="AP119">
            <v>45835</v>
          </cell>
          <cell r="AQ119">
            <v>45840</v>
          </cell>
          <cell r="AR119">
            <v>45834</v>
          </cell>
          <cell r="AS119">
            <v>45840</v>
          </cell>
          <cell r="AT119">
            <v>45841</v>
          </cell>
          <cell r="AU119">
            <v>45841</v>
          </cell>
          <cell r="AY119">
            <v>45841</v>
          </cell>
          <cell r="AZ119">
            <v>45841</v>
          </cell>
          <cell r="BA119">
            <v>45842</v>
          </cell>
          <cell r="BB119">
            <v>45842</v>
          </cell>
          <cell r="BC119">
            <v>45842</v>
          </cell>
          <cell r="BD119">
            <v>45842</v>
          </cell>
          <cell r="BE119">
            <v>45842</v>
          </cell>
          <cell r="BF119">
            <v>45842</v>
          </cell>
          <cell r="BG119">
            <v>45845</v>
          </cell>
          <cell r="BH119">
            <v>45847</v>
          </cell>
          <cell r="BQ119">
            <v>2932.82</v>
          </cell>
          <cell r="BR119">
            <v>45846</v>
          </cell>
          <cell r="CD119">
            <v>45840</v>
          </cell>
          <cell r="CE119" t="str">
            <v>NÃO</v>
          </cell>
          <cell r="CI119">
            <v>45850</v>
          </cell>
        </row>
        <row r="120">
          <cell r="A120"/>
          <cell r="B120" t="str">
            <v>014E/2025</v>
          </cell>
          <cell r="E120" t="str">
            <v>STELLA</v>
          </cell>
          <cell r="F120" t="str">
            <v>DELIVERED</v>
          </cell>
          <cell r="G120" t="str">
            <v>SEA</v>
          </cell>
          <cell r="J120">
            <v>45772</v>
          </cell>
          <cell r="L120">
            <v>45832</v>
          </cell>
          <cell r="O120">
            <v>45853</v>
          </cell>
          <cell r="P120" t="str">
            <v>SDBLBS546156</v>
          </cell>
          <cell r="R120" t="str">
            <v>PWBR25004710E</v>
          </cell>
          <cell r="T120" t="str">
            <v>CGMU5638264</v>
          </cell>
          <cell r="U120">
            <v>0.33</v>
          </cell>
          <cell r="AC120">
            <v>45842</v>
          </cell>
          <cell r="AD120">
            <v>45841</v>
          </cell>
          <cell r="AE120">
            <v>45841</v>
          </cell>
          <cell r="AJ120">
            <v>387539.74</v>
          </cell>
          <cell r="AK120">
            <v>45813</v>
          </cell>
          <cell r="AL120">
            <v>45813</v>
          </cell>
          <cell r="AM120">
            <v>45814</v>
          </cell>
          <cell r="AN120">
            <v>45814</v>
          </cell>
          <cell r="AO120">
            <v>45817</v>
          </cell>
          <cell r="AP120">
            <v>45817</v>
          </cell>
          <cell r="AQ120">
            <v>45841</v>
          </cell>
          <cell r="AR120">
            <v>45834</v>
          </cell>
          <cell r="AS120">
            <v>45841</v>
          </cell>
          <cell r="AT120">
            <v>45841</v>
          </cell>
          <cell r="AU120">
            <v>45841</v>
          </cell>
          <cell r="AV120">
            <v>45845</v>
          </cell>
          <cell r="AW120">
            <v>45846</v>
          </cell>
          <cell r="AX120">
            <v>45846</v>
          </cell>
          <cell r="AY120">
            <v>45841</v>
          </cell>
          <cell r="AZ120">
            <v>45841</v>
          </cell>
          <cell r="BA120">
            <v>45845</v>
          </cell>
          <cell r="BB120">
            <v>45845</v>
          </cell>
          <cell r="BC120">
            <v>45846</v>
          </cell>
          <cell r="BD120">
            <v>45845</v>
          </cell>
          <cell r="BE120">
            <v>45846</v>
          </cell>
          <cell r="BF120">
            <v>45846</v>
          </cell>
          <cell r="BG120">
            <v>45847</v>
          </cell>
          <cell r="BH120">
            <v>45849</v>
          </cell>
          <cell r="BQ120">
            <v>488.32</v>
          </cell>
          <cell r="BR120">
            <v>45848</v>
          </cell>
          <cell r="CD120">
            <v>45843</v>
          </cell>
          <cell r="CE120" t="str">
            <v>NÃO</v>
          </cell>
          <cell r="CI120">
            <v>45850</v>
          </cell>
        </row>
        <row r="121">
          <cell r="A121"/>
          <cell r="B121" t="str">
            <v>NH-009/2025</v>
          </cell>
          <cell r="E121" t="str">
            <v>POLYANE</v>
          </cell>
          <cell r="F121" t="str">
            <v>DELIVERED</v>
          </cell>
          <cell r="G121" t="str">
            <v>SEA</v>
          </cell>
          <cell r="J121">
            <v>45772</v>
          </cell>
          <cell r="L121">
            <v>45832</v>
          </cell>
          <cell r="O121">
            <v>45848</v>
          </cell>
          <cell r="P121" t="str">
            <v>SDBLBS546160</v>
          </cell>
          <cell r="R121" t="str">
            <v>PW2025009</v>
          </cell>
          <cell r="T121" t="str">
            <v>CGMU5638264</v>
          </cell>
          <cell r="U121">
            <v>0.33</v>
          </cell>
          <cell r="AC121">
            <v>45842</v>
          </cell>
          <cell r="AD121">
            <v>45841</v>
          </cell>
          <cell r="AE121">
            <v>45841</v>
          </cell>
          <cell r="AJ121">
            <v>245084.1</v>
          </cell>
          <cell r="AK121">
            <v>45803</v>
          </cell>
          <cell r="AL121">
            <v>45803</v>
          </cell>
          <cell r="AM121">
            <v>45804</v>
          </cell>
          <cell r="AN121">
            <v>45804</v>
          </cell>
          <cell r="AO121">
            <v>45806</v>
          </cell>
          <cell r="AP121">
            <v>45807</v>
          </cell>
          <cell r="AQ121">
            <v>45841</v>
          </cell>
          <cell r="AR121">
            <v>45834</v>
          </cell>
          <cell r="AS121">
            <v>45841</v>
          </cell>
          <cell r="AT121">
            <v>45841</v>
          </cell>
          <cell r="AU121">
            <v>45841</v>
          </cell>
          <cell r="AY121">
            <v>45841</v>
          </cell>
          <cell r="AZ121">
            <v>45841</v>
          </cell>
          <cell r="BA121">
            <v>45842</v>
          </cell>
          <cell r="BB121">
            <v>45842</v>
          </cell>
          <cell r="BC121">
            <v>45842</v>
          </cell>
          <cell r="BD121">
            <v>45842</v>
          </cell>
          <cell r="BE121">
            <v>45842</v>
          </cell>
          <cell r="BF121">
            <v>45842</v>
          </cell>
          <cell r="BG121">
            <v>45845</v>
          </cell>
          <cell r="BH121">
            <v>45846</v>
          </cell>
          <cell r="CD121">
            <v>45843</v>
          </cell>
          <cell r="CE121" t="str">
            <v>NÃO</v>
          </cell>
          <cell r="CI121">
            <v>45850</v>
          </cell>
        </row>
        <row r="122">
          <cell r="A122"/>
          <cell r="B122" t="str">
            <v>Z-010A/2025</v>
          </cell>
          <cell r="E122" t="str">
            <v>POLYANE</v>
          </cell>
          <cell r="F122" t="str">
            <v>DELIVERED</v>
          </cell>
          <cell r="G122" t="str">
            <v>AIR</v>
          </cell>
          <cell r="J122">
            <v>45769</v>
          </cell>
          <cell r="L122">
            <v>45772</v>
          </cell>
          <cell r="O122">
            <v>45793</v>
          </cell>
          <cell r="P122" t="str">
            <v>M: 05753828025
H: DTW250414FOR</v>
          </cell>
          <cell r="R122" t="str">
            <v>PWBR250026A</v>
          </cell>
          <cell r="U122" t="str">
            <v>N/A</v>
          </cell>
          <cell r="AC122"/>
          <cell r="AD122">
            <v>45783</v>
          </cell>
          <cell r="AE122">
            <v>45784</v>
          </cell>
          <cell r="AJ122">
            <v>2160397.96</v>
          </cell>
          <cell r="AK122">
            <v>45775</v>
          </cell>
          <cell r="AL122">
            <v>45775</v>
          </cell>
          <cell r="AM122">
            <v>45777</v>
          </cell>
          <cell r="AN122">
            <v>45777</v>
          </cell>
          <cell r="AO122">
            <v>45783</v>
          </cell>
          <cell r="AP122">
            <v>45784</v>
          </cell>
          <cell r="AQ122">
            <v>45783</v>
          </cell>
          <cell r="AR122">
            <v>45772</v>
          </cell>
          <cell r="AS122">
            <v>45783</v>
          </cell>
          <cell r="AT122">
            <v>45783</v>
          </cell>
          <cell r="AU122">
            <v>45784</v>
          </cell>
          <cell r="AY122">
            <v>45785</v>
          </cell>
          <cell r="AZ122">
            <v>45785</v>
          </cell>
          <cell r="BA122">
            <v>45789</v>
          </cell>
          <cell r="BB122">
            <v>45790</v>
          </cell>
          <cell r="BC122">
            <v>45791</v>
          </cell>
          <cell r="BD122">
            <v>45790</v>
          </cell>
          <cell r="BE122">
            <v>45791</v>
          </cell>
          <cell r="BF122">
            <v>45791</v>
          </cell>
          <cell r="BG122">
            <v>45793</v>
          </cell>
          <cell r="BH122">
            <v>45793</v>
          </cell>
          <cell r="BQ122">
            <v>359840.35</v>
          </cell>
          <cell r="BR122">
            <v>45818</v>
          </cell>
          <cell r="BS122"/>
          <cell r="CE122" t="str">
            <v>NÃO</v>
          </cell>
          <cell r="CI122" t="str">
            <v/>
          </cell>
        </row>
        <row r="123">
          <cell r="A123"/>
          <cell r="B123" t="str">
            <v>Z-010B/2025</v>
          </cell>
          <cell r="E123" t="str">
            <v>POLYANE</v>
          </cell>
          <cell r="F123" t="str">
            <v>DELIVERED</v>
          </cell>
          <cell r="G123" t="str">
            <v>AIR</v>
          </cell>
          <cell r="J123">
            <v>45772</v>
          </cell>
          <cell r="L123">
            <v>45774</v>
          </cell>
          <cell r="O123">
            <v>45796</v>
          </cell>
          <cell r="P123" t="str">
            <v>M: 05753828036
H: DTW250415FOR</v>
          </cell>
          <cell r="R123" t="str">
            <v>PWBR250026B</v>
          </cell>
          <cell r="U123" t="str">
            <v>N/A</v>
          </cell>
          <cell r="AC123"/>
          <cell r="AD123">
            <v>45782</v>
          </cell>
          <cell r="AE123">
            <v>45782</v>
          </cell>
          <cell r="AJ123">
            <v>277586.99</v>
          </cell>
          <cell r="AK123">
            <v>45775</v>
          </cell>
          <cell r="AL123">
            <v>45775</v>
          </cell>
          <cell r="AM123">
            <v>45777</v>
          </cell>
          <cell r="AN123">
            <v>45777</v>
          </cell>
          <cell r="AO123">
            <v>45779</v>
          </cell>
          <cell r="AP123">
            <v>45782</v>
          </cell>
          <cell r="AQ123">
            <v>45779</v>
          </cell>
          <cell r="AR123">
            <v>45775</v>
          </cell>
          <cell r="AS123">
            <v>45779</v>
          </cell>
          <cell r="AT123">
            <v>45782</v>
          </cell>
          <cell r="AU123">
            <v>45782</v>
          </cell>
          <cell r="AY123">
            <v>45785</v>
          </cell>
          <cell r="AZ123">
            <v>45786</v>
          </cell>
          <cell r="BA123">
            <v>45791</v>
          </cell>
          <cell r="BB123">
            <v>45792</v>
          </cell>
          <cell r="BC123">
            <v>45793</v>
          </cell>
          <cell r="BD123">
            <v>45792</v>
          </cell>
          <cell r="BE123">
            <v>45793</v>
          </cell>
          <cell r="BF123">
            <v>45793</v>
          </cell>
          <cell r="BG123">
            <v>45796</v>
          </cell>
          <cell r="BH123">
            <v>45796</v>
          </cell>
          <cell r="BQ123">
            <v>45164.24</v>
          </cell>
          <cell r="BR123">
            <v>45818</v>
          </cell>
          <cell r="BS123"/>
          <cell r="CE123" t="str">
            <v>NÃO</v>
          </cell>
          <cell r="CI123" t="str">
            <v/>
          </cell>
        </row>
        <row r="124">
          <cell r="A124"/>
          <cell r="B124" t="str">
            <v>Z-010C/2025</v>
          </cell>
          <cell r="E124" t="str">
            <v>POLYANE</v>
          </cell>
          <cell r="F124" t="str">
            <v>DELIVERED</v>
          </cell>
          <cell r="G124" t="str">
            <v>AIR</v>
          </cell>
          <cell r="J124">
            <v>45772</v>
          </cell>
          <cell r="L124">
            <v>45774</v>
          </cell>
          <cell r="O124">
            <v>45796</v>
          </cell>
          <cell r="P124" t="str">
            <v>M: 05753828040
H: DTW250416FOR</v>
          </cell>
          <cell r="R124" t="str">
            <v>PWBR250026C</v>
          </cell>
          <cell r="U124" t="str">
            <v>N/A</v>
          </cell>
          <cell r="AC124"/>
          <cell r="AD124">
            <v>45784</v>
          </cell>
          <cell r="AE124">
            <v>45785</v>
          </cell>
          <cell r="AJ124">
            <v>224034.96</v>
          </cell>
          <cell r="AK124">
            <v>45775</v>
          </cell>
          <cell r="AL124">
            <v>45775</v>
          </cell>
          <cell r="AM124">
            <v>45777</v>
          </cell>
          <cell r="AN124">
            <v>45777</v>
          </cell>
          <cell r="AO124">
            <v>45779</v>
          </cell>
          <cell r="AP124">
            <v>45782</v>
          </cell>
          <cell r="AQ124">
            <v>45784</v>
          </cell>
          <cell r="AR124">
            <v>45774</v>
          </cell>
          <cell r="AS124">
            <v>45784</v>
          </cell>
          <cell r="AT124">
            <v>45785</v>
          </cell>
          <cell r="AU124">
            <v>45786</v>
          </cell>
          <cell r="AY124">
            <v>45785</v>
          </cell>
          <cell r="AZ124">
            <v>45791</v>
          </cell>
          <cell r="BA124">
            <v>45792</v>
          </cell>
          <cell r="BB124">
            <v>45792</v>
          </cell>
          <cell r="BC124">
            <v>45793</v>
          </cell>
          <cell r="BD124">
            <v>45792</v>
          </cell>
          <cell r="BE124">
            <v>45793</v>
          </cell>
          <cell r="BF124">
            <v>45793</v>
          </cell>
          <cell r="BG124">
            <v>45796</v>
          </cell>
          <cell r="BH124">
            <v>45796</v>
          </cell>
          <cell r="BQ124">
            <v>36456.42</v>
          </cell>
          <cell r="BR124">
            <v>45818</v>
          </cell>
          <cell r="BS124"/>
          <cell r="CE124" t="str">
            <v>NÃO</v>
          </cell>
          <cell r="CI124" t="str">
            <v/>
          </cell>
        </row>
        <row r="125">
          <cell r="A125"/>
          <cell r="B125" t="str">
            <v>Z-010D/2025</v>
          </cell>
          <cell r="E125" t="str">
            <v>POLYANE</v>
          </cell>
          <cell r="F125" t="str">
            <v>DELIVERED</v>
          </cell>
          <cell r="G125" t="str">
            <v>AIR</v>
          </cell>
          <cell r="J125">
            <v>45772</v>
          </cell>
          <cell r="L125">
            <v>45777</v>
          </cell>
          <cell r="O125">
            <v>45799</v>
          </cell>
          <cell r="P125" t="str">
            <v>M: 05753828051 
H: DTW250417FOR</v>
          </cell>
          <cell r="R125" t="str">
            <v>PWBR250026D</v>
          </cell>
          <cell r="U125" t="str">
            <v>N/A</v>
          </cell>
          <cell r="AC125"/>
          <cell r="AD125">
            <v>45784</v>
          </cell>
          <cell r="AE125">
            <v>45785</v>
          </cell>
          <cell r="AJ125">
            <v>360397.21</v>
          </cell>
          <cell r="AK125">
            <v>45775</v>
          </cell>
          <cell r="AL125">
            <v>45775</v>
          </cell>
          <cell r="AM125">
            <v>45777</v>
          </cell>
          <cell r="AN125">
            <v>45779</v>
          </cell>
          <cell r="AO125">
            <v>45779</v>
          </cell>
          <cell r="AP125">
            <v>45782</v>
          </cell>
          <cell r="AQ125">
            <v>45785</v>
          </cell>
          <cell r="AR125">
            <v>45777</v>
          </cell>
          <cell r="AS125">
            <v>45785</v>
          </cell>
          <cell r="AT125">
            <v>45785</v>
          </cell>
          <cell r="AU125">
            <v>45785</v>
          </cell>
          <cell r="AY125">
            <v>45785</v>
          </cell>
          <cell r="AZ125">
            <v>45785</v>
          </cell>
          <cell r="BA125">
            <v>45789</v>
          </cell>
          <cell r="BB125">
            <v>45792</v>
          </cell>
          <cell r="BC125">
            <v>45793</v>
          </cell>
          <cell r="BD125">
            <v>45792</v>
          </cell>
          <cell r="BE125">
            <v>45793</v>
          </cell>
          <cell r="BF125">
            <v>45793</v>
          </cell>
          <cell r="BG125">
            <v>45798</v>
          </cell>
          <cell r="BH125">
            <v>45798</v>
          </cell>
          <cell r="BQ125">
            <v>58644.14</v>
          </cell>
          <cell r="BR125">
            <v>45818</v>
          </cell>
          <cell r="BS125"/>
          <cell r="CE125" t="str">
            <v>NÃO</v>
          </cell>
          <cell r="CI125" t="str">
            <v/>
          </cell>
        </row>
        <row r="126">
          <cell r="A126" t="str">
            <v>IMO</v>
          </cell>
          <cell r="B126" t="str">
            <v>E-006/2025</v>
          </cell>
          <cell r="E126" t="str">
            <v>POLYANE</v>
          </cell>
          <cell r="F126" t="str">
            <v>DELIVERED</v>
          </cell>
          <cell r="G126" t="str">
            <v>SEA</v>
          </cell>
          <cell r="J126">
            <v>45770</v>
          </cell>
          <cell r="L126">
            <v>45811</v>
          </cell>
          <cell r="O126">
            <v>45826</v>
          </cell>
          <cell r="P126" t="str">
            <v>MD25043071</v>
          </cell>
          <cell r="R126">
            <v>8000546588</v>
          </cell>
          <cell r="T126" t="str">
            <v>MRKU7040210</v>
          </cell>
          <cell r="U126">
            <v>1</v>
          </cell>
          <cell r="AC126"/>
          <cell r="AD126">
            <v>45819</v>
          </cell>
          <cell r="AE126">
            <v>45820</v>
          </cell>
          <cell r="AJ126">
            <v>171886.25</v>
          </cell>
          <cell r="AK126">
            <v>45803</v>
          </cell>
          <cell r="AL126">
            <v>45803</v>
          </cell>
          <cell r="AM126">
            <v>45805</v>
          </cell>
          <cell r="AN126">
            <v>45805</v>
          </cell>
          <cell r="AO126">
            <v>45806</v>
          </cell>
          <cell r="AP126">
            <v>45807</v>
          </cell>
          <cell r="AQ126">
            <v>45819</v>
          </cell>
          <cell r="AR126">
            <v>45812</v>
          </cell>
          <cell r="AS126">
            <v>45819</v>
          </cell>
          <cell r="AT126">
            <v>45820</v>
          </cell>
          <cell r="AU126">
            <v>45820</v>
          </cell>
          <cell r="AY126">
            <v>45820</v>
          </cell>
          <cell r="AZ126">
            <v>45820</v>
          </cell>
          <cell r="BA126">
            <v>45820</v>
          </cell>
          <cell r="BB126">
            <v>45820</v>
          </cell>
          <cell r="BC126">
            <v>45821</v>
          </cell>
          <cell r="BD126">
            <v>45820</v>
          </cell>
          <cell r="BE126">
            <v>45821</v>
          </cell>
          <cell r="BF126">
            <v>45821</v>
          </cell>
          <cell r="BG126">
            <v>45821</v>
          </cell>
          <cell r="BH126">
            <v>45825</v>
          </cell>
          <cell r="BQ126">
            <v>1206.76</v>
          </cell>
          <cell r="BR126">
            <v>45825</v>
          </cell>
          <cell r="CD126">
            <v>45826</v>
          </cell>
          <cell r="CE126" t="str">
            <v>NÃO</v>
          </cell>
          <cell r="CI126">
            <v>45829</v>
          </cell>
        </row>
        <row r="127">
          <cell r="A127"/>
          <cell r="B127" t="str">
            <v>018/2025</v>
          </cell>
          <cell r="E127" t="str">
            <v>STELLA</v>
          </cell>
          <cell r="F127" t="str">
            <v>DELIVERED</v>
          </cell>
          <cell r="G127" t="str">
            <v>AIR</v>
          </cell>
          <cell r="J127">
            <v>45778</v>
          </cell>
          <cell r="L127">
            <v>45781</v>
          </cell>
          <cell r="O127">
            <v>45803</v>
          </cell>
          <cell r="P127" t="str">
            <v>M: 05755497820
H: DTW250426FOR</v>
          </cell>
          <cell r="R127" t="str">
            <v>PWBR25005430</v>
          </cell>
          <cell r="U127" t="str">
            <v>N/A</v>
          </cell>
          <cell r="AC127"/>
          <cell r="AD127">
            <v>45792</v>
          </cell>
          <cell r="AE127">
            <v>45792</v>
          </cell>
          <cell r="AJ127">
            <v>4178.67</v>
          </cell>
          <cell r="AK127">
            <v>45782</v>
          </cell>
          <cell r="AL127">
            <v>45782</v>
          </cell>
          <cell r="AM127">
            <v>45782</v>
          </cell>
          <cell r="AN127">
            <v>45784</v>
          </cell>
          <cell r="AO127">
            <v>45785</v>
          </cell>
          <cell r="AP127">
            <v>45786</v>
          </cell>
          <cell r="AQ127">
            <v>45792</v>
          </cell>
          <cell r="AR127">
            <v>45781</v>
          </cell>
          <cell r="AS127">
            <v>45792</v>
          </cell>
          <cell r="AT127">
            <v>45793</v>
          </cell>
          <cell r="AU127">
            <v>45797</v>
          </cell>
          <cell r="AY127">
            <v>45798</v>
          </cell>
          <cell r="AZ127">
            <v>45798</v>
          </cell>
          <cell r="BA127">
            <v>45799</v>
          </cell>
          <cell r="BB127">
            <v>45799</v>
          </cell>
          <cell r="BC127">
            <v>45799</v>
          </cell>
          <cell r="BD127">
            <v>45799</v>
          </cell>
          <cell r="BE127">
            <v>45799</v>
          </cell>
          <cell r="BF127">
            <v>45799</v>
          </cell>
          <cell r="BG127">
            <v>45800</v>
          </cell>
          <cell r="BH127">
            <v>45803</v>
          </cell>
          <cell r="BS127"/>
          <cell r="CE127" t="str">
            <v>NÃO</v>
          </cell>
          <cell r="CI127" t="str">
            <v/>
          </cell>
        </row>
        <row r="128">
          <cell r="A128"/>
          <cell r="B128" t="str">
            <v>HN-002/2025</v>
          </cell>
          <cell r="E128" t="str">
            <v>POLYANE</v>
          </cell>
          <cell r="F128" t="str">
            <v>DELIVERED</v>
          </cell>
          <cell r="G128" t="str">
            <v>SEA</v>
          </cell>
          <cell r="J128">
            <v>45805</v>
          </cell>
          <cell r="L128">
            <v>45851</v>
          </cell>
          <cell r="O128">
            <v>45866</v>
          </cell>
          <cell r="P128" t="str">
            <v>NBBLU25015048</v>
          </cell>
          <cell r="R128">
            <v>2025033552</v>
          </cell>
          <cell r="T128" t="str">
            <v>MSDU8247722</v>
          </cell>
          <cell r="U128">
            <v>1</v>
          </cell>
          <cell r="AC128"/>
          <cell r="AD128">
            <v>45853</v>
          </cell>
          <cell r="AE128">
            <v>45853</v>
          </cell>
          <cell r="AJ128">
            <v>80971.460000000006</v>
          </cell>
          <cell r="AK128">
            <v>45803</v>
          </cell>
          <cell r="AL128">
            <v>45803</v>
          </cell>
          <cell r="AM128">
            <v>45805</v>
          </cell>
          <cell r="AN128">
            <v>45805</v>
          </cell>
          <cell r="AO128">
            <v>45806</v>
          </cell>
          <cell r="AP128">
            <v>45807</v>
          </cell>
          <cell r="AQ128">
            <v>45852</v>
          </cell>
          <cell r="AR128">
            <v>45853</v>
          </cell>
          <cell r="AS128">
            <v>45852</v>
          </cell>
          <cell r="AT128">
            <v>45853</v>
          </cell>
          <cell r="AU128">
            <v>45854</v>
          </cell>
          <cell r="BA128">
            <v>45855</v>
          </cell>
          <cell r="BB128">
            <v>45855</v>
          </cell>
          <cell r="BC128">
            <v>45855</v>
          </cell>
          <cell r="BD128">
            <v>45855</v>
          </cell>
          <cell r="BE128">
            <v>45855</v>
          </cell>
          <cell r="BF128">
            <v>45855</v>
          </cell>
          <cell r="BG128">
            <v>45856</v>
          </cell>
          <cell r="BH128">
            <v>45863</v>
          </cell>
          <cell r="BQ128">
            <v>735.88</v>
          </cell>
          <cell r="BR128">
            <v>45861</v>
          </cell>
          <cell r="CD128">
            <v>45868</v>
          </cell>
          <cell r="CE128" t="str">
            <v>NÃO</v>
          </cell>
          <cell r="CI128">
            <v>45869</v>
          </cell>
        </row>
        <row r="129">
          <cell r="A129"/>
          <cell r="B129" t="str">
            <v>016/2025</v>
          </cell>
          <cell r="E129" t="str">
            <v>STELLA</v>
          </cell>
          <cell r="F129" t="str">
            <v>DELIVERED</v>
          </cell>
          <cell r="G129" t="str">
            <v>SEA</v>
          </cell>
          <cell r="J129">
            <v>45775</v>
          </cell>
          <cell r="L129">
            <v>45836</v>
          </cell>
          <cell r="O129">
            <v>45861</v>
          </cell>
          <cell r="P129" t="str">
            <v>SDBLBS547127</v>
          </cell>
          <cell r="R129" t="str">
            <v>PWBR25005330</v>
          </cell>
          <cell r="T129" t="str">
            <v>CGMU5641859; CGMU6975450; CXRU1248466</v>
          </cell>
          <cell r="U129">
            <v>3</v>
          </cell>
          <cell r="AC129"/>
          <cell r="AD129">
            <v>45840</v>
          </cell>
          <cell r="AE129">
            <v>45840</v>
          </cell>
          <cell r="AJ129">
            <v>589790.28</v>
          </cell>
          <cell r="AK129">
            <v>45811</v>
          </cell>
          <cell r="AL129">
            <v>45811</v>
          </cell>
          <cell r="AM129">
            <v>45813</v>
          </cell>
          <cell r="AN129">
            <v>45813</v>
          </cell>
          <cell r="AO129">
            <v>45819</v>
          </cell>
          <cell r="AP129">
            <v>45820</v>
          </cell>
          <cell r="AQ129">
            <v>45840</v>
          </cell>
          <cell r="AR129">
            <v>45838</v>
          </cell>
          <cell r="AS129">
            <v>45840</v>
          </cell>
          <cell r="AT129">
            <v>45840</v>
          </cell>
          <cell r="AU129">
            <v>45841</v>
          </cell>
          <cell r="AY129">
            <v>45841</v>
          </cell>
          <cell r="AZ129">
            <v>45841</v>
          </cell>
          <cell r="BA129">
            <v>45841</v>
          </cell>
          <cell r="BB129">
            <v>45841</v>
          </cell>
          <cell r="BC129">
            <v>45855</v>
          </cell>
          <cell r="BD129">
            <v>45841</v>
          </cell>
          <cell r="BE129">
            <v>45855</v>
          </cell>
          <cell r="BF129">
            <v>45855</v>
          </cell>
          <cell r="BG129">
            <v>45856</v>
          </cell>
          <cell r="BH129">
            <v>45861</v>
          </cell>
          <cell r="BQ129">
            <v>4803.09</v>
          </cell>
          <cell r="BR129">
            <v>45859</v>
          </cell>
          <cell r="BS129">
            <v>42321.21</v>
          </cell>
          <cell r="BT129">
            <v>45915</v>
          </cell>
          <cell r="CD129">
            <v>45862</v>
          </cell>
          <cell r="CE129" t="str">
            <v>SIM  8 dias</v>
          </cell>
          <cell r="CI129">
            <v>45854</v>
          </cell>
        </row>
        <row r="130">
          <cell r="A130" t="str">
            <v>IMO</v>
          </cell>
          <cell r="B130" t="str">
            <v>Z-011/2025</v>
          </cell>
          <cell r="E130" t="str">
            <v>POLYANE</v>
          </cell>
          <cell r="F130" t="str">
            <v>DELIVERED</v>
          </cell>
          <cell r="G130" t="str">
            <v>SEA</v>
          </cell>
          <cell r="J130">
            <v>45795</v>
          </cell>
          <cell r="L130">
            <v>45850</v>
          </cell>
          <cell r="O130">
            <v>45866</v>
          </cell>
          <cell r="P130" t="str">
            <v>SDBLBS548965</v>
          </cell>
          <cell r="R130" t="str">
            <v>PWBR250010+SBR250000510</v>
          </cell>
          <cell r="T130" t="str">
            <v>CMAU9642069</v>
          </cell>
          <cell r="U130">
            <v>1</v>
          </cell>
          <cell r="AC130"/>
          <cell r="AD130">
            <v>45854</v>
          </cell>
          <cell r="AE130">
            <v>45854</v>
          </cell>
          <cell r="AJ130">
            <v>3626523.49</v>
          </cell>
          <cell r="AK130">
            <v>45806</v>
          </cell>
          <cell r="AL130">
            <v>45806</v>
          </cell>
          <cell r="AM130">
            <v>45807</v>
          </cell>
          <cell r="AN130">
            <v>45807</v>
          </cell>
          <cell r="AO130">
            <v>45810</v>
          </cell>
          <cell r="AP130">
            <v>45810</v>
          </cell>
          <cell r="AQ130">
            <v>45854</v>
          </cell>
          <cell r="AR130">
            <v>45851</v>
          </cell>
          <cell r="AS130">
            <v>45854</v>
          </cell>
          <cell r="AT130">
            <v>45854</v>
          </cell>
          <cell r="AU130">
            <v>45854</v>
          </cell>
          <cell r="AY130">
            <v>45854</v>
          </cell>
          <cell r="AZ130">
            <v>45854</v>
          </cell>
          <cell r="BA130">
            <v>45855</v>
          </cell>
          <cell r="BB130">
            <v>45855</v>
          </cell>
          <cell r="BC130">
            <v>45859</v>
          </cell>
          <cell r="BD130">
            <v>45855</v>
          </cell>
          <cell r="BE130">
            <v>45859</v>
          </cell>
          <cell r="BF130">
            <v>45859</v>
          </cell>
          <cell r="BG130">
            <v>45859</v>
          </cell>
          <cell r="BH130">
            <v>45859</v>
          </cell>
          <cell r="BQ130">
            <v>1810.15</v>
          </cell>
          <cell r="BR130">
            <v>45861</v>
          </cell>
          <cell r="CD130">
            <v>45867</v>
          </cell>
          <cell r="CE130" t="str">
            <v>NÃO</v>
          </cell>
          <cell r="CI130">
            <v>45868</v>
          </cell>
        </row>
        <row r="131">
          <cell r="A131"/>
          <cell r="B131" t="str">
            <v>Z-012A/2025</v>
          </cell>
          <cell r="E131" t="str">
            <v>POLYANE</v>
          </cell>
          <cell r="F131" t="str">
            <v>DELIVERED</v>
          </cell>
          <cell r="G131" t="str">
            <v>AIR</v>
          </cell>
          <cell r="J131">
            <v>45782</v>
          </cell>
          <cell r="L131">
            <v>45786</v>
          </cell>
          <cell r="O131">
            <v>45804</v>
          </cell>
          <cell r="P131" t="str">
            <v>M: 05755111232
H: DTW25429FOR</v>
          </cell>
          <cell r="R131" t="str">
            <v>PWBR25004210A</v>
          </cell>
          <cell r="U131" t="str">
            <v>N/A</v>
          </cell>
          <cell r="AC131"/>
          <cell r="AD131">
            <v>45798</v>
          </cell>
          <cell r="AE131">
            <v>45799</v>
          </cell>
          <cell r="AJ131">
            <v>548810.68000000005</v>
          </cell>
          <cell r="AK131">
            <v>45784</v>
          </cell>
          <cell r="AL131">
            <v>45785</v>
          </cell>
          <cell r="AM131">
            <v>45789</v>
          </cell>
          <cell r="AN131">
            <v>45789</v>
          </cell>
          <cell r="AO131">
            <v>45791</v>
          </cell>
          <cell r="AP131">
            <v>45793</v>
          </cell>
          <cell r="AQ131">
            <v>45798</v>
          </cell>
          <cell r="AR131">
            <v>45786</v>
          </cell>
          <cell r="AS131">
            <v>45798</v>
          </cell>
          <cell r="AT131">
            <v>45799</v>
          </cell>
          <cell r="AU131">
            <v>45799</v>
          </cell>
          <cell r="BA131">
            <v>45799</v>
          </cell>
          <cell r="BB131">
            <v>45800</v>
          </cell>
          <cell r="BC131">
            <v>45800</v>
          </cell>
          <cell r="BD131">
            <v>45800</v>
          </cell>
          <cell r="BE131">
            <v>45800</v>
          </cell>
          <cell r="BF131">
            <v>45800</v>
          </cell>
          <cell r="BG131">
            <v>45803</v>
          </cell>
          <cell r="BH131">
            <v>45804</v>
          </cell>
          <cell r="BQ131">
            <v>85893.85</v>
          </cell>
          <cell r="BR131">
            <v>45849</v>
          </cell>
          <cell r="BS131"/>
          <cell r="CE131" t="str">
            <v>NÃO</v>
          </cell>
          <cell r="CI131" t="str">
            <v/>
          </cell>
        </row>
        <row r="132">
          <cell r="A132"/>
          <cell r="B132" t="str">
            <v>Z-012B/2025</v>
          </cell>
          <cell r="E132" t="str">
            <v>POLYANE</v>
          </cell>
          <cell r="F132" t="str">
            <v>DELIVERED</v>
          </cell>
          <cell r="G132" t="str">
            <v>AIR</v>
          </cell>
          <cell r="J132">
            <v>45783</v>
          </cell>
          <cell r="L132">
            <v>45786</v>
          </cell>
          <cell r="O132">
            <v>45803</v>
          </cell>
          <cell r="P132" t="str">
            <v>M: 05755111243
H: DTW25430FOR</v>
          </cell>
          <cell r="R132" t="str">
            <v>PWBR25004210B</v>
          </cell>
          <cell r="U132" t="str">
            <v>N/A</v>
          </cell>
          <cell r="AC132"/>
          <cell r="AD132">
            <v>45798</v>
          </cell>
          <cell r="AE132">
            <v>45799</v>
          </cell>
          <cell r="AJ132">
            <v>548683.17000000004</v>
          </cell>
          <cell r="AK132">
            <v>45784</v>
          </cell>
          <cell r="AL132">
            <v>45785</v>
          </cell>
          <cell r="AM132">
            <v>45789</v>
          </cell>
          <cell r="AN132">
            <v>45790</v>
          </cell>
          <cell r="AO132">
            <v>45791</v>
          </cell>
          <cell r="AP132">
            <v>45793</v>
          </cell>
          <cell r="AQ132">
            <v>45798</v>
          </cell>
          <cell r="AR132">
            <v>45786</v>
          </cell>
          <cell r="AS132">
            <v>45798</v>
          </cell>
          <cell r="AT132">
            <v>45799</v>
          </cell>
          <cell r="AU132">
            <v>45799</v>
          </cell>
          <cell r="BA132">
            <v>45799</v>
          </cell>
          <cell r="BB132">
            <v>45799</v>
          </cell>
          <cell r="BC132">
            <v>45800</v>
          </cell>
          <cell r="BD132">
            <v>45799</v>
          </cell>
          <cell r="BE132">
            <v>45800</v>
          </cell>
          <cell r="BF132">
            <v>45800</v>
          </cell>
          <cell r="BG132">
            <v>45800</v>
          </cell>
          <cell r="BH132">
            <v>45803</v>
          </cell>
          <cell r="BQ132">
            <v>85858.58</v>
          </cell>
          <cell r="BR132">
            <v>45849</v>
          </cell>
          <cell r="BS132"/>
          <cell r="CE132" t="str">
            <v>NÃO</v>
          </cell>
          <cell r="CI132" t="str">
            <v/>
          </cell>
        </row>
        <row r="133">
          <cell r="A133"/>
          <cell r="B133" t="str">
            <v>Z-012C/2025</v>
          </cell>
          <cell r="E133" t="str">
            <v>POLYANE</v>
          </cell>
          <cell r="F133" t="str">
            <v>DELIVERED</v>
          </cell>
          <cell r="G133" t="str">
            <v>AIR</v>
          </cell>
          <cell r="J133">
            <v>45786</v>
          </cell>
          <cell r="L133">
            <v>45788</v>
          </cell>
          <cell r="O133">
            <v>45806</v>
          </cell>
          <cell r="P133" t="str">
            <v>M: 05755111254
H: DTW25431FOR</v>
          </cell>
          <cell r="R133" t="str">
            <v>PWBR25004210C</v>
          </cell>
          <cell r="U133" t="str">
            <v>N/A</v>
          </cell>
          <cell r="AC133"/>
          <cell r="AD133">
            <v>45803</v>
          </cell>
          <cell r="AE133">
            <v>45804</v>
          </cell>
          <cell r="AJ133">
            <v>554393.24</v>
          </cell>
          <cell r="AK133">
            <v>45784</v>
          </cell>
          <cell r="AL133">
            <v>45785</v>
          </cell>
          <cell r="AM133">
            <v>45789</v>
          </cell>
          <cell r="AN133">
            <v>45790</v>
          </cell>
          <cell r="AO133">
            <v>45791</v>
          </cell>
          <cell r="AP133">
            <v>45793</v>
          </cell>
          <cell r="AQ133">
            <v>45803</v>
          </cell>
          <cell r="AR133">
            <v>45788</v>
          </cell>
          <cell r="AS133">
            <v>45803</v>
          </cell>
          <cell r="AT133">
            <v>45804</v>
          </cell>
          <cell r="AU133">
            <v>45804</v>
          </cell>
          <cell r="BA133">
            <v>45804</v>
          </cell>
          <cell r="BB133">
            <v>45804</v>
          </cell>
          <cell r="BC133">
            <v>45805</v>
          </cell>
          <cell r="BD133">
            <v>45804</v>
          </cell>
          <cell r="BE133">
            <v>45805</v>
          </cell>
          <cell r="BF133">
            <v>45805</v>
          </cell>
          <cell r="BG133">
            <v>45806</v>
          </cell>
          <cell r="BH133">
            <v>45806</v>
          </cell>
          <cell r="BQ133">
            <v>86769</v>
          </cell>
          <cell r="BR133">
            <v>45849</v>
          </cell>
          <cell r="BS133"/>
          <cell r="CE133" t="str">
            <v>NÃO</v>
          </cell>
          <cell r="CI133" t="str">
            <v/>
          </cell>
        </row>
        <row r="134">
          <cell r="A134"/>
          <cell r="B134" t="str">
            <v>Z-012D/2025</v>
          </cell>
          <cell r="E134" t="str">
            <v>POLYANE</v>
          </cell>
          <cell r="F134" t="str">
            <v>DELIVERED</v>
          </cell>
          <cell r="G134" t="str">
            <v>AIR</v>
          </cell>
          <cell r="J134">
            <v>45786</v>
          </cell>
          <cell r="L134">
            <v>45790</v>
          </cell>
          <cell r="O134">
            <v>45814</v>
          </cell>
          <cell r="P134" t="str">
            <v>M: 05755111265
H: DTW25432FOR</v>
          </cell>
          <cell r="R134" t="str">
            <v>PWBR25004210D</v>
          </cell>
          <cell r="U134" t="str">
            <v>N/A</v>
          </cell>
          <cell r="AC134"/>
          <cell r="AD134">
            <v>45811</v>
          </cell>
          <cell r="AE134">
            <v>45812</v>
          </cell>
          <cell r="AJ134">
            <v>553141.80000000005</v>
          </cell>
          <cell r="AK134">
            <v>45784</v>
          </cell>
          <cell r="AL134">
            <v>45785</v>
          </cell>
          <cell r="AM134">
            <v>45790</v>
          </cell>
          <cell r="AN134">
            <v>45790</v>
          </cell>
          <cell r="AO134">
            <v>45792</v>
          </cell>
          <cell r="AP134">
            <v>45793</v>
          </cell>
          <cell r="AQ134">
            <v>45811</v>
          </cell>
          <cell r="AR134">
            <v>45790</v>
          </cell>
          <cell r="AS134">
            <v>45811</v>
          </cell>
          <cell r="AT134">
            <v>45812</v>
          </cell>
          <cell r="AU134">
            <v>45812</v>
          </cell>
          <cell r="BA134">
            <v>45812</v>
          </cell>
          <cell r="BB134">
            <v>45812</v>
          </cell>
          <cell r="BC134">
            <v>45812</v>
          </cell>
          <cell r="BD134">
            <v>45812</v>
          </cell>
          <cell r="BE134">
            <v>45812</v>
          </cell>
          <cell r="BF134">
            <v>45812</v>
          </cell>
          <cell r="BG134">
            <v>45813</v>
          </cell>
          <cell r="BH134">
            <v>45813</v>
          </cell>
          <cell r="BQ134">
            <v>86569.37</v>
          </cell>
          <cell r="BR134">
            <v>45849</v>
          </cell>
          <cell r="BS134"/>
          <cell r="CE134" t="str">
            <v>NÃO</v>
          </cell>
          <cell r="CI134" t="str">
            <v/>
          </cell>
        </row>
        <row r="135">
          <cell r="A135"/>
          <cell r="B135" t="str">
            <v>026A/2025</v>
          </cell>
          <cell r="E135" t="str">
            <v>STELLA</v>
          </cell>
          <cell r="F135" t="str">
            <v>DELIVERED</v>
          </cell>
          <cell r="G135" t="str">
            <v>AIR</v>
          </cell>
          <cell r="J135">
            <v>45832</v>
          </cell>
          <cell r="L135">
            <v>45835</v>
          </cell>
          <cell r="O135">
            <v>45846</v>
          </cell>
          <cell r="P135" t="str">
            <v>05755502425
DTW250624FOR</v>
          </cell>
          <cell r="R135" t="str">
            <v>PWBR250093A</v>
          </cell>
          <cell r="U135" t="str">
            <v>N/A</v>
          </cell>
          <cell r="AC135"/>
          <cell r="AD135">
            <v>45840</v>
          </cell>
          <cell r="AE135">
            <v>45841</v>
          </cell>
          <cell r="AJ135">
            <v>15886.34</v>
          </cell>
          <cell r="AK135">
            <v>45833</v>
          </cell>
          <cell r="AL135">
            <v>45833</v>
          </cell>
          <cell r="AM135">
            <v>45835</v>
          </cell>
          <cell r="AN135">
            <v>45835</v>
          </cell>
          <cell r="AO135">
            <v>45840</v>
          </cell>
          <cell r="AP135">
            <v>45840</v>
          </cell>
          <cell r="AQ135">
            <v>45840</v>
          </cell>
          <cell r="AR135">
            <v>45835</v>
          </cell>
          <cell r="AS135">
            <v>45840</v>
          </cell>
          <cell r="AT135">
            <v>45841</v>
          </cell>
          <cell r="AU135">
            <v>45841</v>
          </cell>
          <cell r="AV135">
            <v>45841</v>
          </cell>
          <cell r="AW135">
            <v>45841</v>
          </cell>
          <cell r="AX135">
            <v>45842</v>
          </cell>
          <cell r="AY135">
            <v>45841</v>
          </cell>
          <cell r="AZ135">
            <v>45841</v>
          </cell>
          <cell r="BA135">
            <v>45841</v>
          </cell>
          <cell r="BB135">
            <v>45841</v>
          </cell>
          <cell r="BC135">
            <v>45845</v>
          </cell>
          <cell r="BD135">
            <v>45841</v>
          </cell>
          <cell r="BE135">
            <v>45845</v>
          </cell>
          <cell r="BF135">
            <v>45845</v>
          </cell>
          <cell r="BG135">
            <v>45846</v>
          </cell>
          <cell r="BH135">
            <v>45846</v>
          </cell>
          <cell r="BQ135">
            <v>974.09</v>
          </cell>
          <cell r="BR135">
            <v>45881</v>
          </cell>
          <cell r="BS135"/>
          <cell r="CE135" t="str">
            <v>NÃO</v>
          </cell>
          <cell r="CI135" t="str">
            <v/>
          </cell>
        </row>
        <row r="136">
          <cell r="A136"/>
          <cell r="B136" t="str">
            <v>017A/2025</v>
          </cell>
          <cell r="E136" t="str">
            <v>STELLA</v>
          </cell>
          <cell r="F136" t="str">
            <v>DELIVERED</v>
          </cell>
          <cell r="G136" t="str">
            <v>SEA</v>
          </cell>
          <cell r="J136">
            <v>45795</v>
          </cell>
          <cell r="L136">
            <v>45850</v>
          </cell>
          <cell r="O136">
            <v>45868</v>
          </cell>
          <cell r="P136" t="str">
            <v>SDBLBS549474</v>
          </cell>
          <cell r="R136" t="str">
            <v>PWBR25006010A</v>
          </cell>
          <cell r="T136" t="str">
            <v>BMOU9740186</v>
          </cell>
          <cell r="U136">
            <v>1</v>
          </cell>
          <cell r="AC136"/>
          <cell r="AD136">
            <v>45853</v>
          </cell>
          <cell r="AE136">
            <v>45854</v>
          </cell>
          <cell r="AJ136">
            <v>781065.55</v>
          </cell>
          <cell r="AK136">
            <v>45839</v>
          </cell>
          <cell r="AL136">
            <v>45839</v>
          </cell>
          <cell r="AM136">
            <v>45849</v>
          </cell>
          <cell r="AN136">
            <v>45849</v>
          </cell>
          <cell r="AO136">
            <v>45849</v>
          </cell>
          <cell r="AP136">
            <v>45852</v>
          </cell>
          <cell r="AQ136">
            <v>45853</v>
          </cell>
          <cell r="AR136">
            <v>45852</v>
          </cell>
          <cell r="AS136">
            <v>45853</v>
          </cell>
          <cell r="AT136">
            <v>45854</v>
          </cell>
          <cell r="AU136">
            <v>45854</v>
          </cell>
          <cell r="AY136">
            <v>45854</v>
          </cell>
          <cell r="AZ136">
            <v>45854</v>
          </cell>
          <cell r="BA136">
            <v>45855</v>
          </cell>
          <cell r="BB136">
            <v>45855</v>
          </cell>
          <cell r="BC136">
            <v>45861</v>
          </cell>
          <cell r="BD136">
            <v>45855</v>
          </cell>
          <cell r="BE136">
            <v>45861</v>
          </cell>
          <cell r="BF136">
            <v>45861</v>
          </cell>
          <cell r="BG136">
            <v>45863</v>
          </cell>
          <cell r="BH136">
            <v>45864</v>
          </cell>
          <cell r="BQ136">
            <v>735.88</v>
          </cell>
          <cell r="BR136">
            <v>45863</v>
          </cell>
          <cell r="CD136">
            <v>45868</v>
          </cell>
          <cell r="CE136" t="str">
            <v>SIM  0 dias</v>
          </cell>
          <cell r="CI136">
            <v>45868</v>
          </cell>
        </row>
        <row r="137">
          <cell r="A137"/>
          <cell r="B137" t="str">
            <v>017B/2025</v>
          </cell>
          <cell r="E137" t="str">
            <v>STELLA</v>
          </cell>
          <cell r="F137" t="str">
            <v>DELIVERED</v>
          </cell>
          <cell r="G137" t="str">
            <v>SEA</v>
          </cell>
          <cell r="J137">
            <v>45795</v>
          </cell>
          <cell r="L137">
            <v>45850</v>
          </cell>
          <cell r="O137">
            <v>45861</v>
          </cell>
          <cell r="P137" t="str">
            <v>SDBLBS549477</v>
          </cell>
          <cell r="R137" t="str">
            <v>PWBR25006010B</v>
          </cell>
          <cell r="T137" t="str">
            <v>TTNU8300580 ; SEGU9224016 ; SEGU9450163</v>
          </cell>
          <cell r="U137">
            <v>3</v>
          </cell>
          <cell r="AC137"/>
          <cell r="AD137">
            <v>45853</v>
          </cell>
          <cell r="AE137">
            <v>45854</v>
          </cell>
          <cell r="AJ137">
            <v>991030.36</v>
          </cell>
          <cell r="AK137">
            <v>45839</v>
          </cell>
          <cell r="AL137">
            <v>45840</v>
          </cell>
          <cell r="AM137">
            <v>45847</v>
          </cell>
          <cell r="AN137">
            <v>45847</v>
          </cell>
          <cell r="AO137">
            <v>45847</v>
          </cell>
          <cell r="AP137">
            <v>45847</v>
          </cell>
          <cell r="AQ137">
            <v>45853</v>
          </cell>
          <cell r="AR137">
            <v>45852</v>
          </cell>
          <cell r="AS137">
            <v>45853</v>
          </cell>
          <cell r="AT137">
            <v>45854</v>
          </cell>
          <cell r="AU137">
            <v>45854</v>
          </cell>
          <cell r="AY137">
            <v>45854</v>
          </cell>
          <cell r="AZ137">
            <v>45854</v>
          </cell>
          <cell r="BA137">
            <v>45854</v>
          </cell>
          <cell r="BB137">
            <v>45854</v>
          </cell>
          <cell r="BC137">
            <v>45855</v>
          </cell>
          <cell r="BD137">
            <v>45854</v>
          </cell>
          <cell r="BE137">
            <v>45855</v>
          </cell>
          <cell r="BF137">
            <v>45855</v>
          </cell>
          <cell r="BG137">
            <v>45856</v>
          </cell>
          <cell r="BH137">
            <v>45860</v>
          </cell>
          <cell r="BQ137">
            <v>2207.64</v>
          </cell>
          <cell r="BR137">
            <v>45859</v>
          </cell>
          <cell r="CD137">
            <v>45861</v>
          </cell>
          <cell r="CE137" t="str">
            <v>NÃO</v>
          </cell>
          <cell r="CI137">
            <v>45868</v>
          </cell>
        </row>
        <row r="138">
          <cell r="A138"/>
          <cell r="B138" t="str">
            <v>017C/2025</v>
          </cell>
          <cell r="E138" t="str">
            <v>STELLA</v>
          </cell>
          <cell r="F138" t="str">
            <v>DELIVERED</v>
          </cell>
          <cell r="G138" t="str">
            <v>SEA</v>
          </cell>
          <cell r="J138">
            <v>45795</v>
          </cell>
          <cell r="L138">
            <v>45850</v>
          </cell>
          <cell r="O138">
            <v>45863</v>
          </cell>
          <cell r="P138" t="str">
            <v>SDBLBS549479</v>
          </cell>
          <cell r="R138" t="str">
            <v>PWBR25006010C</v>
          </cell>
          <cell r="T138" t="str">
            <v>TRIU8013460 ; TRIU8653241</v>
          </cell>
          <cell r="U138">
            <v>2</v>
          </cell>
          <cell r="AC138"/>
          <cell r="AD138">
            <v>45853</v>
          </cell>
          <cell r="AE138">
            <v>45854</v>
          </cell>
          <cell r="AJ138">
            <v>609307.35</v>
          </cell>
          <cell r="AK138">
            <v>45842</v>
          </cell>
          <cell r="AL138">
            <v>45842</v>
          </cell>
          <cell r="AM138">
            <v>45845</v>
          </cell>
          <cell r="AN138">
            <v>45845</v>
          </cell>
          <cell r="AO138">
            <v>45846</v>
          </cell>
          <cell r="AP138">
            <v>45846</v>
          </cell>
          <cell r="AQ138">
            <v>45853</v>
          </cell>
          <cell r="AR138">
            <v>45852</v>
          </cell>
          <cell r="AS138">
            <v>45853</v>
          </cell>
          <cell r="AT138">
            <v>45854</v>
          </cell>
          <cell r="AU138">
            <v>45854</v>
          </cell>
          <cell r="AY138">
            <v>45854</v>
          </cell>
          <cell r="AZ138">
            <v>45854</v>
          </cell>
          <cell r="BA138">
            <v>45855</v>
          </cell>
          <cell r="BB138">
            <v>45855</v>
          </cell>
          <cell r="BC138">
            <v>45855</v>
          </cell>
          <cell r="BD138">
            <v>45855</v>
          </cell>
          <cell r="BE138">
            <v>45855</v>
          </cell>
          <cell r="BF138">
            <v>45855</v>
          </cell>
          <cell r="BG138">
            <v>45856</v>
          </cell>
          <cell r="BH138">
            <v>45863</v>
          </cell>
          <cell r="BQ138">
            <v>1471.76</v>
          </cell>
          <cell r="BR138">
            <v>45861</v>
          </cell>
          <cell r="CD138">
            <v>45863</v>
          </cell>
          <cell r="CE138" t="str">
            <v>NÃO</v>
          </cell>
          <cell r="CI138">
            <v>45868</v>
          </cell>
        </row>
        <row r="139">
          <cell r="A139"/>
          <cell r="B139" t="str">
            <v>017D/2025</v>
          </cell>
          <cell r="E139" t="str">
            <v>STELLA</v>
          </cell>
          <cell r="F139" t="str">
            <v>DELIVERED</v>
          </cell>
          <cell r="G139" t="str">
            <v>SEA</v>
          </cell>
          <cell r="J139">
            <v>45795</v>
          </cell>
          <cell r="L139">
            <v>45850</v>
          </cell>
          <cell r="O139">
            <v>45868</v>
          </cell>
          <cell r="P139" t="str">
            <v>SDBLBS549480</v>
          </cell>
          <cell r="R139" t="str">
            <v>PWBR25006010D</v>
          </cell>
          <cell r="T139" t="str">
            <v>TRIU8078179 ; CGMU5145416 ; CGMU9358425</v>
          </cell>
          <cell r="U139">
            <v>3</v>
          </cell>
          <cell r="AC139"/>
          <cell r="AD139">
            <v>45853</v>
          </cell>
          <cell r="AE139">
            <v>45854</v>
          </cell>
          <cell r="AJ139">
            <v>1052087.8899999999</v>
          </cell>
          <cell r="AK139">
            <v>45843</v>
          </cell>
          <cell r="AL139">
            <v>45845</v>
          </cell>
          <cell r="AM139">
            <v>45848</v>
          </cell>
          <cell r="AN139">
            <v>45848</v>
          </cell>
          <cell r="AO139">
            <v>45848</v>
          </cell>
          <cell r="AP139">
            <v>45848</v>
          </cell>
          <cell r="AQ139">
            <v>45853</v>
          </cell>
          <cell r="AR139">
            <v>45852</v>
          </cell>
          <cell r="AS139">
            <v>45853</v>
          </cell>
          <cell r="AT139">
            <v>45854</v>
          </cell>
          <cell r="AU139">
            <v>45854</v>
          </cell>
          <cell r="AY139">
            <v>45854</v>
          </cell>
          <cell r="AZ139">
            <v>45854</v>
          </cell>
          <cell r="BA139">
            <v>45855</v>
          </cell>
          <cell r="BB139">
            <v>45855</v>
          </cell>
          <cell r="BC139">
            <v>45855</v>
          </cell>
          <cell r="BD139">
            <v>45855</v>
          </cell>
          <cell r="BE139">
            <v>45855</v>
          </cell>
          <cell r="BF139">
            <v>45855</v>
          </cell>
          <cell r="BG139">
            <v>45856</v>
          </cell>
          <cell r="BH139">
            <v>45867</v>
          </cell>
          <cell r="BQ139">
            <v>2207.64</v>
          </cell>
          <cell r="BR139">
            <v>45861</v>
          </cell>
          <cell r="CD139">
            <v>45868</v>
          </cell>
          <cell r="CE139" t="str">
            <v>SIM  0 dias</v>
          </cell>
          <cell r="CI139">
            <v>45868</v>
          </cell>
        </row>
        <row r="140">
          <cell r="A140"/>
          <cell r="B140" t="str">
            <v>017E/2025</v>
          </cell>
          <cell r="E140" t="str">
            <v>STELLA</v>
          </cell>
          <cell r="F140" t="str">
            <v>DELIVERED</v>
          </cell>
          <cell r="G140" t="str">
            <v>SEA</v>
          </cell>
          <cell r="J140">
            <v>45795</v>
          </cell>
          <cell r="L140">
            <v>45850</v>
          </cell>
          <cell r="O140">
            <v>45859</v>
          </cell>
          <cell r="P140" t="str">
            <v>SDBLBS549481</v>
          </cell>
          <cell r="R140" t="str">
            <v>PWBR25006010E</v>
          </cell>
          <cell r="T140" t="str">
            <v>BMOU9707399</v>
          </cell>
          <cell r="U140">
            <v>1</v>
          </cell>
          <cell r="AC140"/>
          <cell r="AD140">
            <v>45853</v>
          </cell>
          <cell r="AE140">
            <v>45854</v>
          </cell>
          <cell r="AJ140">
            <v>169490.67</v>
          </cell>
          <cell r="AK140">
            <v>45845</v>
          </cell>
          <cell r="AL140">
            <v>45845</v>
          </cell>
          <cell r="AM140">
            <v>45848</v>
          </cell>
          <cell r="AN140">
            <v>45849</v>
          </cell>
          <cell r="AO140">
            <v>45849</v>
          </cell>
          <cell r="AP140">
            <v>45852</v>
          </cell>
          <cell r="AQ140">
            <v>45853</v>
          </cell>
          <cell r="AR140">
            <v>45852</v>
          </cell>
          <cell r="AS140">
            <v>45853</v>
          </cell>
          <cell r="AT140">
            <v>45854</v>
          </cell>
          <cell r="AU140">
            <v>45854</v>
          </cell>
          <cell r="AY140">
            <v>45854</v>
          </cell>
          <cell r="AZ140">
            <v>45854</v>
          </cell>
          <cell r="BA140">
            <v>45855</v>
          </cell>
          <cell r="BB140">
            <v>45855</v>
          </cell>
          <cell r="BC140">
            <v>45855</v>
          </cell>
          <cell r="BD140">
            <v>45855</v>
          </cell>
          <cell r="BE140">
            <v>45855</v>
          </cell>
          <cell r="BF140">
            <v>45855</v>
          </cell>
          <cell r="BG140">
            <v>45856</v>
          </cell>
          <cell r="BH140">
            <v>45859</v>
          </cell>
          <cell r="BQ140">
            <v>0</v>
          </cell>
          <cell r="CD140">
            <v>45859</v>
          </cell>
          <cell r="CE140" t="str">
            <v>NÃO</v>
          </cell>
          <cell r="CI140">
            <v>45868</v>
          </cell>
        </row>
        <row r="141">
          <cell r="A141"/>
          <cell r="B141" t="str">
            <v>017F/2025</v>
          </cell>
          <cell r="E141" t="str">
            <v>STELLA</v>
          </cell>
          <cell r="F141" t="str">
            <v>DELIVERED</v>
          </cell>
          <cell r="G141" t="str">
            <v>SEA</v>
          </cell>
          <cell r="J141">
            <v>45795</v>
          </cell>
          <cell r="L141">
            <v>45850</v>
          </cell>
          <cell r="O141">
            <v>45862</v>
          </cell>
          <cell r="P141" t="str">
            <v>SDBLBS549482</v>
          </cell>
          <cell r="R141" t="str">
            <v>PWBR25006010F</v>
          </cell>
          <cell r="T141" t="str">
            <v>CGMU5289250</v>
          </cell>
          <cell r="U141">
            <v>0.5</v>
          </cell>
          <cell r="AC141"/>
          <cell r="AD141">
            <v>45853</v>
          </cell>
          <cell r="AE141">
            <v>45854</v>
          </cell>
          <cell r="AJ141">
            <v>1308828.1599999999</v>
          </cell>
          <cell r="AK141">
            <v>45846</v>
          </cell>
          <cell r="AL141">
            <v>45846</v>
          </cell>
          <cell r="AM141">
            <v>45849</v>
          </cell>
          <cell r="AN141">
            <v>45849</v>
          </cell>
          <cell r="AO141">
            <v>45852</v>
          </cell>
          <cell r="AP141">
            <v>45853</v>
          </cell>
          <cell r="AQ141">
            <v>45853</v>
          </cell>
          <cell r="AR141">
            <v>45852</v>
          </cell>
          <cell r="AS141">
            <v>45853</v>
          </cell>
          <cell r="AT141">
            <v>45854</v>
          </cell>
          <cell r="AU141">
            <v>45854</v>
          </cell>
          <cell r="AV141">
            <v>45853</v>
          </cell>
          <cell r="AW141">
            <v>45854</v>
          </cell>
          <cell r="AX141">
            <v>45855</v>
          </cell>
          <cell r="AY141">
            <v>45854</v>
          </cell>
          <cell r="AZ141">
            <v>45854</v>
          </cell>
          <cell r="BA141">
            <v>45854</v>
          </cell>
          <cell r="BB141">
            <v>45859</v>
          </cell>
          <cell r="BC141">
            <v>45860</v>
          </cell>
          <cell r="BD141">
            <v>45859</v>
          </cell>
          <cell r="BE141">
            <v>45860</v>
          </cell>
          <cell r="BF141">
            <v>45860</v>
          </cell>
          <cell r="BG141">
            <v>45861</v>
          </cell>
          <cell r="BH141">
            <v>45862</v>
          </cell>
          <cell r="BQ141">
            <v>367.94</v>
          </cell>
          <cell r="BR141">
            <v>45861</v>
          </cell>
          <cell r="CD141">
            <v>45862</v>
          </cell>
          <cell r="CE141" t="str">
            <v>NÃO</v>
          </cell>
          <cell r="CI141">
            <v>45868</v>
          </cell>
        </row>
        <row r="142">
          <cell r="A142"/>
          <cell r="B142" t="str">
            <v>019/2025</v>
          </cell>
          <cell r="E142" t="str">
            <v>STELLA</v>
          </cell>
          <cell r="F142" t="str">
            <v>DELIVERED</v>
          </cell>
          <cell r="G142" t="str">
            <v>COURIER</v>
          </cell>
          <cell r="J142">
            <v>45789</v>
          </cell>
          <cell r="L142">
            <v>45798</v>
          </cell>
          <cell r="O142">
            <v>45806</v>
          </cell>
          <cell r="P142">
            <v>1037409822</v>
          </cell>
          <cell r="R142" t="str">
            <v>SBR2500021</v>
          </cell>
          <cell r="AC142"/>
          <cell r="AD142">
            <v>45791</v>
          </cell>
          <cell r="AE142">
            <v>45791</v>
          </cell>
          <cell r="AJ142">
            <v>12082.6</v>
          </cell>
          <cell r="AR142">
            <v>45794</v>
          </cell>
          <cell r="BS142"/>
          <cell r="CE142" t="str">
            <v>NÃO</v>
          </cell>
          <cell r="CI142" t="str">
            <v/>
          </cell>
        </row>
        <row r="143">
          <cell r="A143" t="str">
            <v>IMO</v>
          </cell>
          <cell r="B143" t="str">
            <v>E-007/2025</v>
          </cell>
          <cell r="E143" t="str">
            <v>POLYANE</v>
          </cell>
          <cell r="F143" t="str">
            <v>DELIVERED</v>
          </cell>
          <cell r="G143" t="str">
            <v>SEA</v>
          </cell>
          <cell r="J143">
            <v>45787</v>
          </cell>
          <cell r="L143">
            <v>45829</v>
          </cell>
          <cell r="O143">
            <v>45848</v>
          </cell>
          <cell r="P143" t="str">
            <v>MD25043094</v>
          </cell>
          <cell r="R143" t="str">
            <v>8000549027; 8000556989; 8000559716</v>
          </cell>
          <cell r="T143" t="str">
            <v>FCIU4101278; TCKU4613022</v>
          </cell>
          <cell r="U143">
            <v>2</v>
          </cell>
          <cell r="AC143"/>
          <cell r="AD143">
            <v>45840</v>
          </cell>
          <cell r="AE143">
            <v>45840</v>
          </cell>
          <cell r="AJ143">
            <v>714074.95</v>
          </cell>
          <cell r="AK143">
            <v>45803</v>
          </cell>
          <cell r="AL143">
            <v>45803</v>
          </cell>
          <cell r="AM143">
            <v>45805</v>
          </cell>
          <cell r="AN143">
            <v>45805</v>
          </cell>
          <cell r="AO143">
            <v>45806</v>
          </cell>
          <cell r="AP143">
            <v>45807</v>
          </cell>
          <cell r="AQ143">
            <v>45840</v>
          </cell>
          <cell r="AR143">
            <v>45830</v>
          </cell>
          <cell r="AS143">
            <v>45840</v>
          </cell>
          <cell r="AT143">
            <v>45840</v>
          </cell>
          <cell r="AU143">
            <v>45840</v>
          </cell>
          <cell r="AY143">
            <v>45840</v>
          </cell>
          <cell r="AZ143">
            <v>45840</v>
          </cell>
          <cell r="BA143">
            <v>45841</v>
          </cell>
          <cell r="BB143">
            <v>45841</v>
          </cell>
          <cell r="BC143">
            <v>45841</v>
          </cell>
          <cell r="BD143">
            <v>45841</v>
          </cell>
          <cell r="BE143">
            <v>45841</v>
          </cell>
          <cell r="BF143">
            <v>45841</v>
          </cell>
          <cell r="BG143">
            <v>45842</v>
          </cell>
          <cell r="BH143">
            <v>45842</v>
          </cell>
          <cell r="CD143">
            <v>45848</v>
          </cell>
          <cell r="CE143" t="str">
            <v>SIM  1 dias</v>
          </cell>
          <cell r="CI143">
            <v>45847</v>
          </cell>
        </row>
        <row r="144">
          <cell r="A144" t="str">
            <v>IMO</v>
          </cell>
          <cell r="B144" t="str">
            <v>E-008/2025</v>
          </cell>
          <cell r="E144" t="str">
            <v>POLYANE</v>
          </cell>
          <cell r="F144" t="str">
            <v>DELIVERED</v>
          </cell>
          <cell r="G144" t="str">
            <v>SEA</v>
          </cell>
          <cell r="J144">
            <v>45789</v>
          </cell>
          <cell r="L144">
            <v>45842</v>
          </cell>
          <cell r="O144">
            <v>45849</v>
          </cell>
          <cell r="P144" t="str">
            <v>MD25053026</v>
          </cell>
          <cell r="R144" t="str">
            <v>8000556997; 8000556991</v>
          </cell>
          <cell r="T144" t="str">
            <v>MSNU2266983</v>
          </cell>
          <cell r="U144">
            <v>1</v>
          </cell>
          <cell r="AC144"/>
          <cell r="AD144">
            <v>45845</v>
          </cell>
          <cell r="AE144">
            <v>45845</v>
          </cell>
          <cell r="AJ144">
            <v>74690.25</v>
          </cell>
          <cell r="AK144">
            <v>45807</v>
          </cell>
          <cell r="AL144">
            <v>45807</v>
          </cell>
          <cell r="AM144">
            <v>45807</v>
          </cell>
          <cell r="AN144">
            <v>45810</v>
          </cell>
          <cell r="AO144">
            <v>45810</v>
          </cell>
          <cell r="AP144">
            <v>45810</v>
          </cell>
          <cell r="AQ144">
            <v>45845</v>
          </cell>
          <cell r="AR144">
            <v>45845</v>
          </cell>
          <cell r="AS144">
            <v>45845</v>
          </cell>
          <cell r="AT144">
            <v>45845</v>
          </cell>
          <cell r="AU144">
            <v>45845</v>
          </cell>
          <cell r="AY144">
            <v>45845</v>
          </cell>
          <cell r="AZ144">
            <v>45845</v>
          </cell>
          <cell r="BA144">
            <v>45846</v>
          </cell>
          <cell r="BB144">
            <v>45846</v>
          </cell>
          <cell r="BC144">
            <v>45847</v>
          </cell>
          <cell r="BD144">
            <v>45846</v>
          </cell>
          <cell r="BE144">
            <v>45847</v>
          </cell>
          <cell r="BF144">
            <v>45847</v>
          </cell>
          <cell r="BG144">
            <v>45847</v>
          </cell>
          <cell r="BH144">
            <v>45847</v>
          </cell>
          <cell r="CD144">
            <v>45852</v>
          </cell>
          <cell r="CE144" t="str">
            <v>NÃO</v>
          </cell>
          <cell r="CI144">
            <v>45860</v>
          </cell>
        </row>
        <row r="145">
          <cell r="A145"/>
          <cell r="B145" t="str">
            <v>GE-002/2025</v>
          </cell>
          <cell r="E145" t="str">
            <v>POLYANE</v>
          </cell>
          <cell r="F145" t="str">
            <v>DELIVERED</v>
          </cell>
          <cell r="G145" t="str">
            <v>AIR</v>
          </cell>
          <cell r="J145">
            <v>45813</v>
          </cell>
          <cell r="L145">
            <v>45817</v>
          </cell>
          <cell r="O145">
            <v>45821</v>
          </cell>
          <cell r="P145" t="str">
            <v>M: 04733905012
H: 128754</v>
          </cell>
          <cell r="R145">
            <v>90223154</v>
          </cell>
          <cell r="U145" t="str">
            <v>N/A</v>
          </cell>
          <cell r="AC145"/>
          <cell r="AD145">
            <v>45819</v>
          </cell>
          <cell r="AE145">
            <v>45820</v>
          </cell>
          <cell r="AJ145">
            <v>22412.47</v>
          </cell>
          <cell r="AK145">
            <v>45812</v>
          </cell>
          <cell r="AL145">
            <v>45812</v>
          </cell>
          <cell r="AM145">
            <v>45812</v>
          </cell>
          <cell r="AN145">
            <v>45812</v>
          </cell>
          <cell r="AO145">
            <v>45813</v>
          </cell>
          <cell r="AP145">
            <v>45818</v>
          </cell>
          <cell r="AQ145">
            <v>45819</v>
          </cell>
          <cell r="AR145">
            <v>45817</v>
          </cell>
          <cell r="AS145">
            <v>45819</v>
          </cell>
          <cell r="AT145">
            <v>45820</v>
          </cell>
          <cell r="AU145">
            <v>45820</v>
          </cell>
          <cell r="BA145">
            <v>45820</v>
          </cell>
          <cell r="BB145">
            <v>45820</v>
          </cell>
          <cell r="BC145">
            <v>45820</v>
          </cell>
          <cell r="BD145">
            <v>45820</v>
          </cell>
          <cell r="BE145">
            <v>45820</v>
          </cell>
          <cell r="BF145">
            <v>45820</v>
          </cell>
          <cell r="BG145">
            <v>45820</v>
          </cell>
          <cell r="BH145">
            <v>45820</v>
          </cell>
          <cell r="BQ145">
            <v>966.07</v>
          </cell>
          <cell r="BR145">
            <v>45849</v>
          </cell>
          <cell r="BS145"/>
          <cell r="CE145" t="str">
            <v>NÃO</v>
          </cell>
          <cell r="CI145" t="str">
            <v/>
          </cell>
        </row>
        <row r="146">
          <cell r="A146"/>
          <cell r="B146" t="str">
            <v>NH-010/2025</v>
          </cell>
          <cell r="E146" t="str">
            <v>POLYANE</v>
          </cell>
          <cell r="F146" t="str">
            <v>DELIVERED</v>
          </cell>
          <cell r="G146" t="str">
            <v>SEA</v>
          </cell>
          <cell r="J146">
            <v>45795</v>
          </cell>
          <cell r="L146">
            <v>45850</v>
          </cell>
          <cell r="O146">
            <v>45862</v>
          </cell>
          <cell r="P146" t="str">
            <v>SDBLBS549484</v>
          </cell>
          <cell r="R146" t="str">
            <v>PW2025010</v>
          </cell>
          <cell r="T146" t="str">
            <v>CGMU5289250</v>
          </cell>
          <cell r="U146">
            <v>0.5</v>
          </cell>
          <cell r="AC146"/>
          <cell r="AD146">
            <v>45853</v>
          </cell>
          <cell r="AE146">
            <v>45854</v>
          </cell>
          <cell r="AJ146">
            <v>191425.4</v>
          </cell>
          <cell r="AK146">
            <v>45805</v>
          </cell>
          <cell r="AL146">
            <v>45806</v>
          </cell>
          <cell r="AM146">
            <v>45806</v>
          </cell>
          <cell r="AN146">
            <v>45806</v>
          </cell>
          <cell r="AO146">
            <v>45810</v>
          </cell>
          <cell r="AP146">
            <v>45810</v>
          </cell>
          <cell r="AQ146">
            <v>45853</v>
          </cell>
          <cell r="AR146">
            <v>45852</v>
          </cell>
          <cell r="AS146">
            <v>45853</v>
          </cell>
          <cell r="AT146">
            <v>45854</v>
          </cell>
          <cell r="AU146">
            <v>45854</v>
          </cell>
          <cell r="AY146">
            <v>45854</v>
          </cell>
          <cell r="AZ146">
            <v>45854</v>
          </cell>
          <cell r="BA146">
            <v>45854</v>
          </cell>
          <cell r="BB146">
            <v>45854</v>
          </cell>
          <cell r="BC146">
            <v>45854</v>
          </cell>
          <cell r="BD146">
            <v>45854</v>
          </cell>
          <cell r="BE146">
            <v>45854</v>
          </cell>
          <cell r="BF146">
            <v>45854</v>
          </cell>
          <cell r="BG146">
            <v>45856</v>
          </cell>
          <cell r="BH146">
            <v>45860</v>
          </cell>
          <cell r="BQ146">
            <v>367.94</v>
          </cell>
          <cell r="BR146">
            <v>45861</v>
          </cell>
          <cell r="CD146">
            <v>45862</v>
          </cell>
          <cell r="CE146" t="str">
            <v>NÃO</v>
          </cell>
          <cell r="CI146">
            <v>45868</v>
          </cell>
        </row>
        <row r="147">
          <cell r="A147"/>
          <cell r="B147" t="str">
            <v>Z-013A/2025</v>
          </cell>
          <cell r="E147" t="str">
            <v>POLYANE</v>
          </cell>
          <cell r="F147" t="str">
            <v>DELIVERED</v>
          </cell>
          <cell r="G147" t="str">
            <v>SEA</v>
          </cell>
          <cell r="J147">
            <v>45806</v>
          </cell>
          <cell r="L147">
            <v>45878</v>
          </cell>
          <cell r="O147">
            <v>45887</v>
          </cell>
          <cell r="P147" t="str">
            <v>SDBLBS551307</v>
          </cell>
          <cell r="R147" t="str">
            <v>PWBR25001030A</v>
          </cell>
          <cell r="T147" t="str">
            <v>TRIU8793074</v>
          </cell>
          <cell r="U147">
            <v>1</v>
          </cell>
          <cell r="AC147"/>
          <cell r="AD147">
            <v>45880</v>
          </cell>
          <cell r="AE147">
            <v>45880</v>
          </cell>
          <cell r="AJ147">
            <v>3113796.77</v>
          </cell>
          <cell r="AK147">
            <v>45811</v>
          </cell>
          <cell r="AL147">
            <v>45811</v>
          </cell>
          <cell r="AM147">
            <v>45817</v>
          </cell>
          <cell r="AN147">
            <v>45817</v>
          </cell>
          <cell r="AO147">
            <v>45818</v>
          </cell>
          <cell r="AP147">
            <v>45821</v>
          </cell>
          <cell r="AQ147">
            <v>45880</v>
          </cell>
          <cell r="AR147">
            <v>45880</v>
          </cell>
          <cell r="AS147">
            <v>45880</v>
          </cell>
          <cell r="AT147">
            <v>45880</v>
          </cell>
          <cell r="AU147">
            <v>45881</v>
          </cell>
          <cell r="AY147">
            <v>45880</v>
          </cell>
          <cell r="AZ147">
            <v>45881</v>
          </cell>
          <cell r="BA147">
            <v>45881</v>
          </cell>
          <cell r="BB147">
            <v>45881</v>
          </cell>
          <cell r="BC147">
            <v>45881</v>
          </cell>
          <cell r="BD147">
            <v>45881</v>
          </cell>
          <cell r="BE147">
            <v>45881</v>
          </cell>
          <cell r="BF147">
            <v>45881</v>
          </cell>
          <cell r="BG147">
            <v>45881</v>
          </cell>
          <cell r="BH147">
            <v>45881</v>
          </cell>
          <cell r="CD147">
            <v>45887</v>
          </cell>
          <cell r="CE147" t="str">
            <v>NÃO</v>
          </cell>
          <cell r="CI147">
            <v>45896</v>
          </cell>
        </row>
        <row r="148">
          <cell r="A148"/>
          <cell r="B148" t="str">
            <v>Z-013B/2025</v>
          </cell>
          <cell r="E148" t="str">
            <v>POLYANE</v>
          </cell>
          <cell r="F148" t="str">
            <v>DELIVERED</v>
          </cell>
          <cell r="G148" t="str">
            <v>SEA</v>
          </cell>
          <cell r="J148">
            <v>45795</v>
          </cell>
          <cell r="L148">
            <v>45850</v>
          </cell>
          <cell r="O148">
            <v>45880</v>
          </cell>
          <cell r="P148" t="str">
            <v>SDBLBS549377</v>
          </cell>
          <cell r="R148" t="str">
            <v>PWBR25001030B</v>
          </cell>
          <cell r="T148" t="str">
            <v>CGMU5282701; CGMU5431030; TRIU8897905</v>
          </cell>
          <cell r="U148">
            <v>3</v>
          </cell>
          <cell r="AC148"/>
          <cell r="AD148">
            <v>45854</v>
          </cell>
          <cell r="AE148">
            <v>45855</v>
          </cell>
          <cell r="AJ148">
            <v>1533098.6</v>
          </cell>
          <cell r="AK148">
            <v>45814</v>
          </cell>
          <cell r="AL148">
            <v>45817</v>
          </cell>
          <cell r="AM148">
            <v>45818</v>
          </cell>
          <cell r="AN148">
            <v>45819</v>
          </cell>
          <cell r="AO148">
            <v>45819</v>
          </cell>
          <cell r="AP148">
            <v>45821</v>
          </cell>
          <cell r="AQ148">
            <v>45854</v>
          </cell>
          <cell r="AR148">
            <v>45851</v>
          </cell>
          <cell r="AS148">
            <v>45854</v>
          </cell>
          <cell r="AT148">
            <v>45855</v>
          </cell>
          <cell r="AU148">
            <v>45855</v>
          </cell>
          <cell r="AY148">
            <v>45855</v>
          </cell>
          <cell r="AZ148">
            <v>45855</v>
          </cell>
          <cell r="BA148">
            <v>45855</v>
          </cell>
          <cell r="BB148">
            <v>45856</v>
          </cell>
          <cell r="BC148">
            <v>45876</v>
          </cell>
          <cell r="BD148">
            <v>45856</v>
          </cell>
          <cell r="BE148">
            <v>45876</v>
          </cell>
          <cell r="BF148">
            <v>45876</v>
          </cell>
          <cell r="BG148">
            <v>45876</v>
          </cell>
          <cell r="BH148">
            <v>45876</v>
          </cell>
          <cell r="BQ148">
            <v>4803.09</v>
          </cell>
          <cell r="BR148">
            <v>45861</v>
          </cell>
          <cell r="BS148">
            <v>56535.48</v>
          </cell>
          <cell r="BT148">
            <v>45914</v>
          </cell>
          <cell r="CD148">
            <v>45880</v>
          </cell>
          <cell r="CE148" t="str">
            <v>SIM  12 dias</v>
          </cell>
          <cell r="CI148">
            <v>45868</v>
          </cell>
        </row>
        <row r="149">
          <cell r="A149" t="str">
            <v>IMO</v>
          </cell>
          <cell r="B149" t="str">
            <v>026B/2025</v>
          </cell>
          <cell r="E149" t="str">
            <v>STELLA</v>
          </cell>
          <cell r="F149" t="str">
            <v>DELIVERED</v>
          </cell>
          <cell r="G149" t="str">
            <v>AIR</v>
          </cell>
          <cell r="J149">
            <v>45834</v>
          </cell>
          <cell r="L149">
            <v>45847</v>
          </cell>
          <cell r="O149">
            <v>45849</v>
          </cell>
          <cell r="P149" t="str">
            <v>235-94215100
DTW250666FOR</v>
          </cell>
          <cell r="R149" t="str">
            <v>PWBR250093B</v>
          </cell>
          <cell r="U149" t="str">
            <v>N/A</v>
          </cell>
          <cell r="AC149"/>
          <cell r="AD149">
            <v>45847</v>
          </cell>
          <cell r="AE149">
            <v>45847</v>
          </cell>
          <cell r="AJ149">
            <v>124376.6</v>
          </cell>
          <cell r="AK149">
            <v>45832</v>
          </cell>
          <cell r="AL149">
            <v>45832</v>
          </cell>
          <cell r="AM149">
            <v>45833</v>
          </cell>
          <cell r="AN149">
            <v>45834</v>
          </cell>
          <cell r="AO149">
            <v>45834</v>
          </cell>
          <cell r="AP149">
            <v>45838</v>
          </cell>
          <cell r="AQ149">
            <v>45847</v>
          </cell>
          <cell r="AR149">
            <v>45847</v>
          </cell>
          <cell r="AS149">
            <v>45847</v>
          </cell>
          <cell r="AT149">
            <v>45847</v>
          </cell>
          <cell r="AU149">
            <v>45847</v>
          </cell>
          <cell r="AY149">
            <v>45847</v>
          </cell>
          <cell r="AZ149">
            <v>45847</v>
          </cell>
          <cell r="BA149">
            <v>45848</v>
          </cell>
          <cell r="BB149">
            <v>45848</v>
          </cell>
          <cell r="BC149">
            <v>45848</v>
          </cell>
          <cell r="BD149">
            <v>45848</v>
          </cell>
          <cell r="BE149">
            <v>45848</v>
          </cell>
          <cell r="BF149">
            <v>45848</v>
          </cell>
          <cell r="BG149">
            <v>45849</v>
          </cell>
          <cell r="BH149">
            <v>45849</v>
          </cell>
          <cell r="BQ149">
            <v>4219.87</v>
          </cell>
          <cell r="BR149">
            <v>45881</v>
          </cell>
          <cell r="BS149"/>
          <cell r="CE149" t="str">
            <v>NÃO</v>
          </cell>
          <cell r="CI149" t="str">
            <v/>
          </cell>
        </row>
        <row r="150">
          <cell r="A150"/>
          <cell r="B150" t="str">
            <v>022/2025</v>
          </cell>
          <cell r="E150" t="str">
            <v>STELLA</v>
          </cell>
          <cell r="F150" t="str">
            <v>DELIVERED</v>
          </cell>
          <cell r="G150" t="str">
            <v>AIR</v>
          </cell>
          <cell r="J150">
            <v>45800</v>
          </cell>
          <cell r="L150">
            <v>45805</v>
          </cell>
          <cell r="O150">
            <v>45814</v>
          </cell>
          <cell r="P150" t="str">
            <v>05755498063
DTW250522FOR</v>
          </cell>
          <cell r="R150" t="str">
            <v>PWBR24016840</v>
          </cell>
          <cell r="U150" t="str">
            <v>N/A</v>
          </cell>
          <cell r="AC150"/>
          <cell r="AD150">
            <v>45811</v>
          </cell>
          <cell r="AE150">
            <v>45812</v>
          </cell>
          <cell r="AJ150">
            <v>249785.25</v>
          </cell>
          <cell r="AK150">
            <v>45800</v>
          </cell>
          <cell r="AL150">
            <v>45800</v>
          </cell>
          <cell r="AM150">
            <v>45804</v>
          </cell>
          <cell r="AN150">
            <v>45804</v>
          </cell>
          <cell r="AO150">
            <v>45805</v>
          </cell>
          <cell r="AP150">
            <v>45806</v>
          </cell>
          <cell r="AQ150">
            <v>45810</v>
          </cell>
          <cell r="AR150">
            <v>45805</v>
          </cell>
          <cell r="AS150">
            <v>45811</v>
          </cell>
          <cell r="AT150">
            <v>45812</v>
          </cell>
          <cell r="AU150">
            <v>45812</v>
          </cell>
          <cell r="AY150">
            <v>45812</v>
          </cell>
          <cell r="AZ150">
            <v>45812</v>
          </cell>
          <cell r="BA150">
            <v>45813</v>
          </cell>
          <cell r="BB150">
            <v>45813</v>
          </cell>
          <cell r="BC150">
            <v>45813</v>
          </cell>
          <cell r="BD150">
            <v>45813</v>
          </cell>
          <cell r="BE150">
            <v>45813</v>
          </cell>
          <cell r="BF150">
            <v>45813</v>
          </cell>
          <cell r="BG150">
            <v>45814</v>
          </cell>
          <cell r="BH150">
            <v>45814</v>
          </cell>
          <cell r="BS150"/>
          <cell r="CE150" t="str">
            <v>NÃO</v>
          </cell>
          <cell r="CI150" t="str">
            <v/>
          </cell>
        </row>
        <row r="151">
          <cell r="A151"/>
          <cell r="B151" t="str">
            <v>HN-003/2025</v>
          </cell>
          <cell r="E151" t="str">
            <v>POLYANE</v>
          </cell>
          <cell r="F151" t="str">
            <v>DELIVERED</v>
          </cell>
          <cell r="G151" t="str">
            <v>SEA</v>
          </cell>
          <cell r="J151">
            <v>45855</v>
          </cell>
          <cell r="L151">
            <v>45904</v>
          </cell>
          <cell r="O151">
            <v>45911</v>
          </cell>
          <cell r="P151" t="str">
            <v>NBBLU25016485</v>
          </cell>
          <cell r="R151" t="str">
            <v>2025-06435</v>
          </cell>
          <cell r="T151" t="str">
            <v>FFAU7464161; FFAU7466478; FFAU7471134</v>
          </cell>
          <cell r="U151">
            <v>3</v>
          </cell>
          <cell r="AC151"/>
          <cell r="AD151">
            <v>45905</v>
          </cell>
          <cell r="AE151">
            <v>45905</v>
          </cell>
          <cell r="AJ151">
            <v>267615.77</v>
          </cell>
          <cell r="AK151">
            <v>45870</v>
          </cell>
          <cell r="AL151">
            <v>45870</v>
          </cell>
          <cell r="AM151">
            <v>45874</v>
          </cell>
          <cell r="AN151">
            <v>45874</v>
          </cell>
          <cell r="AO151">
            <v>45875</v>
          </cell>
          <cell r="AP151">
            <v>45876</v>
          </cell>
          <cell r="AQ151">
            <v>45905</v>
          </cell>
          <cell r="AR151">
            <v>45905</v>
          </cell>
          <cell r="AS151">
            <v>45905</v>
          </cell>
          <cell r="AT151">
            <v>45905</v>
          </cell>
          <cell r="AU151">
            <v>45905</v>
          </cell>
          <cell r="AV151" t="str">
            <v>N/A</v>
          </cell>
          <cell r="BA151">
            <v>45908</v>
          </cell>
          <cell r="BB151">
            <v>45908</v>
          </cell>
          <cell r="BC151">
            <v>45908</v>
          </cell>
          <cell r="BD151">
            <v>45908</v>
          </cell>
          <cell r="BE151">
            <v>45908</v>
          </cell>
          <cell r="BF151">
            <v>45908</v>
          </cell>
          <cell r="BG151">
            <v>45909</v>
          </cell>
          <cell r="BH151">
            <v>45908</v>
          </cell>
          <cell r="CD151">
            <v>45912</v>
          </cell>
          <cell r="CE151" t="str">
            <v>NÃO</v>
          </cell>
          <cell r="CI151">
            <v>45922</v>
          </cell>
        </row>
        <row r="152">
          <cell r="A152"/>
          <cell r="B152" t="str">
            <v>NH-011/2025</v>
          </cell>
          <cell r="E152" t="str">
            <v>POLYANE</v>
          </cell>
          <cell r="F152" t="str">
            <v>DELIVERED</v>
          </cell>
          <cell r="G152" t="str">
            <v>SEA</v>
          </cell>
          <cell r="J152">
            <v>45815</v>
          </cell>
          <cell r="L152">
            <v>45867</v>
          </cell>
          <cell r="O152">
            <v>45876</v>
          </cell>
          <cell r="P152" t="str">
            <v>SDBLBS552175</v>
          </cell>
          <cell r="R152" t="str">
            <v>PW2025011</v>
          </cell>
          <cell r="T152" t="str">
            <v>TCNU1927662</v>
          </cell>
          <cell r="U152">
            <v>1</v>
          </cell>
          <cell r="AC152"/>
          <cell r="AD152">
            <v>45870</v>
          </cell>
          <cell r="AE152">
            <v>45873</v>
          </cell>
          <cell r="AJ152">
            <v>435389.75</v>
          </cell>
          <cell r="AK152">
            <v>45824</v>
          </cell>
          <cell r="AL152">
            <v>45824</v>
          </cell>
          <cell r="AM152">
            <v>45825</v>
          </cell>
          <cell r="AN152">
            <v>45825</v>
          </cell>
          <cell r="AO152">
            <v>45826</v>
          </cell>
          <cell r="AP152">
            <v>45835</v>
          </cell>
          <cell r="AQ152">
            <v>45870</v>
          </cell>
          <cell r="AR152">
            <v>45868</v>
          </cell>
          <cell r="AS152">
            <v>45870</v>
          </cell>
          <cell r="AT152">
            <v>45873</v>
          </cell>
          <cell r="AU152">
            <v>45873</v>
          </cell>
          <cell r="AV152">
            <v>45870</v>
          </cell>
          <cell r="AW152">
            <v>45873</v>
          </cell>
          <cell r="AX152">
            <v>45873</v>
          </cell>
          <cell r="AY152">
            <v>45873</v>
          </cell>
          <cell r="AZ152">
            <v>45873</v>
          </cell>
          <cell r="BA152">
            <v>45873</v>
          </cell>
          <cell r="BB152">
            <v>45873</v>
          </cell>
          <cell r="BC152">
            <v>45874</v>
          </cell>
          <cell r="BD152">
            <v>45873</v>
          </cell>
          <cell r="BE152">
            <v>45874</v>
          </cell>
          <cell r="BF152">
            <v>45874</v>
          </cell>
          <cell r="BG152">
            <v>45875</v>
          </cell>
          <cell r="BH152">
            <v>45876</v>
          </cell>
          <cell r="CD152">
            <v>45876</v>
          </cell>
          <cell r="CE152" t="str">
            <v>NÃO</v>
          </cell>
          <cell r="CI152">
            <v>45885</v>
          </cell>
        </row>
        <row r="153">
          <cell r="A153"/>
          <cell r="B153" t="str">
            <v>Z-013C/2025</v>
          </cell>
          <cell r="E153" t="str">
            <v>POLYANE</v>
          </cell>
          <cell r="F153" t="str">
            <v>DELIVERED</v>
          </cell>
          <cell r="G153" t="str">
            <v>SEA</v>
          </cell>
          <cell r="J153">
            <v>45795</v>
          </cell>
          <cell r="L153">
            <v>45850</v>
          </cell>
          <cell r="O153">
            <v>45856</v>
          </cell>
          <cell r="P153" t="str">
            <v>SDBLBS549376</v>
          </cell>
          <cell r="R153" t="str">
            <v>PWBR25001030C</v>
          </cell>
          <cell r="T153" t="str">
            <v>CGMU9397674</v>
          </cell>
          <cell r="U153">
            <v>1</v>
          </cell>
          <cell r="AC153"/>
          <cell r="AD153">
            <v>45853</v>
          </cell>
          <cell r="AE153">
            <v>45853</v>
          </cell>
          <cell r="AJ153">
            <v>593848.31000000006</v>
          </cell>
          <cell r="AK153">
            <v>45812</v>
          </cell>
          <cell r="AL153">
            <v>45813</v>
          </cell>
          <cell r="AM153">
            <v>45820</v>
          </cell>
          <cell r="AN153">
            <v>45820</v>
          </cell>
          <cell r="AO153">
            <v>45821</v>
          </cell>
          <cell r="AP153">
            <v>45825</v>
          </cell>
          <cell r="AQ153">
            <v>45853</v>
          </cell>
          <cell r="AR153">
            <v>45851</v>
          </cell>
          <cell r="AS153">
            <v>45853</v>
          </cell>
          <cell r="AT153">
            <v>45853</v>
          </cell>
          <cell r="AU153">
            <v>45854</v>
          </cell>
          <cell r="AY153">
            <v>45853</v>
          </cell>
          <cell r="AZ153">
            <v>45854</v>
          </cell>
          <cell r="BA153">
            <v>45854</v>
          </cell>
          <cell r="BB153">
            <v>45854</v>
          </cell>
          <cell r="BC153">
            <v>45854</v>
          </cell>
          <cell r="BD153">
            <v>45854</v>
          </cell>
          <cell r="BE153">
            <v>45854</v>
          </cell>
          <cell r="BF153">
            <v>45854</v>
          </cell>
          <cell r="BG153">
            <v>45855</v>
          </cell>
          <cell r="BH153">
            <v>45855</v>
          </cell>
          <cell r="CD153">
            <v>45857</v>
          </cell>
          <cell r="CE153" t="str">
            <v>NÃO</v>
          </cell>
          <cell r="CI153">
            <v>45868</v>
          </cell>
        </row>
        <row r="154">
          <cell r="A154"/>
          <cell r="B154" t="str">
            <v>023A/2025</v>
          </cell>
          <cell r="E154" t="str">
            <v>STELLA</v>
          </cell>
          <cell r="F154" t="str">
            <v>DELIVERED</v>
          </cell>
          <cell r="G154" t="str">
            <v>AIR</v>
          </cell>
          <cell r="J154">
            <v>45814</v>
          </cell>
          <cell r="L154">
            <v>45818</v>
          </cell>
          <cell r="O154">
            <v>45831</v>
          </cell>
          <cell r="P154" t="str">
            <v>05755647034
DTW250603FOR</v>
          </cell>
          <cell r="R154" t="str">
            <v>PWBR25007350A</v>
          </cell>
          <cell r="U154" t="str">
            <v>N/A</v>
          </cell>
          <cell r="AC154"/>
          <cell r="AD154">
            <v>45826</v>
          </cell>
          <cell r="AE154">
            <v>45827</v>
          </cell>
          <cell r="AJ154">
            <v>54328.41</v>
          </cell>
          <cell r="AK154">
            <v>45818</v>
          </cell>
          <cell r="AL154">
            <v>45818</v>
          </cell>
          <cell r="AM154">
            <v>45819</v>
          </cell>
          <cell r="AN154">
            <v>45819</v>
          </cell>
          <cell r="AO154">
            <v>45820</v>
          </cell>
          <cell r="AP154">
            <v>45821</v>
          </cell>
          <cell r="AQ154">
            <v>45826</v>
          </cell>
          <cell r="AR154">
            <v>45819</v>
          </cell>
          <cell r="AS154">
            <v>45826</v>
          </cell>
          <cell r="AT154">
            <v>45826</v>
          </cell>
          <cell r="AU154">
            <v>45826</v>
          </cell>
          <cell r="AY154">
            <v>45828</v>
          </cell>
          <cell r="AZ154">
            <v>45828</v>
          </cell>
          <cell r="BA154">
            <v>45828</v>
          </cell>
          <cell r="BB154">
            <v>45828</v>
          </cell>
          <cell r="BC154">
            <v>45828</v>
          </cell>
          <cell r="BD154">
            <v>45828</v>
          </cell>
          <cell r="BE154">
            <v>45828</v>
          </cell>
          <cell r="BF154">
            <v>45828</v>
          </cell>
          <cell r="BG154">
            <v>45831</v>
          </cell>
          <cell r="BH154">
            <v>45831</v>
          </cell>
          <cell r="BS154"/>
          <cell r="CE154" t="str">
            <v>NÃO</v>
          </cell>
          <cell r="CI154" t="str">
            <v/>
          </cell>
        </row>
        <row r="155">
          <cell r="A155"/>
          <cell r="B155" t="str">
            <v>023B/2025</v>
          </cell>
          <cell r="E155" t="str">
            <v>STELLA</v>
          </cell>
          <cell r="F155" t="str">
            <v>DELIVERED</v>
          </cell>
          <cell r="G155" t="str">
            <v>AIR</v>
          </cell>
          <cell r="J155">
            <v>45814</v>
          </cell>
          <cell r="L155">
            <v>45818</v>
          </cell>
          <cell r="O155">
            <v>45834</v>
          </cell>
          <cell r="P155" t="str">
            <v>05754348453
DTW250604FOR</v>
          </cell>
          <cell r="R155" t="str">
            <v>PWBR25007350B</v>
          </cell>
          <cell r="U155" t="str">
            <v>N/A</v>
          </cell>
          <cell r="AC155"/>
          <cell r="AD155">
            <v>45828</v>
          </cell>
          <cell r="AE155">
            <v>45831</v>
          </cell>
          <cell r="AJ155">
            <v>731732.65</v>
          </cell>
          <cell r="AK155">
            <v>45813</v>
          </cell>
          <cell r="AL155">
            <v>45814</v>
          </cell>
          <cell r="AM155">
            <v>45814</v>
          </cell>
          <cell r="AN155">
            <v>45814</v>
          </cell>
          <cell r="AO155">
            <v>45817</v>
          </cell>
          <cell r="AP155">
            <v>45817</v>
          </cell>
          <cell r="AQ155">
            <v>45828</v>
          </cell>
          <cell r="AR155">
            <v>45818</v>
          </cell>
          <cell r="AS155">
            <v>45828</v>
          </cell>
          <cell r="AT155">
            <v>45828</v>
          </cell>
          <cell r="AU155">
            <v>45828</v>
          </cell>
          <cell r="AY155">
            <v>45828</v>
          </cell>
          <cell r="AZ155">
            <v>45828</v>
          </cell>
          <cell r="BA155">
            <v>45831</v>
          </cell>
          <cell r="BB155">
            <v>45831</v>
          </cell>
          <cell r="BC155">
            <v>45831</v>
          </cell>
          <cell r="BD155">
            <v>45831</v>
          </cell>
          <cell r="BE155">
            <v>45832</v>
          </cell>
          <cell r="BF155">
            <v>45832</v>
          </cell>
          <cell r="BG155">
            <v>45833</v>
          </cell>
          <cell r="BH155">
            <v>45833</v>
          </cell>
          <cell r="BQ155">
            <v>76133.63</v>
          </cell>
          <cell r="BR155">
            <v>45881</v>
          </cell>
          <cell r="BS155"/>
          <cell r="CE155" t="str">
            <v>NÃO</v>
          </cell>
          <cell r="CI155" t="str">
            <v/>
          </cell>
        </row>
        <row r="156">
          <cell r="A156" t="str">
            <v>IMO</v>
          </cell>
          <cell r="B156" t="str">
            <v>Z-014/2025</v>
          </cell>
          <cell r="E156" t="str">
            <v>POLYANE</v>
          </cell>
          <cell r="F156" t="str">
            <v>DELIVERED</v>
          </cell>
          <cell r="G156" t="str">
            <v>SEA</v>
          </cell>
          <cell r="J156">
            <v>45838</v>
          </cell>
          <cell r="L156">
            <v>45893</v>
          </cell>
          <cell r="O156">
            <v>45903</v>
          </cell>
          <cell r="P156" t="str">
            <v>SDBLBS556699</v>
          </cell>
          <cell r="R156" t="str">
            <v>PWBR250006-90</v>
          </cell>
          <cell r="T156" t="str">
            <v>UETU6909570</v>
          </cell>
          <cell r="U156">
            <v>1</v>
          </cell>
          <cell r="AC156"/>
          <cell r="AD156">
            <v>45896</v>
          </cell>
          <cell r="AE156">
            <v>45896</v>
          </cell>
          <cell r="AJ156">
            <v>500131.09</v>
          </cell>
          <cell r="AK156">
            <v>45845</v>
          </cell>
          <cell r="AL156">
            <v>45847</v>
          </cell>
          <cell r="AM156">
            <v>45854</v>
          </cell>
          <cell r="AN156">
            <v>45855</v>
          </cell>
          <cell r="AO156">
            <v>45855</v>
          </cell>
          <cell r="AP156">
            <v>45856</v>
          </cell>
          <cell r="AQ156">
            <v>45896</v>
          </cell>
          <cell r="AR156">
            <v>45895</v>
          </cell>
          <cell r="AS156">
            <v>45896</v>
          </cell>
          <cell r="AT156">
            <v>45896</v>
          </cell>
          <cell r="AU156">
            <v>45896</v>
          </cell>
          <cell r="AY156">
            <v>45896</v>
          </cell>
          <cell r="AZ156">
            <v>45896</v>
          </cell>
          <cell r="BA156">
            <v>45896</v>
          </cell>
          <cell r="BB156">
            <v>45896</v>
          </cell>
          <cell r="BC156">
            <v>45896</v>
          </cell>
          <cell r="BD156">
            <v>45896</v>
          </cell>
          <cell r="BE156">
            <v>45896</v>
          </cell>
          <cell r="BF156">
            <v>45896</v>
          </cell>
          <cell r="BG156">
            <v>45901</v>
          </cell>
          <cell r="BH156">
            <v>45901</v>
          </cell>
          <cell r="CD156">
            <v>45903</v>
          </cell>
          <cell r="CE156" t="str">
            <v>NÃO</v>
          </cell>
          <cell r="CI156">
            <v>45911</v>
          </cell>
        </row>
        <row r="157">
          <cell r="A157" t="str">
            <v>IMO</v>
          </cell>
          <cell r="B157" t="str">
            <v>E-009/2025</v>
          </cell>
          <cell r="E157" t="str">
            <v>POLYANE</v>
          </cell>
          <cell r="F157" t="str">
            <v>DELIVERED</v>
          </cell>
          <cell r="G157" t="str">
            <v>SEA</v>
          </cell>
          <cell r="J157">
            <v>45815</v>
          </cell>
          <cell r="L157">
            <v>45878</v>
          </cell>
          <cell r="O157">
            <v>45883</v>
          </cell>
          <cell r="P157" t="str">
            <v>MD25063007</v>
          </cell>
          <cell r="R157" t="str">
            <v>8000571244; 8000569644; 8000570859</v>
          </cell>
          <cell r="T157" t="str">
            <v>TCLU4179802</v>
          </cell>
          <cell r="U157">
            <v>1</v>
          </cell>
          <cell r="AC157"/>
          <cell r="AD157">
            <v>45880</v>
          </cell>
          <cell r="AE157">
            <v>45880</v>
          </cell>
          <cell r="AJ157">
            <v>443388.04</v>
          </cell>
          <cell r="AK157">
            <v>45825</v>
          </cell>
          <cell r="AL157">
            <v>45826</v>
          </cell>
          <cell r="AM157">
            <v>45831</v>
          </cell>
          <cell r="AN157">
            <v>45832</v>
          </cell>
          <cell r="AO157">
            <v>45832</v>
          </cell>
          <cell r="AP157">
            <v>45835</v>
          </cell>
          <cell r="AQ157">
            <v>45880</v>
          </cell>
          <cell r="AR157">
            <v>45880</v>
          </cell>
          <cell r="AS157">
            <v>45880</v>
          </cell>
          <cell r="AT157">
            <v>45880</v>
          </cell>
          <cell r="AU157">
            <v>45880</v>
          </cell>
          <cell r="AY157">
            <v>45880</v>
          </cell>
          <cell r="AZ157">
            <v>45880</v>
          </cell>
          <cell r="BA157">
            <v>45880</v>
          </cell>
          <cell r="BB157">
            <v>45881</v>
          </cell>
          <cell r="BC157">
            <v>45881</v>
          </cell>
          <cell r="BD157">
            <v>45881</v>
          </cell>
          <cell r="BE157">
            <v>45881</v>
          </cell>
          <cell r="BF157">
            <v>45881</v>
          </cell>
          <cell r="BG157">
            <v>45882</v>
          </cell>
          <cell r="BH157">
            <v>45882</v>
          </cell>
          <cell r="CD157">
            <v>45884</v>
          </cell>
          <cell r="CE157" t="str">
            <v>NÃO</v>
          </cell>
          <cell r="CI157">
            <v>45896</v>
          </cell>
        </row>
        <row r="158">
          <cell r="A158"/>
          <cell r="B158" t="str">
            <v>017G/2025</v>
          </cell>
          <cell r="E158" t="str">
            <v>STELLA</v>
          </cell>
          <cell r="F158" t="str">
            <v>DELIVERED</v>
          </cell>
          <cell r="G158" t="str">
            <v>SEA</v>
          </cell>
          <cell r="J158">
            <v>45809</v>
          </cell>
          <cell r="L158">
            <v>45878</v>
          </cell>
          <cell r="O158">
            <v>45883</v>
          </cell>
          <cell r="P158" t="str">
            <v>SDBLBS551300</v>
          </cell>
          <cell r="R158" t="str">
            <v>PWBR25006010G</v>
          </cell>
          <cell r="T158" t="str">
            <v>SEGU9534834</v>
          </cell>
          <cell r="U158">
            <v>1</v>
          </cell>
          <cell r="AC158"/>
          <cell r="AD158">
            <v>45880</v>
          </cell>
          <cell r="AE158">
            <v>45880</v>
          </cell>
          <cell r="AJ158">
            <v>183917.69</v>
          </cell>
          <cell r="AK158">
            <v>45834</v>
          </cell>
          <cell r="AL158">
            <v>45834</v>
          </cell>
          <cell r="AM158">
            <v>45838</v>
          </cell>
          <cell r="AN158">
            <v>45838</v>
          </cell>
          <cell r="AO158">
            <v>45839</v>
          </cell>
          <cell r="AP158">
            <v>45842</v>
          </cell>
          <cell r="AQ158">
            <v>45880</v>
          </cell>
          <cell r="AR158">
            <v>45880</v>
          </cell>
          <cell r="AS158">
            <v>45880</v>
          </cell>
          <cell r="AT158">
            <v>45880</v>
          </cell>
          <cell r="AU158">
            <v>45880</v>
          </cell>
          <cell r="AY158">
            <v>45880</v>
          </cell>
          <cell r="AZ158">
            <v>45880</v>
          </cell>
          <cell r="BA158">
            <v>45880</v>
          </cell>
          <cell r="BB158">
            <v>45881</v>
          </cell>
          <cell r="BC158">
            <v>45881</v>
          </cell>
          <cell r="BD158">
            <v>45881</v>
          </cell>
          <cell r="BE158">
            <v>45881</v>
          </cell>
          <cell r="BF158">
            <v>45881</v>
          </cell>
          <cell r="BG158">
            <v>45881</v>
          </cell>
          <cell r="BH158">
            <v>45883</v>
          </cell>
          <cell r="CD158">
            <v>45883</v>
          </cell>
          <cell r="CE158" t="str">
            <v>NÃO</v>
          </cell>
          <cell r="CI158">
            <v>45896</v>
          </cell>
        </row>
        <row r="159">
          <cell r="A159"/>
          <cell r="B159" t="str">
            <v>020/2025</v>
          </cell>
          <cell r="E159" t="str">
            <v>STELLA</v>
          </cell>
          <cell r="F159" t="str">
            <v>DELIVERED</v>
          </cell>
          <cell r="G159" t="str">
            <v>SEA</v>
          </cell>
          <cell r="J159">
            <v>45811</v>
          </cell>
          <cell r="L159">
            <v>45867</v>
          </cell>
          <cell r="O159">
            <v>45881</v>
          </cell>
          <cell r="P159" t="str">
            <v>SDBLBS552170</v>
          </cell>
          <cell r="R159" t="str">
            <v>PWBR25005310</v>
          </cell>
          <cell r="T159" t="str">
            <v>MSBU7023886</v>
          </cell>
          <cell r="U159">
            <v>1</v>
          </cell>
          <cell r="AC159"/>
          <cell r="AD159">
            <v>45874</v>
          </cell>
          <cell r="AE159">
            <v>45874</v>
          </cell>
          <cell r="AJ159">
            <v>161386.85999999999</v>
          </cell>
          <cell r="AK159">
            <v>45819</v>
          </cell>
          <cell r="AL159">
            <v>45820</v>
          </cell>
          <cell r="AM159">
            <v>45825</v>
          </cell>
          <cell r="AN159">
            <v>45825</v>
          </cell>
          <cell r="AO159">
            <v>45826</v>
          </cell>
          <cell r="AP159">
            <v>45835</v>
          </cell>
          <cell r="AQ159">
            <v>45870</v>
          </cell>
          <cell r="AR159">
            <v>45868</v>
          </cell>
          <cell r="AS159">
            <v>45873</v>
          </cell>
          <cell r="AT159">
            <v>45875</v>
          </cell>
          <cell r="AU159">
            <v>45875</v>
          </cell>
          <cell r="AY159">
            <v>45875</v>
          </cell>
          <cell r="AZ159">
            <v>45875</v>
          </cell>
          <cell r="BA159">
            <v>45875</v>
          </cell>
          <cell r="BB159">
            <v>45875</v>
          </cell>
          <cell r="BC159">
            <v>45876</v>
          </cell>
          <cell r="BD159">
            <v>45875</v>
          </cell>
          <cell r="BE159">
            <v>45876</v>
          </cell>
          <cell r="BF159">
            <v>45876</v>
          </cell>
          <cell r="BG159">
            <v>45877</v>
          </cell>
          <cell r="BH159">
            <v>45881</v>
          </cell>
          <cell r="CD159">
            <v>45881</v>
          </cell>
          <cell r="CE159" t="str">
            <v>NÃO</v>
          </cell>
          <cell r="CI159">
            <v>45885</v>
          </cell>
        </row>
        <row r="160">
          <cell r="A160"/>
          <cell r="B160" t="str">
            <v>T-001/2025</v>
          </cell>
          <cell r="E160" t="str">
            <v>STELLA</v>
          </cell>
          <cell r="F160" t="str">
            <v>DELIVERED</v>
          </cell>
          <cell r="G160" t="str">
            <v>AIR</v>
          </cell>
          <cell r="J160">
            <v>45878</v>
          </cell>
          <cell r="L160">
            <v>45885</v>
          </cell>
          <cell r="O160">
            <v>45895</v>
          </cell>
          <cell r="P160" t="str">
            <v>M: 047-34556421
H: AOF-25909571</v>
          </cell>
          <cell r="R160">
            <v>8112570071</v>
          </cell>
          <cell r="U160" t="str">
            <v>N/A</v>
          </cell>
          <cell r="AC160"/>
          <cell r="AD160">
            <v>45888</v>
          </cell>
          <cell r="AE160">
            <v>45888</v>
          </cell>
          <cell r="AJ160">
            <v>16208.59</v>
          </cell>
          <cell r="AK160">
            <v>45880</v>
          </cell>
          <cell r="AL160">
            <v>45882</v>
          </cell>
          <cell r="AM160">
            <v>45883</v>
          </cell>
          <cell r="AN160">
            <v>45887</v>
          </cell>
          <cell r="AO160">
            <v>45887</v>
          </cell>
          <cell r="AP160">
            <v>45888</v>
          </cell>
          <cell r="AQ160">
            <v>45888</v>
          </cell>
          <cell r="AR160">
            <v>45885</v>
          </cell>
          <cell r="AS160">
            <v>45888</v>
          </cell>
          <cell r="AT160">
            <v>45888</v>
          </cell>
          <cell r="AU160">
            <v>45888</v>
          </cell>
          <cell r="AV160">
            <v>45889</v>
          </cell>
          <cell r="AW160">
            <v>45891</v>
          </cell>
          <cell r="AX160">
            <v>45891</v>
          </cell>
          <cell r="BD160">
            <v>45894</v>
          </cell>
          <cell r="BE160">
            <v>45894</v>
          </cell>
          <cell r="BF160">
            <v>45894</v>
          </cell>
          <cell r="BG160">
            <v>45895</v>
          </cell>
          <cell r="BH160">
            <v>45895</v>
          </cell>
          <cell r="BQ160">
            <v>539.87</v>
          </cell>
          <cell r="BS160"/>
          <cell r="CE160" t="str">
            <v>NÃO</v>
          </cell>
          <cell r="CI160" t="str">
            <v/>
          </cell>
        </row>
        <row r="161">
          <cell r="A161"/>
          <cell r="B161" t="str">
            <v>021A/2025</v>
          </cell>
          <cell r="E161" t="str">
            <v>STELLA</v>
          </cell>
          <cell r="F161" t="str">
            <v>DELIVERED</v>
          </cell>
          <cell r="G161" t="str">
            <v>SEA</v>
          </cell>
          <cell r="J161">
            <v>45833</v>
          </cell>
          <cell r="L161">
            <v>45892</v>
          </cell>
          <cell r="O161">
            <v>45940</v>
          </cell>
          <cell r="P161" t="str">
            <v>SDBLBS556788</v>
          </cell>
          <cell r="R161" t="str">
            <v>PWBR250087-10A</v>
          </cell>
          <cell r="T161" t="str">
            <v>CGMU5415229</v>
          </cell>
          <cell r="U161">
            <v>1</v>
          </cell>
          <cell r="AC161">
            <v>45916</v>
          </cell>
          <cell r="AD161">
            <v>45895</v>
          </cell>
          <cell r="AE161">
            <v>45895</v>
          </cell>
          <cell r="AJ161">
            <v>774082.18</v>
          </cell>
          <cell r="AK161">
            <v>45852</v>
          </cell>
          <cell r="AL161">
            <v>45852</v>
          </cell>
          <cell r="AM161">
            <v>45856</v>
          </cell>
          <cell r="AN161">
            <v>45859</v>
          </cell>
          <cell r="AO161">
            <v>45859</v>
          </cell>
          <cell r="AP161">
            <v>45860</v>
          </cell>
          <cell r="AQ161">
            <v>45894</v>
          </cell>
          <cell r="AR161">
            <v>45894</v>
          </cell>
          <cell r="AS161">
            <v>45894</v>
          </cell>
          <cell r="AT161">
            <v>45895</v>
          </cell>
          <cell r="AU161">
            <v>45896</v>
          </cell>
          <cell r="AY161">
            <v>45895</v>
          </cell>
          <cell r="AZ161">
            <v>45896</v>
          </cell>
          <cell r="BA161">
            <v>45897</v>
          </cell>
          <cell r="BB161">
            <v>45897</v>
          </cell>
          <cell r="BC161">
            <v>45897</v>
          </cell>
          <cell r="BD161">
            <v>45897</v>
          </cell>
          <cell r="BE161">
            <v>45936</v>
          </cell>
          <cell r="BF161">
            <v>45936</v>
          </cell>
          <cell r="BG161">
            <v>45938</v>
          </cell>
          <cell r="BH161">
            <v>45939</v>
          </cell>
          <cell r="BQ161">
            <v>12650.12</v>
          </cell>
          <cell r="BR161">
            <v>45938</v>
          </cell>
          <cell r="BS161">
            <v>8879</v>
          </cell>
          <cell r="BT161">
            <v>45957</v>
          </cell>
          <cell r="CD161">
            <v>45916</v>
          </cell>
          <cell r="CE161" t="str">
            <v>SIM  6 dias</v>
          </cell>
          <cell r="CI161">
            <v>45910</v>
          </cell>
        </row>
        <row r="162">
          <cell r="A162"/>
          <cell r="B162" t="str">
            <v>021B/2025</v>
          </cell>
          <cell r="E162" t="str">
            <v>STELLA</v>
          </cell>
          <cell r="F162" t="str">
            <v>DELIVERED</v>
          </cell>
          <cell r="G162" t="str">
            <v>SEA</v>
          </cell>
          <cell r="J162">
            <v>45833</v>
          </cell>
          <cell r="L162">
            <v>45892</v>
          </cell>
          <cell r="O162">
            <v>45909</v>
          </cell>
          <cell r="P162" t="str">
            <v>SDBLBS556791</v>
          </cell>
          <cell r="R162" t="str">
            <v>PWBR250087-10B</v>
          </cell>
          <cell r="T162" t="str">
            <v>CAIU5692304 ; CGMU5604881 ; CGMU5660078</v>
          </cell>
          <cell r="U162">
            <v>3</v>
          </cell>
          <cell r="AC162"/>
          <cell r="AD162">
            <v>45895</v>
          </cell>
          <cell r="AE162">
            <v>45895</v>
          </cell>
          <cell r="AJ162">
            <v>1181589.1200000001</v>
          </cell>
          <cell r="AK162">
            <v>45852</v>
          </cell>
          <cell r="AL162">
            <v>45852</v>
          </cell>
          <cell r="AM162">
            <v>45855</v>
          </cell>
          <cell r="AN162">
            <v>45855</v>
          </cell>
          <cell r="AO162">
            <v>45859</v>
          </cell>
          <cell r="AP162">
            <v>45860</v>
          </cell>
          <cell r="AQ162">
            <v>45894</v>
          </cell>
          <cell r="AR162">
            <v>45894</v>
          </cell>
          <cell r="AS162">
            <v>45894</v>
          </cell>
          <cell r="AT162">
            <v>45895</v>
          </cell>
          <cell r="AU162">
            <v>45895</v>
          </cell>
          <cell r="AY162">
            <v>45895</v>
          </cell>
          <cell r="AZ162">
            <v>45895</v>
          </cell>
          <cell r="BA162">
            <v>45896</v>
          </cell>
          <cell r="BB162">
            <v>45896</v>
          </cell>
          <cell r="BC162">
            <v>45896</v>
          </cell>
          <cell r="BD162">
            <v>45896</v>
          </cell>
          <cell r="BE162">
            <v>45896</v>
          </cell>
          <cell r="BF162">
            <v>45896</v>
          </cell>
          <cell r="BG162">
            <v>45897</v>
          </cell>
          <cell r="BH162">
            <v>45905</v>
          </cell>
          <cell r="BQ162">
            <v>2207.64</v>
          </cell>
          <cell r="BR162">
            <v>45903</v>
          </cell>
          <cell r="CD162">
            <v>45909</v>
          </cell>
          <cell r="CE162" t="str">
            <v>NÃO</v>
          </cell>
          <cell r="CI162">
            <v>45910</v>
          </cell>
        </row>
        <row r="163">
          <cell r="A163"/>
          <cell r="B163" t="str">
            <v>021C/2025</v>
          </cell>
          <cell r="E163" t="str">
            <v>STELLA</v>
          </cell>
          <cell r="F163" t="str">
            <v>DELIVERED</v>
          </cell>
          <cell r="G163" t="str">
            <v>SEA</v>
          </cell>
          <cell r="J163">
            <v>45833</v>
          </cell>
          <cell r="L163">
            <v>45892</v>
          </cell>
          <cell r="O163">
            <v>45903</v>
          </cell>
          <cell r="P163" t="str">
            <v>SDBLBS556790</v>
          </cell>
          <cell r="R163" t="str">
            <v>PWBR250087-10C_x000D_</v>
          </cell>
          <cell r="T163" t="str">
            <v>AMCU9417868 ; SZLU9013697 ; SZLU9618055</v>
          </cell>
          <cell r="U163">
            <v>3</v>
          </cell>
          <cell r="AC163"/>
          <cell r="AD163">
            <v>45894</v>
          </cell>
          <cell r="AE163">
            <v>45894</v>
          </cell>
          <cell r="AJ163">
            <v>792859.98</v>
          </cell>
          <cell r="AK163">
            <v>45861</v>
          </cell>
          <cell r="AL163">
            <v>45861</v>
          </cell>
          <cell r="AM163">
            <v>45867</v>
          </cell>
          <cell r="AN163">
            <v>45867</v>
          </cell>
          <cell r="AO163">
            <v>45873</v>
          </cell>
          <cell r="AP163">
            <v>45875</v>
          </cell>
          <cell r="AQ163">
            <v>45894</v>
          </cell>
          <cell r="AR163">
            <v>45894</v>
          </cell>
          <cell r="AS163">
            <v>45894</v>
          </cell>
          <cell r="AT163">
            <v>45894</v>
          </cell>
          <cell r="AU163">
            <v>45895</v>
          </cell>
          <cell r="AY163">
            <v>45895</v>
          </cell>
          <cell r="AZ163">
            <v>45895</v>
          </cell>
          <cell r="BA163">
            <v>45895</v>
          </cell>
          <cell r="BB163">
            <v>45895</v>
          </cell>
          <cell r="BC163">
            <v>45895</v>
          </cell>
          <cell r="BD163">
            <v>45895</v>
          </cell>
          <cell r="BE163">
            <v>45895</v>
          </cell>
          <cell r="BF163">
            <v>45895</v>
          </cell>
          <cell r="BG163">
            <v>45896</v>
          </cell>
          <cell r="BH163">
            <v>45902</v>
          </cell>
          <cell r="CD163">
            <v>45904</v>
          </cell>
          <cell r="CE163" t="str">
            <v>NÃO</v>
          </cell>
          <cell r="CI163">
            <v>45910</v>
          </cell>
        </row>
        <row r="164">
          <cell r="A164"/>
          <cell r="B164" t="str">
            <v>021D/2025</v>
          </cell>
          <cell r="E164" t="str">
            <v>STELLA</v>
          </cell>
          <cell r="F164" t="str">
            <v>DELIVERED</v>
          </cell>
          <cell r="G164" t="str">
            <v>SEA</v>
          </cell>
          <cell r="J164">
            <v>45833</v>
          </cell>
          <cell r="L164">
            <v>45892</v>
          </cell>
          <cell r="O164">
            <v>45901</v>
          </cell>
          <cell r="P164" t="str">
            <v>SDBLBS556793</v>
          </cell>
          <cell r="R164" t="str">
            <v>PWBR250087-10D</v>
          </cell>
          <cell r="T164" t="str">
            <v>TCLU1197227 ; TEMU9205136 ; TTNU8603903</v>
          </cell>
          <cell r="U164">
            <v>3</v>
          </cell>
          <cell r="AC164"/>
          <cell r="AD164">
            <v>45894</v>
          </cell>
          <cell r="AE164">
            <v>45894</v>
          </cell>
          <cell r="AJ164">
            <v>1056770.83</v>
          </cell>
          <cell r="AK164">
            <v>45861</v>
          </cell>
          <cell r="AL164">
            <v>45862</v>
          </cell>
          <cell r="AM164">
            <v>45869</v>
          </cell>
          <cell r="AN164">
            <v>45869</v>
          </cell>
          <cell r="AO164">
            <v>45873</v>
          </cell>
          <cell r="AP164">
            <v>45875</v>
          </cell>
          <cell r="AQ164">
            <v>45894</v>
          </cell>
          <cell r="AR164">
            <v>45894</v>
          </cell>
          <cell r="AS164">
            <v>45894</v>
          </cell>
          <cell r="AT164">
            <v>45895</v>
          </cell>
          <cell r="AU164">
            <v>45895</v>
          </cell>
          <cell r="AY164">
            <v>45895</v>
          </cell>
          <cell r="AZ164">
            <v>45895</v>
          </cell>
          <cell r="BA164">
            <v>45895</v>
          </cell>
          <cell r="BB164">
            <v>45896</v>
          </cell>
          <cell r="BC164">
            <v>45896</v>
          </cell>
          <cell r="BD164">
            <v>45896</v>
          </cell>
          <cell r="BE164">
            <v>45896</v>
          </cell>
          <cell r="BF164">
            <v>45896</v>
          </cell>
          <cell r="BG164">
            <v>45897</v>
          </cell>
          <cell r="BH164">
            <v>45901</v>
          </cell>
          <cell r="CD164">
            <v>45903</v>
          </cell>
          <cell r="CE164" t="str">
            <v>NÃO</v>
          </cell>
          <cell r="CI164">
            <v>45910</v>
          </cell>
        </row>
        <row r="165">
          <cell r="A165"/>
          <cell r="B165" t="str">
            <v>E-010/2025</v>
          </cell>
          <cell r="E165" t="str">
            <v>POLYANE</v>
          </cell>
          <cell r="F165" t="str">
            <v>DELIVERED</v>
          </cell>
          <cell r="G165" t="str">
            <v>SEA</v>
          </cell>
          <cell r="J165">
            <v>45821</v>
          </cell>
          <cell r="L165">
            <v>45865</v>
          </cell>
          <cell r="O165">
            <v>45875</v>
          </cell>
          <cell r="P165" t="str">
            <v>MD25063054</v>
          </cell>
          <cell r="R165" t="str">
            <v>8000571028; 8000571027; 8000575141</v>
          </cell>
          <cell r="T165" t="str">
            <v>MSMU2089689; CAIU4148071</v>
          </cell>
          <cell r="U165">
            <v>2</v>
          </cell>
          <cell r="AC165"/>
          <cell r="AD165">
            <v>45867</v>
          </cell>
          <cell r="AE165">
            <v>45868</v>
          </cell>
          <cell r="AJ165">
            <v>451750.87</v>
          </cell>
          <cell r="AK165">
            <v>45845</v>
          </cell>
          <cell r="AL165">
            <v>45845</v>
          </cell>
          <cell r="AM165">
            <v>45847</v>
          </cell>
          <cell r="AN165">
            <v>45847</v>
          </cell>
          <cell r="AO165">
            <v>45847</v>
          </cell>
          <cell r="AP165">
            <v>45848</v>
          </cell>
          <cell r="AQ165">
            <v>45867</v>
          </cell>
          <cell r="AR165">
            <v>45867</v>
          </cell>
          <cell r="AS165">
            <v>45867</v>
          </cell>
          <cell r="AT165">
            <v>45867</v>
          </cell>
          <cell r="AU165">
            <v>45870</v>
          </cell>
          <cell r="AY165">
            <v>45867</v>
          </cell>
          <cell r="AZ165">
            <v>45870</v>
          </cell>
          <cell r="BA165">
            <v>45870</v>
          </cell>
          <cell r="BB165">
            <v>45873</v>
          </cell>
          <cell r="BC165">
            <v>45873</v>
          </cell>
          <cell r="BD165">
            <v>45873</v>
          </cell>
          <cell r="BE165">
            <v>45873</v>
          </cell>
          <cell r="BF165">
            <v>45873</v>
          </cell>
          <cell r="BG165">
            <v>45874</v>
          </cell>
          <cell r="BH165">
            <v>45874</v>
          </cell>
          <cell r="CD165">
            <v>45876</v>
          </cell>
          <cell r="CE165" t="str">
            <v>NÃO</v>
          </cell>
          <cell r="CI165">
            <v>45883</v>
          </cell>
        </row>
        <row r="166">
          <cell r="A166"/>
          <cell r="B166" t="str">
            <v>021E/2025</v>
          </cell>
          <cell r="E166" t="str">
            <v>STELLA</v>
          </cell>
          <cell r="F166" t="str">
            <v>DELIVERED</v>
          </cell>
          <cell r="G166" t="str">
            <v>SEA</v>
          </cell>
          <cell r="J166">
            <v>45833</v>
          </cell>
          <cell r="L166">
            <v>45899</v>
          </cell>
          <cell r="O166">
            <v>45912</v>
          </cell>
          <cell r="P166" t="str">
            <v>SDBLBS555873</v>
          </cell>
          <cell r="R166" t="str">
            <v>PWBR250087-10E</v>
          </cell>
          <cell r="T166" t="str">
            <v>SEGU9140342 ; TTNU8379964</v>
          </cell>
          <cell r="U166">
            <v>2</v>
          </cell>
          <cell r="AC166"/>
          <cell r="AD166">
            <v>45902</v>
          </cell>
          <cell r="AE166">
            <v>45903</v>
          </cell>
          <cell r="AJ166">
            <v>1474333.58</v>
          </cell>
          <cell r="AK166">
            <v>45859</v>
          </cell>
          <cell r="AL166">
            <v>45859</v>
          </cell>
          <cell r="AM166">
            <v>45868</v>
          </cell>
          <cell r="AN166">
            <v>45868</v>
          </cell>
          <cell r="AO166">
            <v>45873</v>
          </cell>
          <cell r="AP166">
            <v>45875</v>
          </cell>
          <cell r="AQ166">
            <v>45902</v>
          </cell>
          <cell r="AR166">
            <v>45902</v>
          </cell>
          <cell r="AS166">
            <v>45902</v>
          </cell>
          <cell r="AT166">
            <v>45902</v>
          </cell>
          <cell r="AU166">
            <v>45903</v>
          </cell>
          <cell r="AV166">
            <v>45903</v>
          </cell>
          <cell r="AW166">
            <v>45903</v>
          </cell>
          <cell r="AX166">
            <v>45903</v>
          </cell>
          <cell r="AY166">
            <v>45902</v>
          </cell>
          <cell r="AZ166">
            <v>45903</v>
          </cell>
          <cell r="BA166">
            <v>45905</v>
          </cell>
          <cell r="BB166">
            <v>45905</v>
          </cell>
          <cell r="BC166">
            <v>45908</v>
          </cell>
          <cell r="BD166">
            <v>45905</v>
          </cell>
          <cell r="BE166">
            <v>45908</v>
          </cell>
          <cell r="BF166">
            <v>45908</v>
          </cell>
          <cell r="BG166">
            <v>45909</v>
          </cell>
          <cell r="BH166">
            <v>45912</v>
          </cell>
          <cell r="BQ166">
            <v>1471.76</v>
          </cell>
          <cell r="BR166">
            <v>45910</v>
          </cell>
          <cell r="CD166">
            <v>45913</v>
          </cell>
          <cell r="CE166" t="str">
            <v>NÃO</v>
          </cell>
          <cell r="CI166">
            <v>45917</v>
          </cell>
        </row>
        <row r="167">
          <cell r="A167"/>
          <cell r="B167" t="str">
            <v>021G/2025</v>
          </cell>
          <cell r="E167" t="str">
            <v>STELLA</v>
          </cell>
          <cell r="F167" t="str">
            <v>DELIVERED</v>
          </cell>
          <cell r="G167" t="str">
            <v>SEA</v>
          </cell>
          <cell r="J167">
            <v>45820</v>
          </cell>
          <cell r="L167">
            <v>45866</v>
          </cell>
          <cell r="O167">
            <v>45875</v>
          </cell>
          <cell r="P167" t="str">
            <v>SDBLBS554245</v>
          </cell>
          <cell r="R167" t="str">
            <v>PWBR250087-10G</v>
          </cell>
          <cell r="T167" t="str">
            <v>TIIU4420752</v>
          </cell>
          <cell r="U167">
            <v>1</v>
          </cell>
          <cell r="AC167"/>
          <cell r="AD167">
            <v>45867</v>
          </cell>
          <cell r="AE167">
            <v>45868</v>
          </cell>
          <cell r="AJ167">
            <v>81937.350000000006</v>
          </cell>
          <cell r="AK167">
            <v>45852</v>
          </cell>
          <cell r="AL167">
            <v>45852</v>
          </cell>
          <cell r="AM167">
            <v>45854</v>
          </cell>
          <cell r="AN167">
            <v>45861</v>
          </cell>
          <cell r="AO167">
            <v>45861</v>
          </cell>
          <cell r="AP167">
            <v>45862</v>
          </cell>
          <cell r="AQ167">
            <v>45867</v>
          </cell>
          <cell r="AR167">
            <v>45867</v>
          </cell>
          <cell r="AS167">
            <v>45867</v>
          </cell>
          <cell r="AT167">
            <v>45868</v>
          </cell>
          <cell r="AU167">
            <v>45870</v>
          </cell>
          <cell r="AY167">
            <v>45868</v>
          </cell>
          <cell r="AZ167">
            <v>45870</v>
          </cell>
          <cell r="BA167">
            <v>45870</v>
          </cell>
          <cell r="BB167">
            <v>45870</v>
          </cell>
          <cell r="BC167">
            <v>45873</v>
          </cell>
          <cell r="BD167">
            <v>45870</v>
          </cell>
          <cell r="BE167">
            <v>45873</v>
          </cell>
          <cell r="BF167">
            <v>45873</v>
          </cell>
          <cell r="BG167">
            <v>45874</v>
          </cell>
          <cell r="BH167">
            <v>45875</v>
          </cell>
          <cell r="CD167">
            <v>45875</v>
          </cell>
          <cell r="CE167" t="str">
            <v>NÃO</v>
          </cell>
          <cell r="CI167">
            <v>45884</v>
          </cell>
        </row>
        <row r="168">
          <cell r="A168"/>
          <cell r="B168" t="str">
            <v>027/2025</v>
          </cell>
          <cell r="E168" t="str">
            <v>STELLA</v>
          </cell>
          <cell r="F168" t="str">
            <v>DELIVERED</v>
          </cell>
          <cell r="G168" t="str">
            <v>AIR</v>
          </cell>
          <cell r="J168">
            <v>45841</v>
          </cell>
          <cell r="L168">
            <v>45847</v>
          </cell>
          <cell r="O168">
            <v>45855</v>
          </cell>
          <cell r="P168" t="str">
            <v>045-15208944
DTW250627FOR</v>
          </cell>
          <cell r="R168" t="str">
            <v>SBR2500032</v>
          </cell>
          <cell r="U168" t="str">
            <v>N/A</v>
          </cell>
          <cell r="AC168"/>
          <cell r="AD168">
            <v>45848</v>
          </cell>
          <cell r="AE168">
            <v>45849</v>
          </cell>
          <cell r="AJ168">
            <v>44963.34</v>
          </cell>
          <cell r="AK168">
            <v>45840</v>
          </cell>
          <cell r="AL168">
            <v>45841</v>
          </cell>
          <cell r="AM168">
            <v>45841</v>
          </cell>
          <cell r="AN168">
            <v>45841</v>
          </cell>
          <cell r="AO168">
            <v>45841</v>
          </cell>
          <cell r="AP168">
            <v>45842</v>
          </cell>
          <cell r="AQ168">
            <v>45848</v>
          </cell>
          <cell r="AR168">
            <v>45847</v>
          </cell>
          <cell r="AS168">
            <v>45848</v>
          </cell>
          <cell r="AT168">
            <v>45849</v>
          </cell>
          <cell r="AU168">
            <v>45849</v>
          </cell>
          <cell r="AV168">
            <v>45848</v>
          </cell>
          <cell r="AW168">
            <v>45849</v>
          </cell>
          <cell r="AX168">
            <v>45849</v>
          </cell>
          <cell r="BD168">
            <v>45849</v>
          </cell>
          <cell r="BE168">
            <v>45853</v>
          </cell>
          <cell r="BF168">
            <v>45853</v>
          </cell>
          <cell r="BG168">
            <v>45854</v>
          </cell>
          <cell r="BH168">
            <v>45855</v>
          </cell>
          <cell r="BQ168">
            <v>1476.53</v>
          </cell>
          <cell r="BR168">
            <v>45881</v>
          </cell>
          <cell r="BS168"/>
          <cell r="CE168" t="str">
            <v>NÃO</v>
          </cell>
          <cell r="CI168" t="str">
            <v/>
          </cell>
        </row>
        <row r="169">
          <cell r="A169"/>
          <cell r="B169" t="str">
            <v>029/2025</v>
          </cell>
          <cell r="E169" t="str">
            <v>STELLA</v>
          </cell>
          <cell r="F169" t="str">
            <v>DELIVERED</v>
          </cell>
          <cell r="G169" t="str">
            <v>COURIER</v>
          </cell>
          <cell r="J169">
            <v>45835</v>
          </cell>
          <cell r="L169">
            <v>45842</v>
          </cell>
          <cell r="O169">
            <v>45842</v>
          </cell>
          <cell r="P169" t="str">
            <v>54 0756 0045</v>
          </cell>
          <cell r="R169" t="str">
            <v>SBR2506024</v>
          </cell>
          <cell r="AC169"/>
          <cell r="AD169">
            <v>45838</v>
          </cell>
          <cell r="AE169">
            <v>45839</v>
          </cell>
          <cell r="AJ169">
            <v>1240.8399999999999</v>
          </cell>
          <cell r="AR169">
            <v>45839</v>
          </cell>
          <cell r="BS169"/>
          <cell r="CE169" t="str">
            <v>NÃO</v>
          </cell>
          <cell r="CI169" t="str">
            <v/>
          </cell>
        </row>
        <row r="170">
          <cell r="A170"/>
          <cell r="B170" t="str">
            <v>GE-003/2025</v>
          </cell>
          <cell r="E170" t="str">
            <v>POLYANE</v>
          </cell>
          <cell r="F170" t="str">
            <v>DELIVERED</v>
          </cell>
          <cell r="G170" t="str">
            <v>AIR</v>
          </cell>
          <cell r="J170">
            <v>45868</v>
          </cell>
          <cell r="L170">
            <v>45869</v>
          </cell>
          <cell r="O170">
            <v>45877</v>
          </cell>
          <cell r="P170" t="str">
            <v>M: 04732389770
H: 130048</v>
          </cell>
          <cell r="R170">
            <v>90228721</v>
          </cell>
          <cell r="T170" t="str">
            <v>N/A</v>
          </cell>
          <cell r="U170" t="str">
            <v>N/A</v>
          </cell>
          <cell r="AC170"/>
          <cell r="AD170">
            <v>45875</v>
          </cell>
          <cell r="AE170">
            <v>45875</v>
          </cell>
          <cell r="AJ170">
            <v>179748.71</v>
          </cell>
          <cell r="AK170">
            <v>45870</v>
          </cell>
          <cell r="AL170">
            <v>45870</v>
          </cell>
          <cell r="AM170">
            <v>45873</v>
          </cell>
          <cell r="AN170">
            <v>45873</v>
          </cell>
          <cell r="AO170">
            <v>45873</v>
          </cell>
          <cell r="AP170">
            <v>45875</v>
          </cell>
          <cell r="AQ170">
            <v>45875</v>
          </cell>
          <cell r="AR170">
            <v>45869</v>
          </cell>
          <cell r="AS170">
            <v>45875</v>
          </cell>
          <cell r="AT170">
            <v>45875</v>
          </cell>
          <cell r="AU170">
            <v>45876</v>
          </cell>
          <cell r="AY170">
            <v>45876</v>
          </cell>
          <cell r="AZ170">
            <v>45876</v>
          </cell>
          <cell r="BA170">
            <v>45876</v>
          </cell>
          <cell r="BB170">
            <v>45876</v>
          </cell>
          <cell r="BC170">
            <v>45876</v>
          </cell>
          <cell r="BD170">
            <v>45876</v>
          </cell>
          <cell r="BE170">
            <v>45876</v>
          </cell>
          <cell r="BF170">
            <v>45876</v>
          </cell>
          <cell r="BG170">
            <v>45877</v>
          </cell>
          <cell r="BH170">
            <v>45877</v>
          </cell>
          <cell r="BS170"/>
          <cell r="CE170" t="str">
            <v>NÃO</v>
          </cell>
          <cell r="CI170" t="str">
            <v/>
          </cell>
        </row>
        <row r="171">
          <cell r="A171" t="str">
            <v>IMO</v>
          </cell>
          <cell r="B171" t="str">
            <v>030/2025</v>
          </cell>
          <cell r="E171" t="str">
            <v>STELLA</v>
          </cell>
          <cell r="F171" t="str">
            <v>DELIVERED</v>
          </cell>
          <cell r="G171" t="str">
            <v>AIR</v>
          </cell>
          <cell r="J171">
            <v>45846</v>
          </cell>
          <cell r="L171">
            <v>45858</v>
          </cell>
          <cell r="O171">
            <v>45860</v>
          </cell>
          <cell r="P171" t="str">
            <v>235-94216684
DTW250701FOR</v>
          </cell>
          <cell r="R171" t="str">
            <v>PWBR250073-30</v>
          </cell>
          <cell r="U171" t="str">
            <v>N/A</v>
          </cell>
          <cell r="AD171">
            <v>45856</v>
          </cell>
          <cell r="AE171">
            <v>45856</v>
          </cell>
          <cell r="AJ171">
            <v>107730.61</v>
          </cell>
          <cell r="AK171">
            <v>45845</v>
          </cell>
          <cell r="AL171">
            <v>45845</v>
          </cell>
          <cell r="AM171">
            <v>45846</v>
          </cell>
          <cell r="AN171">
            <v>45846</v>
          </cell>
          <cell r="AO171">
            <v>45846</v>
          </cell>
          <cell r="AP171">
            <v>45846</v>
          </cell>
          <cell r="AQ171">
            <v>45856</v>
          </cell>
          <cell r="AR171">
            <v>45858</v>
          </cell>
          <cell r="AS171">
            <v>45856</v>
          </cell>
          <cell r="AT171">
            <v>45859</v>
          </cell>
          <cell r="AU171">
            <v>45859</v>
          </cell>
          <cell r="AY171">
            <v>45859</v>
          </cell>
          <cell r="AZ171">
            <v>45859</v>
          </cell>
          <cell r="BA171">
            <v>45859</v>
          </cell>
          <cell r="BB171">
            <v>45859</v>
          </cell>
          <cell r="BC171">
            <v>45859</v>
          </cell>
          <cell r="BD171">
            <v>45859</v>
          </cell>
          <cell r="BE171">
            <v>45859</v>
          </cell>
          <cell r="BF171">
            <v>45859</v>
          </cell>
          <cell r="BG171">
            <v>45860</v>
          </cell>
          <cell r="BH171">
            <v>45860</v>
          </cell>
          <cell r="BQ171">
            <v>3682.67</v>
          </cell>
          <cell r="BR171">
            <v>45881</v>
          </cell>
          <cell r="BS171"/>
          <cell r="CE171" t="str">
            <v>NÃO</v>
          </cell>
          <cell r="CI171" t="str">
            <v/>
          </cell>
        </row>
        <row r="172">
          <cell r="A172" t="str">
            <v>IMO</v>
          </cell>
          <cell r="B172" t="str">
            <v>E-011/2025</v>
          </cell>
          <cell r="E172" t="str">
            <v>POLYANE</v>
          </cell>
          <cell r="F172" t="str">
            <v>DELIVERED</v>
          </cell>
          <cell r="G172" t="str">
            <v>SEA</v>
          </cell>
          <cell r="J172">
            <v>45843</v>
          </cell>
          <cell r="L172">
            <v>45907</v>
          </cell>
          <cell r="O172">
            <v>45918</v>
          </cell>
          <cell r="P172" t="str">
            <v>M: MEDUH5964232
H: MD25063132</v>
          </cell>
          <cell r="R172" t="str">
            <v>8000578393; 8000578394; 8000578395</v>
          </cell>
          <cell r="T172" t="str">
            <v>MSDU4012123</v>
          </cell>
          <cell r="U172">
            <v>1</v>
          </cell>
          <cell r="AC172"/>
          <cell r="AD172">
            <v>45910</v>
          </cell>
          <cell r="AE172">
            <v>45910</v>
          </cell>
          <cell r="AJ172">
            <v>410864.38</v>
          </cell>
          <cell r="AK172">
            <v>45868</v>
          </cell>
          <cell r="AL172">
            <v>45869</v>
          </cell>
          <cell r="AM172">
            <v>45875</v>
          </cell>
          <cell r="AN172">
            <v>45876</v>
          </cell>
          <cell r="AO172">
            <v>45877</v>
          </cell>
          <cell r="AP172">
            <v>45887</v>
          </cell>
          <cell r="AQ172">
            <v>45909</v>
          </cell>
          <cell r="AR172">
            <v>45909</v>
          </cell>
          <cell r="AS172">
            <v>45910</v>
          </cell>
          <cell r="AT172">
            <v>45910</v>
          </cell>
          <cell r="AU172">
            <v>45911</v>
          </cell>
          <cell r="AY172">
            <v>45910</v>
          </cell>
          <cell r="AZ172">
            <v>45911</v>
          </cell>
          <cell r="BA172">
            <v>45912</v>
          </cell>
          <cell r="BB172">
            <v>45912</v>
          </cell>
          <cell r="BC172">
            <v>45912</v>
          </cell>
          <cell r="BD172">
            <v>45912</v>
          </cell>
          <cell r="BE172">
            <v>45912</v>
          </cell>
          <cell r="BF172">
            <v>45912</v>
          </cell>
          <cell r="BG172">
            <v>45915</v>
          </cell>
          <cell r="BH172">
            <v>45915</v>
          </cell>
          <cell r="CD172">
            <v>45919</v>
          </cell>
          <cell r="CE172" t="str">
            <v>NÃO</v>
          </cell>
          <cell r="CI172">
            <v>45925</v>
          </cell>
        </row>
        <row r="173">
          <cell r="A173"/>
          <cell r="B173" t="str">
            <v>031/2025</v>
          </cell>
          <cell r="E173" t="str">
            <v>POLYANE</v>
          </cell>
          <cell r="F173" t="str">
            <v>DELIVERED</v>
          </cell>
          <cell r="G173" t="str">
            <v>COURIER</v>
          </cell>
          <cell r="J173">
            <v>45836</v>
          </cell>
          <cell r="L173">
            <v>45849</v>
          </cell>
          <cell r="O173">
            <v>45852</v>
          </cell>
          <cell r="P173">
            <v>2531284593</v>
          </cell>
          <cell r="R173" t="str">
            <v>PW2025012</v>
          </cell>
          <cell r="AC173"/>
          <cell r="AD173">
            <v>45838</v>
          </cell>
          <cell r="AE173">
            <v>45839</v>
          </cell>
          <cell r="AJ173">
            <v>9662.65</v>
          </cell>
          <cell r="BD173">
            <v>45918</v>
          </cell>
          <cell r="BE173">
            <v>45918</v>
          </cell>
          <cell r="BS173"/>
          <cell r="CE173" t="str">
            <v>NÃO</v>
          </cell>
          <cell r="CI173" t="str">
            <v/>
          </cell>
        </row>
        <row r="174">
          <cell r="A174"/>
          <cell r="B174" t="str">
            <v>021F/2025</v>
          </cell>
          <cell r="E174" t="str">
            <v>STELLA</v>
          </cell>
          <cell r="F174" t="str">
            <v>DELIVERED</v>
          </cell>
          <cell r="G174" t="str">
            <v>SEA</v>
          </cell>
          <cell r="J174">
            <v>45833</v>
          </cell>
          <cell r="L174">
            <v>45899</v>
          </cell>
          <cell r="O174">
            <v>45912</v>
          </cell>
          <cell r="P174" t="str">
            <v>SDBLBS555881</v>
          </cell>
          <cell r="R174" t="str">
            <v>PWBR250087-10F</v>
          </cell>
          <cell r="T174" t="str">
            <v>TTNU8017190</v>
          </cell>
          <cell r="U174">
            <v>1</v>
          </cell>
          <cell r="AC174"/>
          <cell r="AD174">
            <v>45902</v>
          </cell>
          <cell r="AE174">
            <v>45903</v>
          </cell>
          <cell r="AJ174">
            <v>1938613.53</v>
          </cell>
          <cell r="AK174">
            <v>45861</v>
          </cell>
          <cell r="AL174">
            <v>45861</v>
          </cell>
          <cell r="AM174">
            <v>45873</v>
          </cell>
          <cell r="AN174">
            <v>45873</v>
          </cell>
          <cell r="AO174">
            <v>45873</v>
          </cell>
          <cell r="AP174">
            <v>45875</v>
          </cell>
          <cell r="AQ174">
            <v>45902</v>
          </cell>
          <cell r="AR174">
            <v>45902</v>
          </cell>
          <cell r="AS174">
            <v>45902</v>
          </cell>
          <cell r="AT174">
            <v>45902</v>
          </cell>
          <cell r="AU174">
            <v>45903</v>
          </cell>
          <cell r="AV174">
            <v>45903</v>
          </cell>
          <cell r="AW174">
            <v>45903</v>
          </cell>
          <cell r="AX174">
            <v>45903</v>
          </cell>
          <cell r="AY174">
            <v>45902</v>
          </cell>
          <cell r="AZ174">
            <v>45903</v>
          </cell>
          <cell r="BA174">
            <v>45905</v>
          </cell>
          <cell r="BB174">
            <v>45905</v>
          </cell>
          <cell r="BC174">
            <v>45909</v>
          </cell>
          <cell r="BD174">
            <v>45905</v>
          </cell>
          <cell r="BE174">
            <v>45909</v>
          </cell>
          <cell r="BF174">
            <v>45909</v>
          </cell>
          <cell r="BG174">
            <v>45910</v>
          </cell>
          <cell r="BH174">
            <v>45912</v>
          </cell>
          <cell r="BQ174">
            <v>367.94</v>
          </cell>
          <cell r="BR174">
            <v>45910</v>
          </cell>
          <cell r="CD174">
            <v>45912</v>
          </cell>
          <cell r="CE174" t="str">
            <v>NÃO</v>
          </cell>
          <cell r="CI174">
            <v>45917</v>
          </cell>
        </row>
        <row r="175">
          <cell r="A175"/>
          <cell r="B175" t="str">
            <v>033H/2025</v>
          </cell>
          <cell r="E175" t="str">
            <v>STELLA</v>
          </cell>
          <cell r="F175" t="str">
            <v>DELIVERED</v>
          </cell>
          <cell r="G175" t="str">
            <v>COURIER</v>
          </cell>
          <cell r="J175">
            <v>45890</v>
          </cell>
          <cell r="L175">
            <v>45902</v>
          </cell>
          <cell r="O175">
            <v>45903</v>
          </cell>
          <cell r="P175" t="str">
            <v>72 8415 8593</v>
          </cell>
          <cell r="R175" t="str">
            <v>PWBR250127-10H</v>
          </cell>
          <cell r="AC175"/>
          <cell r="AD175">
            <v>45891</v>
          </cell>
          <cell r="AE175">
            <v>45892</v>
          </cell>
          <cell r="AJ175">
            <v>7660.7</v>
          </cell>
          <cell r="AK175">
            <v>45894</v>
          </cell>
          <cell r="BD175">
            <v>45901</v>
          </cell>
          <cell r="BE175">
            <v>45905</v>
          </cell>
          <cell r="BS175"/>
          <cell r="CE175" t="str">
            <v>NÃO</v>
          </cell>
        </row>
        <row r="176">
          <cell r="A176"/>
          <cell r="B176" t="str">
            <v>028A/2025</v>
          </cell>
          <cell r="E176" t="str">
            <v>STELLA</v>
          </cell>
          <cell r="F176" t="str">
            <v>DELIVERED</v>
          </cell>
          <cell r="G176" t="str">
            <v>SEA</v>
          </cell>
          <cell r="J176">
            <v>45861</v>
          </cell>
          <cell r="L176">
            <v>45906</v>
          </cell>
          <cell r="O176">
            <v>45924</v>
          </cell>
          <cell r="P176" t="str">
            <v>H: SDBLBS560778
M: NGP2598593</v>
          </cell>
          <cell r="R176" t="str">
            <v>PWBR250103-10A</v>
          </cell>
          <cell r="T176" t="str">
            <v>BMOU9649517; TEMU9262120; TTNU8274460</v>
          </cell>
          <cell r="U176">
            <v>3</v>
          </cell>
          <cell r="AC176"/>
          <cell r="AD176">
            <v>45911</v>
          </cell>
          <cell r="AE176">
            <v>45912</v>
          </cell>
          <cell r="AJ176">
            <v>1457322.94</v>
          </cell>
          <cell r="AK176">
            <v>45903</v>
          </cell>
          <cell r="AL176">
            <v>45894</v>
          </cell>
          <cell r="AM176">
            <v>45904</v>
          </cell>
          <cell r="AN176">
            <v>45905</v>
          </cell>
          <cell r="AO176">
            <v>45908</v>
          </cell>
          <cell r="AP176">
            <v>45908</v>
          </cell>
          <cell r="AQ176">
            <v>45908</v>
          </cell>
          <cell r="AR176">
            <v>45908</v>
          </cell>
          <cell r="AS176">
            <v>45908</v>
          </cell>
          <cell r="AT176">
            <v>45911</v>
          </cell>
          <cell r="AU176">
            <v>45912</v>
          </cell>
          <cell r="AY176">
            <v>45911</v>
          </cell>
          <cell r="AZ176">
            <v>45912</v>
          </cell>
          <cell r="BA176">
            <v>45915</v>
          </cell>
          <cell r="BB176">
            <v>45915</v>
          </cell>
          <cell r="BC176">
            <v>45916</v>
          </cell>
          <cell r="BD176">
            <v>45915</v>
          </cell>
          <cell r="BE176">
            <v>45916</v>
          </cell>
          <cell r="BF176">
            <v>45916</v>
          </cell>
          <cell r="BG176">
            <v>45917</v>
          </cell>
          <cell r="BH176">
            <v>45923</v>
          </cell>
          <cell r="BQ176">
            <v>2207.64</v>
          </cell>
          <cell r="BR176">
            <v>45919</v>
          </cell>
          <cell r="BS176">
            <v>3921.63</v>
          </cell>
          <cell r="BT176">
            <v>45990</v>
          </cell>
          <cell r="CD176">
            <v>45924</v>
          </cell>
          <cell r="CE176" t="str">
            <v>SIM  0 dias</v>
          </cell>
          <cell r="CI176">
            <v>45924</v>
          </cell>
        </row>
        <row r="177">
          <cell r="A177"/>
          <cell r="B177" t="str">
            <v>028B/2025</v>
          </cell>
          <cell r="E177" t="str">
            <v>STELLA</v>
          </cell>
          <cell r="F177" t="str">
            <v>DELIVERED</v>
          </cell>
          <cell r="G177" t="str">
            <v>SEA</v>
          </cell>
          <cell r="J177">
            <v>45861</v>
          </cell>
          <cell r="L177">
            <v>45906</v>
          </cell>
          <cell r="O177">
            <v>45915</v>
          </cell>
          <cell r="P177" t="str">
            <v>H: SDBLBS560782
M: NGP2598593</v>
          </cell>
          <cell r="R177" t="str">
            <v>PWBR250103-10B</v>
          </cell>
          <cell r="T177" t="str">
            <v>CAIU5463416 ; CGMU8014425 ; TCLU1282123</v>
          </cell>
          <cell r="U177">
            <v>3</v>
          </cell>
          <cell r="AC177"/>
          <cell r="AD177">
            <v>45908</v>
          </cell>
          <cell r="AE177">
            <v>45909</v>
          </cell>
          <cell r="AJ177">
            <v>806166.3</v>
          </cell>
          <cell r="AK177">
            <v>45889</v>
          </cell>
          <cell r="AL177">
            <v>45890</v>
          </cell>
          <cell r="AM177">
            <v>45895</v>
          </cell>
          <cell r="AN177">
            <v>45896</v>
          </cell>
          <cell r="AO177">
            <v>45896</v>
          </cell>
          <cell r="AP177">
            <v>45901</v>
          </cell>
          <cell r="AQ177">
            <v>45908</v>
          </cell>
          <cell r="AR177">
            <v>45908</v>
          </cell>
          <cell r="AS177">
            <v>45908</v>
          </cell>
          <cell r="AT177">
            <v>45908</v>
          </cell>
          <cell r="AU177">
            <v>45909</v>
          </cell>
          <cell r="AY177">
            <v>45908</v>
          </cell>
          <cell r="AZ177">
            <v>45909</v>
          </cell>
          <cell r="BA177">
            <v>45909</v>
          </cell>
          <cell r="BB177">
            <v>45909</v>
          </cell>
          <cell r="BC177">
            <v>45911</v>
          </cell>
          <cell r="BD177">
            <v>45909</v>
          </cell>
          <cell r="BE177">
            <v>45911</v>
          </cell>
          <cell r="BF177">
            <v>45911</v>
          </cell>
          <cell r="BG177">
            <v>45912</v>
          </cell>
          <cell r="BH177">
            <v>45915</v>
          </cell>
          <cell r="BQ177"/>
          <cell r="CD177">
            <v>45916</v>
          </cell>
          <cell r="CE177" t="str">
            <v>NÃO</v>
          </cell>
          <cell r="CI177">
            <v>45924</v>
          </cell>
        </row>
        <row r="178">
          <cell r="A178"/>
          <cell r="B178" t="str">
            <v>032/2025</v>
          </cell>
          <cell r="E178" t="str">
            <v>STELLA</v>
          </cell>
          <cell r="F178" t="str">
            <v>DELIVERED</v>
          </cell>
          <cell r="G178" t="str">
            <v>AIR</v>
          </cell>
          <cell r="J178">
            <v>45855</v>
          </cell>
          <cell r="L178">
            <v>45865</v>
          </cell>
          <cell r="O178">
            <v>45876</v>
          </cell>
          <cell r="P178" t="str">
            <v>057-55502635
DTW250713FOR</v>
          </cell>
          <cell r="R178" t="str">
            <v>PWBR250109-40_x000D_</v>
          </cell>
          <cell r="U178" t="str">
            <v>N/A</v>
          </cell>
          <cell r="AC178"/>
          <cell r="AD178">
            <v>45867</v>
          </cell>
          <cell r="AE178">
            <v>45867</v>
          </cell>
          <cell r="AJ178">
            <v>148624.24</v>
          </cell>
          <cell r="AK178">
            <v>45860</v>
          </cell>
          <cell r="AL178">
            <v>45860</v>
          </cell>
          <cell r="AM178">
            <v>45861</v>
          </cell>
          <cell r="AN178">
            <v>45861</v>
          </cell>
          <cell r="AO178">
            <v>45862</v>
          </cell>
          <cell r="AP178">
            <v>45864</v>
          </cell>
          <cell r="AQ178">
            <v>45867</v>
          </cell>
          <cell r="AR178">
            <v>45866</v>
          </cell>
          <cell r="AS178">
            <v>45867</v>
          </cell>
          <cell r="AT178">
            <v>45867</v>
          </cell>
          <cell r="AU178">
            <v>45873</v>
          </cell>
          <cell r="AY178">
            <v>45867</v>
          </cell>
          <cell r="AZ178">
            <v>45873</v>
          </cell>
          <cell r="BA178">
            <v>45873</v>
          </cell>
          <cell r="BB178">
            <v>45873</v>
          </cell>
          <cell r="BC178">
            <v>45874</v>
          </cell>
          <cell r="BD178">
            <v>45873</v>
          </cell>
          <cell r="BE178">
            <v>45874</v>
          </cell>
          <cell r="BF178">
            <v>45874</v>
          </cell>
          <cell r="BG178">
            <v>45875</v>
          </cell>
          <cell r="BH178">
            <v>45876</v>
          </cell>
          <cell r="BS178"/>
          <cell r="CE178" t="str">
            <v>NÃO</v>
          </cell>
          <cell r="CI178" t="str">
            <v/>
          </cell>
        </row>
        <row r="179">
          <cell r="A179"/>
          <cell r="B179" t="str">
            <v>040/2025</v>
          </cell>
          <cell r="E179" t="str">
            <v>STELLA</v>
          </cell>
          <cell r="F179" t="str">
            <v>DELIVERED</v>
          </cell>
          <cell r="G179" t="str">
            <v>AIR</v>
          </cell>
          <cell r="J179">
            <v>45912</v>
          </cell>
          <cell r="L179">
            <v>45914</v>
          </cell>
          <cell r="O179">
            <v>45926</v>
          </cell>
          <cell r="P179" t="str">
            <v>M: 05756761482
H: DTW250901FOR</v>
          </cell>
          <cell r="R179" t="str">
            <v>PWBR250109-10</v>
          </cell>
          <cell r="AD179">
            <v>45919</v>
          </cell>
          <cell r="AE179">
            <v>45919</v>
          </cell>
          <cell r="AJ179">
            <v>71262.11</v>
          </cell>
          <cell r="AK179">
            <v>45911</v>
          </cell>
          <cell r="AL179">
            <v>45915</v>
          </cell>
          <cell r="AM179">
            <v>45915</v>
          </cell>
          <cell r="AN179">
            <v>45915</v>
          </cell>
          <cell r="AO179">
            <v>45915</v>
          </cell>
          <cell r="AP179">
            <v>45916</v>
          </cell>
          <cell r="AQ179">
            <v>45919</v>
          </cell>
          <cell r="AR179">
            <v>45914</v>
          </cell>
          <cell r="AS179">
            <v>45919</v>
          </cell>
          <cell r="AT179">
            <v>45919</v>
          </cell>
          <cell r="AU179">
            <v>45922</v>
          </cell>
          <cell r="AY179">
            <v>45919</v>
          </cell>
          <cell r="AZ179">
            <v>45922</v>
          </cell>
          <cell r="BA179">
            <v>45922</v>
          </cell>
          <cell r="BB179">
            <v>45922</v>
          </cell>
          <cell r="BC179">
            <v>45925</v>
          </cell>
          <cell r="BD179">
            <v>45922</v>
          </cell>
          <cell r="BE179">
            <v>45925</v>
          </cell>
          <cell r="BF179">
            <v>45925</v>
          </cell>
          <cell r="BG179">
            <v>45926</v>
          </cell>
          <cell r="BH179">
            <v>45926</v>
          </cell>
          <cell r="BQ179">
            <v>5119.5200000000004</v>
          </cell>
          <cell r="BR179">
            <v>45971</v>
          </cell>
          <cell r="BS179"/>
          <cell r="CE179" t="str">
            <v>NÃO</v>
          </cell>
          <cell r="CI179" t="str">
            <v/>
          </cell>
        </row>
        <row r="180">
          <cell r="A180"/>
          <cell r="B180" t="str">
            <v>Z-020/2025</v>
          </cell>
          <cell r="E180" t="str">
            <v>POLYANE</v>
          </cell>
          <cell r="F180" t="str">
            <v>DELIVERED</v>
          </cell>
          <cell r="G180" t="str">
            <v>AIR</v>
          </cell>
          <cell r="J180">
            <v>45862</v>
          </cell>
          <cell r="L180">
            <v>45865</v>
          </cell>
          <cell r="O180">
            <v>45874</v>
          </cell>
          <cell r="P180" t="str">
            <v>M:05755502705
H:DTW250718FOR</v>
          </cell>
          <cell r="R180" t="str">
            <v>SBR2500026/29</v>
          </cell>
          <cell r="T180" t="str">
            <v>N/A</v>
          </cell>
          <cell r="U180" t="str">
            <v>N/A</v>
          </cell>
          <cell r="AC180"/>
          <cell r="AD180">
            <v>45866</v>
          </cell>
          <cell r="AE180">
            <v>45866</v>
          </cell>
          <cell r="AJ180">
            <v>8275.24</v>
          </cell>
          <cell r="AK180">
            <v>45861</v>
          </cell>
          <cell r="AL180">
            <v>45861</v>
          </cell>
          <cell r="AM180">
            <v>45862</v>
          </cell>
          <cell r="AN180">
            <v>45862</v>
          </cell>
          <cell r="AO180">
            <v>45862</v>
          </cell>
          <cell r="AP180">
            <v>45866</v>
          </cell>
          <cell r="AQ180">
            <v>45866</v>
          </cell>
          <cell r="AR180">
            <v>45865</v>
          </cell>
          <cell r="AS180">
            <v>45866</v>
          </cell>
          <cell r="AT180">
            <v>45866</v>
          </cell>
          <cell r="AU180">
            <v>45866</v>
          </cell>
          <cell r="BA180">
            <v>45867</v>
          </cell>
          <cell r="BB180">
            <v>45867</v>
          </cell>
          <cell r="BC180">
            <v>45873</v>
          </cell>
          <cell r="BD180">
            <v>45867</v>
          </cell>
          <cell r="BE180">
            <v>45873</v>
          </cell>
          <cell r="BF180">
            <v>45873</v>
          </cell>
          <cell r="BG180">
            <v>45874</v>
          </cell>
          <cell r="BH180">
            <v>45874</v>
          </cell>
          <cell r="BS180"/>
          <cell r="CE180" t="str">
            <v>NÃO</v>
          </cell>
          <cell r="CI180" t="str">
            <v/>
          </cell>
        </row>
        <row r="181">
          <cell r="A181"/>
          <cell r="B181" t="str">
            <v>028C/2025</v>
          </cell>
          <cell r="E181" t="str">
            <v>STELLA</v>
          </cell>
          <cell r="F181" t="str">
            <v>DELIVERED</v>
          </cell>
          <cell r="G181" t="str">
            <v>SEA</v>
          </cell>
          <cell r="J181">
            <v>45861</v>
          </cell>
          <cell r="L181">
            <v>45906</v>
          </cell>
          <cell r="O181">
            <v>45922</v>
          </cell>
          <cell r="P181" t="str">
            <v>H: SDBLBS560783
M: NGP2598593</v>
          </cell>
          <cell r="R181" t="str">
            <v>PWBR250103-10C</v>
          </cell>
          <cell r="T181" t="str">
            <v>BMOU9709088 ; TCLU1117089 ; TRIU8054794</v>
          </cell>
          <cell r="U181">
            <v>3</v>
          </cell>
          <cell r="AC181"/>
          <cell r="AD181">
            <v>45911</v>
          </cell>
          <cell r="AE181">
            <v>45911</v>
          </cell>
          <cell r="AJ181">
            <v>1686976.56</v>
          </cell>
          <cell r="AK181">
            <v>45892</v>
          </cell>
          <cell r="AL181">
            <v>45894</v>
          </cell>
          <cell r="AM181">
            <v>45910</v>
          </cell>
          <cell r="AN181">
            <v>45911</v>
          </cell>
          <cell r="AO181">
            <v>45911</v>
          </cell>
          <cell r="AP181">
            <v>45911</v>
          </cell>
          <cell r="AQ181">
            <v>45908</v>
          </cell>
          <cell r="AR181">
            <v>45908</v>
          </cell>
          <cell r="AS181">
            <v>45911</v>
          </cell>
          <cell r="AT181">
            <v>45911</v>
          </cell>
          <cell r="AU181">
            <v>45911</v>
          </cell>
          <cell r="AV181">
            <v>45911</v>
          </cell>
          <cell r="AW181">
            <v>45911</v>
          </cell>
          <cell r="AX181">
            <v>45911</v>
          </cell>
          <cell r="AY181">
            <v>45911</v>
          </cell>
          <cell r="AZ181">
            <v>45911</v>
          </cell>
          <cell r="BA181">
            <v>45912</v>
          </cell>
          <cell r="BB181">
            <v>45912</v>
          </cell>
          <cell r="BC181">
            <v>45912</v>
          </cell>
          <cell r="BD181">
            <v>45912</v>
          </cell>
          <cell r="BE181">
            <v>45916</v>
          </cell>
          <cell r="BF181">
            <v>45916</v>
          </cell>
          <cell r="BG181">
            <v>45916</v>
          </cell>
          <cell r="BH181">
            <v>45917</v>
          </cell>
          <cell r="BQ181">
            <v>2207.64</v>
          </cell>
          <cell r="BR181">
            <v>45916</v>
          </cell>
          <cell r="CD181">
            <v>45922</v>
          </cell>
          <cell r="CE181" t="str">
            <v>NÃO</v>
          </cell>
          <cell r="CI181">
            <v>45924</v>
          </cell>
        </row>
        <row r="182">
          <cell r="A182"/>
          <cell r="B182" t="str">
            <v>Z-019/2025</v>
          </cell>
          <cell r="E182" t="str">
            <v>POLYANE</v>
          </cell>
          <cell r="F182" t="str">
            <v>DELIVERED</v>
          </cell>
          <cell r="G182" t="str">
            <v>SEA</v>
          </cell>
          <cell r="J182">
            <v>45875</v>
          </cell>
          <cell r="L182">
            <v>45920</v>
          </cell>
          <cell r="O182">
            <v>45930</v>
          </cell>
          <cell r="P182" t="str">
            <v>H: SDBLBS561078
M: NGP2641423</v>
          </cell>
          <cell r="R182" t="str">
            <v>PWBR250059</v>
          </cell>
          <cell r="T182" t="str">
            <v>APRU6111203; CGMU6530504</v>
          </cell>
          <cell r="U182">
            <v>2</v>
          </cell>
          <cell r="AC182"/>
          <cell r="AD182">
            <v>45922</v>
          </cell>
          <cell r="AE182">
            <v>45922</v>
          </cell>
          <cell r="AJ182">
            <v>1905405.21</v>
          </cell>
          <cell r="AK182">
            <v>45888</v>
          </cell>
          <cell r="AL182">
            <v>45888</v>
          </cell>
          <cell r="AM182">
            <v>45891</v>
          </cell>
          <cell r="AN182">
            <v>45894</v>
          </cell>
          <cell r="AO182">
            <v>45894</v>
          </cell>
          <cell r="AP182">
            <v>45898</v>
          </cell>
          <cell r="AQ182">
            <v>45922</v>
          </cell>
          <cell r="AR182">
            <v>45922</v>
          </cell>
          <cell r="AS182">
            <v>45922</v>
          </cell>
          <cell r="AT182">
            <v>45922</v>
          </cell>
          <cell r="AU182">
            <v>45922</v>
          </cell>
          <cell r="AY182">
            <v>45922</v>
          </cell>
          <cell r="AZ182">
            <v>45922</v>
          </cell>
          <cell r="BA182">
            <v>45923</v>
          </cell>
          <cell r="BB182">
            <v>45923</v>
          </cell>
          <cell r="BC182">
            <v>45923</v>
          </cell>
          <cell r="BD182">
            <v>45923</v>
          </cell>
          <cell r="BE182">
            <v>45923</v>
          </cell>
          <cell r="BF182">
            <v>45923</v>
          </cell>
          <cell r="BG182">
            <v>45924</v>
          </cell>
          <cell r="BH182">
            <v>45924</v>
          </cell>
          <cell r="CD182">
            <v>45931</v>
          </cell>
          <cell r="CE182" t="str">
            <v>NÃO</v>
          </cell>
          <cell r="CI182">
            <v>45938</v>
          </cell>
        </row>
        <row r="183">
          <cell r="A183"/>
          <cell r="B183" t="str">
            <v>032A/2025</v>
          </cell>
          <cell r="E183" t="str">
            <v>STELLA</v>
          </cell>
          <cell r="F183" t="str">
            <v>DELIVERED</v>
          </cell>
          <cell r="G183" t="str">
            <v>COURIER</v>
          </cell>
          <cell r="J183">
            <v>45868</v>
          </cell>
          <cell r="L183">
            <v>45876</v>
          </cell>
          <cell r="O183">
            <v>45877</v>
          </cell>
          <cell r="P183" t="str">
            <v>30 7286 0033</v>
          </cell>
          <cell r="R183">
            <v>20250715</v>
          </cell>
          <cell r="AC183"/>
          <cell r="AD183">
            <v>45870</v>
          </cell>
          <cell r="AE183">
            <v>45870</v>
          </cell>
          <cell r="AJ183">
            <v>1922.2</v>
          </cell>
          <cell r="AR183">
            <v>45871</v>
          </cell>
          <cell r="BS183"/>
          <cell r="CE183" t="str">
            <v>NÃO</v>
          </cell>
          <cell r="CI183" t="str">
            <v/>
          </cell>
        </row>
        <row r="184">
          <cell r="A184"/>
          <cell r="B184" t="str">
            <v>Z-016/2025</v>
          </cell>
          <cell r="E184" t="str">
            <v>POLYANE</v>
          </cell>
          <cell r="F184" t="str">
            <v>DELIVERED</v>
          </cell>
          <cell r="G184" t="str">
            <v>SEA</v>
          </cell>
          <cell r="J184">
            <v>45861</v>
          </cell>
          <cell r="L184">
            <v>45906</v>
          </cell>
          <cell r="O184">
            <v>45915</v>
          </cell>
          <cell r="P184" t="str">
            <v>SDBLBS560787</v>
          </cell>
          <cell r="R184" t="str">
            <v>PWBR250057</v>
          </cell>
          <cell r="T184" t="str">
            <v>SEGU9058635</v>
          </cell>
          <cell r="U184">
            <v>1</v>
          </cell>
          <cell r="AC184"/>
          <cell r="AD184">
            <v>45910</v>
          </cell>
          <cell r="AE184">
            <v>45910</v>
          </cell>
          <cell r="AJ184">
            <v>2512552.92</v>
          </cell>
          <cell r="AK184">
            <v>45866</v>
          </cell>
          <cell r="AL184">
            <v>45867</v>
          </cell>
          <cell r="AM184">
            <v>45873</v>
          </cell>
          <cell r="AN184">
            <v>45874</v>
          </cell>
          <cell r="AO184">
            <v>45875</v>
          </cell>
          <cell r="AP184">
            <v>45876</v>
          </cell>
          <cell r="AQ184">
            <v>45905</v>
          </cell>
          <cell r="AR184">
            <v>45906</v>
          </cell>
          <cell r="AS184">
            <v>45909</v>
          </cell>
          <cell r="AT184">
            <v>45910</v>
          </cell>
          <cell r="AU184">
            <v>45910</v>
          </cell>
          <cell r="AV184">
            <v>45910</v>
          </cell>
          <cell r="AW184">
            <v>45910</v>
          </cell>
          <cell r="AX184">
            <v>45910</v>
          </cell>
          <cell r="AY184">
            <v>45910</v>
          </cell>
          <cell r="AZ184">
            <v>45910</v>
          </cell>
          <cell r="BA184">
            <v>45910</v>
          </cell>
          <cell r="BB184">
            <v>45910</v>
          </cell>
          <cell r="BC184">
            <v>45911</v>
          </cell>
          <cell r="BD184">
            <v>45910</v>
          </cell>
          <cell r="BE184">
            <v>45911</v>
          </cell>
          <cell r="BF184">
            <v>45911</v>
          </cell>
          <cell r="BG184">
            <v>45913</v>
          </cell>
          <cell r="BH184">
            <v>45911</v>
          </cell>
          <cell r="CD184">
            <v>45915</v>
          </cell>
          <cell r="CE184" t="str">
            <v>NÃO</v>
          </cell>
          <cell r="CI184">
            <v>45924</v>
          </cell>
        </row>
        <row r="185">
          <cell r="A185"/>
          <cell r="B185" t="str">
            <v>Z-021/2025</v>
          </cell>
          <cell r="E185" t="str">
            <v>POLYANE</v>
          </cell>
          <cell r="F185" t="str">
            <v>DELIVERED</v>
          </cell>
          <cell r="G185" t="str">
            <v>COURIER</v>
          </cell>
          <cell r="J185">
            <v>45874</v>
          </cell>
          <cell r="L185">
            <v>45888</v>
          </cell>
          <cell r="O185">
            <v>45889</v>
          </cell>
          <cell r="P185">
            <v>1852497695</v>
          </cell>
          <cell r="R185" t="str">
            <v>IP Z-021.2025</v>
          </cell>
          <cell r="AC185"/>
          <cell r="AD185">
            <v>45875</v>
          </cell>
          <cell r="AE185">
            <v>45876</v>
          </cell>
          <cell r="AJ185">
            <v>7440.25</v>
          </cell>
          <cell r="AK185">
            <v>45894</v>
          </cell>
          <cell r="AR185">
            <v>45876</v>
          </cell>
          <cell r="BD185">
            <v>45923</v>
          </cell>
          <cell r="BE185">
            <v>45924</v>
          </cell>
          <cell r="BS185"/>
          <cell r="CE185" t="str">
            <v>NÃO</v>
          </cell>
          <cell r="CI185" t="str">
            <v/>
          </cell>
        </row>
        <row r="186">
          <cell r="A186"/>
          <cell r="B186" t="str">
            <v>028D/2025</v>
          </cell>
          <cell r="E186" t="str">
            <v>STELLA</v>
          </cell>
          <cell r="F186" t="str">
            <v>DELIVERED</v>
          </cell>
          <cell r="G186" t="str">
            <v>SEA</v>
          </cell>
          <cell r="J186">
            <v>45879</v>
          </cell>
          <cell r="L186">
            <v>45920</v>
          </cell>
          <cell r="O186">
            <v>45927</v>
          </cell>
          <cell r="P186" t="str">
            <v>M: MEDUOT551803
H: SDBLBS560822</v>
          </cell>
          <cell r="R186" t="str">
            <v>PWBR250103-10D</v>
          </cell>
          <cell r="T186" t="str">
            <v>CXDU2159986</v>
          </cell>
          <cell r="U186">
            <v>1</v>
          </cell>
          <cell r="AC186"/>
          <cell r="AD186">
            <v>45922</v>
          </cell>
          <cell r="AE186">
            <v>45923</v>
          </cell>
          <cell r="AJ186">
            <v>389018.46</v>
          </cell>
          <cell r="AK186">
            <v>45889</v>
          </cell>
          <cell r="AL186">
            <v>45889</v>
          </cell>
          <cell r="AM186">
            <v>45917</v>
          </cell>
          <cell r="AN186">
            <v>45918</v>
          </cell>
          <cell r="AO186">
            <v>45918</v>
          </cell>
          <cell r="AP186">
            <v>45918</v>
          </cell>
          <cell r="AQ186">
            <v>45922</v>
          </cell>
          <cell r="AR186">
            <v>45922</v>
          </cell>
          <cell r="AS186">
            <v>45922</v>
          </cell>
          <cell r="AT186">
            <v>45922</v>
          </cell>
          <cell r="AU186">
            <v>45923</v>
          </cell>
          <cell r="AY186">
            <v>45922</v>
          </cell>
          <cell r="AZ186">
            <v>45923</v>
          </cell>
          <cell r="BA186">
            <v>45923</v>
          </cell>
          <cell r="BB186">
            <v>45923</v>
          </cell>
          <cell r="BC186">
            <v>45924</v>
          </cell>
          <cell r="BD186">
            <v>45923</v>
          </cell>
          <cell r="BE186">
            <v>45924</v>
          </cell>
          <cell r="BF186">
            <v>45924</v>
          </cell>
          <cell r="BG186">
            <v>45926</v>
          </cell>
          <cell r="BH186">
            <v>45926</v>
          </cell>
          <cell r="BQ186"/>
          <cell r="CD186">
            <v>45929</v>
          </cell>
          <cell r="CE186" t="str">
            <v>NÃO</v>
          </cell>
          <cell r="CI186">
            <v>45938</v>
          </cell>
        </row>
        <row r="187">
          <cell r="A187"/>
          <cell r="B187" t="str">
            <v>034/2025</v>
          </cell>
          <cell r="E187" t="str">
            <v>STELLA</v>
          </cell>
          <cell r="F187" t="str">
            <v>DELIVERED</v>
          </cell>
          <cell r="G187" t="str">
            <v>AIR</v>
          </cell>
          <cell r="J187">
            <v>45877</v>
          </cell>
          <cell r="L187">
            <v>45879</v>
          </cell>
          <cell r="O187">
            <v>45882</v>
          </cell>
          <cell r="P187" t="str">
            <v>M: 057-56507102
H: DTW250804FOR</v>
          </cell>
          <cell r="R187" t="str">
            <v>PWBR250115-10</v>
          </cell>
          <cell r="U187" t="str">
            <v>N/A</v>
          </cell>
          <cell r="AC187"/>
          <cell r="AD187">
            <v>45880</v>
          </cell>
          <cell r="AE187">
            <v>45880</v>
          </cell>
          <cell r="AJ187">
            <v>26362.59</v>
          </cell>
          <cell r="AK187">
            <v>45875</v>
          </cell>
          <cell r="AL187">
            <v>45876</v>
          </cell>
          <cell r="AM187">
            <v>45876</v>
          </cell>
          <cell r="AN187">
            <v>45876</v>
          </cell>
          <cell r="AO187">
            <v>45876</v>
          </cell>
          <cell r="AP187">
            <v>45877</v>
          </cell>
          <cell r="AQ187">
            <v>45880</v>
          </cell>
          <cell r="AR187">
            <v>45879</v>
          </cell>
          <cell r="AS187">
            <v>45880</v>
          </cell>
          <cell r="AT187">
            <v>45880</v>
          </cell>
          <cell r="AU187">
            <v>45880</v>
          </cell>
          <cell r="AY187">
            <v>45880</v>
          </cell>
          <cell r="AZ187">
            <v>45880</v>
          </cell>
          <cell r="BA187">
            <v>45880</v>
          </cell>
          <cell r="BB187">
            <v>45880</v>
          </cell>
          <cell r="BC187">
            <v>45880</v>
          </cell>
          <cell r="BD187">
            <v>45880</v>
          </cell>
          <cell r="BE187">
            <v>45881</v>
          </cell>
          <cell r="BF187">
            <v>45881</v>
          </cell>
          <cell r="BG187">
            <v>45881</v>
          </cell>
          <cell r="BH187">
            <v>45882</v>
          </cell>
          <cell r="BS187"/>
          <cell r="CE187" t="str">
            <v>NÃO</v>
          </cell>
          <cell r="CI187" t="str">
            <v/>
          </cell>
        </row>
        <row r="188">
          <cell r="A188"/>
          <cell r="B188" t="str">
            <v>035/2025</v>
          </cell>
          <cell r="E188" t="str">
            <v>STELLA</v>
          </cell>
          <cell r="F188" t="str">
            <v>DELIVERED</v>
          </cell>
          <cell r="G188" t="str">
            <v>COURIER</v>
          </cell>
          <cell r="J188">
            <v>45876</v>
          </cell>
          <cell r="L188">
            <v>45880</v>
          </cell>
          <cell r="O188">
            <v>45889</v>
          </cell>
          <cell r="P188">
            <v>4319948194</v>
          </cell>
          <cell r="R188" t="str">
            <v>SBR2500035</v>
          </cell>
          <cell r="AC188"/>
          <cell r="AD188">
            <v>45877</v>
          </cell>
          <cell r="AE188">
            <v>45877</v>
          </cell>
          <cell r="AJ188">
            <v>3786.79</v>
          </cell>
          <cell r="AR188">
            <v>45878</v>
          </cell>
          <cell r="BD188">
            <v>45915</v>
          </cell>
          <cell r="BE188">
            <v>45916</v>
          </cell>
          <cell r="BS188"/>
          <cell r="CE188" t="str">
            <v>NÃO</v>
          </cell>
          <cell r="CI188" t="str">
            <v/>
          </cell>
        </row>
        <row r="189">
          <cell r="A189"/>
          <cell r="B189" t="str">
            <v>Z-022/2025</v>
          </cell>
          <cell r="E189" t="str">
            <v>POLYANE</v>
          </cell>
          <cell r="F189" t="str">
            <v>DELIVERED</v>
          </cell>
          <cell r="G189" t="str">
            <v>SEA</v>
          </cell>
          <cell r="J189">
            <v>45883</v>
          </cell>
          <cell r="L189">
            <v>45927</v>
          </cell>
          <cell r="O189">
            <v>45936</v>
          </cell>
          <cell r="P189" t="str">
            <v>SDBLBS562389</v>
          </cell>
          <cell r="R189" t="str">
            <v>PWBR250059-30</v>
          </cell>
          <cell r="T189" t="str">
            <v>TEMU9262080</v>
          </cell>
          <cell r="U189">
            <v>1</v>
          </cell>
          <cell r="AC189"/>
          <cell r="AD189">
            <v>45931</v>
          </cell>
          <cell r="AE189">
            <v>45931</v>
          </cell>
          <cell r="AJ189">
            <v>1821112.92</v>
          </cell>
          <cell r="AK189">
            <v>45887</v>
          </cell>
          <cell r="AL189">
            <v>45887</v>
          </cell>
          <cell r="AM189">
            <v>45890</v>
          </cell>
          <cell r="AN189">
            <v>45890</v>
          </cell>
          <cell r="AO189">
            <v>45891</v>
          </cell>
          <cell r="AP189">
            <v>45891</v>
          </cell>
          <cell r="AQ189">
            <v>45931</v>
          </cell>
          <cell r="AR189">
            <v>45931</v>
          </cell>
          <cell r="AS189">
            <v>45931</v>
          </cell>
          <cell r="AT189">
            <v>45931</v>
          </cell>
          <cell r="AU189">
            <v>45932</v>
          </cell>
          <cell r="AY189">
            <v>45931</v>
          </cell>
          <cell r="AZ189">
            <v>45932</v>
          </cell>
          <cell r="BA189">
            <v>45932</v>
          </cell>
          <cell r="BB189">
            <v>45932</v>
          </cell>
          <cell r="BC189">
            <v>45932</v>
          </cell>
          <cell r="BD189">
            <v>45932</v>
          </cell>
          <cell r="BE189">
            <v>45932</v>
          </cell>
          <cell r="BF189">
            <v>45932</v>
          </cell>
          <cell r="BG189">
            <v>45932</v>
          </cell>
          <cell r="BH189">
            <v>45936</v>
          </cell>
          <cell r="CD189">
            <v>45936</v>
          </cell>
          <cell r="CE189" t="str">
            <v>NÃO</v>
          </cell>
          <cell r="CI189">
            <v>45945</v>
          </cell>
        </row>
        <row r="190">
          <cell r="A190"/>
          <cell r="B190" t="str">
            <v>NH-013/2025</v>
          </cell>
          <cell r="E190" t="str">
            <v>POLYANE</v>
          </cell>
          <cell r="F190" t="str">
            <v>DELIVERED</v>
          </cell>
          <cell r="G190" t="str">
            <v>AIR</v>
          </cell>
          <cell r="J190">
            <v>45885</v>
          </cell>
          <cell r="L190">
            <v>45891</v>
          </cell>
          <cell r="O190">
            <v>45897</v>
          </cell>
          <cell r="P190" t="str">
            <v>M: 05756479964
H: DTW250812FOR</v>
          </cell>
          <cell r="R190" t="str">
            <v>PW2025013</v>
          </cell>
          <cell r="T190" t="str">
            <v>N/A</v>
          </cell>
          <cell r="U190" t="str">
            <v>N/A</v>
          </cell>
          <cell r="AC190"/>
          <cell r="AD190">
            <v>45894</v>
          </cell>
          <cell r="AE190">
            <v>45895</v>
          </cell>
          <cell r="AJ190">
            <v>15522.72</v>
          </cell>
          <cell r="AK190">
            <v>45883</v>
          </cell>
          <cell r="AL190">
            <v>45883</v>
          </cell>
          <cell r="AM190">
            <v>45883</v>
          </cell>
          <cell r="AN190">
            <v>45883</v>
          </cell>
          <cell r="AO190">
            <v>45887</v>
          </cell>
          <cell r="AP190">
            <v>45887</v>
          </cell>
          <cell r="AQ190">
            <v>45894</v>
          </cell>
          <cell r="AR190">
            <v>45891</v>
          </cell>
          <cell r="AS190">
            <v>45894</v>
          </cell>
          <cell r="AT190">
            <v>45895</v>
          </cell>
          <cell r="AU190">
            <v>45895</v>
          </cell>
          <cell r="AV190">
            <v>45895</v>
          </cell>
          <cell r="AW190">
            <v>45895</v>
          </cell>
          <cell r="AX190">
            <v>45895</v>
          </cell>
          <cell r="BD190">
            <v>45895</v>
          </cell>
          <cell r="BE190">
            <v>45896</v>
          </cell>
          <cell r="BF190">
            <v>45896</v>
          </cell>
          <cell r="BG190">
            <v>45896</v>
          </cell>
          <cell r="BH190">
            <v>45896</v>
          </cell>
          <cell r="BQ190">
            <v>388.01</v>
          </cell>
          <cell r="BS190"/>
          <cell r="CE190" t="str">
            <v>NÃO</v>
          </cell>
          <cell r="CI190" t="str">
            <v/>
          </cell>
        </row>
        <row r="191">
          <cell r="A191"/>
          <cell r="B191" t="str">
            <v>NH-014/2025</v>
          </cell>
          <cell r="E191" t="str">
            <v>POLYANE</v>
          </cell>
          <cell r="F191" t="str">
            <v>DELIVERED</v>
          </cell>
          <cell r="G191" t="str">
            <v>AIR</v>
          </cell>
          <cell r="J191">
            <v>45885</v>
          </cell>
          <cell r="L191">
            <v>45891</v>
          </cell>
          <cell r="O191">
            <v>45897</v>
          </cell>
          <cell r="P191" t="str">
            <v>M: 05756479964
H: DTW250811FOR</v>
          </cell>
          <cell r="R191" t="str">
            <v>PW2025014</v>
          </cell>
          <cell r="T191" t="str">
            <v>N/A</v>
          </cell>
          <cell r="U191" t="str">
            <v>N/A</v>
          </cell>
          <cell r="AC191"/>
          <cell r="AD191">
            <v>45894</v>
          </cell>
          <cell r="AE191">
            <v>45895</v>
          </cell>
          <cell r="AJ191">
            <v>7546.4</v>
          </cell>
          <cell r="AK191">
            <v>45883</v>
          </cell>
          <cell r="AL191">
            <v>45883</v>
          </cell>
          <cell r="AM191">
            <v>45883</v>
          </cell>
          <cell r="AN191">
            <v>45883</v>
          </cell>
          <cell r="AO191">
            <v>45887</v>
          </cell>
          <cell r="AP191">
            <v>45887</v>
          </cell>
          <cell r="AQ191">
            <v>45894</v>
          </cell>
          <cell r="AR191">
            <v>45891</v>
          </cell>
          <cell r="AS191">
            <v>45894</v>
          </cell>
          <cell r="AT191">
            <v>45895</v>
          </cell>
          <cell r="AU191">
            <v>45895</v>
          </cell>
          <cell r="AV191">
            <v>45895</v>
          </cell>
          <cell r="AW191">
            <v>45895</v>
          </cell>
          <cell r="AX191">
            <v>45895</v>
          </cell>
          <cell r="BD191">
            <v>45895</v>
          </cell>
          <cell r="BE191">
            <v>45896</v>
          </cell>
          <cell r="BF191">
            <v>45896</v>
          </cell>
          <cell r="BG191">
            <v>45897</v>
          </cell>
          <cell r="BH191">
            <v>45896</v>
          </cell>
          <cell r="BQ191">
            <v>164.04</v>
          </cell>
          <cell r="BS191"/>
          <cell r="CE191" t="str">
            <v>NÃO</v>
          </cell>
          <cell r="CI191" t="str">
            <v/>
          </cell>
        </row>
        <row r="192">
          <cell r="A192"/>
          <cell r="B192" t="str">
            <v>038/2025</v>
          </cell>
          <cell r="E192" t="str">
            <v>STELLA</v>
          </cell>
          <cell r="F192" t="str">
            <v>DELIVERED</v>
          </cell>
          <cell r="G192" t="str">
            <v>COURIER</v>
          </cell>
          <cell r="J192">
            <v>45890</v>
          </cell>
          <cell r="L192">
            <v>45903</v>
          </cell>
          <cell r="O192">
            <v>45915</v>
          </cell>
          <cell r="P192" t="str">
            <v>90 5349 8576</v>
          </cell>
          <cell r="R192" t="str">
            <v>SBR2500034</v>
          </cell>
          <cell r="AC192"/>
          <cell r="AD192">
            <v>45893</v>
          </cell>
          <cell r="AE192">
            <v>45893</v>
          </cell>
          <cell r="AJ192">
            <v>2739.06</v>
          </cell>
          <cell r="AR192">
            <v>45894</v>
          </cell>
          <cell r="BD192">
            <v>45915</v>
          </cell>
          <cell r="BE192">
            <v>45915</v>
          </cell>
          <cell r="BS192"/>
          <cell r="CE192" t="str">
            <v>NÃO</v>
          </cell>
          <cell r="CI192" t="str">
            <v/>
          </cell>
        </row>
        <row r="193">
          <cell r="A193"/>
          <cell r="B193" t="str">
            <v>Z-023/2025</v>
          </cell>
          <cell r="E193" t="str">
            <v>POLYANE</v>
          </cell>
          <cell r="F193" t="str">
            <v>DELIVERED</v>
          </cell>
          <cell r="G193" t="str">
            <v>AIR</v>
          </cell>
          <cell r="J193">
            <v>45892</v>
          </cell>
          <cell r="L193">
            <v>45906</v>
          </cell>
          <cell r="O193">
            <v>45911</v>
          </cell>
          <cell r="P193" t="str">
            <v>M: 07470231954
H: DTW250818FOR</v>
          </cell>
          <cell r="R193" t="str">
            <v>SBR2500033</v>
          </cell>
          <cell r="T193" t="str">
            <v>N/A</v>
          </cell>
          <cell r="U193" t="str">
            <v>N/A</v>
          </cell>
          <cell r="AC193"/>
          <cell r="AD193">
            <v>45908</v>
          </cell>
          <cell r="AE193">
            <v>45909</v>
          </cell>
          <cell r="AJ193">
            <v>24938.959999999999</v>
          </cell>
          <cell r="AK193">
            <v>45890</v>
          </cell>
          <cell r="AL193">
            <v>45890</v>
          </cell>
          <cell r="AM193">
            <v>45890</v>
          </cell>
          <cell r="AN193">
            <v>45890</v>
          </cell>
          <cell r="AO193">
            <v>45890</v>
          </cell>
          <cell r="AP193">
            <v>45890</v>
          </cell>
          <cell r="AQ193">
            <v>45905</v>
          </cell>
          <cell r="AR193">
            <v>45906</v>
          </cell>
          <cell r="AS193">
            <v>45908</v>
          </cell>
          <cell r="AT193">
            <v>45909</v>
          </cell>
          <cell r="AU193">
            <v>45909</v>
          </cell>
          <cell r="AV193">
            <v>45908</v>
          </cell>
          <cell r="AW193">
            <v>45909</v>
          </cell>
          <cell r="AX193">
            <v>45909</v>
          </cell>
          <cell r="BD193">
            <v>45909</v>
          </cell>
          <cell r="BE193">
            <v>45909</v>
          </cell>
          <cell r="BF193">
            <v>45910</v>
          </cell>
          <cell r="BG193">
            <v>45911</v>
          </cell>
          <cell r="BH193">
            <v>45910</v>
          </cell>
          <cell r="BQ193">
            <v>496.31</v>
          </cell>
          <cell r="BS193"/>
          <cell r="CE193" t="str">
            <v>NÃO</v>
          </cell>
          <cell r="CI193" t="str">
            <v/>
          </cell>
        </row>
        <row r="194">
          <cell r="A194"/>
          <cell r="B194" t="str">
            <v>043/2025</v>
          </cell>
          <cell r="E194" t="str">
            <v>STELLA</v>
          </cell>
          <cell r="F194" t="str">
            <v>DELIVERED</v>
          </cell>
          <cell r="G194" t="str">
            <v>COURIER</v>
          </cell>
          <cell r="J194">
            <v>45917</v>
          </cell>
          <cell r="L194">
            <v>45925</v>
          </cell>
          <cell r="O194">
            <v>45925</v>
          </cell>
          <cell r="P194" t="str">
            <v>30 3345 4222</v>
          </cell>
          <cell r="R194" t="str">
            <v>SBR2500043</v>
          </cell>
          <cell r="AD194">
            <v>45919</v>
          </cell>
          <cell r="AE194">
            <v>45919</v>
          </cell>
          <cell r="AJ194">
            <v>15602.58</v>
          </cell>
          <cell r="AR194">
            <v>45920</v>
          </cell>
          <cell r="BD194">
            <v>45929</v>
          </cell>
          <cell r="BE194">
            <v>45932</v>
          </cell>
          <cell r="BS194"/>
          <cell r="CE194" t="str">
            <v>NÃO</v>
          </cell>
          <cell r="CI194" t="str">
            <v/>
          </cell>
        </row>
        <row r="195">
          <cell r="A195"/>
          <cell r="B195" t="str">
            <v>046/2025</v>
          </cell>
          <cell r="E195" t="str">
            <v>STELLA</v>
          </cell>
          <cell r="F195" t="str">
            <v>DELIVERED</v>
          </cell>
          <cell r="G195" t="str">
            <v>COURIER</v>
          </cell>
          <cell r="J195">
            <v>45918</v>
          </cell>
          <cell r="L195">
            <v>45926</v>
          </cell>
          <cell r="O195">
            <v>45939</v>
          </cell>
          <cell r="P195" t="str">
            <v>27 4995 4734</v>
          </cell>
          <cell r="R195" t="str">
            <v>SBR2500031-10</v>
          </cell>
          <cell r="AD195">
            <v>45919</v>
          </cell>
          <cell r="AE195">
            <v>45920</v>
          </cell>
          <cell r="AJ195">
            <v>1066.8776</v>
          </cell>
          <cell r="AR195">
            <v>45920</v>
          </cell>
          <cell r="BS195"/>
          <cell r="CE195" t="str">
            <v>NÃO</v>
          </cell>
          <cell r="CI195" t="str">
            <v/>
          </cell>
        </row>
        <row r="196">
          <cell r="A196"/>
          <cell r="B196" t="str">
            <v>033/2025</v>
          </cell>
          <cell r="E196" t="str">
            <v>STELLA</v>
          </cell>
          <cell r="F196" t="str">
            <v>DELIVERED</v>
          </cell>
          <cell r="G196" t="str">
            <v>SEA</v>
          </cell>
          <cell r="J196">
            <v>45883</v>
          </cell>
          <cell r="L196">
            <v>45927</v>
          </cell>
          <cell r="O196">
            <v>45936</v>
          </cell>
          <cell r="P196" t="str">
            <v>SDBLBS562398</v>
          </cell>
          <cell r="R196" t="str">
            <v>PWBR250126-30</v>
          </cell>
          <cell r="T196" t="str">
            <v>TEMU9262080</v>
          </cell>
          <cell r="U196">
            <v>1</v>
          </cell>
          <cell r="AC196"/>
          <cell r="AD196">
            <v>45931</v>
          </cell>
          <cell r="AE196">
            <v>45931</v>
          </cell>
          <cell r="AJ196">
            <v>368460.89</v>
          </cell>
          <cell r="AK196">
            <v>45888</v>
          </cell>
          <cell r="AL196">
            <v>45888</v>
          </cell>
          <cell r="AM196">
            <v>45912</v>
          </cell>
          <cell r="AN196">
            <v>45889</v>
          </cell>
          <cell r="AO196">
            <v>45891</v>
          </cell>
          <cell r="AP196">
            <v>45891</v>
          </cell>
          <cell r="AQ196">
            <v>45931</v>
          </cell>
          <cell r="AR196">
            <v>45931</v>
          </cell>
          <cell r="AS196">
            <v>45931</v>
          </cell>
          <cell r="AT196">
            <v>45931</v>
          </cell>
          <cell r="AU196">
            <v>45931</v>
          </cell>
          <cell r="AY196">
            <v>45931</v>
          </cell>
          <cell r="AZ196">
            <v>45931</v>
          </cell>
          <cell r="BA196">
            <v>45932</v>
          </cell>
          <cell r="BB196">
            <v>45932</v>
          </cell>
          <cell r="BC196">
            <v>45932</v>
          </cell>
          <cell r="BD196">
            <v>45932</v>
          </cell>
          <cell r="BE196">
            <v>45932</v>
          </cell>
          <cell r="BF196">
            <v>45932</v>
          </cell>
          <cell r="BG196">
            <v>45932</v>
          </cell>
          <cell r="BH196">
            <v>45936</v>
          </cell>
          <cell r="CD196">
            <v>45936</v>
          </cell>
          <cell r="CE196" t="str">
            <v>NÃO</v>
          </cell>
          <cell r="CI196">
            <v>45945</v>
          </cell>
        </row>
        <row r="197">
          <cell r="A197" t="str">
            <v>IMO</v>
          </cell>
          <cell r="B197" t="str">
            <v>EPIC-001/2025</v>
          </cell>
          <cell r="E197" t="str">
            <v>POLYANE</v>
          </cell>
          <cell r="F197" t="str">
            <v>DELIVERED</v>
          </cell>
          <cell r="G197" t="str">
            <v>AIR</v>
          </cell>
          <cell r="J197">
            <v>45939</v>
          </cell>
          <cell r="L197">
            <v>45949</v>
          </cell>
          <cell r="O197">
            <v>45968</v>
          </cell>
          <cell r="P197" t="str">
            <v>H: HFF18670
M: 045-15982120</v>
          </cell>
          <cell r="R197" t="str">
            <v>SM07026</v>
          </cell>
          <cell r="AC197"/>
          <cell r="AD197">
            <v>45952</v>
          </cell>
          <cell r="AE197">
            <v>45953</v>
          </cell>
          <cell r="AJ197">
            <v>3160.98</v>
          </cell>
          <cell r="AK197">
            <v>45912</v>
          </cell>
          <cell r="AL197">
            <v>45915</v>
          </cell>
          <cell r="AM197">
            <v>45916</v>
          </cell>
          <cell r="AN197">
            <v>45916</v>
          </cell>
          <cell r="AO197">
            <v>45917</v>
          </cell>
          <cell r="AP197">
            <v>45918</v>
          </cell>
          <cell r="AQ197">
            <v>45952</v>
          </cell>
          <cell r="AR197">
            <v>45952</v>
          </cell>
          <cell r="AS197">
            <v>45952</v>
          </cell>
          <cell r="AT197">
            <v>45952</v>
          </cell>
          <cell r="AU197">
            <v>45953</v>
          </cell>
          <cell r="AV197">
            <v>45952</v>
          </cell>
          <cell r="AW197">
            <v>45953</v>
          </cell>
          <cell r="AX197">
            <v>45953</v>
          </cell>
          <cell r="BD197">
            <v>45953</v>
          </cell>
          <cell r="BE197">
            <v>45954</v>
          </cell>
          <cell r="BF197">
            <v>45954</v>
          </cell>
          <cell r="BG197">
            <v>45958</v>
          </cell>
          <cell r="BH197">
            <v>45968</v>
          </cell>
          <cell r="BQ197">
            <v>496.5</v>
          </cell>
          <cell r="BR197">
            <v>45953</v>
          </cell>
          <cell r="BS197"/>
          <cell r="CE197" t="str">
            <v>NÃO</v>
          </cell>
          <cell r="CI197" t="str">
            <v/>
          </cell>
        </row>
        <row r="198">
          <cell r="A198"/>
          <cell r="B198" t="str">
            <v>049/2025</v>
          </cell>
          <cell r="E198" t="str">
            <v>STELLA</v>
          </cell>
          <cell r="F198" t="str">
            <v>DELIVERED</v>
          </cell>
          <cell r="G198" t="str">
            <v>COURIER</v>
          </cell>
          <cell r="J198">
            <v>45919</v>
          </cell>
          <cell r="L198">
            <v>45929</v>
          </cell>
          <cell r="O198">
            <v>45932</v>
          </cell>
          <cell r="P198" t="str">
            <v>96 0662 5744</v>
          </cell>
          <cell r="R198" t="str">
            <v>YRN2500109-2</v>
          </cell>
          <cell r="AD198">
            <v>45922</v>
          </cell>
          <cell r="AE198">
            <v>45922</v>
          </cell>
          <cell r="AJ198">
            <v>5268.89</v>
          </cell>
          <cell r="AR198">
            <v>45923</v>
          </cell>
          <cell r="BD198">
            <v>45930</v>
          </cell>
          <cell r="BE198">
            <v>45932</v>
          </cell>
          <cell r="BS198"/>
          <cell r="CE198" t="str">
            <v>NÃO</v>
          </cell>
          <cell r="CI198" t="str">
            <v/>
          </cell>
        </row>
        <row r="199">
          <cell r="A199"/>
          <cell r="B199" t="str">
            <v>042/2025</v>
          </cell>
          <cell r="E199" t="str">
            <v>STELLA</v>
          </cell>
          <cell r="F199" t="str">
            <v>DELIVERED</v>
          </cell>
          <cell r="G199" t="str">
            <v>COURIER</v>
          </cell>
          <cell r="J199">
            <v>45919</v>
          </cell>
          <cell r="L199">
            <v>45931</v>
          </cell>
          <cell r="O199">
            <v>45940</v>
          </cell>
          <cell r="P199" t="str">
            <v>16 5503 1615</v>
          </cell>
          <cell r="R199" t="str">
            <v>PWBR250139-10</v>
          </cell>
          <cell r="AD199">
            <v>45932</v>
          </cell>
          <cell r="AE199">
            <v>45932</v>
          </cell>
          <cell r="AJ199">
            <v>24744.2</v>
          </cell>
          <cell r="AK199">
            <v>45930</v>
          </cell>
          <cell r="AL199">
            <v>45930</v>
          </cell>
          <cell r="AM199">
            <v>45930</v>
          </cell>
          <cell r="AN199">
            <v>45901</v>
          </cell>
          <cell r="AO199">
            <v>45932</v>
          </cell>
          <cell r="AP199">
            <v>45932</v>
          </cell>
          <cell r="AQ199">
            <v>45932</v>
          </cell>
          <cell r="AR199">
            <v>45922</v>
          </cell>
          <cell r="AS199">
            <v>45932</v>
          </cell>
          <cell r="AT199">
            <v>45932</v>
          </cell>
          <cell r="AU199">
            <v>45932</v>
          </cell>
          <cell r="AV199">
            <v>45932</v>
          </cell>
          <cell r="AW199">
            <v>45932</v>
          </cell>
          <cell r="AX199">
            <v>45932</v>
          </cell>
          <cell r="BD199">
            <v>45933</v>
          </cell>
          <cell r="BE199">
            <v>45936</v>
          </cell>
          <cell r="BF199">
            <v>45936</v>
          </cell>
          <cell r="BG199">
            <v>45937</v>
          </cell>
          <cell r="BH199">
            <v>45939</v>
          </cell>
          <cell r="BQ199">
            <v>1038.45</v>
          </cell>
          <cell r="BR199">
            <v>45940</v>
          </cell>
          <cell r="BS199"/>
          <cell r="CE199" t="str">
            <v>NÃO</v>
          </cell>
          <cell r="CI199" t="str">
            <v/>
          </cell>
        </row>
        <row r="200">
          <cell r="A200"/>
          <cell r="B200" t="str">
            <v>047/2025</v>
          </cell>
          <cell r="E200" t="str">
            <v>STELLA</v>
          </cell>
          <cell r="F200" t="str">
            <v>DELIVERED</v>
          </cell>
          <cell r="G200" t="str">
            <v>COURIER</v>
          </cell>
          <cell r="J200">
            <v>45922</v>
          </cell>
          <cell r="L200">
            <v>45936</v>
          </cell>
          <cell r="O200">
            <v>45936</v>
          </cell>
          <cell r="P200" t="str">
            <v>57 8064 2011</v>
          </cell>
          <cell r="R200" t="str">
            <v>PWBR250161-20</v>
          </cell>
          <cell r="AD200">
            <v>45924</v>
          </cell>
          <cell r="AE200">
            <v>45924</v>
          </cell>
          <cell r="AJ200">
            <v>3028.98</v>
          </cell>
          <cell r="AR200">
            <v>45925</v>
          </cell>
          <cell r="BD200">
            <v>45936</v>
          </cell>
          <cell r="BE200">
            <v>45936</v>
          </cell>
          <cell r="BS200"/>
          <cell r="CE200" t="str">
            <v>NÃO</v>
          </cell>
          <cell r="CI200" t="str">
            <v/>
          </cell>
        </row>
        <row r="201">
          <cell r="A201"/>
          <cell r="B201" t="str">
            <v>053/2025</v>
          </cell>
          <cell r="E201" t="str">
            <v>STELLA</v>
          </cell>
          <cell r="F201" t="str">
            <v>DELIVERED</v>
          </cell>
          <cell r="G201" t="str">
            <v>COURIER</v>
          </cell>
          <cell r="J201">
            <v>45941</v>
          </cell>
          <cell r="L201">
            <v>45951</v>
          </cell>
          <cell r="O201">
            <v>45954</v>
          </cell>
          <cell r="P201" t="str">
            <v>41 9452 5252</v>
          </cell>
          <cell r="R201" t="str">
            <v>YRN2500109-3</v>
          </cell>
          <cell r="AD201">
            <v>45943</v>
          </cell>
          <cell r="AE201">
            <v>45943</v>
          </cell>
          <cell r="AJ201">
            <v>3783.08</v>
          </cell>
          <cell r="AR201">
            <v>45944</v>
          </cell>
          <cell r="BD201">
            <v>45953</v>
          </cell>
          <cell r="BE201">
            <v>45954</v>
          </cell>
          <cell r="BS201"/>
          <cell r="CE201" t="str">
            <v>NÃO</v>
          </cell>
        </row>
        <row r="202">
          <cell r="A202"/>
          <cell r="B202" t="str">
            <v>041/2025</v>
          </cell>
          <cell r="E202" t="str">
            <v>STELLA</v>
          </cell>
          <cell r="F202" t="str">
            <v>DELIVERED</v>
          </cell>
          <cell r="G202" t="str">
            <v>COURIER</v>
          </cell>
          <cell r="J202">
            <v>45891</v>
          </cell>
          <cell r="L202">
            <v>45901</v>
          </cell>
          <cell r="O202">
            <v>45904</v>
          </cell>
          <cell r="P202" t="str">
            <v>19 0692 5090</v>
          </cell>
          <cell r="R202" t="str">
            <v>YRN2500109-1_x000D_</v>
          </cell>
          <cell r="AD202">
            <v>45894</v>
          </cell>
          <cell r="AE202">
            <v>45894</v>
          </cell>
          <cell r="AJ202">
            <v>6116.5460999999996</v>
          </cell>
          <cell r="AR202">
            <v>45895</v>
          </cell>
          <cell r="BD202">
            <v>45915</v>
          </cell>
          <cell r="BE202">
            <v>45915</v>
          </cell>
          <cell r="BS202"/>
          <cell r="CE202" t="str">
            <v>NÃO</v>
          </cell>
          <cell r="CI202" t="str">
            <v/>
          </cell>
        </row>
        <row r="203">
          <cell r="A203"/>
          <cell r="B203" t="str">
            <v>033B/2025</v>
          </cell>
          <cell r="E203" t="str">
            <v>STELLA</v>
          </cell>
          <cell r="F203" t="str">
            <v>DELIVERED</v>
          </cell>
          <cell r="G203" t="str">
            <v>SEA</v>
          </cell>
          <cell r="J203">
            <v>45897</v>
          </cell>
          <cell r="L203">
            <v>45962</v>
          </cell>
          <cell r="O203">
            <v>45978</v>
          </cell>
          <cell r="P203" t="str">
            <v>SDBLBS565977</v>
          </cell>
          <cell r="R203" t="str">
            <v>PWBR250127-10B</v>
          </cell>
          <cell r="T203" t="str">
            <v>BMOU9637769; CGMU5290137; SEGU9408142</v>
          </cell>
          <cell r="U203">
            <v>3</v>
          </cell>
          <cell r="AC203"/>
          <cell r="AD203">
            <v>45964</v>
          </cell>
          <cell r="AE203">
            <v>45964</v>
          </cell>
          <cell r="AJ203">
            <v>750398.99</v>
          </cell>
          <cell r="AK203">
            <v>45916</v>
          </cell>
          <cell r="AL203">
            <v>45916</v>
          </cell>
          <cell r="AM203">
            <v>45924</v>
          </cell>
          <cell r="AN203">
            <v>45925</v>
          </cell>
          <cell r="AO203">
            <v>45932</v>
          </cell>
          <cell r="AP203">
            <v>45939</v>
          </cell>
          <cell r="AQ203">
            <v>45964</v>
          </cell>
          <cell r="AR203">
            <v>45964</v>
          </cell>
          <cell r="AS203" t="str">
            <v>03/114</v>
          </cell>
          <cell r="AT203">
            <v>45964</v>
          </cell>
          <cell r="AU203">
            <v>45965</v>
          </cell>
          <cell r="AY203">
            <v>45964</v>
          </cell>
          <cell r="AZ203">
            <v>45965</v>
          </cell>
          <cell r="BA203">
            <v>45966</v>
          </cell>
          <cell r="BB203">
            <v>45966</v>
          </cell>
          <cell r="BC203">
            <v>45968</v>
          </cell>
          <cell r="BD203">
            <v>45966</v>
          </cell>
          <cell r="BE203">
            <v>45968</v>
          </cell>
          <cell r="BF203">
            <v>45968</v>
          </cell>
          <cell r="BG203">
            <v>45971</v>
          </cell>
          <cell r="BH203">
            <v>45974</v>
          </cell>
          <cell r="BQ203">
            <v>2207.64</v>
          </cell>
          <cell r="BR203">
            <v>45972</v>
          </cell>
          <cell r="CD203">
            <v>45978</v>
          </cell>
          <cell r="CE203" t="str">
            <v>NÃO</v>
          </cell>
          <cell r="CI203">
            <v>45980</v>
          </cell>
        </row>
        <row r="204">
          <cell r="A204"/>
          <cell r="B204" t="str">
            <v>033C/2025</v>
          </cell>
          <cell r="E204" t="str">
            <v>STELLA</v>
          </cell>
          <cell r="F204" t="str">
            <v>DELIVERED</v>
          </cell>
          <cell r="G204" t="str">
            <v>SEA</v>
          </cell>
          <cell r="J204">
            <v>45897</v>
          </cell>
          <cell r="L204">
            <v>45962</v>
          </cell>
          <cell r="O204">
            <v>45973</v>
          </cell>
          <cell r="P204" t="str">
            <v>SDBLBS565978</v>
          </cell>
          <cell r="R204" t="str">
            <v>PWBR250127-10C</v>
          </cell>
          <cell r="T204" t="str">
            <v>TTNU8604324; CGMU5146897; TRIU8860830</v>
          </cell>
          <cell r="U204">
            <v>3</v>
          </cell>
          <cell r="AC204"/>
          <cell r="AD204">
            <v>45964</v>
          </cell>
          <cell r="AE204">
            <v>45964</v>
          </cell>
          <cell r="AJ204">
            <v>1050642.04</v>
          </cell>
          <cell r="AK204">
            <v>45918</v>
          </cell>
          <cell r="AL204">
            <v>45918</v>
          </cell>
          <cell r="AM204">
            <v>45925</v>
          </cell>
          <cell r="AN204">
            <v>45925</v>
          </cell>
          <cell r="AO204">
            <v>45932</v>
          </cell>
          <cell r="AP204">
            <v>45939</v>
          </cell>
          <cell r="AQ204">
            <v>45964</v>
          </cell>
          <cell r="AR204">
            <v>45964</v>
          </cell>
          <cell r="AS204">
            <v>45964</v>
          </cell>
          <cell r="AT204">
            <v>45964</v>
          </cell>
          <cell r="AU204">
            <v>45965</v>
          </cell>
          <cell r="AY204">
            <v>45964</v>
          </cell>
          <cell r="AZ204">
            <v>45965</v>
          </cell>
          <cell r="BA204">
            <v>45966</v>
          </cell>
          <cell r="BB204">
            <v>45966</v>
          </cell>
          <cell r="BC204">
            <v>45966</v>
          </cell>
          <cell r="BD204">
            <v>45966</v>
          </cell>
          <cell r="BE204">
            <v>45966</v>
          </cell>
          <cell r="BF204">
            <v>45966</v>
          </cell>
          <cell r="BG204">
            <v>45968</v>
          </cell>
          <cell r="BH204">
            <v>45971</v>
          </cell>
          <cell r="BQ204">
            <v>735.88</v>
          </cell>
          <cell r="BR204">
            <v>45971</v>
          </cell>
          <cell r="CD204">
            <v>45973</v>
          </cell>
          <cell r="CE204" t="str">
            <v>NÃO</v>
          </cell>
          <cell r="CI204">
            <v>45980</v>
          </cell>
        </row>
        <row r="205">
          <cell r="A205"/>
          <cell r="B205" t="str">
            <v>033D/2025</v>
          </cell>
          <cell r="E205" t="str">
            <v>STELLA</v>
          </cell>
          <cell r="F205" t="str">
            <v>DELIVERED</v>
          </cell>
          <cell r="G205" t="str">
            <v>SEA</v>
          </cell>
          <cell r="J205">
            <v>45897</v>
          </cell>
          <cell r="L205">
            <v>45962</v>
          </cell>
          <cell r="O205">
            <v>45978</v>
          </cell>
          <cell r="P205" t="str">
            <v>SDBLBS565980</v>
          </cell>
          <cell r="R205" t="str">
            <v>PWBR250127-10D</v>
          </cell>
          <cell r="T205" t="str">
            <v>TRIU8973918</v>
          </cell>
          <cell r="U205">
            <v>1</v>
          </cell>
          <cell r="AC205"/>
          <cell r="AD205">
            <v>45964</v>
          </cell>
          <cell r="AE205">
            <v>45964</v>
          </cell>
          <cell r="AJ205">
            <v>318484.88</v>
          </cell>
          <cell r="AK205">
            <v>45919</v>
          </cell>
          <cell r="AL205">
            <v>45922</v>
          </cell>
          <cell r="AM205">
            <v>45929</v>
          </cell>
          <cell r="AN205">
            <v>45930</v>
          </cell>
          <cell r="AO205">
            <v>45932</v>
          </cell>
          <cell r="AP205">
            <v>45939</v>
          </cell>
          <cell r="AQ205">
            <v>45964</v>
          </cell>
          <cell r="AR205">
            <v>45964</v>
          </cell>
          <cell r="AS205">
            <v>45964</v>
          </cell>
          <cell r="AT205">
            <v>45964</v>
          </cell>
          <cell r="AU205">
            <v>45965</v>
          </cell>
          <cell r="AY205">
            <v>45964</v>
          </cell>
          <cell r="AZ205">
            <v>45965</v>
          </cell>
          <cell r="BA205">
            <v>45966</v>
          </cell>
          <cell r="BB205">
            <v>45966</v>
          </cell>
          <cell r="BC205">
            <v>45971</v>
          </cell>
          <cell r="BD205">
            <v>45966</v>
          </cell>
          <cell r="BE205">
            <v>45971</v>
          </cell>
          <cell r="BF205">
            <v>45972</v>
          </cell>
          <cell r="BG205">
            <v>45972</v>
          </cell>
          <cell r="BH205">
            <v>45978</v>
          </cell>
          <cell r="BQ205">
            <v>735.88</v>
          </cell>
          <cell r="BR205">
            <v>45975</v>
          </cell>
          <cell r="CD205">
            <v>45978</v>
          </cell>
          <cell r="CE205" t="str">
            <v>NÃO</v>
          </cell>
          <cell r="CI205">
            <v>45980</v>
          </cell>
        </row>
        <row r="206">
          <cell r="A206"/>
          <cell r="B206" t="str">
            <v>033F/2025</v>
          </cell>
          <cell r="E206" t="str">
            <v>STELLA</v>
          </cell>
          <cell r="F206" t="str">
            <v>DELIVERED</v>
          </cell>
          <cell r="G206" t="str">
            <v>SEA</v>
          </cell>
          <cell r="J206">
            <v>45897</v>
          </cell>
          <cell r="L206">
            <v>45962</v>
          </cell>
          <cell r="O206">
            <v>45974</v>
          </cell>
          <cell r="P206" t="str">
            <v>SDBLBS565607</v>
          </cell>
          <cell r="R206" t="str">
            <v>PWBR250127-10F</v>
          </cell>
          <cell r="T206" t="str">
            <v>CGMU9380990; TEMU9065034</v>
          </cell>
          <cell r="U206">
            <v>2</v>
          </cell>
          <cell r="AC206"/>
          <cell r="AD206">
            <v>45964</v>
          </cell>
          <cell r="AE206">
            <v>45964</v>
          </cell>
          <cell r="AJ206">
            <v>386353.25</v>
          </cell>
          <cell r="AK206">
            <v>45922</v>
          </cell>
          <cell r="AL206">
            <v>45923</v>
          </cell>
          <cell r="AM206">
            <v>45930</v>
          </cell>
          <cell r="AN206">
            <v>45931</v>
          </cell>
          <cell r="AO206">
            <v>45932</v>
          </cell>
          <cell r="AP206">
            <v>45939</v>
          </cell>
          <cell r="AQ206">
            <v>45964</v>
          </cell>
          <cell r="AR206">
            <v>45964</v>
          </cell>
          <cell r="AS206">
            <v>45964</v>
          </cell>
          <cell r="AT206">
            <v>45964</v>
          </cell>
          <cell r="AU206">
            <v>45965</v>
          </cell>
          <cell r="AY206">
            <v>45964</v>
          </cell>
          <cell r="AZ206">
            <v>45965</v>
          </cell>
          <cell r="BA206">
            <v>45968</v>
          </cell>
          <cell r="BB206">
            <v>45968</v>
          </cell>
          <cell r="BC206">
            <v>45971</v>
          </cell>
          <cell r="BD206">
            <v>45968</v>
          </cell>
          <cell r="BE206">
            <v>45971</v>
          </cell>
          <cell r="BF206">
            <v>45971</v>
          </cell>
          <cell r="BG206">
            <v>45972</v>
          </cell>
          <cell r="BH206">
            <v>45974</v>
          </cell>
          <cell r="BQ206">
            <v>1471.76</v>
          </cell>
          <cell r="BR206">
            <v>45972</v>
          </cell>
          <cell r="CD206">
            <v>45974</v>
          </cell>
          <cell r="CE206" t="str">
            <v>NÃO</v>
          </cell>
          <cell r="CI206">
            <v>45980</v>
          </cell>
        </row>
        <row r="207">
          <cell r="A207"/>
          <cell r="B207" t="str">
            <v>033G/2025</v>
          </cell>
          <cell r="E207" t="str">
            <v>STELLA</v>
          </cell>
          <cell r="F207" t="str">
            <v>DELIVERED</v>
          </cell>
          <cell r="G207" t="str">
            <v>SEA</v>
          </cell>
          <cell r="J207">
            <v>45897</v>
          </cell>
          <cell r="L207">
            <v>45962</v>
          </cell>
          <cell r="O207">
            <v>45974</v>
          </cell>
          <cell r="P207" t="str">
            <v>SDBLBS565615</v>
          </cell>
          <cell r="R207" t="str">
            <v>PWBR250127-10G</v>
          </cell>
          <cell r="T207" t="str">
            <v>CGMU6511079; TTNU8260240</v>
          </cell>
          <cell r="U207">
            <v>2</v>
          </cell>
          <cell r="AD207">
            <v>45964</v>
          </cell>
          <cell r="AE207">
            <v>45964</v>
          </cell>
          <cell r="AJ207">
            <v>428682.38</v>
          </cell>
          <cell r="AK207">
            <v>45925</v>
          </cell>
          <cell r="AL207">
            <v>45925</v>
          </cell>
          <cell r="AM207">
            <v>45936</v>
          </cell>
          <cell r="AN207">
            <v>45936</v>
          </cell>
          <cell r="AO207">
            <v>45936</v>
          </cell>
          <cell r="AP207">
            <v>45939</v>
          </cell>
          <cell r="AQ207">
            <v>45964</v>
          </cell>
          <cell r="AR207">
            <v>45964</v>
          </cell>
          <cell r="AS207">
            <v>45964</v>
          </cell>
          <cell r="AT207">
            <v>45964</v>
          </cell>
          <cell r="AU207">
            <v>45965</v>
          </cell>
          <cell r="AY207">
            <v>45964</v>
          </cell>
          <cell r="AZ207">
            <v>45965</v>
          </cell>
          <cell r="BA207">
            <v>45967</v>
          </cell>
          <cell r="BB207">
            <v>45967</v>
          </cell>
          <cell r="BC207">
            <v>45967</v>
          </cell>
          <cell r="BD207">
            <v>45967</v>
          </cell>
          <cell r="BE207">
            <v>45967</v>
          </cell>
          <cell r="BF207">
            <v>45967</v>
          </cell>
          <cell r="BG207">
            <v>45968</v>
          </cell>
          <cell r="BH207">
            <v>45973</v>
          </cell>
          <cell r="BQ207">
            <v>735.88</v>
          </cell>
          <cell r="BR207">
            <v>45972</v>
          </cell>
          <cell r="CD207">
            <v>45974</v>
          </cell>
          <cell r="CE207" t="str">
            <v>NÃO</v>
          </cell>
          <cell r="CI207">
            <v>45980</v>
          </cell>
        </row>
        <row r="208">
          <cell r="A208"/>
          <cell r="B208" t="str">
            <v>052/2025</v>
          </cell>
          <cell r="E208" t="str">
            <v>STELLA</v>
          </cell>
          <cell r="F208" t="str">
            <v>DELIVERED</v>
          </cell>
          <cell r="G208" t="str">
            <v>AIR</v>
          </cell>
          <cell r="J208">
            <v>45948</v>
          </cell>
          <cell r="L208">
            <v>45961</v>
          </cell>
          <cell r="O208">
            <v>45973</v>
          </cell>
          <cell r="P208" t="str">
            <v>M: 235-95433951
H: DTW251033FOR</v>
          </cell>
          <cell r="R208" t="str">
            <v>PWBR250134-80</v>
          </cell>
          <cell r="AD208">
            <v>45965</v>
          </cell>
          <cell r="AE208">
            <v>45965</v>
          </cell>
          <cell r="AJ208">
            <v>68881.95</v>
          </cell>
          <cell r="AK208">
            <v>45946</v>
          </cell>
          <cell r="AL208">
            <v>45947</v>
          </cell>
          <cell r="AM208">
            <v>45947</v>
          </cell>
          <cell r="AN208">
            <v>45947</v>
          </cell>
          <cell r="AO208">
            <v>45950</v>
          </cell>
          <cell r="AP208">
            <v>45950</v>
          </cell>
          <cell r="AQ208">
            <v>45964</v>
          </cell>
          <cell r="AR208">
            <v>45964</v>
          </cell>
          <cell r="AS208">
            <v>45965</v>
          </cell>
          <cell r="AT208">
            <v>45965</v>
          </cell>
          <cell r="AU208">
            <v>45966</v>
          </cell>
          <cell r="AY208">
            <v>45965</v>
          </cell>
          <cell r="AZ208">
            <v>45966</v>
          </cell>
          <cell r="BA208">
            <v>45967</v>
          </cell>
          <cell r="BB208">
            <v>45967</v>
          </cell>
          <cell r="BC208">
            <v>45972</v>
          </cell>
          <cell r="BD208">
            <v>45967</v>
          </cell>
          <cell r="BE208">
            <v>45972</v>
          </cell>
          <cell r="BF208">
            <v>45972</v>
          </cell>
          <cell r="BG208">
            <v>45973</v>
          </cell>
          <cell r="BH208">
            <v>45973</v>
          </cell>
          <cell r="BQ208">
            <v>3498.04</v>
          </cell>
          <cell r="BR208">
            <v>46001</v>
          </cell>
          <cell r="BS208"/>
          <cell r="CE208" t="str">
            <v>NÃO</v>
          </cell>
          <cell r="CI208" t="str">
            <v/>
          </cell>
        </row>
        <row r="209">
          <cell r="A209"/>
          <cell r="B209" t="str">
            <v>033A/2025</v>
          </cell>
          <cell r="E209" t="str">
            <v>STELLA</v>
          </cell>
          <cell r="F209" t="str">
            <v>DELIVERED</v>
          </cell>
          <cell r="G209" t="str">
            <v>SEA</v>
          </cell>
          <cell r="J209">
            <v>45915</v>
          </cell>
          <cell r="L209">
            <v>45969</v>
          </cell>
          <cell r="O209">
            <v>45979</v>
          </cell>
          <cell r="P209" t="str">
            <v>SDBLBS568418</v>
          </cell>
          <cell r="R209" t="str">
            <v>PWBR250127-10A</v>
          </cell>
          <cell r="T209" t="str">
            <v>TRIU8029868</v>
          </cell>
          <cell r="U209">
            <v>1</v>
          </cell>
          <cell r="AC209"/>
          <cell r="AD209">
            <v>45971</v>
          </cell>
          <cell r="AE209">
            <v>45971</v>
          </cell>
          <cell r="AJ209">
            <v>711890.7</v>
          </cell>
          <cell r="AK209">
            <v>45925</v>
          </cell>
          <cell r="AL209">
            <v>45926</v>
          </cell>
          <cell r="AM209">
            <v>45937</v>
          </cell>
          <cell r="AN209">
            <v>45937</v>
          </cell>
          <cell r="AO209">
            <v>45939</v>
          </cell>
          <cell r="AP209">
            <v>45944</v>
          </cell>
          <cell r="AQ209">
            <v>45971</v>
          </cell>
          <cell r="AR209">
            <v>45971</v>
          </cell>
          <cell r="AS209">
            <v>45971</v>
          </cell>
          <cell r="AT209">
            <v>45972</v>
          </cell>
          <cell r="AU209">
            <v>45972</v>
          </cell>
          <cell r="AY209">
            <v>45972</v>
          </cell>
          <cell r="AZ209">
            <v>45973</v>
          </cell>
          <cell r="BA209">
            <v>45974</v>
          </cell>
          <cell r="BB209">
            <v>45974</v>
          </cell>
          <cell r="BC209">
            <v>45975</v>
          </cell>
          <cell r="BD209">
            <v>45974</v>
          </cell>
          <cell r="BE209">
            <v>45975</v>
          </cell>
          <cell r="BF209">
            <v>45975</v>
          </cell>
          <cell r="BG209">
            <v>45975</v>
          </cell>
          <cell r="BH209">
            <v>45978</v>
          </cell>
          <cell r="BQ209">
            <v>735.88</v>
          </cell>
          <cell r="BR209">
            <v>45975</v>
          </cell>
          <cell r="CD209">
            <v>45979</v>
          </cell>
          <cell r="CE209" t="str">
            <v>NÃO</v>
          </cell>
          <cell r="CI209">
            <v>45987</v>
          </cell>
        </row>
        <row r="210">
          <cell r="A210"/>
          <cell r="B210" t="str">
            <v>033E/2025</v>
          </cell>
          <cell r="E210" t="str">
            <v>STELLA</v>
          </cell>
          <cell r="F210" t="str">
            <v>DELIVERED</v>
          </cell>
          <cell r="G210" t="str">
            <v>SEA</v>
          </cell>
          <cell r="J210">
            <v>45915</v>
          </cell>
          <cell r="L210">
            <v>45969</v>
          </cell>
          <cell r="O210">
            <v>45980</v>
          </cell>
          <cell r="P210" t="str">
            <v>SDBLBS568420</v>
          </cell>
          <cell r="R210" t="str">
            <v>PWBR250127-10E</v>
          </cell>
          <cell r="T210" t="str">
            <v>AMCU9379480 ; TTNU8035568</v>
          </cell>
          <cell r="U210">
            <v>2</v>
          </cell>
          <cell r="AC210"/>
          <cell r="AD210">
            <v>45971</v>
          </cell>
          <cell r="AE210">
            <v>45971</v>
          </cell>
          <cell r="AJ210">
            <v>1003127.38</v>
          </cell>
          <cell r="AK210">
            <v>45925</v>
          </cell>
          <cell r="AL210">
            <v>45925</v>
          </cell>
          <cell r="AM210">
            <v>45933</v>
          </cell>
          <cell r="AN210">
            <v>45933</v>
          </cell>
          <cell r="AO210">
            <v>45939</v>
          </cell>
          <cell r="AP210">
            <v>45944</v>
          </cell>
          <cell r="AQ210">
            <v>45971</v>
          </cell>
          <cell r="AR210">
            <v>45971</v>
          </cell>
          <cell r="AS210">
            <v>45971</v>
          </cell>
          <cell r="AT210">
            <v>45972</v>
          </cell>
          <cell r="AU210">
            <v>45972</v>
          </cell>
          <cell r="AY210">
            <v>45972</v>
          </cell>
          <cell r="AZ210">
            <v>45973</v>
          </cell>
          <cell r="BA210">
            <v>45975</v>
          </cell>
          <cell r="BB210">
            <v>45975</v>
          </cell>
          <cell r="BC210">
            <v>45979</v>
          </cell>
          <cell r="BD210">
            <v>45975</v>
          </cell>
          <cell r="BE210">
            <v>45979</v>
          </cell>
          <cell r="BF210">
            <v>45979</v>
          </cell>
          <cell r="BG210">
            <v>45980</v>
          </cell>
          <cell r="BH210">
            <v>45980</v>
          </cell>
          <cell r="BQ210">
            <v>1471.76</v>
          </cell>
          <cell r="BR210">
            <v>45975</v>
          </cell>
          <cell r="CD210">
            <v>45982</v>
          </cell>
          <cell r="CE210" t="str">
            <v>NÃO</v>
          </cell>
          <cell r="CI210">
            <v>45990</v>
          </cell>
        </row>
        <row r="211">
          <cell r="A211"/>
          <cell r="B211" t="str">
            <v>GE-004/2025</v>
          </cell>
          <cell r="E211" t="str">
            <v>LEISIANE</v>
          </cell>
          <cell r="F211" t="str">
            <v>DELIVERED</v>
          </cell>
          <cell r="G211" t="str">
            <v>AIR</v>
          </cell>
          <cell r="J211">
            <v>45973</v>
          </cell>
          <cell r="L211">
            <v>45976</v>
          </cell>
          <cell r="O211">
            <v>45982</v>
          </cell>
          <cell r="P211" t="str">
            <v>M: 047-32940375</v>
          </cell>
          <cell r="R211">
            <v>90241244</v>
          </cell>
          <cell r="AD211">
            <v>45978</v>
          </cell>
          <cell r="AE211">
            <v>45979</v>
          </cell>
          <cell r="AJ211">
            <v>221392.14</v>
          </cell>
          <cell r="AK211">
            <v>45964</v>
          </cell>
          <cell r="AL211">
            <v>45965</v>
          </cell>
          <cell r="AM211">
            <v>45966</v>
          </cell>
          <cell r="AN211">
            <v>45966</v>
          </cell>
          <cell r="AO211">
            <v>45973</v>
          </cell>
          <cell r="AP211">
            <v>45978</v>
          </cell>
          <cell r="AQ211">
            <v>45978</v>
          </cell>
          <cell r="AR211">
            <v>45978</v>
          </cell>
          <cell r="AS211">
            <v>45978</v>
          </cell>
          <cell r="AT211">
            <v>45979</v>
          </cell>
          <cell r="AU211">
            <v>45979</v>
          </cell>
          <cell r="AY211">
            <v>45979</v>
          </cell>
          <cell r="AZ211">
            <v>45979</v>
          </cell>
          <cell r="BA211">
            <v>45980</v>
          </cell>
          <cell r="BB211">
            <v>45980</v>
          </cell>
          <cell r="BC211">
            <v>45980</v>
          </cell>
          <cell r="BD211">
            <v>45980</v>
          </cell>
          <cell r="BE211">
            <v>45980</v>
          </cell>
          <cell r="BF211">
            <v>45980</v>
          </cell>
          <cell r="BG211">
            <v>45982</v>
          </cell>
          <cell r="BH211">
            <v>45982</v>
          </cell>
          <cell r="BQ211">
            <v>7371.15</v>
          </cell>
          <cell r="BR211">
            <v>46001</v>
          </cell>
          <cell r="BS211"/>
          <cell r="CE211" t="str">
            <v>NÃO</v>
          </cell>
          <cell r="CI211" t="str">
            <v/>
          </cell>
        </row>
        <row r="212">
          <cell r="A212"/>
          <cell r="B212" t="str">
            <v>039/2025</v>
          </cell>
          <cell r="E212" t="str">
            <v>STELLA</v>
          </cell>
          <cell r="F212" t="str">
            <v>DELIVERED</v>
          </cell>
          <cell r="G212" t="str">
            <v>SEA</v>
          </cell>
          <cell r="J212">
            <v>45909</v>
          </cell>
          <cell r="L212">
            <v>45962</v>
          </cell>
          <cell r="O212">
            <v>45995</v>
          </cell>
          <cell r="P212" t="str">
            <v>SDBLBS568268</v>
          </cell>
          <cell r="R212" t="str">
            <v>PWBR250100-50</v>
          </cell>
          <cell r="T212" t="str">
            <v>BHCU5014187</v>
          </cell>
          <cell r="U212">
            <v>1</v>
          </cell>
          <cell r="AC212">
            <v>45968</v>
          </cell>
          <cell r="AD212">
            <v>45965</v>
          </cell>
          <cell r="AE212">
            <v>45966</v>
          </cell>
          <cell r="AJ212">
            <v>83390.02</v>
          </cell>
          <cell r="AK212">
            <v>45919</v>
          </cell>
          <cell r="AL212">
            <v>45919</v>
          </cell>
          <cell r="AM212">
            <v>45923</v>
          </cell>
          <cell r="AN212">
            <v>45923</v>
          </cell>
          <cell r="AO212">
            <v>45924</v>
          </cell>
          <cell r="AP212">
            <v>45924</v>
          </cell>
          <cell r="AQ212">
            <v>45964</v>
          </cell>
          <cell r="AR212">
            <v>45965</v>
          </cell>
          <cell r="AS212">
            <v>45965</v>
          </cell>
          <cell r="AT212">
            <v>45965</v>
          </cell>
          <cell r="AU212">
            <v>45966</v>
          </cell>
          <cell r="AV212">
            <v>45965</v>
          </cell>
          <cell r="AW212">
            <v>45967</v>
          </cell>
          <cell r="AX212">
            <v>45967</v>
          </cell>
          <cell r="AY212">
            <v>45965</v>
          </cell>
          <cell r="AZ212">
            <v>45966</v>
          </cell>
          <cell r="BA212">
            <v>45967</v>
          </cell>
          <cell r="BB212">
            <v>45967</v>
          </cell>
          <cell r="BC212">
            <v>45972</v>
          </cell>
          <cell r="BD212">
            <v>45967</v>
          </cell>
          <cell r="BE212">
            <v>45972</v>
          </cell>
          <cell r="BF212">
            <v>45972</v>
          </cell>
          <cell r="BG212">
            <v>45974</v>
          </cell>
          <cell r="BH212">
            <v>45979</v>
          </cell>
          <cell r="BQ212">
            <v>3182.84</v>
          </cell>
          <cell r="BR212">
            <v>45980</v>
          </cell>
          <cell r="CD212">
            <v>45968</v>
          </cell>
          <cell r="CE212" t="str">
            <v>NÃO</v>
          </cell>
          <cell r="CI212">
            <v>45980</v>
          </cell>
        </row>
        <row r="213">
          <cell r="A213" t="str">
            <v xml:space="preserve"> </v>
          </cell>
          <cell r="B213" t="str">
            <v>037A/2025</v>
          </cell>
          <cell r="E213" t="str">
            <v>STELLA</v>
          </cell>
          <cell r="F213" t="str">
            <v>DELIVERED</v>
          </cell>
          <cell r="G213" t="str">
            <v>SEA</v>
          </cell>
          <cell r="J213">
            <v>45915</v>
          </cell>
          <cell r="L213">
            <v>45969</v>
          </cell>
          <cell r="O213">
            <v>45985</v>
          </cell>
          <cell r="P213" t="str">
            <v>SDBLBS568395</v>
          </cell>
          <cell r="R213" t="str">
            <v>PWBR250054-20A</v>
          </cell>
          <cell r="T213" t="str">
            <v>CGMU5823426</v>
          </cell>
          <cell r="U213">
            <v>1</v>
          </cell>
          <cell r="AD213">
            <v>45971</v>
          </cell>
          <cell r="AE213">
            <v>45971</v>
          </cell>
          <cell r="AJ213">
            <v>549876.64</v>
          </cell>
          <cell r="AK213">
            <v>45936</v>
          </cell>
          <cell r="AL213">
            <v>45937</v>
          </cell>
          <cell r="AM213">
            <v>45944</v>
          </cell>
          <cell r="AN213">
            <v>45958</v>
          </cell>
          <cell r="AO213">
            <v>45959</v>
          </cell>
          <cell r="AP213">
            <v>45959</v>
          </cell>
          <cell r="AQ213">
            <v>45971</v>
          </cell>
          <cell r="AR213">
            <v>45971</v>
          </cell>
          <cell r="AS213">
            <v>45971</v>
          </cell>
          <cell r="AT213">
            <v>45972</v>
          </cell>
          <cell r="AU213">
            <v>45972</v>
          </cell>
          <cell r="AY213">
            <v>45972</v>
          </cell>
          <cell r="AZ213">
            <v>45972</v>
          </cell>
          <cell r="BA213">
            <v>45978</v>
          </cell>
          <cell r="BB213">
            <v>45978</v>
          </cell>
          <cell r="BC213">
            <v>45978</v>
          </cell>
          <cell r="BD213">
            <v>45978</v>
          </cell>
          <cell r="BE213">
            <v>45978</v>
          </cell>
          <cell r="BF213">
            <v>45978</v>
          </cell>
          <cell r="BG213">
            <v>45979</v>
          </cell>
          <cell r="BH213">
            <v>45985</v>
          </cell>
          <cell r="BQ213">
            <v>735.88</v>
          </cell>
          <cell r="BR213">
            <v>45978</v>
          </cell>
          <cell r="CE213" t="str">
            <v>NÃO</v>
          </cell>
          <cell r="CI213">
            <v>45989</v>
          </cell>
        </row>
        <row r="214">
          <cell r="A214"/>
          <cell r="B214" t="str">
            <v>037B/2025</v>
          </cell>
          <cell r="E214" t="str">
            <v>STELLA</v>
          </cell>
          <cell r="F214" t="str">
            <v>DELIVERED</v>
          </cell>
          <cell r="G214" t="str">
            <v>SEA</v>
          </cell>
          <cell r="J214">
            <v>45915</v>
          </cell>
          <cell r="L214">
            <v>45969</v>
          </cell>
          <cell r="O214">
            <v>46002</v>
          </cell>
          <cell r="P214" t="str">
            <v>SDBLBS568397</v>
          </cell>
          <cell r="R214" t="str">
            <v>PWBR250054-20B</v>
          </cell>
          <cell r="T214" t="str">
            <v>CGMU5820598; CGMU5822899; CGMU5823508</v>
          </cell>
          <cell r="U214">
            <v>3</v>
          </cell>
          <cell r="AC214">
            <v>45988</v>
          </cell>
          <cell r="AD214">
            <v>45971</v>
          </cell>
          <cell r="AE214">
            <v>45971</v>
          </cell>
          <cell r="AJ214">
            <v>879311.3</v>
          </cell>
          <cell r="AK214">
            <v>45931</v>
          </cell>
          <cell r="AL214">
            <v>45933</v>
          </cell>
          <cell r="AM214">
            <v>45940</v>
          </cell>
          <cell r="AN214">
            <v>45958</v>
          </cell>
          <cell r="AO214">
            <v>45959</v>
          </cell>
          <cell r="AP214">
            <v>45959</v>
          </cell>
          <cell r="AQ214">
            <v>45971</v>
          </cell>
          <cell r="AR214">
            <v>45971</v>
          </cell>
          <cell r="AS214">
            <v>45971</v>
          </cell>
          <cell r="AT214">
            <v>45972</v>
          </cell>
          <cell r="AU214">
            <v>45973</v>
          </cell>
          <cell r="AY214">
            <v>45972</v>
          </cell>
          <cell r="AZ214">
            <v>45973</v>
          </cell>
          <cell r="BA214">
            <v>45974</v>
          </cell>
          <cell r="BB214">
            <v>45974</v>
          </cell>
          <cell r="BC214">
            <v>45979</v>
          </cell>
          <cell r="BD214">
            <v>45974</v>
          </cell>
          <cell r="BE214">
            <v>45979</v>
          </cell>
          <cell r="BF214">
            <v>45979</v>
          </cell>
          <cell r="BG214">
            <v>45979</v>
          </cell>
          <cell r="BH214">
            <v>45982</v>
          </cell>
          <cell r="BQ214">
            <v>1601.03</v>
          </cell>
          <cell r="BR214">
            <v>45980</v>
          </cell>
          <cell r="BS214">
            <v>1203.1244999999999</v>
          </cell>
          <cell r="BT214">
            <v>46053</v>
          </cell>
          <cell r="CD214">
            <v>45989</v>
          </cell>
          <cell r="CE214" t="str">
            <v>SIM  3 dias</v>
          </cell>
          <cell r="CI214">
            <v>45986</v>
          </cell>
        </row>
        <row r="215">
          <cell r="A215"/>
          <cell r="B215" t="str">
            <v>037C/2025</v>
          </cell>
          <cell r="E215" t="str">
            <v>STELLA</v>
          </cell>
          <cell r="F215" t="str">
            <v>DELIVERED</v>
          </cell>
          <cell r="G215" t="str">
            <v>SEA</v>
          </cell>
          <cell r="J215">
            <v>45915</v>
          </cell>
          <cell r="L215">
            <v>45969</v>
          </cell>
          <cell r="O215">
            <v>45982</v>
          </cell>
          <cell r="P215" t="str">
            <v>SDBLBS568398</v>
          </cell>
          <cell r="R215" t="str">
            <v>PWBR250054-20C</v>
          </cell>
          <cell r="T215" t="str">
            <v>CGMU5823200; CGMU5823468</v>
          </cell>
          <cell r="U215">
            <v>2</v>
          </cell>
          <cell r="AC215"/>
          <cell r="AD215">
            <v>45971</v>
          </cell>
          <cell r="AE215">
            <v>45971</v>
          </cell>
          <cell r="AJ215">
            <v>748677.2</v>
          </cell>
          <cell r="AK215">
            <v>45931</v>
          </cell>
          <cell r="AL215">
            <v>45933</v>
          </cell>
          <cell r="AM215">
            <v>45943</v>
          </cell>
          <cell r="AN215">
            <v>45943</v>
          </cell>
          <cell r="AO215">
            <v>45946</v>
          </cell>
          <cell r="AP215">
            <v>45946</v>
          </cell>
          <cell r="AQ215">
            <v>45971</v>
          </cell>
          <cell r="AR215">
            <v>45971</v>
          </cell>
          <cell r="AS215">
            <v>45971</v>
          </cell>
          <cell r="AT215">
            <v>45972</v>
          </cell>
          <cell r="AU215">
            <v>45975</v>
          </cell>
          <cell r="AY215">
            <v>45972</v>
          </cell>
          <cell r="AZ215">
            <v>45975</v>
          </cell>
          <cell r="BA215">
            <v>45978</v>
          </cell>
          <cell r="BB215">
            <v>45978</v>
          </cell>
          <cell r="BC215">
            <v>45978</v>
          </cell>
          <cell r="BD215">
            <v>45978</v>
          </cell>
          <cell r="BE215">
            <v>45978</v>
          </cell>
          <cell r="BF215">
            <v>45978</v>
          </cell>
          <cell r="BG215">
            <v>45978</v>
          </cell>
          <cell r="BH215">
            <v>45982</v>
          </cell>
          <cell r="BQ215">
            <v>1471.76</v>
          </cell>
          <cell r="BR215">
            <v>45980</v>
          </cell>
          <cell r="CD215">
            <v>45983</v>
          </cell>
          <cell r="CE215" t="str">
            <v>NÃO</v>
          </cell>
          <cell r="CI215">
            <v>45989</v>
          </cell>
        </row>
        <row r="216">
          <cell r="A216"/>
          <cell r="B216" t="str">
            <v>037D/2025</v>
          </cell>
          <cell r="E216" t="str">
            <v>STELLA</v>
          </cell>
          <cell r="F216" t="str">
            <v>DELIVERED</v>
          </cell>
          <cell r="G216" t="str">
            <v>SEA</v>
          </cell>
          <cell r="J216">
            <v>45915</v>
          </cell>
          <cell r="L216">
            <v>45969</v>
          </cell>
          <cell r="O216">
            <v>46002</v>
          </cell>
          <cell r="P216" t="str">
            <v>SDBLBS568400</v>
          </cell>
          <cell r="R216" t="str">
            <v>PWBR250054-20D</v>
          </cell>
          <cell r="T216" t="str">
            <v>CGMU5822646</v>
          </cell>
          <cell r="U216">
            <v>1</v>
          </cell>
          <cell r="AC216">
            <v>45988</v>
          </cell>
          <cell r="AD216">
            <v>45971</v>
          </cell>
          <cell r="AE216">
            <v>45971</v>
          </cell>
          <cell r="AJ216">
            <v>1047345.06</v>
          </cell>
          <cell r="AK216">
            <v>45931</v>
          </cell>
          <cell r="AL216">
            <v>45933</v>
          </cell>
          <cell r="AM216">
            <v>45943</v>
          </cell>
          <cell r="AN216">
            <v>45943</v>
          </cell>
          <cell r="AO216">
            <v>45944</v>
          </cell>
          <cell r="AP216">
            <v>45946</v>
          </cell>
          <cell r="AQ216">
            <v>45971</v>
          </cell>
          <cell r="AR216">
            <v>45971</v>
          </cell>
          <cell r="AS216">
            <v>45971</v>
          </cell>
          <cell r="AT216">
            <v>45972</v>
          </cell>
          <cell r="AU216">
            <v>45973</v>
          </cell>
          <cell r="AY216">
            <v>45972</v>
          </cell>
          <cell r="AZ216">
            <v>45973</v>
          </cell>
          <cell r="BA216">
            <v>45974</v>
          </cell>
          <cell r="BB216">
            <v>45974</v>
          </cell>
          <cell r="BC216">
            <v>45975</v>
          </cell>
          <cell r="BD216">
            <v>45974</v>
          </cell>
          <cell r="BE216">
            <v>45975</v>
          </cell>
          <cell r="BF216">
            <v>45975</v>
          </cell>
          <cell r="BG216">
            <v>45978</v>
          </cell>
          <cell r="BH216">
            <v>45985</v>
          </cell>
          <cell r="BQ216">
            <v>735.88</v>
          </cell>
          <cell r="BR216">
            <v>45980</v>
          </cell>
          <cell r="BS216">
            <v>3609.3735000000001</v>
          </cell>
          <cell r="BT216">
            <v>46053</v>
          </cell>
          <cell r="CD216">
            <v>45990</v>
          </cell>
          <cell r="CE216" t="str">
            <v>SIM  1 dias</v>
          </cell>
          <cell r="CI216">
            <v>45989</v>
          </cell>
        </row>
        <row r="217">
          <cell r="A217"/>
          <cell r="B217" t="str">
            <v>E-012/2025</v>
          </cell>
          <cell r="E217" t="str">
            <v>LEISIANE</v>
          </cell>
          <cell r="F217" t="str">
            <v>DELIVERED</v>
          </cell>
          <cell r="G217" t="str">
            <v>SEA</v>
          </cell>
          <cell r="J217">
            <v>45930</v>
          </cell>
          <cell r="L217">
            <v>45969</v>
          </cell>
          <cell r="O217">
            <v>45995</v>
          </cell>
          <cell r="P217" t="str">
            <v>CN25091111</v>
          </cell>
          <cell r="R217" t="str">
            <v>8000606059; 8000606088; 8000606083</v>
          </cell>
          <cell r="T217" t="str">
            <v>CMAU8880709</v>
          </cell>
          <cell r="U217">
            <v>1</v>
          </cell>
          <cell r="AD217">
            <v>45986</v>
          </cell>
          <cell r="AE217">
            <v>45986</v>
          </cell>
          <cell r="AJ217">
            <v>377803.27</v>
          </cell>
          <cell r="AK217">
            <v>45940</v>
          </cell>
          <cell r="AL217">
            <v>45943</v>
          </cell>
          <cell r="AM217">
            <v>45944</v>
          </cell>
          <cell r="AN217">
            <v>45945</v>
          </cell>
          <cell r="AO217">
            <v>45945</v>
          </cell>
          <cell r="AP217">
            <v>45946</v>
          </cell>
          <cell r="AQ217">
            <v>45971</v>
          </cell>
          <cell r="AR217">
            <v>45971</v>
          </cell>
          <cell r="AS217">
            <v>45985</v>
          </cell>
          <cell r="AT217">
            <v>45986</v>
          </cell>
          <cell r="AU217">
            <v>45986</v>
          </cell>
          <cell r="AY217">
            <v>45986</v>
          </cell>
          <cell r="AZ217">
            <v>45986</v>
          </cell>
          <cell r="BA217">
            <v>45987</v>
          </cell>
          <cell r="BB217">
            <v>45986</v>
          </cell>
          <cell r="BC217">
            <v>45988</v>
          </cell>
          <cell r="BD217">
            <v>45986</v>
          </cell>
          <cell r="BE217">
            <v>45988</v>
          </cell>
          <cell r="BF217">
            <v>45988</v>
          </cell>
          <cell r="BG217">
            <v>45989</v>
          </cell>
          <cell r="BH217">
            <v>45995</v>
          </cell>
          <cell r="BQ217">
            <v>4069.44</v>
          </cell>
          <cell r="BR217">
            <v>45993</v>
          </cell>
          <cell r="BS217">
            <v>9378.8700000000008</v>
          </cell>
          <cell r="BT217">
            <v>46001</v>
          </cell>
          <cell r="CE217" t="str">
            <v>NÃO</v>
          </cell>
          <cell r="CI217">
            <v>45990</v>
          </cell>
        </row>
        <row r="218">
          <cell r="A218"/>
          <cell r="B218" t="str">
            <v>045A/2025</v>
          </cell>
          <cell r="E218" t="str">
            <v>STELLA</v>
          </cell>
          <cell r="F218" t="str">
            <v>DELIVERED</v>
          </cell>
          <cell r="G218" t="str">
            <v>SEA</v>
          </cell>
          <cell r="J218">
            <v>45931</v>
          </cell>
          <cell r="L218">
            <v>46004</v>
          </cell>
          <cell r="O218">
            <v>46035</v>
          </cell>
          <cell r="P218" t="str">
            <v>SDBLBS571260</v>
          </cell>
          <cell r="R218" t="str">
            <v>PWBR250148-50A</v>
          </cell>
          <cell r="T218" t="str">
            <v>CXRU1585702</v>
          </cell>
          <cell r="U218">
            <v>1</v>
          </cell>
          <cell r="AC218">
            <v>46021</v>
          </cell>
          <cell r="AD218">
            <v>46008</v>
          </cell>
          <cell r="AE218">
            <v>46008</v>
          </cell>
          <cell r="AJ218">
            <v>635094.31999999995</v>
          </cell>
          <cell r="AK218">
            <v>45964</v>
          </cell>
          <cell r="AL218">
            <v>45964</v>
          </cell>
          <cell r="AM218">
            <v>45973</v>
          </cell>
          <cell r="AN218">
            <v>45973</v>
          </cell>
          <cell r="AO218">
            <v>45979</v>
          </cell>
          <cell r="AP218">
            <v>45979</v>
          </cell>
          <cell r="AQ218">
            <v>46008</v>
          </cell>
          <cell r="AR218">
            <v>46007</v>
          </cell>
          <cell r="AS218">
            <v>46008</v>
          </cell>
          <cell r="AT218">
            <v>46008</v>
          </cell>
          <cell r="AU218">
            <v>46009</v>
          </cell>
          <cell r="AY218">
            <v>46008</v>
          </cell>
          <cell r="AZ218">
            <v>46009</v>
          </cell>
          <cell r="BA218">
            <v>46013</v>
          </cell>
          <cell r="BB218">
            <v>46013</v>
          </cell>
          <cell r="BC218">
            <v>46013</v>
          </cell>
          <cell r="BD218">
            <v>46013</v>
          </cell>
          <cell r="BE218">
            <v>46013</v>
          </cell>
          <cell r="BF218">
            <v>46013</v>
          </cell>
          <cell r="BG218">
            <v>46014</v>
          </cell>
          <cell r="BQ218">
            <v>8573.2999999999993</v>
          </cell>
          <cell r="BR218">
            <v>46031</v>
          </cell>
          <cell r="CD218">
            <v>46021</v>
          </cell>
          <cell r="CE218" t="str">
            <v>NÃO</v>
          </cell>
          <cell r="CI218">
            <v>46022</v>
          </cell>
        </row>
        <row r="219">
          <cell r="A219"/>
          <cell r="B219" t="str">
            <v>045B/2025</v>
          </cell>
          <cell r="E219" t="str">
            <v>STELLA</v>
          </cell>
          <cell r="F219" t="str">
            <v>DELIVERED</v>
          </cell>
          <cell r="G219" t="str">
            <v>SEA</v>
          </cell>
          <cell r="J219">
            <v>45931</v>
          </cell>
          <cell r="L219">
            <v>46004</v>
          </cell>
          <cell r="O219">
            <v>46035</v>
          </cell>
          <cell r="P219" t="str">
            <v>SDBLBS571270</v>
          </cell>
          <cell r="R219" t="str">
            <v>PWBR250148-50B</v>
          </cell>
          <cell r="T219" t="str">
            <v>CGMU9393215; TLLU1031553</v>
          </cell>
          <cell r="U219">
            <v>2</v>
          </cell>
          <cell r="AC219">
            <v>46021</v>
          </cell>
          <cell r="AD219" t="str">
            <v>16/12/25</v>
          </cell>
          <cell r="AE219" t="str">
            <v>16/12/25</v>
          </cell>
          <cell r="AJ219">
            <v>566520.93000000005</v>
          </cell>
          <cell r="AK219">
            <v>45964</v>
          </cell>
          <cell r="AL219">
            <v>45964</v>
          </cell>
          <cell r="AM219">
            <v>45968</v>
          </cell>
          <cell r="AN219">
            <v>45980</v>
          </cell>
          <cell r="AO219">
            <v>45987</v>
          </cell>
          <cell r="AP219">
            <v>45987</v>
          </cell>
          <cell r="AQ219">
            <v>46007</v>
          </cell>
          <cell r="AR219">
            <v>46007</v>
          </cell>
          <cell r="AS219">
            <v>46007</v>
          </cell>
          <cell r="AT219">
            <v>46007</v>
          </cell>
          <cell r="AU219">
            <v>46009</v>
          </cell>
          <cell r="AY219">
            <v>46007</v>
          </cell>
          <cell r="AZ219">
            <v>46009</v>
          </cell>
          <cell r="BA219">
            <v>46010</v>
          </cell>
          <cell r="BB219">
            <v>46010</v>
          </cell>
          <cell r="BC219">
            <v>46013</v>
          </cell>
          <cell r="BD219">
            <v>46010</v>
          </cell>
          <cell r="BE219">
            <v>46013</v>
          </cell>
          <cell r="BF219">
            <v>46013</v>
          </cell>
          <cell r="BG219">
            <v>46014</v>
          </cell>
          <cell r="BQ219">
            <v>11270.26</v>
          </cell>
          <cell r="BR219">
            <v>46031</v>
          </cell>
          <cell r="CD219">
            <v>46021</v>
          </cell>
          <cell r="CE219" t="str">
            <v>NÃO</v>
          </cell>
          <cell r="CI219">
            <v>46022</v>
          </cell>
        </row>
        <row r="220">
          <cell r="A220"/>
          <cell r="B220" t="str">
            <v>045C/2025</v>
          </cell>
          <cell r="E220" t="str">
            <v>STELLA</v>
          </cell>
          <cell r="F220" t="str">
            <v>DELIVERED</v>
          </cell>
          <cell r="G220" t="str">
            <v>SEA</v>
          </cell>
          <cell r="J220">
            <v>45931</v>
          </cell>
          <cell r="L220">
            <v>46004</v>
          </cell>
          <cell r="O220">
            <v>46038</v>
          </cell>
          <cell r="P220" t="str">
            <v>SDBLBS571274</v>
          </cell>
          <cell r="R220" t="str">
            <v>PWBR250148-50C</v>
          </cell>
          <cell r="T220" t="str">
            <v>CGMU5824802; CGMU5825199; CGMU9387969</v>
          </cell>
          <cell r="U220">
            <v>3</v>
          </cell>
          <cell r="AC220">
            <v>46021</v>
          </cell>
          <cell r="AD220">
            <v>46007</v>
          </cell>
          <cell r="AE220">
            <v>46007</v>
          </cell>
          <cell r="AJ220">
            <v>718035.05</v>
          </cell>
          <cell r="AK220">
            <v>45959</v>
          </cell>
          <cell r="AL220">
            <v>45959</v>
          </cell>
          <cell r="AM220">
            <v>45960</v>
          </cell>
          <cell r="AN220">
            <v>45960</v>
          </cell>
          <cell r="AO220">
            <v>45964</v>
          </cell>
          <cell r="AP220">
            <v>45967</v>
          </cell>
          <cell r="AQ220">
            <v>46007</v>
          </cell>
          <cell r="AR220">
            <v>46007</v>
          </cell>
          <cell r="AS220">
            <v>46007</v>
          </cell>
          <cell r="AT220">
            <v>46007</v>
          </cell>
          <cell r="AU220">
            <v>46009</v>
          </cell>
          <cell r="AY220">
            <v>46007</v>
          </cell>
          <cell r="AZ220">
            <v>46009</v>
          </cell>
          <cell r="BA220">
            <v>46010</v>
          </cell>
          <cell r="BB220">
            <v>46010</v>
          </cell>
          <cell r="BC220">
            <v>46013</v>
          </cell>
          <cell r="BD220">
            <v>46010</v>
          </cell>
          <cell r="BE220">
            <v>46013</v>
          </cell>
          <cell r="BF220">
            <v>46013</v>
          </cell>
          <cell r="BG220">
            <v>46014</v>
          </cell>
          <cell r="BQ220">
            <v>16905.39</v>
          </cell>
          <cell r="BR220">
            <v>46034</v>
          </cell>
          <cell r="CD220">
            <v>46021</v>
          </cell>
          <cell r="CE220" t="str">
            <v>NÃO</v>
          </cell>
          <cell r="CI220">
            <v>46022</v>
          </cell>
        </row>
        <row r="221">
          <cell r="A221"/>
          <cell r="B221" t="str">
            <v>045D/2025</v>
          </cell>
          <cell r="E221" t="str">
            <v>STELLA</v>
          </cell>
          <cell r="F221" t="str">
            <v>DELIVERED</v>
          </cell>
          <cell r="G221" t="str">
            <v>SEA</v>
          </cell>
          <cell r="J221">
            <v>45931</v>
          </cell>
          <cell r="L221">
            <v>46004</v>
          </cell>
          <cell r="O221">
            <v>46041</v>
          </cell>
          <cell r="P221" t="str">
            <v>SDBLBS571276</v>
          </cell>
          <cell r="R221" t="str">
            <v>PWBR250148-50D</v>
          </cell>
          <cell r="T221" t="str">
            <v>CGMU5454360; CGMU5826976; SZLU9864531</v>
          </cell>
          <cell r="U221">
            <v>3</v>
          </cell>
          <cell r="AC221">
            <v>46021</v>
          </cell>
          <cell r="AD221">
            <v>46013</v>
          </cell>
          <cell r="AE221">
            <v>46013</v>
          </cell>
          <cell r="AJ221">
            <v>306676.96000000002</v>
          </cell>
          <cell r="AK221">
            <v>45958</v>
          </cell>
          <cell r="AL221">
            <v>45959</v>
          </cell>
          <cell r="AM221">
            <v>45961</v>
          </cell>
          <cell r="AN221">
            <v>45966</v>
          </cell>
          <cell r="AO221">
            <v>45980</v>
          </cell>
          <cell r="AP221">
            <v>45985</v>
          </cell>
          <cell r="AQ221">
            <v>46007</v>
          </cell>
          <cell r="AR221">
            <v>46007</v>
          </cell>
          <cell r="AS221">
            <v>46007</v>
          </cell>
          <cell r="AT221">
            <v>46013</v>
          </cell>
          <cell r="AU221">
            <v>46014</v>
          </cell>
          <cell r="AY221">
            <v>46013</v>
          </cell>
          <cell r="AZ221">
            <v>46013</v>
          </cell>
          <cell r="BA221">
            <v>46017</v>
          </cell>
          <cell r="BB221">
            <v>46027</v>
          </cell>
          <cell r="BC221">
            <v>46027</v>
          </cell>
          <cell r="BD221">
            <v>46027</v>
          </cell>
          <cell r="BE221">
            <v>46027</v>
          </cell>
          <cell r="BF221">
            <v>46027</v>
          </cell>
          <cell r="BG221">
            <v>46027</v>
          </cell>
          <cell r="BQ221">
            <v>16905.39</v>
          </cell>
          <cell r="BR221">
            <v>46034</v>
          </cell>
          <cell r="CD221">
            <v>46021</v>
          </cell>
          <cell r="CE221" t="str">
            <v>NÃO</v>
          </cell>
          <cell r="CI221">
            <v>46022</v>
          </cell>
        </row>
        <row r="222">
          <cell r="A222"/>
          <cell r="B222" t="str">
            <v>Z-025/2025</v>
          </cell>
          <cell r="E222" t="str">
            <v>POLYANE</v>
          </cell>
          <cell r="F222" t="str">
            <v>DELIVERED</v>
          </cell>
          <cell r="G222" t="str">
            <v>COURIER</v>
          </cell>
          <cell r="J222">
            <v>45928</v>
          </cell>
          <cell r="L222">
            <v>45944</v>
          </cell>
          <cell r="O222">
            <v>45951</v>
          </cell>
          <cell r="P222">
            <v>6350277706</v>
          </cell>
          <cell r="R222" t="str">
            <v>PWBR250150</v>
          </cell>
          <cell r="AD222">
            <v>45939</v>
          </cell>
          <cell r="AE222">
            <v>45939</v>
          </cell>
          <cell r="AJ222">
            <v>7339.23</v>
          </cell>
          <cell r="AK222">
            <v>45936</v>
          </cell>
          <cell r="AL222">
            <v>45937</v>
          </cell>
          <cell r="AM222">
            <v>45937</v>
          </cell>
          <cell r="AN222">
            <v>45937</v>
          </cell>
          <cell r="AO222">
            <v>45937</v>
          </cell>
          <cell r="AP222">
            <v>45939</v>
          </cell>
          <cell r="AQ222">
            <v>45939</v>
          </cell>
          <cell r="AR222">
            <v>45932</v>
          </cell>
          <cell r="AS222">
            <v>45939</v>
          </cell>
          <cell r="AT222">
            <v>45939</v>
          </cell>
          <cell r="AU222">
            <v>45940</v>
          </cell>
          <cell r="AY222">
            <v>45939</v>
          </cell>
          <cell r="AZ222">
            <v>45940</v>
          </cell>
          <cell r="BA222">
            <v>45940</v>
          </cell>
          <cell r="BB222">
            <v>45940</v>
          </cell>
          <cell r="BC222">
            <v>45944</v>
          </cell>
          <cell r="BD222">
            <v>45940</v>
          </cell>
          <cell r="BE222">
            <v>45944</v>
          </cell>
          <cell r="BF222">
            <v>45944</v>
          </cell>
          <cell r="BG222">
            <v>45944</v>
          </cell>
          <cell r="BH222">
            <v>45945</v>
          </cell>
          <cell r="BQ222">
            <v>1206.95</v>
          </cell>
          <cell r="BR222">
            <v>45943</v>
          </cell>
          <cell r="BS222"/>
          <cell r="CE222" t="str">
            <v>NÃO</v>
          </cell>
          <cell r="CI222" t="str">
            <v/>
          </cell>
        </row>
        <row r="223">
          <cell r="A223"/>
          <cell r="B223" t="str">
            <v>044A/2025</v>
          </cell>
          <cell r="E223" t="str">
            <v>STELLA</v>
          </cell>
          <cell r="F223" t="str">
            <v>DELIVERED</v>
          </cell>
          <cell r="G223" t="str">
            <v>AIR</v>
          </cell>
          <cell r="J223">
            <v>45936</v>
          </cell>
          <cell r="L223">
            <v>45942</v>
          </cell>
          <cell r="O223">
            <v>45954</v>
          </cell>
          <cell r="P223" t="str">
            <v>M: 057-56507500
H: DTW250930FOR</v>
          </cell>
          <cell r="R223" t="str">
            <v>PWBR250153-10A</v>
          </cell>
          <cell r="AD223">
            <v>45946</v>
          </cell>
          <cell r="AE223">
            <v>45946</v>
          </cell>
          <cell r="AJ223">
            <v>136649.28</v>
          </cell>
          <cell r="AK223">
            <v>45936</v>
          </cell>
          <cell r="AL223">
            <v>45937</v>
          </cell>
          <cell r="AM223">
            <v>45939</v>
          </cell>
          <cell r="AN223">
            <v>45939</v>
          </cell>
          <cell r="AO223">
            <v>45944</v>
          </cell>
          <cell r="AP223">
            <v>45946</v>
          </cell>
          <cell r="AQ223">
            <v>45946</v>
          </cell>
          <cell r="AR223">
            <v>45942</v>
          </cell>
          <cell r="AS223">
            <v>45946</v>
          </cell>
          <cell r="AT223">
            <v>45947</v>
          </cell>
          <cell r="AU223">
            <v>45947</v>
          </cell>
          <cell r="AV223">
            <v>45947</v>
          </cell>
          <cell r="AW223">
            <v>45947</v>
          </cell>
          <cell r="AX223">
            <v>45947</v>
          </cell>
          <cell r="AY223">
            <v>45947</v>
          </cell>
          <cell r="AZ223">
            <v>45947</v>
          </cell>
          <cell r="BA223">
            <v>45950</v>
          </cell>
          <cell r="BB223">
            <v>45950</v>
          </cell>
          <cell r="BC223">
            <v>45954</v>
          </cell>
          <cell r="BD223">
            <v>45950</v>
          </cell>
          <cell r="BE223">
            <v>45954</v>
          </cell>
          <cell r="BF223">
            <v>45954</v>
          </cell>
          <cell r="BG223">
            <v>45954</v>
          </cell>
          <cell r="BH223">
            <v>45954</v>
          </cell>
          <cell r="BQ223">
            <v>6424.85</v>
          </cell>
          <cell r="BR223">
            <v>45971</v>
          </cell>
          <cell r="BS223"/>
          <cell r="CE223" t="str">
            <v>NÃO</v>
          </cell>
          <cell r="CI223" t="str">
            <v/>
          </cell>
        </row>
        <row r="224">
          <cell r="A224"/>
          <cell r="B224" t="str">
            <v>044B/2025</v>
          </cell>
          <cell r="E224" t="str">
            <v>STELLA</v>
          </cell>
          <cell r="F224" t="str">
            <v>DELIVERED</v>
          </cell>
          <cell r="G224" t="str">
            <v>AIR</v>
          </cell>
          <cell r="J224">
            <v>45936</v>
          </cell>
          <cell r="L224">
            <v>45942</v>
          </cell>
          <cell r="O224">
            <v>45947</v>
          </cell>
          <cell r="P224" t="str">
            <v>M: 057-56507511
H: DTW250928FOR</v>
          </cell>
          <cell r="R224" t="str">
            <v>PWBR250153-10B</v>
          </cell>
          <cell r="AD224">
            <v>45943</v>
          </cell>
          <cell r="AE224">
            <v>45943</v>
          </cell>
          <cell r="AJ224">
            <v>66565.63</v>
          </cell>
          <cell r="AK224">
            <v>45936</v>
          </cell>
          <cell r="AL224">
            <v>45937</v>
          </cell>
          <cell r="AM224">
            <v>45938</v>
          </cell>
          <cell r="AN224">
            <v>45938</v>
          </cell>
          <cell r="AO224">
            <v>45938</v>
          </cell>
          <cell r="AP224">
            <v>45939</v>
          </cell>
          <cell r="AQ224">
            <v>45943</v>
          </cell>
          <cell r="AR224">
            <v>45942</v>
          </cell>
          <cell r="AS224">
            <v>45943</v>
          </cell>
          <cell r="AT224">
            <v>45943</v>
          </cell>
          <cell r="AU224">
            <v>45944</v>
          </cell>
          <cell r="AY224">
            <v>45943</v>
          </cell>
          <cell r="AZ224">
            <v>45944</v>
          </cell>
          <cell r="BA224">
            <v>45945</v>
          </cell>
          <cell r="BB224">
            <v>45945</v>
          </cell>
          <cell r="BC224">
            <v>45946</v>
          </cell>
          <cell r="BD224">
            <v>45945</v>
          </cell>
          <cell r="BE224">
            <v>45946</v>
          </cell>
          <cell r="BF224">
            <v>45946</v>
          </cell>
          <cell r="BG224">
            <v>45946</v>
          </cell>
          <cell r="BH224">
            <v>45947</v>
          </cell>
          <cell r="BQ224">
            <v>2360.31</v>
          </cell>
          <cell r="BR224">
            <v>45971</v>
          </cell>
          <cell r="BS224"/>
          <cell r="CE224" t="str">
            <v>NÃO</v>
          </cell>
          <cell r="CI224" t="str">
            <v/>
          </cell>
        </row>
        <row r="225">
          <cell r="A225"/>
          <cell r="B225" t="str">
            <v>Z-027A/2025</v>
          </cell>
          <cell r="E225" t="str">
            <v>POLYANE</v>
          </cell>
          <cell r="F225" t="str">
            <v>DELIVERED</v>
          </cell>
          <cell r="G225" t="str">
            <v>AIR</v>
          </cell>
          <cell r="J225">
            <v>45969</v>
          </cell>
          <cell r="L225">
            <v>45973</v>
          </cell>
          <cell r="O225">
            <v>45978</v>
          </cell>
          <cell r="P225" t="str">
            <v>M: 057-56507533
H: DTW251013FOR</v>
          </cell>
          <cell r="R225" t="str">
            <v>PWBR250170A</v>
          </cell>
          <cell r="AD225">
            <v>45973</v>
          </cell>
          <cell r="AE225">
            <v>46002</v>
          </cell>
          <cell r="AJ225">
            <v>218749.08</v>
          </cell>
          <cell r="AK225">
            <v>45947</v>
          </cell>
          <cell r="AL225">
            <v>45947</v>
          </cell>
          <cell r="AM225">
            <v>45950</v>
          </cell>
          <cell r="AN225">
            <v>45950</v>
          </cell>
          <cell r="AO225">
            <v>45951</v>
          </cell>
          <cell r="AP225">
            <v>45952</v>
          </cell>
          <cell r="AQ225">
            <v>45972</v>
          </cell>
          <cell r="AR225">
            <v>45973</v>
          </cell>
          <cell r="AS225">
            <v>45972</v>
          </cell>
          <cell r="AT225">
            <v>45973</v>
          </cell>
          <cell r="AU225">
            <v>45973</v>
          </cell>
          <cell r="BA225">
            <v>45974</v>
          </cell>
          <cell r="BB225">
            <v>45974</v>
          </cell>
          <cell r="BC225">
            <v>45974</v>
          </cell>
          <cell r="BD225">
            <v>45974</v>
          </cell>
          <cell r="BE225">
            <v>45974</v>
          </cell>
          <cell r="BF225">
            <v>45974</v>
          </cell>
          <cell r="BG225">
            <v>45975</v>
          </cell>
          <cell r="BH225">
            <v>45978</v>
          </cell>
          <cell r="BQ225">
            <v>11589.93</v>
          </cell>
          <cell r="BR225">
            <v>46001</v>
          </cell>
          <cell r="BS225"/>
          <cell r="CE225" t="str">
            <v>NÃO</v>
          </cell>
          <cell r="CI225" t="str">
            <v/>
          </cell>
        </row>
        <row r="226">
          <cell r="A226" t="str">
            <v>IMO</v>
          </cell>
          <cell r="B226" t="str">
            <v>Z-028/2025</v>
          </cell>
          <cell r="E226" t="str">
            <v>LEISIANE</v>
          </cell>
          <cell r="F226" t="str">
            <v>DELIVERED</v>
          </cell>
          <cell r="G226" t="str">
            <v>SEA</v>
          </cell>
          <cell r="J226">
            <v>45962</v>
          </cell>
          <cell r="L226">
            <v>46012</v>
          </cell>
          <cell r="O226">
            <v>46036</v>
          </cell>
          <cell r="P226" t="str">
            <v>SYNHGH25SE100999</v>
          </cell>
          <cell r="R226" t="str">
            <v>PWBR250125-20</v>
          </cell>
          <cell r="T226" t="str">
            <v>FSCU7196656; MEDU7957384; MSBU3479878; MSNU8443788; TRHU8390711</v>
          </cell>
          <cell r="U226">
            <v>5</v>
          </cell>
          <cell r="AD226">
            <v>46014</v>
          </cell>
          <cell r="AE226">
            <v>46014</v>
          </cell>
          <cell r="AJ226">
            <v>5185095.84</v>
          </cell>
          <cell r="AK226">
            <v>45979</v>
          </cell>
          <cell r="AL226">
            <v>45985</v>
          </cell>
          <cell r="AM226">
            <v>45986</v>
          </cell>
          <cell r="AN226">
            <v>45988</v>
          </cell>
          <cell r="AO226">
            <v>45993</v>
          </cell>
          <cell r="AP226">
            <v>46000</v>
          </cell>
          <cell r="AQ226">
            <v>46001</v>
          </cell>
          <cell r="AR226">
            <v>46013</v>
          </cell>
          <cell r="AS226">
            <v>46001</v>
          </cell>
          <cell r="AT226">
            <v>46014</v>
          </cell>
          <cell r="AU226">
            <v>46014</v>
          </cell>
          <cell r="AY226">
            <v>46014</v>
          </cell>
          <cell r="AZ226">
            <v>46014</v>
          </cell>
          <cell r="BA226">
            <v>46020</v>
          </cell>
          <cell r="BB226">
            <v>46027</v>
          </cell>
          <cell r="BC226">
            <v>46030</v>
          </cell>
          <cell r="BD226">
            <v>46027</v>
          </cell>
          <cell r="BE226">
            <v>46030</v>
          </cell>
          <cell r="BF226">
            <v>46030</v>
          </cell>
          <cell r="BG226">
            <v>46034</v>
          </cell>
          <cell r="BH226">
            <v>46036</v>
          </cell>
          <cell r="BQ226">
            <v>19116.73</v>
          </cell>
          <cell r="BR226">
            <v>46034</v>
          </cell>
          <cell r="BS226">
            <v>31150.03</v>
          </cell>
          <cell r="BT226">
            <v>46102</v>
          </cell>
          <cell r="CD226">
            <v>46039</v>
          </cell>
          <cell r="CE226" t="str">
            <v>SIM  6 dias</v>
          </cell>
          <cell r="CI226">
            <v>46033</v>
          </cell>
        </row>
        <row r="227">
          <cell r="A227"/>
          <cell r="B227" t="str">
            <v>045E/2025</v>
          </cell>
          <cell r="E227" t="str">
            <v>STELLA</v>
          </cell>
          <cell r="F227" t="str">
            <v>DELIVERED</v>
          </cell>
          <cell r="G227" t="str">
            <v>SEA</v>
          </cell>
          <cell r="J227">
            <v>45931</v>
          </cell>
          <cell r="L227">
            <v>46004</v>
          </cell>
          <cell r="O227">
            <v>46030</v>
          </cell>
          <cell r="P227" t="str">
            <v>SDBLBS571279</v>
          </cell>
          <cell r="R227" t="str">
            <v>PWBR250148-50E</v>
          </cell>
          <cell r="T227" t="str">
            <v>SZLU9652872</v>
          </cell>
          <cell r="U227">
            <v>0.5</v>
          </cell>
          <cell r="AC227">
            <v>46021</v>
          </cell>
          <cell r="AD227">
            <v>46007</v>
          </cell>
          <cell r="AE227">
            <v>46007</v>
          </cell>
          <cell r="AJ227">
            <v>431271.75</v>
          </cell>
          <cell r="AK227">
            <v>45952</v>
          </cell>
          <cell r="AL227">
            <v>45952</v>
          </cell>
          <cell r="AM227">
            <v>45972</v>
          </cell>
          <cell r="AN227">
            <v>45972</v>
          </cell>
          <cell r="AO227">
            <v>45994</v>
          </cell>
          <cell r="AP227" t="str">
            <v>13/12/25</v>
          </cell>
          <cell r="AQ227">
            <v>46007</v>
          </cell>
          <cell r="AR227">
            <v>46007</v>
          </cell>
          <cell r="AS227">
            <v>46007</v>
          </cell>
          <cell r="AT227">
            <v>46007</v>
          </cell>
          <cell r="AU227">
            <v>46007</v>
          </cell>
          <cell r="AV227">
            <v>46007</v>
          </cell>
          <cell r="AW227">
            <v>46007</v>
          </cell>
          <cell r="AX227">
            <v>46008</v>
          </cell>
          <cell r="AY227">
            <v>46007</v>
          </cell>
          <cell r="AZ227">
            <v>46007</v>
          </cell>
          <cell r="BA227">
            <v>46008</v>
          </cell>
          <cell r="BB227">
            <v>46008</v>
          </cell>
          <cell r="BC227">
            <v>46013</v>
          </cell>
          <cell r="BD227">
            <v>46008</v>
          </cell>
          <cell r="BE227">
            <v>46013</v>
          </cell>
          <cell r="BF227">
            <v>46013</v>
          </cell>
          <cell r="BG227">
            <v>46013</v>
          </cell>
          <cell r="BQ227">
            <v>2865.93</v>
          </cell>
          <cell r="BR227">
            <v>46014</v>
          </cell>
          <cell r="CD227">
            <v>46021</v>
          </cell>
          <cell r="CE227" t="str">
            <v>NÃO</v>
          </cell>
          <cell r="CI227">
            <v>46022</v>
          </cell>
        </row>
        <row r="228">
          <cell r="A228"/>
          <cell r="B228" t="str">
            <v>Z-024/2025</v>
          </cell>
          <cell r="E228" t="str">
            <v>LEISIANE</v>
          </cell>
          <cell r="F228" t="str">
            <v>DELIVERED</v>
          </cell>
          <cell r="G228" t="str">
            <v>SEA</v>
          </cell>
          <cell r="J228">
            <v>45931</v>
          </cell>
          <cell r="L228">
            <v>46004</v>
          </cell>
          <cell r="O228">
            <v>46036</v>
          </cell>
          <cell r="P228" t="str">
            <v>SDBLBS571285</v>
          </cell>
          <cell r="R228" t="str">
            <v>PWBR250148-50F</v>
          </cell>
          <cell r="T228" t="str">
            <v>SZLU9652872</v>
          </cell>
          <cell r="U228">
            <v>0.5</v>
          </cell>
          <cell r="AD228">
            <v>46007</v>
          </cell>
          <cell r="AE228">
            <v>46007</v>
          </cell>
          <cell r="AJ228">
            <v>18714.599999999999</v>
          </cell>
          <cell r="AK228">
            <v>45957</v>
          </cell>
          <cell r="AL228">
            <v>45957</v>
          </cell>
          <cell r="AM228">
            <v>45958</v>
          </cell>
          <cell r="AN228">
            <v>45958</v>
          </cell>
          <cell r="AO228">
            <v>45958</v>
          </cell>
          <cell r="AP228">
            <v>45959</v>
          </cell>
          <cell r="AQ228">
            <v>46007</v>
          </cell>
          <cell r="AR228">
            <v>46007</v>
          </cell>
          <cell r="AS228">
            <v>46007</v>
          </cell>
          <cell r="AT228">
            <v>46007</v>
          </cell>
          <cell r="AU228">
            <v>46009</v>
          </cell>
          <cell r="AY228">
            <v>46007</v>
          </cell>
          <cell r="AZ228">
            <v>46008</v>
          </cell>
          <cell r="BA228">
            <v>46009</v>
          </cell>
          <cell r="BB228">
            <v>46007</v>
          </cell>
          <cell r="BC228">
            <v>46009</v>
          </cell>
          <cell r="BD228">
            <v>46009</v>
          </cell>
          <cell r="BE228">
            <v>46009</v>
          </cell>
          <cell r="BF228">
            <v>46009</v>
          </cell>
          <cell r="BG228">
            <v>46013</v>
          </cell>
          <cell r="BH228">
            <v>46036</v>
          </cell>
          <cell r="BQ228">
            <v>1065.03</v>
          </cell>
          <cell r="BR228">
            <v>46029</v>
          </cell>
          <cell r="CE228" t="str">
            <v>NÃO</v>
          </cell>
          <cell r="CI228">
            <v>46022</v>
          </cell>
        </row>
        <row r="229">
          <cell r="A229"/>
          <cell r="B229" t="str">
            <v>Z-027B/2025</v>
          </cell>
          <cell r="E229" t="str">
            <v>POLYANE</v>
          </cell>
          <cell r="F229" t="str">
            <v>DELIVERED</v>
          </cell>
          <cell r="G229" t="str">
            <v>AIR</v>
          </cell>
          <cell r="J229">
            <v>45955</v>
          </cell>
          <cell r="L229">
            <v>45961</v>
          </cell>
          <cell r="O229">
            <v>45966</v>
          </cell>
          <cell r="P229" t="str">
            <v>M: 057-56507570
H: DTW251014FOR</v>
          </cell>
          <cell r="R229" t="str">
            <v>PWBR250170B</v>
          </cell>
          <cell r="AD229">
            <v>45964</v>
          </cell>
          <cell r="AE229">
            <v>45964</v>
          </cell>
          <cell r="AJ229">
            <v>223292.43</v>
          </cell>
          <cell r="AK229">
            <v>45947</v>
          </cell>
          <cell r="AL229">
            <v>45947</v>
          </cell>
          <cell r="AM229">
            <v>45950</v>
          </cell>
          <cell r="AN229">
            <v>45950</v>
          </cell>
          <cell r="AO229">
            <v>45950</v>
          </cell>
          <cell r="AP229">
            <v>45951</v>
          </cell>
          <cell r="AQ229">
            <v>45964</v>
          </cell>
          <cell r="AR229">
            <v>45961</v>
          </cell>
          <cell r="AS229">
            <v>45964</v>
          </cell>
          <cell r="AT229">
            <v>45964</v>
          </cell>
          <cell r="AU229">
            <v>45964</v>
          </cell>
          <cell r="BA229">
            <v>45964</v>
          </cell>
          <cell r="BB229">
            <v>45964</v>
          </cell>
          <cell r="BC229">
            <v>45965</v>
          </cell>
          <cell r="BD229">
            <v>45964</v>
          </cell>
          <cell r="BE229">
            <v>45965</v>
          </cell>
          <cell r="BF229">
            <v>45965</v>
          </cell>
          <cell r="BG229">
            <v>45965</v>
          </cell>
          <cell r="BH229">
            <v>45966</v>
          </cell>
          <cell r="BQ229">
            <v>17621.3</v>
          </cell>
          <cell r="BR229">
            <v>46001</v>
          </cell>
          <cell r="BS229"/>
          <cell r="CE229" t="str">
            <v>NÃO</v>
          </cell>
          <cell r="CI229" t="str">
            <v/>
          </cell>
        </row>
        <row r="230">
          <cell r="A230"/>
          <cell r="B230" t="str">
            <v>055A/2025</v>
          </cell>
          <cell r="E230" t="str">
            <v>STELLA</v>
          </cell>
          <cell r="F230" t="str">
            <v>DELIVERED</v>
          </cell>
          <cell r="G230" t="str">
            <v>AIR</v>
          </cell>
          <cell r="J230">
            <v>45952</v>
          </cell>
          <cell r="L230">
            <v>45958</v>
          </cell>
          <cell r="O230">
            <v>45966</v>
          </cell>
          <cell r="P230" t="str">
            <v>M: 057-56507651
H: DTW251022FOR</v>
          </cell>
          <cell r="R230" t="str">
            <v>PWBR250165-10A</v>
          </cell>
          <cell r="AD230">
            <v>45964</v>
          </cell>
          <cell r="AE230">
            <v>45964</v>
          </cell>
          <cell r="AJ230">
            <v>5577.84</v>
          </cell>
          <cell r="AK230">
            <v>45953</v>
          </cell>
          <cell r="AL230">
            <v>45953</v>
          </cell>
          <cell r="AM230">
            <v>45954</v>
          </cell>
          <cell r="AN230">
            <v>45954</v>
          </cell>
          <cell r="AO230">
            <v>45954</v>
          </cell>
          <cell r="AP230">
            <v>45954</v>
          </cell>
          <cell r="AQ230">
            <v>45964</v>
          </cell>
          <cell r="AR230">
            <v>45958</v>
          </cell>
          <cell r="AS230">
            <v>45964</v>
          </cell>
          <cell r="AT230">
            <v>45964</v>
          </cell>
          <cell r="AU230">
            <v>45964</v>
          </cell>
          <cell r="AY230">
            <v>45964</v>
          </cell>
          <cell r="AZ230">
            <v>45964</v>
          </cell>
          <cell r="BA230">
            <v>45964</v>
          </cell>
          <cell r="BB230">
            <v>45964</v>
          </cell>
          <cell r="BC230">
            <v>45965</v>
          </cell>
          <cell r="BD230">
            <v>45964</v>
          </cell>
          <cell r="BE230">
            <v>45965</v>
          </cell>
          <cell r="BF230">
            <v>45965</v>
          </cell>
          <cell r="BG230">
            <v>45965</v>
          </cell>
          <cell r="BH230">
            <v>45966</v>
          </cell>
          <cell r="BQ230">
            <v>363.01</v>
          </cell>
          <cell r="BR230">
            <v>46001</v>
          </cell>
          <cell r="BS230"/>
          <cell r="CE230" t="str">
            <v>NÃO</v>
          </cell>
          <cell r="CI230" t="str">
            <v/>
          </cell>
        </row>
        <row r="231">
          <cell r="A231"/>
          <cell r="B231" t="str">
            <v>055B/2025</v>
          </cell>
          <cell r="E231" t="str">
            <v>STELLA</v>
          </cell>
          <cell r="F231" t="str">
            <v>DELIVERED</v>
          </cell>
          <cell r="G231" t="str">
            <v>AIR</v>
          </cell>
          <cell r="J231">
            <v>45952</v>
          </cell>
          <cell r="L231">
            <v>45963</v>
          </cell>
          <cell r="O231">
            <v>45966</v>
          </cell>
          <cell r="P231" t="str">
            <v>M: 057-56507640
H: DTW251021FOR</v>
          </cell>
          <cell r="R231" t="str">
            <v>PWBR250165-10B</v>
          </cell>
          <cell r="AD231">
            <v>45964</v>
          </cell>
          <cell r="AE231">
            <v>45964</v>
          </cell>
          <cell r="AJ231">
            <v>283627.71999999997</v>
          </cell>
          <cell r="AK231">
            <v>45953</v>
          </cell>
          <cell r="AL231">
            <v>45953</v>
          </cell>
          <cell r="AM231">
            <v>45954</v>
          </cell>
          <cell r="AN231">
            <v>45954</v>
          </cell>
          <cell r="AO231">
            <v>45954</v>
          </cell>
          <cell r="AP231">
            <v>45954</v>
          </cell>
          <cell r="AQ231">
            <v>45964</v>
          </cell>
          <cell r="AR231">
            <v>45963</v>
          </cell>
          <cell r="AS231">
            <v>45964</v>
          </cell>
          <cell r="AT231">
            <v>45964</v>
          </cell>
          <cell r="AU231">
            <v>45964</v>
          </cell>
          <cell r="AY231">
            <v>45964</v>
          </cell>
          <cell r="AZ231">
            <v>45964</v>
          </cell>
          <cell r="BA231">
            <v>45964</v>
          </cell>
          <cell r="BB231">
            <v>45964</v>
          </cell>
          <cell r="BC231">
            <v>45965</v>
          </cell>
          <cell r="BD231">
            <v>45964</v>
          </cell>
          <cell r="BE231">
            <v>45965</v>
          </cell>
          <cell r="BF231">
            <v>45965</v>
          </cell>
          <cell r="BG231">
            <v>45965</v>
          </cell>
          <cell r="BH231">
            <v>45966</v>
          </cell>
          <cell r="BQ231">
            <v>9881.11</v>
          </cell>
          <cell r="BR231">
            <v>46001</v>
          </cell>
          <cell r="BS231"/>
          <cell r="CE231" t="str">
            <v>NÃO</v>
          </cell>
          <cell r="CI231" t="str">
            <v/>
          </cell>
        </row>
        <row r="232">
          <cell r="A232"/>
          <cell r="B232" t="str">
            <v>E-013/2025</v>
          </cell>
          <cell r="E232" t="str">
            <v>LEISIANE</v>
          </cell>
          <cell r="F232" t="str">
            <v>DELIVERED</v>
          </cell>
          <cell r="G232" t="str">
            <v>SEA</v>
          </cell>
          <cell r="J232">
            <v>45953</v>
          </cell>
          <cell r="L232">
            <v>45984</v>
          </cell>
          <cell r="O232">
            <v>46043</v>
          </cell>
          <cell r="P232" t="str">
            <v>CN25101099</v>
          </cell>
          <cell r="R232" t="str">
            <v>8000621521; 8000621520</v>
          </cell>
          <cell r="T232" t="str">
            <v>ECMU7538778 (LCL)</v>
          </cell>
          <cell r="U232">
            <v>1</v>
          </cell>
          <cell r="AD232">
            <v>45987</v>
          </cell>
          <cell r="AE232">
            <v>46020</v>
          </cell>
          <cell r="AJ232">
            <v>27582.42</v>
          </cell>
          <cell r="AK232">
            <v>45964</v>
          </cell>
          <cell r="AL232">
            <v>45965</v>
          </cell>
          <cell r="AM232">
            <v>45967</v>
          </cell>
          <cell r="AN232">
            <v>45967</v>
          </cell>
          <cell r="AO232">
            <v>45973</v>
          </cell>
          <cell r="AP232">
            <v>45974</v>
          </cell>
          <cell r="AQ232">
            <v>45986</v>
          </cell>
          <cell r="AR232">
            <v>45987</v>
          </cell>
          <cell r="AS232">
            <v>45986</v>
          </cell>
          <cell r="AT232">
            <v>45987</v>
          </cell>
          <cell r="AU232">
            <v>45992</v>
          </cell>
          <cell r="AY232">
            <v>45986</v>
          </cell>
          <cell r="AZ232">
            <v>45992</v>
          </cell>
          <cell r="BA232">
            <v>45993</v>
          </cell>
          <cell r="BB232">
            <v>45992</v>
          </cell>
          <cell r="BC232">
            <v>45992</v>
          </cell>
          <cell r="BD232">
            <v>46027</v>
          </cell>
          <cell r="BE232">
            <v>46027</v>
          </cell>
          <cell r="BF232">
            <v>46027</v>
          </cell>
          <cell r="BG232">
            <v>46034</v>
          </cell>
          <cell r="BH232">
            <v>46042</v>
          </cell>
          <cell r="BQ232">
            <v>26337.73</v>
          </cell>
          <cell r="BR232">
            <v>46031</v>
          </cell>
          <cell r="CE232" t="str">
            <v>NÃO</v>
          </cell>
          <cell r="CI232">
            <v>46002</v>
          </cell>
        </row>
        <row r="233">
          <cell r="A233"/>
          <cell r="B233" t="str">
            <v>057/2025</v>
          </cell>
          <cell r="E233" t="str">
            <v>STELLA</v>
          </cell>
          <cell r="F233" t="str">
            <v>DELIVERED</v>
          </cell>
          <cell r="G233" t="str">
            <v>COURIER</v>
          </cell>
          <cell r="J233">
            <v>45952</v>
          </cell>
          <cell r="L233">
            <v>45959</v>
          </cell>
          <cell r="O233">
            <v>45959</v>
          </cell>
          <cell r="P233" t="str">
            <v>53 9777 0722</v>
          </cell>
          <cell r="R233" t="str">
            <v>20251014.00</v>
          </cell>
          <cell r="AD233">
            <v>45952</v>
          </cell>
          <cell r="AE233">
            <v>45952</v>
          </cell>
          <cell r="AJ233">
            <v>1854.08</v>
          </cell>
          <cell r="AR233">
            <v>45953</v>
          </cell>
          <cell r="BD233">
            <v>45959</v>
          </cell>
          <cell r="BE233">
            <v>45965</v>
          </cell>
          <cell r="BS233"/>
          <cell r="CE233" t="str">
            <v>NÃO</v>
          </cell>
          <cell r="CI233" t="str">
            <v/>
          </cell>
        </row>
        <row r="234">
          <cell r="A234"/>
          <cell r="B234" t="str">
            <v>054/2025</v>
          </cell>
          <cell r="E234" t="str">
            <v>STELLA</v>
          </cell>
          <cell r="F234" t="str">
            <v>DELIVERED</v>
          </cell>
          <cell r="G234" t="str">
            <v>SEA</v>
          </cell>
          <cell r="J234">
            <v>45957</v>
          </cell>
          <cell r="L234">
            <v>45997</v>
          </cell>
          <cell r="O234">
            <v>46036</v>
          </cell>
          <cell r="P234" t="str">
            <v>SDBLBS572457</v>
          </cell>
          <cell r="R234" t="str">
            <v>PWBR250128-40</v>
          </cell>
          <cell r="T234" t="str">
            <v>AMCU9335414</v>
          </cell>
          <cell r="U234">
            <v>1</v>
          </cell>
          <cell r="AC234">
            <v>46021</v>
          </cell>
          <cell r="AD234">
            <v>46010</v>
          </cell>
          <cell r="AE234">
            <v>46010</v>
          </cell>
          <cell r="AJ234">
            <v>689432.47</v>
          </cell>
          <cell r="AK234">
            <v>45967</v>
          </cell>
          <cell r="AL234">
            <v>45967</v>
          </cell>
          <cell r="AM234">
            <v>45974</v>
          </cell>
          <cell r="AN234">
            <v>45988</v>
          </cell>
          <cell r="AO234">
            <v>45994</v>
          </cell>
          <cell r="AP234">
            <v>45996</v>
          </cell>
          <cell r="AQ234">
            <v>46007</v>
          </cell>
          <cell r="AR234">
            <v>45999</v>
          </cell>
          <cell r="AS234">
            <v>46010</v>
          </cell>
          <cell r="AT234">
            <v>46010</v>
          </cell>
          <cell r="AU234">
            <v>46014</v>
          </cell>
          <cell r="AV234">
            <v>46014</v>
          </cell>
          <cell r="AW234">
            <v>46014</v>
          </cell>
          <cell r="AX234">
            <v>46014</v>
          </cell>
          <cell r="AY234">
            <v>46017</v>
          </cell>
          <cell r="AZ234">
            <v>46385</v>
          </cell>
          <cell r="BA234">
            <v>46385</v>
          </cell>
          <cell r="BB234">
            <v>46027</v>
          </cell>
          <cell r="BC234">
            <v>46027</v>
          </cell>
          <cell r="BD234">
            <v>46027</v>
          </cell>
          <cell r="BE234">
            <v>46031</v>
          </cell>
          <cell r="BF234">
            <v>46031</v>
          </cell>
          <cell r="BG234">
            <v>46034</v>
          </cell>
          <cell r="BQ234">
            <v>7970.19</v>
          </cell>
          <cell r="BR234">
            <v>46031</v>
          </cell>
          <cell r="BS234">
            <v>10335.530000000001</v>
          </cell>
          <cell r="BT234">
            <v>46057</v>
          </cell>
          <cell r="CD234">
            <v>46022</v>
          </cell>
          <cell r="CE234" t="str">
            <v>SIM  7 dias</v>
          </cell>
          <cell r="CI234">
            <v>46015</v>
          </cell>
        </row>
        <row r="235">
          <cell r="A235"/>
          <cell r="B235" t="str">
            <v>048/2025</v>
          </cell>
          <cell r="E235" t="str">
            <v>STELLA</v>
          </cell>
          <cell r="F235" t="str">
            <v>DELIVERED</v>
          </cell>
          <cell r="G235" t="str">
            <v>SEA</v>
          </cell>
          <cell r="J235">
            <v>45948</v>
          </cell>
          <cell r="L235">
            <v>46005</v>
          </cell>
          <cell r="O235">
            <v>46030</v>
          </cell>
          <cell r="P235" t="str">
            <v>SDBLBS572440</v>
          </cell>
          <cell r="R235" t="str">
            <v>PWBR250148-60</v>
          </cell>
          <cell r="T235" t="str">
            <v>MSBU1281517</v>
          </cell>
          <cell r="U235">
            <v>1</v>
          </cell>
          <cell r="AC235">
            <v>46017</v>
          </cell>
          <cell r="AD235">
            <v>46008</v>
          </cell>
          <cell r="AE235">
            <v>46008</v>
          </cell>
          <cell r="AJ235">
            <v>1074975.3899999999</v>
          </cell>
          <cell r="AK235">
            <v>45967</v>
          </cell>
          <cell r="AL235">
            <v>45967</v>
          </cell>
          <cell r="AM235">
            <v>46006</v>
          </cell>
          <cell r="AN235">
            <v>46006</v>
          </cell>
          <cell r="AO235">
            <v>46007</v>
          </cell>
          <cell r="AP235">
            <v>46007</v>
          </cell>
          <cell r="AQ235">
            <v>46008</v>
          </cell>
          <cell r="AR235">
            <v>46007</v>
          </cell>
          <cell r="AS235">
            <v>46008</v>
          </cell>
          <cell r="AT235">
            <v>46009</v>
          </cell>
          <cell r="AU235">
            <v>46009</v>
          </cell>
          <cell r="AV235">
            <v>46009</v>
          </cell>
          <cell r="AW235">
            <v>46009</v>
          </cell>
          <cell r="AX235">
            <v>46009</v>
          </cell>
          <cell r="AY235">
            <v>46009</v>
          </cell>
          <cell r="AZ235">
            <v>46009</v>
          </cell>
          <cell r="BA235">
            <v>46013</v>
          </cell>
          <cell r="BB235">
            <v>46013</v>
          </cell>
          <cell r="BC235">
            <v>46013</v>
          </cell>
          <cell r="BD235">
            <v>46013</v>
          </cell>
          <cell r="BE235">
            <v>46013</v>
          </cell>
          <cell r="BF235">
            <v>46013</v>
          </cell>
          <cell r="BG235">
            <v>46014</v>
          </cell>
          <cell r="BQ235">
            <v>3990.59</v>
          </cell>
          <cell r="BR235">
            <v>46014</v>
          </cell>
          <cell r="CD235">
            <v>46017</v>
          </cell>
          <cell r="CE235" t="str">
            <v>NÃO</v>
          </cell>
          <cell r="CI235">
            <v>46023</v>
          </cell>
        </row>
        <row r="236">
          <cell r="A236"/>
          <cell r="B236" t="str">
            <v>060/2025</v>
          </cell>
          <cell r="E236" t="str">
            <v>LEISIANE</v>
          </cell>
          <cell r="F236" t="str">
            <v>DELIVERED</v>
          </cell>
          <cell r="G236" t="str">
            <v>COURIER</v>
          </cell>
          <cell r="J236">
            <v>45961</v>
          </cell>
          <cell r="L236">
            <v>45999</v>
          </cell>
          <cell r="O236">
            <v>45999</v>
          </cell>
          <cell r="P236" t="str">
            <v>29 4598 6610</v>
          </cell>
          <cell r="R236" t="str">
            <v>SBR2500039-1</v>
          </cell>
          <cell r="AD236">
            <v>45986</v>
          </cell>
          <cell r="AE236">
            <v>45986</v>
          </cell>
          <cell r="AJ236">
            <v>6754.68</v>
          </cell>
          <cell r="AK236">
            <v>45975</v>
          </cell>
          <cell r="AL236">
            <v>45975</v>
          </cell>
          <cell r="AM236">
            <v>45978</v>
          </cell>
          <cell r="AN236">
            <v>45978</v>
          </cell>
          <cell r="AO236">
            <v>45985</v>
          </cell>
          <cell r="AP236">
            <v>45985</v>
          </cell>
          <cell r="AQ236">
            <v>45985</v>
          </cell>
          <cell r="AR236">
            <v>45967</v>
          </cell>
          <cell r="AS236">
            <v>45986</v>
          </cell>
          <cell r="AT236">
            <v>45986</v>
          </cell>
          <cell r="AU236">
            <v>45988</v>
          </cell>
          <cell r="AY236">
            <v>45986</v>
          </cell>
          <cell r="AZ236">
            <v>45988</v>
          </cell>
          <cell r="BA236">
            <v>45988</v>
          </cell>
          <cell r="BB236">
            <v>45988</v>
          </cell>
          <cell r="BC236">
            <v>45993</v>
          </cell>
          <cell r="BD236">
            <v>45988</v>
          </cell>
          <cell r="BE236">
            <v>45993</v>
          </cell>
          <cell r="BF236">
            <v>45993</v>
          </cell>
          <cell r="BG236">
            <v>45994</v>
          </cell>
          <cell r="BH236">
            <v>45999</v>
          </cell>
          <cell r="BQ236">
            <v>952.91</v>
          </cell>
          <cell r="BR236">
            <v>45988</v>
          </cell>
          <cell r="BS236"/>
          <cell r="CE236" t="str">
            <v>NÃO</v>
          </cell>
          <cell r="CI236" t="str">
            <v/>
          </cell>
        </row>
        <row r="237">
          <cell r="A237"/>
          <cell r="B237" t="str">
            <v>062/2025</v>
          </cell>
          <cell r="E237" t="str">
            <v>LEISIANE</v>
          </cell>
          <cell r="F237" t="str">
            <v>DELIVERED</v>
          </cell>
          <cell r="G237" t="str">
            <v>AIR</v>
          </cell>
          <cell r="J237">
            <v>45975</v>
          </cell>
          <cell r="L237">
            <v>45979</v>
          </cell>
          <cell r="O237">
            <v>45989</v>
          </cell>
          <cell r="P237" t="str">
            <v>DTW251111FOR</v>
          </cell>
          <cell r="R237" t="str">
            <v>PWBR250185-10</v>
          </cell>
          <cell r="T237"/>
          <cell r="AC237"/>
          <cell r="AD237">
            <v>45980</v>
          </cell>
          <cell r="AE237">
            <v>45980</v>
          </cell>
          <cell r="AJ237">
            <v>997.05</v>
          </cell>
          <cell r="AK237">
            <v>45978</v>
          </cell>
          <cell r="AL237">
            <v>45978</v>
          </cell>
          <cell r="AM237">
            <v>45979</v>
          </cell>
          <cell r="AN237">
            <v>45979</v>
          </cell>
          <cell r="AO237">
            <v>45985</v>
          </cell>
          <cell r="AP237">
            <v>45985</v>
          </cell>
          <cell r="AQ237">
            <v>45980</v>
          </cell>
          <cell r="AR237">
            <v>45980</v>
          </cell>
          <cell r="AS237">
            <v>45980</v>
          </cell>
          <cell r="AT237">
            <v>45986</v>
          </cell>
          <cell r="AU237">
            <v>45986</v>
          </cell>
          <cell r="AY237">
            <v>45986</v>
          </cell>
          <cell r="AZ237">
            <v>45986</v>
          </cell>
          <cell r="BA237">
            <v>45986</v>
          </cell>
          <cell r="BB237">
            <v>45986</v>
          </cell>
          <cell r="BC237">
            <v>45988</v>
          </cell>
          <cell r="BD237">
            <v>45986</v>
          </cell>
          <cell r="BE237">
            <v>45988</v>
          </cell>
          <cell r="BF237">
            <v>45989</v>
          </cell>
          <cell r="BG237">
            <v>45989</v>
          </cell>
          <cell r="BH237">
            <v>45989</v>
          </cell>
          <cell r="BQ237"/>
          <cell r="BS237"/>
          <cell r="CE237" t="str">
            <v>NÃO</v>
          </cell>
          <cell r="CI237" t="str">
            <v/>
          </cell>
        </row>
        <row r="238">
          <cell r="A238"/>
          <cell r="B238" t="str">
            <v>060A/2025</v>
          </cell>
          <cell r="E238" t="str">
            <v>STELLA</v>
          </cell>
          <cell r="F238" t="str">
            <v>DELIVERED</v>
          </cell>
          <cell r="G238" t="str">
            <v>SEA</v>
          </cell>
          <cell r="J238">
            <v>45975</v>
          </cell>
          <cell r="L238">
            <v>46025</v>
          </cell>
          <cell r="O238">
            <v>46044</v>
          </cell>
          <cell r="P238" t="str">
            <v>SDBLBS575718</v>
          </cell>
          <cell r="R238" t="str">
            <v>PWBR250084-10A</v>
          </cell>
          <cell r="T238" t="str">
            <v>MSBU8083426</v>
          </cell>
          <cell r="U238">
            <v>0.5</v>
          </cell>
          <cell r="AD238">
            <v>46031</v>
          </cell>
          <cell r="AE238">
            <v>46031</v>
          </cell>
          <cell r="AJ238">
            <v>80134.84</v>
          </cell>
          <cell r="AK238">
            <v>46000</v>
          </cell>
          <cell r="AL238">
            <v>46002</v>
          </cell>
          <cell r="AM238">
            <v>46020</v>
          </cell>
          <cell r="AN238">
            <v>46021</v>
          </cell>
          <cell r="AO238">
            <v>46027</v>
          </cell>
          <cell r="AP238">
            <v>46028</v>
          </cell>
          <cell r="AQ238">
            <v>46030</v>
          </cell>
          <cell r="AR238">
            <v>46028</v>
          </cell>
          <cell r="AS238">
            <v>46031</v>
          </cell>
          <cell r="AT238">
            <v>46031</v>
          </cell>
          <cell r="AU238">
            <v>46031</v>
          </cell>
          <cell r="AY238">
            <v>46031</v>
          </cell>
          <cell r="AZ238">
            <v>46031</v>
          </cell>
          <cell r="BA238">
            <v>46038</v>
          </cell>
          <cell r="BB238">
            <v>46038</v>
          </cell>
          <cell r="BC238">
            <v>46041</v>
          </cell>
          <cell r="BD238">
            <v>46038</v>
          </cell>
          <cell r="BE238">
            <v>46041</v>
          </cell>
          <cell r="BF238">
            <v>46041</v>
          </cell>
          <cell r="BG238">
            <v>46042</v>
          </cell>
          <cell r="BH238">
            <v>46044</v>
          </cell>
          <cell r="BQ238">
            <v>367.94</v>
          </cell>
          <cell r="BR238">
            <v>46038</v>
          </cell>
          <cell r="BS238">
            <v>893.99</v>
          </cell>
          <cell r="BT238">
            <v>46108</v>
          </cell>
          <cell r="CD238">
            <v>46045</v>
          </cell>
          <cell r="CE238" t="str">
            <v>SIM  1 dias</v>
          </cell>
          <cell r="CI238">
            <v>46044</v>
          </cell>
        </row>
        <row r="239">
          <cell r="A239"/>
          <cell r="B239" t="str">
            <v>060B/2025</v>
          </cell>
          <cell r="E239" t="str">
            <v>STELLA</v>
          </cell>
          <cell r="F239" t="str">
            <v>DELIVERED</v>
          </cell>
          <cell r="G239" t="str">
            <v>SEA</v>
          </cell>
          <cell r="J239">
            <v>45975</v>
          </cell>
          <cell r="L239">
            <v>46025</v>
          </cell>
          <cell r="O239">
            <v>46044</v>
          </cell>
          <cell r="P239" t="str">
            <v>SDBLBS575721</v>
          </cell>
          <cell r="R239" t="str">
            <v>PWBR250084-10B</v>
          </cell>
          <cell r="T239" t="str">
            <v>MSBU8083426</v>
          </cell>
          <cell r="U239">
            <v>0.5</v>
          </cell>
          <cell r="AD239">
            <v>46037</v>
          </cell>
          <cell r="AE239">
            <v>46037</v>
          </cell>
          <cell r="AJ239">
            <v>1123209.5900000001</v>
          </cell>
          <cell r="AK239">
            <v>46001</v>
          </cell>
          <cell r="AL239">
            <v>46002</v>
          </cell>
          <cell r="AM239">
            <v>46020</v>
          </cell>
          <cell r="AN239">
            <v>46034</v>
          </cell>
          <cell r="AO239">
            <v>46034</v>
          </cell>
          <cell r="AP239">
            <v>46036</v>
          </cell>
          <cell r="AQ239">
            <v>46037</v>
          </cell>
          <cell r="AR239">
            <v>46028</v>
          </cell>
          <cell r="AS239">
            <v>46037</v>
          </cell>
          <cell r="AT239">
            <v>46037</v>
          </cell>
          <cell r="AU239">
            <v>46037</v>
          </cell>
          <cell r="AV239">
            <v>46037</v>
          </cell>
          <cell r="AW239">
            <v>46037</v>
          </cell>
          <cell r="AX239">
            <v>46038</v>
          </cell>
          <cell r="AY239">
            <v>46037</v>
          </cell>
          <cell r="AZ239">
            <v>46037</v>
          </cell>
          <cell r="BA239">
            <v>46041</v>
          </cell>
          <cell r="BB239">
            <v>46041</v>
          </cell>
          <cell r="BC239">
            <v>46042</v>
          </cell>
          <cell r="BD239">
            <v>46041</v>
          </cell>
          <cell r="BE239">
            <v>46042</v>
          </cell>
          <cell r="BF239">
            <v>46042</v>
          </cell>
          <cell r="BG239">
            <v>46042</v>
          </cell>
          <cell r="BH239">
            <v>46044</v>
          </cell>
          <cell r="BQ239">
            <v>367.94</v>
          </cell>
          <cell r="BR239">
            <v>46038</v>
          </cell>
          <cell r="BS239">
            <v>893.99</v>
          </cell>
          <cell r="BT239">
            <v>46108</v>
          </cell>
          <cell r="CD239">
            <v>46045</v>
          </cell>
          <cell r="CE239" t="str">
            <v>SIM  1 dias</v>
          </cell>
          <cell r="CI239">
            <v>46044</v>
          </cell>
        </row>
        <row r="240">
          <cell r="A240"/>
          <cell r="B240" t="str">
            <v>070/2025</v>
          </cell>
          <cell r="E240" t="str">
            <v>LEISIANE</v>
          </cell>
          <cell r="F240" t="str">
            <v>DELIVERED</v>
          </cell>
          <cell r="G240" t="str">
            <v>COURIER</v>
          </cell>
          <cell r="J240">
            <v>46014</v>
          </cell>
          <cell r="L240">
            <v>46027</v>
          </cell>
          <cell r="O240">
            <v>46039</v>
          </cell>
          <cell r="P240">
            <v>5298564983</v>
          </cell>
          <cell r="R240">
            <v>20251219</v>
          </cell>
          <cell r="AJ240"/>
          <cell r="BD240">
            <v>46041</v>
          </cell>
          <cell r="BS240"/>
          <cell r="CE240" t="str">
            <v>NÃO</v>
          </cell>
          <cell r="CI240" t="str">
            <v/>
          </cell>
        </row>
        <row r="241">
          <cell r="A241"/>
          <cell r="B241" t="str">
            <v>Z-026/2025</v>
          </cell>
          <cell r="E241" t="str">
            <v>LEISIANE</v>
          </cell>
          <cell r="F241" t="str">
            <v>DELIVERED</v>
          </cell>
          <cell r="G241" t="str">
            <v>COURIER</v>
          </cell>
          <cell r="J241">
            <v>46017</v>
          </cell>
          <cell r="L241">
            <v>46021</v>
          </cell>
          <cell r="O241">
            <v>46037</v>
          </cell>
          <cell r="P241">
            <v>4132359162</v>
          </cell>
          <cell r="AD241">
            <v>46020</v>
          </cell>
          <cell r="AE241">
            <v>46021</v>
          </cell>
          <cell r="AJ241">
            <v>2007.05</v>
          </cell>
          <cell r="AR241">
            <v>46021</v>
          </cell>
          <cell r="BD241">
            <v>46037</v>
          </cell>
          <cell r="BE241">
            <v>46037</v>
          </cell>
          <cell r="BS241"/>
          <cell r="CE241"/>
          <cell r="CI241" t="str">
            <v/>
          </cell>
        </row>
        <row r="242">
          <cell r="A242"/>
          <cell r="B242" t="str">
            <v>E-016/2025</v>
          </cell>
          <cell r="E242" t="str">
            <v>LEISIANE</v>
          </cell>
          <cell r="F242" t="str">
            <v>DELIVERED</v>
          </cell>
          <cell r="G242" t="str">
            <v>AIR</v>
          </cell>
          <cell r="J242">
            <v>46025</v>
          </cell>
          <cell r="L242">
            <v>46028</v>
          </cell>
          <cell r="O242">
            <v>46056</v>
          </cell>
          <cell r="P242" t="str">
            <v>CN25121189</v>
          </cell>
          <cell r="R242">
            <v>8000655442</v>
          </cell>
          <cell r="AD242">
            <v>46036</v>
          </cell>
          <cell r="AE242">
            <v>46036</v>
          </cell>
          <cell r="AJ242">
            <v>3702.86</v>
          </cell>
          <cell r="AK242">
            <v>46028</v>
          </cell>
          <cell r="AL242">
            <v>46029</v>
          </cell>
          <cell r="AM242">
            <v>46031</v>
          </cell>
          <cell r="AN242">
            <v>46031</v>
          </cell>
          <cell r="AO242">
            <v>46031</v>
          </cell>
          <cell r="AP242">
            <v>46034</v>
          </cell>
          <cell r="AQ242">
            <v>46034</v>
          </cell>
          <cell r="AR242">
            <v>46028</v>
          </cell>
          <cell r="AS242">
            <v>46035</v>
          </cell>
          <cell r="AT242">
            <v>46037</v>
          </cell>
          <cell r="AU242">
            <v>46041</v>
          </cell>
          <cell r="AY242">
            <v>46037</v>
          </cell>
          <cell r="AZ242">
            <v>46041</v>
          </cell>
          <cell r="BA242">
            <v>46043</v>
          </cell>
          <cell r="BB242">
            <v>46043</v>
          </cell>
          <cell r="BC242">
            <v>46044</v>
          </cell>
          <cell r="BD242">
            <v>46043</v>
          </cell>
          <cell r="BE242">
            <v>46044</v>
          </cell>
          <cell r="BF242">
            <v>46044</v>
          </cell>
          <cell r="BG242">
            <v>46044</v>
          </cell>
          <cell r="BQ242">
            <v>1092.4000000000001</v>
          </cell>
          <cell r="BR242">
            <v>46056</v>
          </cell>
          <cell r="BS242"/>
          <cell r="CD242">
            <v>46056</v>
          </cell>
          <cell r="CE242" t="str">
            <v>NÃO</v>
          </cell>
          <cell r="CI242" t="str">
            <v/>
          </cell>
        </row>
        <row r="243">
          <cell r="A243"/>
          <cell r="B243" t="str">
            <v>071/2025</v>
          </cell>
          <cell r="E243" t="str">
            <v>LEISIANE</v>
          </cell>
          <cell r="F243" t="str">
            <v>DELIVERED</v>
          </cell>
          <cell r="G243" t="str">
            <v>AIR</v>
          </cell>
          <cell r="J243">
            <v>46027</v>
          </cell>
          <cell r="L243">
            <v>46036</v>
          </cell>
          <cell r="O243">
            <v>46049</v>
          </cell>
          <cell r="P243">
            <v>5757934155</v>
          </cell>
          <cell r="R243" t="str">
            <v>PWBR250203-40</v>
          </cell>
          <cell r="AD243">
            <v>46041</v>
          </cell>
          <cell r="AE243">
            <v>46042</v>
          </cell>
          <cell r="AJ243">
            <v>59285.94</v>
          </cell>
          <cell r="AK243">
            <v>46028</v>
          </cell>
          <cell r="AL243">
            <v>46028</v>
          </cell>
          <cell r="AM243">
            <v>46035</v>
          </cell>
          <cell r="AN243">
            <v>46035</v>
          </cell>
          <cell r="AO243">
            <v>46041</v>
          </cell>
          <cell r="AP243">
            <v>46041</v>
          </cell>
          <cell r="AQ243">
            <v>46041</v>
          </cell>
          <cell r="AR243">
            <v>46036</v>
          </cell>
          <cell r="AS243">
            <v>46041</v>
          </cell>
          <cell r="AT243">
            <v>46041</v>
          </cell>
          <cell r="AU243">
            <v>46042</v>
          </cell>
          <cell r="AY243">
            <v>46042</v>
          </cell>
          <cell r="AZ243">
            <v>46042</v>
          </cell>
          <cell r="BA243">
            <v>46043</v>
          </cell>
          <cell r="BB243">
            <v>46043</v>
          </cell>
          <cell r="BC243">
            <v>46045</v>
          </cell>
          <cell r="BD243">
            <v>46043</v>
          </cell>
          <cell r="BE243">
            <v>46045</v>
          </cell>
          <cell r="BF243">
            <v>46045</v>
          </cell>
          <cell r="BG243">
            <v>46049</v>
          </cell>
          <cell r="BH243">
            <v>46049</v>
          </cell>
          <cell r="BS243"/>
          <cell r="CE243" t="str">
            <v>NÃO</v>
          </cell>
          <cell r="CI243" t="str">
            <v/>
          </cell>
        </row>
        <row r="244">
          <cell r="A244"/>
          <cell r="B244" t="str">
            <v>E-014/2025</v>
          </cell>
          <cell r="E244" t="str">
            <v>LEISIANE</v>
          </cell>
          <cell r="F244" t="str">
            <v>DELIVERED</v>
          </cell>
          <cell r="G244" t="str">
            <v>SEA</v>
          </cell>
          <cell r="J244">
            <v>45995</v>
          </cell>
          <cell r="L244">
            <v>46039</v>
          </cell>
          <cell r="O244">
            <v>46064</v>
          </cell>
          <cell r="P244" t="str">
            <v>CN25111177</v>
          </cell>
          <cell r="R244">
            <v>8000643379</v>
          </cell>
          <cell r="T244" t="str">
            <v>ECMU2627213</v>
          </cell>
          <cell r="U244">
            <v>1</v>
          </cell>
          <cell r="AD244">
            <v>46042</v>
          </cell>
          <cell r="AE244">
            <v>46043</v>
          </cell>
          <cell r="AJ244">
            <v>202716.49</v>
          </cell>
          <cell r="AK244">
            <v>45995</v>
          </cell>
          <cell r="AL244">
            <v>46000</v>
          </cell>
          <cell r="AM244">
            <v>46002</v>
          </cell>
          <cell r="AN244">
            <v>46002</v>
          </cell>
          <cell r="AO244">
            <v>46009</v>
          </cell>
          <cell r="AP244">
            <v>46010</v>
          </cell>
          <cell r="AQ244">
            <v>46042</v>
          </cell>
          <cell r="AR244">
            <v>46041</v>
          </cell>
          <cell r="AS244">
            <v>46042</v>
          </cell>
          <cell r="AT244">
            <v>46045</v>
          </cell>
          <cell r="AU244">
            <v>46045</v>
          </cell>
          <cell r="AY244">
            <v>46048</v>
          </cell>
          <cell r="AZ244">
            <v>46048</v>
          </cell>
          <cell r="BA244">
            <v>46049</v>
          </cell>
          <cell r="BB244">
            <v>46050</v>
          </cell>
          <cell r="BC244">
            <v>46050</v>
          </cell>
          <cell r="BD244">
            <v>46057</v>
          </cell>
          <cell r="BE244">
            <v>46059</v>
          </cell>
          <cell r="BF244">
            <v>46059</v>
          </cell>
          <cell r="BG244">
            <v>46063</v>
          </cell>
          <cell r="BH244">
            <v>46064</v>
          </cell>
          <cell r="BQ244">
            <v>1947.25</v>
          </cell>
          <cell r="BR244">
            <v>46063</v>
          </cell>
          <cell r="BS244">
            <v>4422.83</v>
          </cell>
          <cell r="BT244">
            <v>46085</v>
          </cell>
          <cell r="CD244">
            <v>46064</v>
          </cell>
          <cell r="CE244" t="str">
            <v>SIM  4 dias</v>
          </cell>
          <cell r="CI244">
            <v>46060</v>
          </cell>
        </row>
        <row r="245">
          <cell r="A245"/>
          <cell r="B245" t="str">
            <v>069/2025</v>
          </cell>
          <cell r="E245" t="str">
            <v>LEISIANE</v>
          </cell>
          <cell r="F245" t="str">
            <v>DELIVERED</v>
          </cell>
          <cell r="G245" t="str">
            <v>AIR</v>
          </cell>
          <cell r="J245">
            <v>46036</v>
          </cell>
          <cell r="L245">
            <v>46039</v>
          </cell>
          <cell r="O245">
            <v>46058</v>
          </cell>
          <cell r="P245" t="str">
            <v>DTW260113FOR</v>
          </cell>
          <cell r="R245" t="str">
            <v>PWBR250148-40</v>
          </cell>
          <cell r="AD245">
            <v>46050</v>
          </cell>
          <cell r="AE245">
            <v>46051</v>
          </cell>
          <cell r="AJ245">
            <v>20422.88</v>
          </cell>
          <cell r="AK245">
            <v>46036</v>
          </cell>
          <cell r="AL245">
            <v>46038</v>
          </cell>
          <cell r="AM245">
            <v>46038</v>
          </cell>
          <cell r="AN245">
            <v>46041</v>
          </cell>
          <cell r="AO245">
            <v>46041</v>
          </cell>
          <cell r="AP245">
            <v>46042</v>
          </cell>
          <cell r="AQ245">
            <v>46045</v>
          </cell>
          <cell r="AR245">
            <v>46039</v>
          </cell>
          <cell r="AS245">
            <v>46051</v>
          </cell>
          <cell r="AT245">
            <v>46051</v>
          </cell>
          <cell r="AU245">
            <v>46051</v>
          </cell>
          <cell r="AY245">
            <v>46051</v>
          </cell>
          <cell r="AZ245">
            <v>46051</v>
          </cell>
          <cell r="BA245">
            <v>46055</v>
          </cell>
          <cell r="BB245">
            <v>46055</v>
          </cell>
          <cell r="BC245">
            <v>46056</v>
          </cell>
          <cell r="BD245">
            <v>46055</v>
          </cell>
          <cell r="BE245">
            <v>46056</v>
          </cell>
          <cell r="BF245">
            <v>46056</v>
          </cell>
          <cell r="BG245">
            <v>46058</v>
          </cell>
          <cell r="BH245">
            <v>46058</v>
          </cell>
          <cell r="BQ245">
            <v>6493.24</v>
          </cell>
          <cell r="BR245">
            <v>46104</v>
          </cell>
          <cell r="BS245"/>
          <cell r="CE245" t="str">
            <v>NÃO</v>
          </cell>
          <cell r="CI245" t="str">
            <v/>
          </cell>
        </row>
        <row r="246">
          <cell r="A246"/>
          <cell r="B246" t="str">
            <v>Z-029A/2025</v>
          </cell>
          <cell r="E246" t="str">
            <v>LEISIANE</v>
          </cell>
          <cell r="F246" t="str">
            <v>DELIVERED</v>
          </cell>
          <cell r="G246" t="str">
            <v>SEA</v>
          </cell>
          <cell r="J246">
            <v>45985</v>
          </cell>
          <cell r="L246">
            <v>46040</v>
          </cell>
          <cell r="O246">
            <v>46066</v>
          </cell>
          <cell r="P246" t="str">
            <v>SYNHGH25SE111421</v>
          </cell>
          <cell r="R246" t="str">
            <v xml:space="preserve">PWBR250155A </v>
          </cell>
          <cell r="T246" t="str">
            <v>CRSU6064014</v>
          </cell>
          <cell r="U246">
            <v>0.5</v>
          </cell>
          <cell r="AD246">
            <v>46048</v>
          </cell>
          <cell r="AE246">
            <v>46049</v>
          </cell>
          <cell r="AJ246">
            <v>560937.12</v>
          </cell>
          <cell r="AK246">
            <v>46009</v>
          </cell>
          <cell r="AL246">
            <v>46009</v>
          </cell>
          <cell r="AM246">
            <v>46021</v>
          </cell>
          <cell r="AN246">
            <v>46037</v>
          </cell>
          <cell r="AO246">
            <v>46041</v>
          </cell>
          <cell r="AP246">
            <v>46042</v>
          </cell>
          <cell r="AQ246">
            <v>46042</v>
          </cell>
          <cell r="AR246">
            <v>46041</v>
          </cell>
          <cell r="AS246">
            <v>46042</v>
          </cell>
          <cell r="AT246">
            <v>46049</v>
          </cell>
          <cell r="AU246">
            <v>46049</v>
          </cell>
          <cell r="AY246">
            <v>46049</v>
          </cell>
          <cell r="AZ246">
            <v>46049</v>
          </cell>
          <cell r="BA246">
            <v>46050</v>
          </cell>
          <cell r="BB246">
            <v>46050</v>
          </cell>
          <cell r="BC246">
            <v>46050</v>
          </cell>
          <cell r="BD246">
            <v>46050</v>
          </cell>
          <cell r="BE246">
            <v>46050</v>
          </cell>
          <cell r="BF246">
            <v>46050</v>
          </cell>
          <cell r="BG246">
            <v>46063</v>
          </cell>
          <cell r="BH246">
            <v>46066</v>
          </cell>
          <cell r="BQ246">
            <v>5671.75</v>
          </cell>
          <cell r="BR246">
            <v>46051</v>
          </cell>
          <cell r="CD246">
            <v>46066</v>
          </cell>
          <cell r="CE246" t="str">
            <v>SIM  5 dias</v>
          </cell>
          <cell r="CI246">
            <v>46061</v>
          </cell>
        </row>
        <row r="247">
          <cell r="A247"/>
          <cell r="B247" t="str">
            <v>063/2025</v>
          </cell>
          <cell r="E247" t="str">
            <v>LEISIANE</v>
          </cell>
          <cell r="F247" t="str">
            <v>DELIVERED</v>
          </cell>
          <cell r="G247" t="str">
            <v>COURIER</v>
          </cell>
          <cell r="J247">
            <v>45982</v>
          </cell>
          <cell r="L247">
            <v>45995</v>
          </cell>
          <cell r="O247">
            <v>46001</v>
          </cell>
          <cell r="P247">
            <v>6762719961</v>
          </cell>
          <cell r="R247" t="str">
            <v>SBR2500039-2</v>
          </cell>
          <cell r="AD247">
            <v>45986</v>
          </cell>
          <cell r="AJ247"/>
          <cell r="AK247">
            <v>45999</v>
          </cell>
          <cell r="AL247">
            <v>46000</v>
          </cell>
          <cell r="BD247">
            <v>46001</v>
          </cell>
          <cell r="BE247">
            <v>46031</v>
          </cell>
          <cell r="BF247">
            <v>46031</v>
          </cell>
          <cell r="BQ247"/>
          <cell r="BS247"/>
          <cell r="CE247" t="str">
            <v>NÃO</v>
          </cell>
          <cell r="CI247" t="str">
            <v/>
          </cell>
        </row>
        <row r="248">
          <cell r="A248"/>
          <cell r="B248" t="str">
            <v>065/2025</v>
          </cell>
          <cell r="E248" t="str">
            <v>LEISIANE</v>
          </cell>
          <cell r="F248" t="str">
            <v>DELIVERED</v>
          </cell>
          <cell r="G248" t="str">
            <v>COURIER</v>
          </cell>
          <cell r="J248">
            <v>45993</v>
          </cell>
          <cell r="L248">
            <v>45995</v>
          </cell>
          <cell r="O248">
            <v>46044</v>
          </cell>
          <cell r="P248">
            <v>1051978815</v>
          </cell>
          <cell r="R248" t="str">
            <v>PWBR250203-30</v>
          </cell>
          <cell r="AD248">
            <v>46008</v>
          </cell>
          <cell r="AE248">
            <v>46008</v>
          </cell>
          <cell r="AJ248">
            <v>24994.79</v>
          </cell>
          <cell r="AK248">
            <v>45995</v>
          </cell>
          <cell r="AL248">
            <v>46000</v>
          </cell>
          <cell r="AM248">
            <v>46001</v>
          </cell>
          <cell r="AN248">
            <v>46001</v>
          </cell>
          <cell r="AO248">
            <v>46005</v>
          </cell>
          <cell r="AP248">
            <v>46008</v>
          </cell>
          <cell r="AQ248">
            <v>46008</v>
          </cell>
          <cell r="AR248">
            <v>45996</v>
          </cell>
          <cell r="AS248">
            <v>46008</v>
          </cell>
          <cell r="AT248">
            <v>46008</v>
          </cell>
          <cell r="AU248">
            <v>46009</v>
          </cell>
          <cell r="AY248">
            <v>46008</v>
          </cell>
          <cell r="AZ248">
            <v>46009</v>
          </cell>
          <cell r="BA248">
            <v>46009</v>
          </cell>
          <cell r="BB248">
            <v>46009</v>
          </cell>
          <cell r="BC248">
            <v>46031</v>
          </cell>
          <cell r="BD248">
            <v>46027</v>
          </cell>
          <cell r="BE248">
            <v>46031</v>
          </cell>
          <cell r="BF248">
            <v>46031</v>
          </cell>
          <cell r="BG248">
            <v>46031</v>
          </cell>
          <cell r="BH248">
            <v>46044</v>
          </cell>
          <cell r="BQ248">
            <v>1026.52</v>
          </cell>
          <cell r="BR248">
            <v>46030</v>
          </cell>
          <cell r="BS248"/>
          <cell r="CE248" t="str">
            <v>NÃO</v>
          </cell>
          <cell r="CI248" t="str">
            <v/>
          </cell>
        </row>
        <row r="249">
          <cell r="A249"/>
          <cell r="B249" t="str">
            <v>066/2025</v>
          </cell>
          <cell r="E249" t="str">
            <v xml:space="preserve">LEISIANE </v>
          </cell>
          <cell r="F249" t="str">
            <v>DELIVERED</v>
          </cell>
          <cell r="G249" t="str">
            <v>AIR</v>
          </cell>
          <cell r="J249">
            <v>45998</v>
          </cell>
          <cell r="L249">
            <v>46001</v>
          </cell>
          <cell r="O249">
            <v>46008</v>
          </cell>
          <cell r="P249" t="str">
            <v>M: 057-57933956
H: DTW251201FOR</v>
          </cell>
          <cell r="R249" t="str">
            <v>PWBR250203-10</v>
          </cell>
          <cell r="AD249">
            <v>46002</v>
          </cell>
          <cell r="AE249">
            <v>46002</v>
          </cell>
          <cell r="AJ249">
            <v>21722.98</v>
          </cell>
          <cell r="AK249">
            <v>45995</v>
          </cell>
          <cell r="AL249">
            <v>45995</v>
          </cell>
          <cell r="AM249">
            <v>45995</v>
          </cell>
          <cell r="AN249">
            <v>45995</v>
          </cell>
          <cell r="AO249">
            <v>45996</v>
          </cell>
          <cell r="AP249">
            <v>46002</v>
          </cell>
          <cell r="AQ249">
            <v>46002</v>
          </cell>
          <cell r="AR249">
            <v>46001</v>
          </cell>
          <cell r="AS249">
            <v>46002</v>
          </cell>
          <cell r="AT249">
            <v>46002</v>
          </cell>
          <cell r="AU249">
            <v>46005</v>
          </cell>
          <cell r="AY249">
            <v>46003</v>
          </cell>
          <cell r="AZ249">
            <v>46005</v>
          </cell>
          <cell r="BA249">
            <v>46006</v>
          </cell>
          <cell r="BB249">
            <v>46006</v>
          </cell>
          <cell r="BC249">
            <v>46007</v>
          </cell>
          <cell r="BD249">
            <v>46006</v>
          </cell>
          <cell r="BE249">
            <v>46007</v>
          </cell>
          <cell r="BF249">
            <v>46007</v>
          </cell>
          <cell r="BG249">
            <v>46008</v>
          </cell>
          <cell r="BH249">
            <v>46008</v>
          </cell>
          <cell r="BQ249">
            <v>1969.81</v>
          </cell>
          <cell r="BR249">
            <v>46034</v>
          </cell>
          <cell r="BS249"/>
          <cell r="CE249" t="str">
            <v>NÃO</v>
          </cell>
          <cell r="CI249" t="str">
            <v/>
          </cell>
        </row>
        <row r="250">
          <cell r="A250"/>
          <cell r="B250" t="str">
            <v>Z-029B/2025</v>
          </cell>
          <cell r="E250" t="str">
            <v>LEISIANE</v>
          </cell>
          <cell r="F250" t="str">
            <v>DELIVERED</v>
          </cell>
          <cell r="G250" t="str">
            <v>SEA</v>
          </cell>
          <cell r="J250">
            <v>45985</v>
          </cell>
          <cell r="L250">
            <v>46040</v>
          </cell>
          <cell r="O250">
            <v>46053</v>
          </cell>
          <cell r="P250" t="str">
            <v>SYNHGH25SE11142102</v>
          </cell>
          <cell r="R250" t="str">
            <v xml:space="preserve">PWBR250155B </v>
          </cell>
          <cell r="T250" t="str">
            <v>MSDU9029690</v>
          </cell>
          <cell r="U250">
            <v>1</v>
          </cell>
          <cell r="AD250">
            <v>46049</v>
          </cell>
          <cell r="AE250">
            <v>46050</v>
          </cell>
          <cell r="AJ250">
            <v>604180.92000000004</v>
          </cell>
          <cell r="AK250">
            <v>46009</v>
          </cell>
          <cell r="AL250">
            <v>46009</v>
          </cell>
          <cell r="AM250">
            <v>46024</v>
          </cell>
          <cell r="AN250">
            <v>46037</v>
          </cell>
          <cell r="AO250">
            <v>46041</v>
          </cell>
          <cell r="AP250">
            <v>46042</v>
          </cell>
          <cell r="AQ250">
            <v>46042</v>
          </cell>
          <cell r="AR250">
            <v>46041</v>
          </cell>
          <cell r="AS250">
            <v>46042</v>
          </cell>
          <cell r="AT250">
            <v>46049</v>
          </cell>
          <cell r="AU250">
            <v>46049</v>
          </cell>
          <cell r="AY250">
            <v>46049</v>
          </cell>
          <cell r="AZ250">
            <v>46049</v>
          </cell>
          <cell r="BA250">
            <v>46050</v>
          </cell>
          <cell r="BB250">
            <v>46050</v>
          </cell>
          <cell r="BC250">
            <v>46050</v>
          </cell>
          <cell r="BD250">
            <v>46050</v>
          </cell>
          <cell r="BE250">
            <v>46050</v>
          </cell>
          <cell r="BF250">
            <v>46050</v>
          </cell>
          <cell r="BG250">
            <v>46052</v>
          </cell>
          <cell r="BH250">
            <v>46053</v>
          </cell>
          <cell r="BQ250">
            <v>788.85</v>
          </cell>
          <cell r="BR250">
            <v>46059</v>
          </cell>
          <cell r="CE250"/>
          <cell r="CI250">
            <v>46058</v>
          </cell>
        </row>
        <row r="251">
          <cell r="A251"/>
          <cell r="B251" t="str">
            <v>061A/2025</v>
          </cell>
          <cell r="E251" t="str">
            <v>STELLA</v>
          </cell>
          <cell r="F251" t="str">
            <v>DELIVERED</v>
          </cell>
          <cell r="G251" t="str">
            <v>SEA</v>
          </cell>
          <cell r="J251">
            <v>45992</v>
          </cell>
          <cell r="L251">
            <v>46040</v>
          </cell>
          <cell r="O251">
            <v>46078</v>
          </cell>
          <cell r="P251" t="str">
            <v>SYNHGH25SE111428</v>
          </cell>
          <cell r="R251" t="str">
            <v>PWBR250183-30A</v>
          </cell>
          <cell r="T251" t="str">
            <v>CXRU1005487</v>
          </cell>
          <cell r="U251">
            <v>1</v>
          </cell>
          <cell r="AD251">
            <v>46052</v>
          </cell>
          <cell r="AE251">
            <v>46052</v>
          </cell>
          <cell r="AJ251">
            <v>708712.64</v>
          </cell>
          <cell r="AK251">
            <v>46029</v>
          </cell>
          <cell r="AL251">
            <v>46031</v>
          </cell>
          <cell r="AM251">
            <v>46037</v>
          </cell>
          <cell r="AN251">
            <v>46037</v>
          </cell>
          <cell r="AO251">
            <v>46041</v>
          </cell>
          <cell r="AP251">
            <v>46042</v>
          </cell>
          <cell r="AQ251">
            <v>46045</v>
          </cell>
          <cell r="AR251">
            <v>46042</v>
          </cell>
          <cell r="AS251">
            <v>46045</v>
          </cell>
          <cell r="AT251">
            <v>46052</v>
          </cell>
          <cell r="AU251">
            <v>46052</v>
          </cell>
          <cell r="AY251">
            <v>46052</v>
          </cell>
          <cell r="AZ251">
            <v>46052</v>
          </cell>
          <cell r="BA251">
            <v>46059</v>
          </cell>
          <cell r="BB251">
            <v>46059</v>
          </cell>
          <cell r="BC251">
            <v>46076</v>
          </cell>
          <cell r="BD251">
            <v>46059</v>
          </cell>
          <cell r="BE251">
            <v>46076</v>
          </cell>
          <cell r="BF251">
            <v>46076</v>
          </cell>
          <cell r="BG251">
            <v>46078</v>
          </cell>
          <cell r="BQ251">
            <v>3114.26</v>
          </cell>
          <cell r="BR251">
            <v>46066</v>
          </cell>
          <cell r="BS251">
            <v>54228.03</v>
          </cell>
          <cell r="BT251">
            <v>46140</v>
          </cell>
          <cell r="CD251">
            <v>46079</v>
          </cell>
          <cell r="CE251" t="str">
            <v>SIM  18 dias</v>
          </cell>
          <cell r="CI251">
            <v>46061</v>
          </cell>
        </row>
        <row r="252">
          <cell r="A252"/>
          <cell r="B252" t="str">
            <v>061B/2025</v>
          </cell>
          <cell r="E252" t="str">
            <v>STELLA</v>
          </cell>
          <cell r="F252" t="str">
            <v>DELIVERED</v>
          </cell>
          <cell r="G252" t="str">
            <v>SEA</v>
          </cell>
          <cell r="J252">
            <v>45992</v>
          </cell>
          <cell r="L252">
            <v>46040</v>
          </cell>
          <cell r="O252">
            <v>46078</v>
          </cell>
          <cell r="P252" t="str">
            <v>SYNHGH25SE11142801</v>
          </cell>
          <cell r="R252" t="str">
            <v>PWBR250183-30B</v>
          </cell>
          <cell r="T252" t="str">
            <v>OTPU6091858; SEGU9124300; SZLU9113192</v>
          </cell>
          <cell r="U252">
            <v>3</v>
          </cell>
          <cell r="AD252">
            <v>46056</v>
          </cell>
          <cell r="AE252">
            <v>46056</v>
          </cell>
          <cell r="AJ252">
            <v>1312481.1000000001</v>
          </cell>
          <cell r="AK252">
            <v>46029</v>
          </cell>
          <cell r="AL252">
            <v>46031</v>
          </cell>
          <cell r="AM252">
            <v>46045</v>
          </cell>
          <cell r="AN252">
            <v>46049</v>
          </cell>
          <cell r="AO252">
            <v>46051</v>
          </cell>
          <cell r="AP252">
            <v>46052</v>
          </cell>
          <cell r="AQ252">
            <v>46052</v>
          </cell>
          <cell r="AR252">
            <v>46042</v>
          </cell>
          <cell r="AS252">
            <v>46055</v>
          </cell>
          <cell r="AT252">
            <v>46056</v>
          </cell>
          <cell r="AU252">
            <v>46057</v>
          </cell>
          <cell r="AY252">
            <v>46056</v>
          </cell>
          <cell r="AZ252">
            <v>46057</v>
          </cell>
          <cell r="BA252">
            <v>46059</v>
          </cell>
          <cell r="BB252">
            <v>46063</v>
          </cell>
          <cell r="BC252">
            <v>46074</v>
          </cell>
          <cell r="BD252">
            <v>46063</v>
          </cell>
          <cell r="BE252">
            <v>46074</v>
          </cell>
          <cell r="BF252">
            <v>46074</v>
          </cell>
          <cell r="BG252">
            <v>46076</v>
          </cell>
          <cell r="BQ252">
            <v>9342.7800000000007</v>
          </cell>
          <cell r="BR252">
            <v>46066</v>
          </cell>
          <cell r="BS252">
            <v>153646.07999999999</v>
          </cell>
          <cell r="BT252">
            <v>46140</v>
          </cell>
          <cell r="CD252">
            <v>46078</v>
          </cell>
          <cell r="CE252" t="str">
            <v>SIM  17 dias</v>
          </cell>
          <cell r="CI252">
            <v>46061</v>
          </cell>
        </row>
        <row r="253">
          <cell r="A253"/>
          <cell r="B253" t="str">
            <v>067/2025</v>
          </cell>
          <cell r="E253" t="str">
            <v>LEISIANE</v>
          </cell>
          <cell r="F253" t="str">
            <v>DELIVERED</v>
          </cell>
          <cell r="G253" t="str">
            <v>COURIER</v>
          </cell>
          <cell r="J253">
            <v>45995</v>
          </cell>
          <cell r="L253">
            <v>45999</v>
          </cell>
          <cell r="O253">
            <v>46041</v>
          </cell>
          <cell r="P253">
            <v>2995136432</v>
          </cell>
          <cell r="R253" t="str">
            <v xml:space="preserve">SBR2500032-2 </v>
          </cell>
          <cell r="AD253">
            <v>46008</v>
          </cell>
          <cell r="AE253">
            <v>46008</v>
          </cell>
          <cell r="AJ253">
            <v>10411.82</v>
          </cell>
          <cell r="AK253">
            <v>45999</v>
          </cell>
          <cell r="AL253">
            <v>46000</v>
          </cell>
          <cell r="AM253">
            <v>46001</v>
          </cell>
          <cell r="AN253">
            <v>46001</v>
          </cell>
          <cell r="AO253">
            <v>46005</v>
          </cell>
          <cell r="AP253">
            <v>46008</v>
          </cell>
          <cell r="AQ253">
            <v>46008</v>
          </cell>
          <cell r="AR253">
            <v>45999</v>
          </cell>
          <cell r="AS253">
            <v>46008</v>
          </cell>
          <cell r="AT253">
            <v>46008</v>
          </cell>
          <cell r="AU253">
            <v>46009</v>
          </cell>
          <cell r="AY253">
            <v>46008</v>
          </cell>
          <cell r="AZ253">
            <v>46009</v>
          </cell>
          <cell r="BA253">
            <v>46009</v>
          </cell>
          <cell r="BB253">
            <v>46009</v>
          </cell>
          <cell r="BC253">
            <v>46009</v>
          </cell>
          <cell r="BD253">
            <v>46010</v>
          </cell>
          <cell r="BE253">
            <v>46035</v>
          </cell>
          <cell r="BF253">
            <v>46035</v>
          </cell>
          <cell r="BG253">
            <v>46036</v>
          </cell>
          <cell r="BH253">
            <v>46041</v>
          </cell>
          <cell r="BQ253">
            <v>641.27</v>
          </cell>
          <cell r="BR253">
            <v>46008</v>
          </cell>
          <cell r="BS253"/>
          <cell r="CE253" t="str">
            <v>NÃO</v>
          </cell>
          <cell r="CI253" t="str">
            <v/>
          </cell>
        </row>
        <row r="254">
          <cell r="A254"/>
          <cell r="B254" t="str">
            <v>Z-031A/2025</v>
          </cell>
          <cell r="E254" t="str">
            <v>LEISIANE</v>
          </cell>
          <cell r="F254" t="str">
            <v>DELIVERED</v>
          </cell>
          <cell r="G254" t="str">
            <v>AIR</v>
          </cell>
          <cell r="J254">
            <v>46003</v>
          </cell>
          <cell r="L254">
            <v>46009</v>
          </cell>
          <cell r="O254">
            <v>46015</v>
          </cell>
          <cell r="P254" t="str">
            <v>DTW251202FOR</v>
          </cell>
          <cell r="R254" t="str">
            <v>PWBR250176-10A</v>
          </cell>
          <cell r="AD254">
            <v>46010</v>
          </cell>
          <cell r="AE254">
            <v>46010</v>
          </cell>
          <cell r="AJ254">
            <v>4986409.7</v>
          </cell>
          <cell r="AK254">
            <v>46007</v>
          </cell>
          <cell r="AL254">
            <v>46008</v>
          </cell>
          <cell r="AM254">
            <v>46010</v>
          </cell>
          <cell r="AN254">
            <v>46010</v>
          </cell>
          <cell r="AO254">
            <v>46010</v>
          </cell>
          <cell r="AP254">
            <v>46010</v>
          </cell>
          <cell r="AQ254">
            <v>46010</v>
          </cell>
          <cell r="AR254">
            <v>46009</v>
          </cell>
          <cell r="AS254">
            <v>46010</v>
          </cell>
          <cell r="AT254">
            <v>46010</v>
          </cell>
          <cell r="AU254">
            <v>46013</v>
          </cell>
          <cell r="AY254">
            <v>46010</v>
          </cell>
          <cell r="AZ254">
            <v>46013</v>
          </cell>
          <cell r="BA254">
            <v>46014</v>
          </cell>
          <cell r="BB254">
            <v>46014</v>
          </cell>
          <cell r="BC254">
            <v>46014</v>
          </cell>
          <cell r="BD254">
            <v>46014</v>
          </cell>
          <cell r="BE254">
            <v>46014</v>
          </cell>
          <cell r="BF254">
            <v>46014</v>
          </cell>
          <cell r="BG254">
            <v>46014</v>
          </cell>
          <cell r="BH254">
            <v>46015</v>
          </cell>
          <cell r="BQ254">
            <v>65314.91</v>
          </cell>
          <cell r="BR254">
            <v>46034</v>
          </cell>
          <cell r="BS254"/>
          <cell r="CE254" t="str">
            <v>NÃO</v>
          </cell>
          <cell r="CI254" t="str">
            <v/>
          </cell>
        </row>
        <row r="255">
          <cell r="A255"/>
          <cell r="B255" t="str">
            <v>Z-031B/2025</v>
          </cell>
          <cell r="E255" t="str">
            <v>LEISIANE</v>
          </cell>
          <cell r="F255" t="str">
            <v>DELIVERED</v>
          </cell>
          <cell r="G255" t="str">
            <v>AIR</v>
          </cell>
          <cell r="J255">
            <v>46003</v>
          </cell>
          <cell r="L255">
            <v>46009</v>
          </cell>
          <cell r="O255">
            <v>46015</v>
          </cell>
          <cell r="P255" t="str">
            <v>DTW251203FOR</v>
          </cell>
          <cell r="R255" t="str">
            <v>PWBR250176-10B</v>
          </cell>
          <cell r="AD255">
            <v>46010</v>
          </cell>
          <cell r="AE255">
            <v>46010</v>
          </cell>
          <cell r="AJ255">
            <v>1028352.19</v>
          </cell>
          <cell r="AK255">
            <v>46007</v>
          </cell>
          <cell r="AL255">
            <v>46008</v>
          </cell>
          <cell r="AM255">
            <v>46010</v>
          </cell>
          <cell r="AN255">
            <v>46010</v>
          </cell>
          <cell r="AO255">
            <v>46010</v>
          </cell>
          <cell r="AP255">
            <v>46010</v>
          </cell>
          <cell r="AQ255">
            <v>46010</v>
          </cell>
          <cell r="AR255">
            <v>46009</v>
          </cell>
          <cell r="AS255">
            <v>46010</v>
          </cell>
          <cell r="AT255">
            <v>46010</v>
          </cell>
          <cell r="AU255">
            <v>46013</v>
          </cell>
          <cell r="AY255">
            <v>46010</v>
          </cell>
          <cell r="AZ255">
            <v>46013</v>
          </cell>
          <cell r="BA255">
            <v>46014</v>
          </cell>
          <cell r="BB255">
            <v>46014</v>
          </cell>
          <cell r="BC255">
            <v>46014</v>
          </cell>
          <cell r="BD255">
            <v>46014</v>
          </cell>
          <cell r="BE255">
            <v>46014</v>
          </cell>
          <cell r="BF255">
            <v>46014</v>
          </cell>
          <cell r="BG255">
            <v>46014</v>
          </cell>
          <cell r="BH255">
            <v>46015</v>
          </cell>
          <cell r="BQ255">
            <v>12872.95</v>
          </cell>
          <cell r="BR255">
            <v>46034</v>
          </cell>
          <cell r="BS255"/>
          <cell r="CE255" t="str">
            <v>NÃO</v>
          </cell>
          <cell r="CI255" t="str">
            <v/>
          </cell>
        </row>
        <row r="256">
          <cell r="A256"/>
          <cell r="B256" t="str">
            <v>061C/2025</v>
          </cell>
          <cell r="E256" t="str">
            <v>STELLA</v>
          </cell>
          <cell r="F256" t="str">
            <v>DELIVERED</v>
          </cell>
          <cell r="G256" t="str">
            <v>SEA</v>
          </cell>
          <cell r="J256">
            <v>45992</v>
          </cell>
          <cell r="L256">
            <v>46040</v>
          </cell>
          <cell r="O256">
            <v>46059</v>
          </cell>
          <cell r="P256" t="str">
            <v>SYNHGH25SE11142802</v>
          </cell>
          <cell r="R256" t="str">
            <v>PWBR250183-30C</v>
          </cell>
          <cell r="T256" t="str">
            <v>OTPU6595817; SEKU9026838; TEMU9294323</v>
          </cell>
          <cell r="U256">
            <v>3</v>
          </cell>
          <cell r="AD256">
            <v>46050</v>
          </cell>
          <cell r="AE256">
            <v>46050</v>
          </cell>
          <cell r="AJ256">
            <v>988747.32</v>
          </cell>
          <cell r="AK256">
            <v>46030</v>
          </cell>
          <cell r="AL256">
            <v>46031</v>
          </cell>
          <cell r="AM256">
            <v>46034</v>
          </cell>
          <cell r="AN256">
            <v>46036</v>
          </cell>
          <cell r="AO256">
            <v>46037</v>
          </cell>
          <cell r="AP256">
            <v>46041</v>
          </cell>
          <cell r="AQ256">
            <v>46041</v>
          </cell>
          <cell r="AR256">
            <v>46042</v>
          </cell>
          <cell r="AS256">
            <v>46049</v>
          </cell>
          <cell r="AT256">
            <v>46050</v>
          </cell>
          <cell r="AU256">
            <v>46051</v>
          </cell>
          <cell r="AY256">
            <v>46050</v>
          </cell>
          <cell r="AZ256">
            <v>46051</v>
          </cell>
          <cell r="BA256">
            <v>46052</v>
          </cell>
          <cell r="BB256">
            <v>46052</v>
          </cell>
          <cell r="BC256">
            <v>46056</v>
          </cell>
          <cell r="BD256">
            <v>46052</v>
          </cell>
          <cell r="BE256">
            <v>46056</v>
          </cell>
          <cell r="BF256">
            <v>46056</v>
          </cell>
          <cell r="BG256">
            <v>46059</v>
          </cell>
          <cell r="BQ256">
            <v>2454.5700000000002</v>
          </cell>
          <cell r="BR256">
            <v>46052</v>
          </cell>
          <cell r="BS256">
            <v>6091.12</v>
          </cell>
          <cell r="BT256">
            <v>46124</v>
          </cell>
          <cell r="CD256">
            <v>46062</v>
          </cell>
          <cell r="CE256" t="str">
            <v>SIM  1 dias</v>
          </cell>
          <cell r="CI256">
            <v>46061</v>
          </cell>
        </row>
        <row r="257">
          <cell r="A257"/>
          <cell r="B257" t="str">
            <v>061D/2025</v>
          </cell>
          <cell r="E257" t="str">
            <v>STELLA</v>
          </cell>
          <cell r="F257" t="str">
            <v>DELIVERED</v>
          </cell>
          <cell r="G257" t="str">
            <v>SEA</v>
          </cell>
          <cell r="J257">
            <v>45992</v>
          </cell>
          <cell r="L257">
            <v>46040</v>
          </cell>
          <cell r="O257">
            <v>46066</v>
          </cell>
          <cell r="P257" t="str">
            <v>SYNHGH25SE11142803</v>
          </cell>
          <cell r="R257" t="str">
            <v>PWBR250183-30D</v>
          </cell>
          <cell r="T257" t="str">
            <v>CXRU1395507; MSDU9769803; TEMU9531214</v>
          </cell>
          <cell r="U257">
            <v>3</v>
          </cell>
          <cell r="AD257">
            <v>46051</v>
          </cell>
          <cell r="AE257">
            <v>46051</v>
          </cell>
          <cell r="AJ257">
            <v>941118.84</v>
          </cell>
          <cell r="AK257">
            <v>46031</v>
          </cell>
          <cell r="AL257">
            <v>46036</v>
          </cell>
          <cell r="AM257">
            <v>46042</v>
          </cell>
          <cell r="AN257">
            <v>46042</v>
          </cell>
          <cell r="AO257">
            <v>46042</v>
          </cell>
          <cell r="AP257">
            <v>46049</v>
          </cell>
          <cell r="AQ257">
            <v>46041</v>
          </cell>
          <cell r="AR257">
            <v>46042</v>
          </cell>
          <cell r="AS257">
            <v>46050</v>
          </cell>
          <cell r="AT257">
            <v>46051</v>
          </cell>
          <cell r="AU257">
            <v>46051</v>
          </cell>
          <cell r="AY257">
            <v>46051</v>
          </cell>
          <cell r="AZ257">
            <v>46051</v>
          </cell>
          <cell r="BA257">
            <v>46052</v>
          </cell>
          <cell r="BB257">
            <v>46055</v>
          </cell>
          <cell r="BC257">
            <v>46056</v>
          </cell>
          <cell r="BD257">
            <v>46055</v>
          </cell>
          <cell r="BE257">
            <v>46056</v>
          </cell>
          <cell r="BF257">
            <v>46056</v>
          </cell>
          <cell r="BG257">
            <v>46059</v>
          </cell>
          <cell r="BQ257">
            <v>3449.88</v>
          </cell>
          <cell r="BR257">
            <v>46058</v>
          </cell>
          <cell r="BS257">
            <v>21460.54</v>
          </cell>
          <cell r="BT257">
            <v>46129</v>
          </cell>
          <cell r="CD257">
            <v>46066</v>
          </cell>
          <cell r="CE257" t="str">
            <v>SIM  8 dias</v>
          </cell>
          <cell r="CI257">
            <v>46058</v>
          </cell>
        </row>
        <row r="258">
          <cell r="A258"/>
          <cell r="B258" t="str">
            <v>061E/2025</v>
          </cell>
          <cell r="E258" t="str">
            <v>STELLA</v>
          </cell>
          <cell r="F258" t="str">
            <v>DELIVERED</v>
          </cell>
          <cell r="G258" t="str">
            <v>SEA</v>
          </cell>
          <cell r="J258">
            <v>45992</v>
          </cell>
          <cell r="L258">
            <v>46040</v>
          </cell>
          <cell r="O258">
            <v>46079</v>
          </cell>
          <cell r="P258" t="str">
            <v>SYNHGH25SE11142804</v>
          </cell>
          <cell r="R258" t="str">
            <v>PWBR250183-30E</v>
          </cell>
          <cell r="T258" t="str">
            <v>SZLU9311623</v>
          </cell>
          <cell r="U258">
            <v>1</v>
          </cell>
          <cell r="AD258">
            <v>46044</v>
          </cell>
          <cell r="AE258">
            <v>46044</v>
          </cell>
          <cell r="AJ258">
            <v>495666.23</v>
          </cell>
          <cell r="AK258">
            <v>46008</v>
          </cell>
          <cell r="AL258">
            <v>46008</v>
          </cell>
          <cell r="AM258">
            <v>46021</v>
          </cell>
          <cell r="AN258">
            <v>46035</v>
          </cell>
          <cell r="AO258">
            <v>46041</v>
          </cell>
          <cell r="AP258">
            <v>46042</v>
          </cell>
          <cell r="AQ258">
            <v>46041</v>
          </cell>
          <cell r="AR258">
            <v>46042</v>
          </cell>
          <cell r="AS258">
            <v>46044</v>
          </cell>
          <cell r="AT258">
            <v>46045</v>
          </cell>
          <cell r="AU258">
            <v>46066</v>
          </cell>
          <cell r="AV258">
            <v>46045</v>
          </cell>
          <cell r="AW258">
            <v>46045</v>
          </cell>
          <cell r="AX258">
            <v>46045</v>
          </cell>
          <cell r="AY258">
            <v>46066</v>
          </cell>
          <cell r="AZ258">
            <v>46066</v>
          </cell>
          <cell r="BA258">
            <v>46070</v>
          </cell>
          <cell r="BB258">
            <v>46070</v>
          </cell>
          <cell r="BC258">
            <v>46076</v>
          </cell>
          <cell r="BD258">
            <v>46070</v>
          </cell>
          <cell r="BE258">
            <v>46076</v>
          </cell>
          <cell r="BF258">
            <v>46076</v>
          </cell>
          <cell r="BG258">
            <v>46079</v>
          </cell>
          <cell r="BQ258">
            <v>3114.26</v>
          </cell>
          <cell r="BR258">
            <v>46055</v>
          </cell>
          <cell r="BS258">
            <v>58427.13</v>
          </cell>
          <cell r="BT258">
            <v>46147</v>
          </cell>
          <cell r="CD258">
            <v>46080</v>
          </cell>
          <cell r="CE258" t="str">
            <v>SIM  19 dias</v>
          </cell>
          <cell r="CI258">
            <v>46061</v>
          </cell>
        </row>
        <row r="259">
          <cell r="A259"/>
          <cell r="B259" t="str">
            <v>061F/2025</v>
          </cell>
          <cell r="E259" t="str">
            <v>STELLA</v>
          </cell>
          <cell r="F259" t="str">
            <v>DELIVERED</v>
          </cell>
          <cell r="G259" t="str">
            <v>SEA</v>
          </cell>
          <cell r="J259">
            <v>45992</v>
          </cell>
          <cell r="L259">
            <v>46040</v>
          </cell>
          <cell r="O259">
            <v>46057</v>
          </cell>
          <cell r="P259" t="str">
            <v>SYNHGH25SE11142805</v>
          </cell>
          <cell r="R259" t="str">
            <v>PWBR250183-30F</v>
          </cell>
          <cell r="T259" t="str">
            <v>MSDU9800534; MSGU9020987</v>
          </cell>
          <cell r="U259">
            <v>2</v>
          </cell>
          <cell r="AD259">
            <v>46043</v>
          </cell>
          <cell r="AE259">
            <v>46043</v>
          </cell>
          <cell r="AJ259">
            <v>75696.77</v>
          </cell>
          <cell r="AK259">
            <v>46008</v>
          </cell>
          <cell r="AL259">
            <v>46008</v>
          </cell>
          <cell r="AM259">
            <v>46021</v>
          </cell>
          <cell r="AN259">
            <v>46021</v>
          </cell>
          <cell r="AO259">
            <v>46027</v>
          </cell>
          <cell r="AP259">
            <v>46028</v>
          </cell>
          <cell r="AQ259">
            <v>46041</v>
          </cell>
          <cell r="AR259">
            <v>46042</v>
          </cell>
          <cell r="AS259">
            <v>46043</v>
          </cell>
          <cell r="AT259">
            <v>46044</v>
          </cell>
          <cell r="AU259">
            <v>46044</v>
          </cell>
          <cell r="AY259">
            <v>46044</v>
          </cell>
          <cell r="AZ259">
            <v>46044</v>
          </cell>
          <cell r="BA259">
            <v>46045</v>
          </cell>
          <cell r="BB259">
            <v>46048</v>
          </cell>
          <cell r="BC259">
            <v>46049</v>
          </cell>
          <cell r="BD259">
            <v>46048</v>
          </cell>
          <cell r="BE259">
            <v>46049</v>
          </cell>
          <cell r="BF259">
            <v>46049</v>
          </cell>
          <cell r="BG259">
            <v>46051</v>
          </cell>
          <cell r="BQ259">
            <v>1636.58</v>
          </cell>
          <cell r="BR259">
            <v>46055</v>
          </cell>
          <cell r="CD259">
            <v>46057</v>
          </cell>
          <cell r="CE259" t="str">
            <v>NÃO</v>
          </cell>
          <cell r="CI259">
            <v>46061</v>
          </cell>
        </row>
        <row r="260">
          <cell r="A260"/>
          <cell r="B260" t="str">
            <v>056/2025</v>
          </cell>
          <cell r="E260" t="str">
            <v>STELLA</v>
          </cell>
          <cell r="F260" t="str">
            <v>DELIVERED</v>
          </cell>
          <cell r="G260" t="str">
            <v>SEA</v>
          </cell>
          <cell r="J260">
            <v>45989</v>
          </cell>
          <cell r="L260">
            <v>46048</v>
          </cell>
          <cell r="O260">
            <v>46071</v>
          </cell>
          <cell r="P260" t="str">
            <v>SYNHGH25SE11106101</v>
          </cell>
          <cell r="R260" t="str">
            <v>PWBR250166-30</v>
          </cell>
          <cell r="T260" t="str">
            <v>SEKU5855466</v>
          </cell>
          <cell r="U260">
            <v>0.5</v>
          </cell>
          <cell r="AD260">
            <v>46057</v>
          </cell>
          <cell r="AE260">
            <v>46057</v>
          </cell>
          <cell r="AJ260">
            <v>9344.75</v>
          </cell>
          <cell r="AK260">
            <v>46006</v>
          </cell>
          <cell r="AL260">
            <v>46043</v>
          </cell>
          <cell r="AM260">
            <v>46049</v>
          </cell>
          <cell r="AN260">
            <v>46049</v>
          </cell>
          <cell r="AO260">
            <v>46051</v>
          </cell>
          <cell r="AP260">
            <v>46056</v>
          </cell>
          <cell r="AQ260">
            <v>46056</v>
          </cell>
          <cell r="AR260">
            <v>46050</v>
          </cell>
          <cell r="AS260">
            <v>46056</v>
          </cell>
          <cell r="AT260">
            <v>46057</v>
          </cell>
          <cell r="AU260">
            <v>46058</v>
          </cell>
          <cell r="AY260">
            <v>46057</v>
          </cell>
          <cell r="AZ260">
            <v>46059</v>
          </cell>
          <cell r="BA260">
            <v>46062</v>
          </cell>
          <cell r="BB260">
            <v>46062</v>
          </cell>
          <cell r="BC260">
            <v>46065</v>
          </cell>
          <cell r="BD260">
            <v>46062</v>
          </cell>
          <cell r="BE260">
            <v>46065</v>
          </cell>
          <cell r="BF260">
            <v>46065</v>
          </cell>
          <cell r="BG260">
            <v>46066</v>
          </cell>
          <cell r="BH260">
            <v>46071</v>
          </cell>
          <cell r="BQ260">
            <v>2012.89</v>
          </cell>
          <cell r="BR260">
            <v>46063</v>
          </cell>
          <cell r="CD260">
            <v>46067</v>
          </cell>
          <cell r="CE260" t="str">
            <v>NÃO</v>
          </cell>
          <cell r="CI260">
            <v>46069</v>
          </cell>
        </row>
        <row r="261">
          <cell r="A261"/>
          <cell r="B261" t="str">
            <v>Z-030A/2025</v>
          </cell>
          <cell r="E261" t="str">
            <v>LEISIANE</v>
          </cell>
          <cell r="F261" t="str">
            <v>DELIVERED</v>
          </cell>
          <cell r="G261" t="str">
            <v>SEA</v>
          </cell>
          <cell r="J261">
            <v>45997</v>
          </cell>
          <cell r="L261">
            <v>46050</v>
          </cell>
          <cell r="O261">
            <v>46074</v>
          </cell>
          <cell r="P261" t="str">
            <v>SDBLBS578569</v>
          </cell>
          <cell r="R261" t="str">
            <v>PWBR250170-20A</v>
          </cell>
          <cell r="T261" t="str">
            <v>MEDU9674064/MEDU9749923/SZLU9360485</v>
          </cell>
          <cell r="U261">
            <v>3</v>
          </cell>
          <cell r="AD261">
            <v>46063</v>
          </cell>
          <cell r="AE261">
            <v>46064</v>
          </cell>
          <cell r="AJ261">
            <v>566217.96</v>
          </cell>
          <cell r="AK261">
            <v>46045</v>
          </cell>
          <cell r="AL261">
            <v>46049</v>
          </cell>
          <cell r="AM261">
            <v>46051</v>
          </cell>
          <cell r="AN261">
            <v>46052</v>
          </cell>
          <cell r="AO261">
            <v>46057</v>
          </cell>
          <cell r="AP261">
            <v>46057</v>
          </cell>
          <cell r="AQ261">
            <v>46057</v>
          </cell>
          <cell r="AR261">
            <v>46051</v>
          </cell>
          <cell r="AS261">
            <v>46058</v>
          </cell>
          <cell r="AT261">
            <v>46064</v>
          </cell>
          <cell r="AU261">
            <v>46064</v>
          </cell>
          <cell r="AY261">
            <v>46062</v>
          </cell>
          <cell r="AZ261">
            <v>46062</v>
          </cell>
          <cell r="BA261">
            <v>46064</v>
          </cell>
          <cell r="BB261">
            <v>46064</v>
          </cell>
          <cell r="BC261">
            <v>45701</v>
          </cell>
          <cell r="BD261">
            <v>46064</v>
          </cell>
          <cell r="BE261">
            <v>46066</v>
          </cell>
          <cell r="BF261">
            <v>46066</v>
          </cell>
          <cell r="BG261">
            <v>46069</v>
          </cell>
          <cell r="BH261">
            <v>46074</v>
          </cell>
          <cell r="BQ261">
            <v>2984.73</v>
          </cell>
          <cell r="BR261">
            <v>46079</v>
          </cell>
          <cell r="BS261">
            <v>49889.61</v>
          </cell>
          <cell r="BT261">
            <v>46139</v>
          </cell>
          <cell r="CD261">
            <v>46074</v>
          </cell>
          <cell r="CE261" t="str">
            <v>SIM  3 dias</v>
          </cell>
          <cell r="CI261">
            <v>46071</v>
          </cell>
        </row>
        <row r="262">
          <cell r="A262"/>
          <cell r="B262" t="str">
            <v>Z-030B/2025</v>
          </cell>
          <cell r="E262" t="str">
            <v>LEISIANE</v>
          </cell>
          <cell r="F262" t="str">
            <v>DELIVERED</v>
          </cell>
          <cell r="G262" t="str">
            <v>SEA</v>
          </cell>
          <cell r="J262">
            <v>45997</v>
          </cell>
          <cell r="L262">
            <v>46050</v>
          </cell>
          <cell r="O262">
            <v>46078</v>
          </cell>
          <cell r="P262" t="str">
            <v>SDBLBS578570</v>
          </cell>
          <cell r="R262" t="str">
            <v>PWBR250170-20B</v>
          </cell>
          <cell r="T262" t="str">
            <v>CRLU131747/MEDU974989/MSDU986771</v>
          </cell>
          <cell r="U262">
            <v>3</v>
          </cell>
          <cell r="AD262">
            <v>46059</v>
          </cell>
          <cell r="AE262">
            <v>46062</v>
          </cell>
          <cell r="AJ262">
            <v>514273.08</v>
          </cell>
          <cell r="AK262">
            <v>46045</v>
          </cell>
          <cell r="AL262">
            <v>46050</v>
          </cell>
          <cell r="AM262">
            <v>46052</v>
          </cell>
          <cell r="AN262">
            <v>46052</v>
          </cell>
          <cell r="AO262">
            <v>46057</v>
          </cell>
          <cell r="AP262">
            <v>46057</v>
          </cell>
          <cell r="AQ262">
            <v>46057</v>
          </cell>
          <cell r="AR262">
            <v>46051</v>
          </cell>
          <cell r="AS262">
            <v>46058</v>
          </cell>
          <cell r="AT262">
            <v>46062</v>
          </cell>
          <cell r="AU262">
            <v>46062</v>
          </cell>
          <cell r="AY262">
            <v>46062</v>
          </cell>
          <cell r="AZ262">
            <v>46062</v>
          </cell>
          <cell r="BA262">
            <v>46064</v>
          </cell>
          <cell r="BB262">
            <v>46064</v>
          </cell>
          <cell r="BC262">
            <v>46073</v>
          </cell>
          <cell r="BD262">
            <v>46064</v>
          </cell>
          <cell r="BE262">
            <v>46073</v>
          </cell>
          <cell r="BF262">
            <v>46073</v>
          </cell>
          <cell r="BG262">
            <v>46076</v>
          </cell>
          <cell r="BH262">
            <v>46078</v>
          </cell>
          <cell r="BQ262">
            <v>5495.25</v>
          </cell>
          <cell r="BR262">
            <v>46073</v>
          </cell>
          <cell r="BS262">
            <v>91280.93</v>
          </cell>
          <cell r="BT262">
            <v>46139</v>
          </cell>
          <cell r="CD262">
            <v>46078</v>
          </cell>
          <cell r="CE262" t="str">
            <v>SIM  7 dias</v>
          </cell>
          <cell r="CI262">
            <v>46071</v>
          </cell>
        </row>
        <row r="263">
          <cell r="A263"/>
          <cell r="B263" t="str">
            <v>Z-002/2026</v>
          </cell>
          <cell r="E263" t="str">
            <v>LEISIANE</v>
          </cell>
          <cell r="F263" t="str">
            <v>DELIVERED</v>
          </cell>
          <cell r="G263" t="str">
            <v>AIR</v>
          </cell>
          <cell r="J263">
            <v>46019</v>
          </cell>
          <cell r="L263">
            <v>46056</v>
          </cell>
          <cell r="O263">
            <v>46063</v>
          </cell>
          <cell r="P263" t="str">
            <v>DTW260126FOR</v>
          </cell>
          <cell r="R263" t="str">
            <v>PWBR250243</v>
          </cell>
          <cell r="AD263">
            <v>46057</v>
          </cell>
          <cell r="AE263">
            <v>46057</v>
          </cell>
          <cell r="AJ263">
            <v>244372.47</v>
          </cell>
          <cell r="AK263">
            <v>46052</v>
          </cell>
          <cell r="AL263">
            <v>46052</v>
          </cell>
          <cell r="AM263">
            <v>46055</v>
          </cell>
          <cell r="AN263">
            <v>46055</v>
          </cell>
          <cell r="AO263">
            <v>46055</v>
          </cell>
          <cell r="AP263">
            <v>46057</v>
          </cell>
          <cell r="AQ263">
            <v>46057</v>
          </cell>
          <cell r="AR263">
            <v>46057</v>
          </cell>
          <cell r="AS263">
            <v>46057</v>
          </cell>
          <cell r="AT263">
            <v>46057</v>
          </cell>
          <cell r="AU263">
            <v>46057</v>
          </cell>
          <cell r="AY263">
            <v>46057</v>
          </cell>
          <cell r="AZ263">
            <v>46057</v>
          </cell>
          <cell r="BA263">
            <v>46059</v>
          </cell>
          <cell r="BB263">
            <v>46059</v>
          </cell>
          <cell r="BC263">
            <v>46059</v>
          </cell>
          <cell r="BD263">
            <v>46059</v>
          </cell>
          <cell r="BE263">
            <v>46059</v>
          </cell>
          <cell r="BF263">
            <v>46059</v>
          </cell>
          <cell r="BG263">
            <v>46063</v>
          </cell>
          <cell r="BH263">
            <v>46063</v>
          </cell>
          <cell r="BQ263">
            <v>27721.99</v>
          </cell>
          <cell r="BR263">
            <v>46104</v>
          </cell>
          <cell r="BS263"/>
          <cell r="CE263" t="str">
            <v>NÃO</v>
          </cell>
          <cell r="CI263" t="str">
            <v/>
          </cell>
        </row>
        <row r="264">
          <cell r="A264"/>
          <cell r="B264" t="str">
            <v>E-015/2025</v>
          </cell>
          <cell r="E264" t="str">
            <v>LEISIANE</v>
          </cell>
          <cell r="F264" t="str">
            <v>DELIVERED</v>
          </cell>
          <cell r="G264" t="str">
            <v>SEA</v>
          </cell>
          <cell r="J264">
            <v>46012</v>
          </cell>
          <cell r="L264">
            <v>46060</v>
          </cell>
          <cell r="O264">
            <v>46078</v>
          </cell>
          <cell r="P264" t="str">
            <v>CN25121140</v>
          </cell>
          <cell r="R264" t="str">
            <v>8000655437/8000655438</v>
          </cell>
          <cell r="T264" t="str">
            <v>CMAU6457914/M3616672</v>
          </cell>
          <cell r="U264">
            <v>1</v>
          </cell>
          <cell r="AD264">
            <v>46066</v>
          </cell>
          <cell r="AE264">
            <v>46072</v>
          </cell>
          <cell r="AJ264">
            <v>359528.48</v>
          </cell>
          <cell r="AK264">
            <v>46024</v>
          </cell>
          <cell r="AL264">
            <v>46051</v>
          </cell>
          <cell r="AM264">
            <v>46052</v>
          </cell>
          <cell r="AN264">
            <v>46058</v>
          </cell>
          <cell r="AO264">
            <v>46062</v>
          </cell>
          <cell r="AP264">
            <v>46062</v>
          </cell>
          <cell r="AQ264">
            <v>46062</v>
          </cell>
          <cell r="AR264">
            <v>46062</v>
          </cell>
          <cell r="AS264">
            <v>46064</v>
          </cell>
          <cell r="AT264">
            <v>46071</v>
          </cell>
          <cell r="AU264">
            <v>46071</v>
          </cell>
          <cell r="AY264">
            <v>46071</v>
          </cell>
          <cell r="AZ264">
            <v>46071</v>
          </cell>
          <cell r="BA264">
            <v>46072</v>
          </cell>
          <cell r="BB264">
            <v>46073</v>
          </cell>
          <cell r="BC264">
            <v>46073</v>
          </cell>
          <cell r="BD264">
            <v>46073</v>
          </cell>
          <cell r="BE264">
            <v>46073</v>
          </cell>
          <cell r="BF264">
            <v>46073</v>
          </cell>
          <cell r="BG264">
            <v>46078</v>
          </cell>
          <cell r="BH264">
            <v>46078</v>
          </cell>
          <cell r="BQ264">
            <v>2012.89</v>
          </cell>
          <cell r="BR264">
            <v>46077</v>
          </cell>
          <cell r="CD264">
            <v>46078</v>
          </cell>
          <cell r="CE264" t="str">
            <v>NÃO</v>
          </cell>
          <cell r="CI264">
            <v>46081</v>
          </cell>
        </row>
        <row r="265">
          <cell r="A265"/>
          <cell r="B265" t="str">
            <v>NH-018/2025</v>
          </cell>
          <cell r="E265" t="str">
            <v>LEISIANE</v>
          </cell>
          <cell r="F265" t="str">
            <v>DELIVERED</v>
          </cell>
          <cell r="G265" t="str">
            <v>AIR</v>
          </cell>
          <cell r="J265">
            <v>46027</v>
          </cell>
          <cell r="L265">
            <v>46061</v>
          </cell>
          <cell r="O265">
            <v>46072</v>
          </cell>
          <cell r="P265" t="str">
            <v xml:space="preserve">M: 057-57934376
H: DTW260203FOR  </v>
          </cell>
          <cell r="R265" t="str">
            <v>PW2025018</v>
          </cell>
          <cell r="AD265">
            <v>46064</v>
          </cell>
          <cell r="AE265">
            <v>46065</v>
          </cell>
          <cell r="AJ265">
            <v>7336.0360000000001</v>
          </cell>
          <cell r="AK265">
            <v>46057</v>
          </cell>
          <cell r="AL265">
            <v>46062</v>
          </cell>
          <cell r="AM265">
            <v>46062</v>
          </cell>
          <cell r="AN265">
            <v>46063</v>
          </cell>
          <cell r="AO265">
            <v>46063</v>
          </cell>
          <cell r="AP265">
            <v>46063</v>
          </cell>
          <cell r="AQ265">
            <v>46064</v>
          </cell>
          <cell r="AR265">
            <v>46062</v>
          </cell>
          <cell r="AS265">
            <v>46064</v>
          </cell>
          <cell r="AT265">
            <v>46065</v>
          </cell>
          <cell r="AU265">
            <v>46065</v>
          </cell>
          <cell r="AV265">
            <v>46065</v>
          </cell>
          <cell r="AW265">
            <v>46065</v>
          </cell>
          <cell r="AX265">
            <v>46065</v>
          </cell>
          <cell r="BD265">
            <v>46065</v>
          </cell>
          <cell r="BE265">
            <v>46066</v>
          </cell>
          <cell r="BF265">
            <v>46066</v>
          </cell>
          <cell r="BG265">
            <v>46072</v>
          </cell>
          <cell r="BH265">
            <v>46072</v>
          </cell>
          <cell r="BQ265">
            <v>599.97</v>
          </cell>
          <cell r="BR265">
            <v>46104</v>
          </cell>
          <cell r="BS265"/>
          <cell r="CE265" t="str">
            <v>NÃO</v>
          </cell>
          <cell r="CI265" t="str">
            <v/>
          </cell>
        </row>
        <row r="266">
          <cell r="A266"/>
          <cell r="B266" t="str">
            <v>006/2026</v>
          </cell>
          <cell r="E266" t="str">
            <v>LEISIANE</v>
          </cell>
          <cell r="F266" t="str">
            <v>DELIVERED</v>
          </cell>
          <cell r="G266" t="str">
            <v>AIR</v>
          </cell>
          <cell r="J266">
            <v>46063</v>
          </cell>
          <cell r="L266">
            <v>46072</v>
          </cell>
          <cell r="O266">
            <v>46108</v>
          </cell>
          <cell r="P266" t="str">
            <v>DTW260211FOR</v>
          </cell>
          <cell r="R266" t="str">
            <v>PWBR260042-20</v>
          </cell>
          <cell r="AD266">
            <v>46083</v>
          </cell>
          <cell r="AE266">
            <v>46084</v>
          </cell>
          <cell r="AJ266">
            <v>5233.71</v>
          </cell>
          <cell r="AL266">
            <v>46078</v>
          </cell>
          <cell r="AM266">
            <v>46078</v>
          </cell>
          <cell r="AN266">
            <v>46078</v>
          </cell>
          <cell r="AO266">
            <v>46079</v>
          </cell>
          <cell r="AP266">
            <v>46079</v>
          </cell>
          <cell r="AQ266">
            <v>46080</v>
          </cell>
          <cell r="AR266">
            <v>46070</v>
          </cell>
          <cell r="BQ266">
            <v>1173.46</v>
          </cell>
          <cell r="BR266">
            <v>46152</v>
          </cell>
          <cell r="BS266"/>
          <cell r="CE266" t="str">
            <v>NÃO</v>
          </cell>
          <cell r="CI266" t="str">
            <v/>
          </cell>
        </row>
        <row r="267">
          <cell r="A267"/>
          <cell r="B267" t="str">
            <v>Z-004A/2026</v>
          </cell>
          <cell r="E267" t="str">
            <v>LEISIANE</v>
          </cell>
          <cell r="F267" t="str">
            <v>DELIVERED</v>
          </cell>
          <cell r="G267" t="str">
            <v>AIR</v>
          </cell>
          <cell r="J267">
            <v>46067</v>
          </cell>
          <cell r="L267">
            <v>46073</v>
          </cell>
          <cell r="O267">
            <v>46090</v>
          </cell>
          <cell r="P267" t="str">
            <v>DTW260209FOR</v>
          </cell>
          <cell r="AD267">
            <v>46084</v>
          </cell>
          <cell r="AE267">
            <v>46084</v>
          </cell>
          <cell r="AJ267">
            <v>562225.67000000004</v>
          </cell>
          <cell r="AK267">
            <v>46059</v>
          </cell>
          <cell r="AL267">
            <v>46079</v>
          </cell>
          <cell r="AM267">
            <v>46079</v>
          </cell>
          <cell r="AN267">
            <v>46079</v>
          </cell>
          <cell r="AO267">
            <v>46079</v>
          </cell>
          <cell r="AP267">
            <v>46079</v>
          </cell>
          <cell r="AQ267">
            <v>46080</v>
          </cell>
          <cell r="AR267">
            <v>46076</v>
          </cell>
          <cell r="BQ267">
            <v>151842.14000000001</v>
          </cell>
          <cell r="BR267">
            <v>46122</v>
          </cell>
          <cell r="BS267"/>
          <cell r="CE267" t="str">
            <v>NÃO</v>
          </cell>
          <cell r="CI267" t="str">
            <v/>
          </cell>
        </row>
        <row r="268">
          <cell r="A268"/>
          <cell r="B268" t="str">
            <v>Z-004B/2026</v>
          </cell>
          <cell r="E268" t="str">
            <v>LEISIANE</v>
          </cell>
          <cell r="F268" t="str">
            <v>DELIVERED</v>
          </cell>
          <cell r="G268" t="str">
            <v>AIR</v>
          </cell>
          <cell r="J268">
            <v>46067</v>
          </cell>
          <cell r="L268">
            <v>46073</v>
          </cell>
          <cell r="O268">
            <v>46090</v>
          </cell>
          <cell r="P268" t="str">
            <v>DTW260210FOR</v>
          </cell>
          <cell r="AD268">
            <v>46084</v>
          </cell>
          <cell r="AE268">
            <v>46084</v>
          </cell>
          <cell r="AJ268">
            <v>215285.14</v>
          </cell>
          <cell r="AK268">
            <v>46071</v>
          </cell>
          <cell r="AL268">
            <v>46079</v>
          </cell>
          <cell r="AM268">
            <v>46079</v>
          </cell>
          <cell r="AN268">
            <v>46079</v>
          </cell>
          <cell r="AO268">
            <v>46079</v>
          </cell>
          <cell r="AP268">
            <v>46079</v>
          </cell>
          <cell r="AQ268">
            <v>46080</v>
          </cell>
          <cell r="AR268">
            <v>46076</v>
          </cell>
          <cell r="BQ268">
            <v>34331.82</v>
          </cell>
          <cell r="BR268">
            <v>46122</v>
          </cell>
          <cell r="BS268"/>
          <cell r="CE268" t="str">
            <v>NÃO</v>
          </cell>
        </row>
        <row r="269">
          <cell r="A269"/>
          <cell r="B269" t="str">
            <v>NH-002/2026</v>
          </cell>
          <cell r="E269" t="str">
            <v>LEISIANE</v>
          </cell>
          <cell r="F269" t="str">
            <v>DELIVERED</v>
          </cell>
          <cell r="G269" t="str">
            <v>AIR</v>
          </cell>
          <cell r="J269">
            <v>46067</v>
          </cell>
          <cell r="L269">
            <v>46073</v>
          </cell>
          <cell r="O269">
            <v>46087</v>
          </cell>
          <cell r="P269" t="str">
            <v>DTW260213FOR</v>
          </cell>
          <cell r="AD269">
            <v>46083</v>
          </cell>
          <cell r="AE269">
            <v>46084</v>
          </cell>
          <cell r="AJ269">
            <v>9036.09</v>
          </cell>
          <cell r="AK269">
            <v>46078</v>
          </cell>
          <cell r="AL269">
            <v>46078</v>
          </cell>
          <cell r="AM269">
            <v>46078</v>
          </cell>
          <cell r="AN269">
            <v>46078</v>
          </cell>
          <cell r="AO269">
            <v>46079</v>
          </cell>
          <cell r="AP269">
            <v>46079</v>
          </cell>
          <cell r="AQ269">
            <v>46080</v>
          </cell>
          <cell r="AR269">
            <v>46071</v>
          </cell>
          <cell r="BQ269">
            <v>395.94</v>
          </cell>
          <cell r="BR269">
            <v>46122</v>
          </cell>
          <cell r="BS269"/>
          <cell r="CE269" t="str">
            <v>NÃO</v>
          </cell>
          <cell r="CI269" t="str">
            <v/>
          </cell>
        </row>
        <row r="270">
          <cell r="A270"/>
          <cell r="B270" t="str">
            <v>004/2026</v>
          </cell>
          <cell r="E270" t="str">
            <v>LEISIANE</v>
          </cell>
          <cell r="F270" t="str">
            <v>DELIVERED</v>
          </cell>
          <cell r="G270" t="str">
            <v>COURIER</v>
          </cell>
          <cell r="J270">
            <v>46065</v>
          </cell>
          <cell r="L270">
            <v>46073</v>
          </cell>
          <cell r="O270">
            <v>46084</v>
          </cell>
          <cell r="AJ270">
            <v>5096.17</v>
          </cell>
          <cell r="AR270">
            <v>46084</v>
          </cell>
          <cell r="BQ270"/>
          <cell r="BS270"/>
          <cell r="CE270" t="str">
            <v>NÃO</v>
          </cell>
          <cell r="CI270" t="str">
            <v/>
          </cell>
        </row>
        <row r="271">
          <cell r="A271"/>
          <cell r="B271" t="str">
            <v>HB-001/2026</v>
          </cell>
          <cell r="E271" t="str">
            <v>LEISIANE</v>
          </cell>
          <cell r="F271" t="str">
            <v>DELIVERED</v>
          </cell>
          <cell r="G271" t="str">
            <v>AIR</v>
          </cell>
          <cell r="J271">
            <v>46071</v>
          </cell>
          <cell r="L271">
            <v>46078</v>
          </cell>
          <cell r="O271">
            <v>46101</v>
          </cell>
          <cell r="P271">
            <v>134536</v>
          </cell>
          <cell r="R271" t="str">
            <v>446283179/ 446283165 / 446283248</v>
          </cell>
          <cell r="AD271">
            <v>46093</v>
          </cell>
          <cell r="AE271">
            <v>46093</v>
          </cell>
          <cell r="AJ271">
            <v>70769.66</v>
          </cell>
          <cell r="AK271">
            <v>46077</v>
          </cell>
          <cell r="AL271">
            <v>46086</v>
          </cell>
          <cell r="AM271">
            <v>46090</v>
          </cell>
          <cell r="AN271">
            <v>46092</v>
          </cell>
          <cell r="AO271">
            <v>46092</v>
          </cell>
          <cell r="AP271">
            <v>46092</v>
          </cell>
          <cell r="AQ271">
            <v>46092</v>
          </cell>
          <cell r="AR271">
            <v>46078</v>
          </cell>
          <cell r="AS271">
            <v>46092</v>
          </cell>
          <cell r="AT271">
            <v>46094</v>
          </cell>
          <cell r="AU271">
            <v>46094</v>
          </cell>
          <cell r="AV271">
            <v>46094</v>
          </cell>
          <cell r="AW271">
            <v>46094</v>
          </cell>
          <cell r="AX271">
            <v>46094</v>
          </cell>
          <cell r="BD271">
            <v>46097</v>
          </cell>
          <cell r="BE271">
            <v>46101</v>
          </cell>
          <cell r="BF271">
            <v>46101</v>
          </cell>
          <cell r="BG271">
            <v>46101</v>
          </cell>
          <cell r="BH271">
            <v>46101</v>
          </cell>
          <cell r="BQ271">
            <v>4908</v>
          </cell>
          <cell r="BR271">
            <v>46122</v>
          </cell>
          <cell r="BS271"/>
          <cell r="CE271" t="str">
            <v>NÃO</v>
          </cell>
          <cell r="CI271" t="str">
            <v/>
          </cell>
        </row>
        <row r="272">
          <cell r="A272"/>
          <cell r="B272" t="str">
            <v>Z-033/2025</v>
          </cell>
          <cell r="E272" t="str">
            <v>LEISIANE</v>
          </cell>
          <cell r="F272" t="str">
            <v>DELIVERED</v>
          </cell>
          <cell r="G272" t="str">
            <v>SEA</v>
          </cell>
          <cell r="J272">
            <v>46030</v>
          </cell>
          <cell r="L272">
            <v>46083</v>
          </cell>
          <cell r="O272">
            <v>46088</v>
          </cell>
          <cell r="P272" t="str">
            <v>SYNHGH26SE010645</v>
          </cell>
          <cell r="R272" t="str">
            <v>PWBR250209-20</v>
          </cell>
          <cell r="T272" t="str">
            <v>TGBU5908017</v>
          </cell>
          <cell r="U272">
            <v>1</v>
          </cell>
          <cell r="AD272">
            <v>46084</v>
          </cell>
          <cell r="AE272">
            <v>46084</v>
          </cell>
          <cell r="AJ272">
            <v>408470</v>
          </cell>
          <cell r="AK272">
            <v>46051</v>
          </cell>
          <cell r="AL272">
            <v>46062</v>
          </cell>
          <cell r="AM272">
            <v>46063</v>
          </cell>
          <cell r="AN272">
            <v>46080</v>
          </cell>
          <cell r="AO272">
            <v>46083</v>
          </cell>
          <cell r="AP272">
            <v>46083</v>
          </cell>
          <cell r="AQ272">
            <v>46083</v>
          </cell>
          <cell r="AR272">
            <v>46084</v>
          </cell>
          <cell r="AS272">
            <v>46086</v>
          </cell>
          <cell r="AT272">
            <v>46084</v>
          </cell>
          <cell r="AU272">
            <v>46084</v>
          </cell>
          <cell r="AX272">
            <v>46084</v>
          </cell>
          <cell r="AY272">
            <v>46084</v>
          </cell>
          <cell r="AZ272">
            <v>46084</v>
          </cell>
          <cell r="BA272">
            <v>46086</v>
          </cell>
          <cell r="BB272">
            <v>46086</v>
          </cell>
          <cell r="BD272">
            <v>46086</v>
          </cell>
          <cell r="BQ272"/>
          <cell r="CE272" t="str">
            <v>NÃO</v>
          </cell>
          <cell r="CI272">
            <v>46101</v>
          </cell>
        </row>
        <row r="273">
          <cell r="A273"/>
          <cell r="B273" t="str">
            <v>072/2025</v>
          </cell>
          <cell r="E273" t="str">
            <v>STELLA</v>
          </cell>
          <cell r="F273" t="str">
            <v>DELIVERED</v>
          </cell>
          <cell r="G273" t="str">
            <v>SEA</v>
          </cell>
          <cell r="J273">
            <v>46026</v>
          </cell>
          <cell r="L273">
            <v>46083</v>
          </cell>
          <cell r="O273">
            <v>46091</v>
          </cell>
          <cell r="P273" t="str">
            <v>SYNHGH26SE010376</v>
          </cell>
          <cell r="R273" t="str">
            <v>PWBR250197-20</v>
          </cell>
          <cell r="T273" t="str">
            <v>MSMU5349434; MSMU5864624</v>
          </cell>
          <cell r="U273">
            <v>2</v>
          </cell>
          <cell r="AD273">
            <v>46084</v>
          </cell>
          <cell r="AE273">
            <v>46084</v>
          </cell>
          <cell r="AJ273">
            <v>74291.02</v>
          </cell>
          <cell r="AK273">
            <v>46059</v>
          </cell>
          <cell r="AL273">
            <v>46064</v>
          </cell>
          <cell r="AM273">
            <v>46064</v>
          </cell>
          <cell r="AN273">
            <v>46065</v>
          </cell>
          <cell r="AO273">
            <v>46065</v>
          </cell>
          <cell r="AP273">
            <v>46076</v>
          </cell>
          <cell r="AQ273">
            <v>46084</v>
          </cell>
          <cell r="AR273">
            <v>46084</v>
          </cell>
          <cell r="AS273">
            <v>46084</v>
          </cell>
          <cell r="AT273">
            <v>46084</v>
          </cell>
          <cell r="AU273">
            <v>46084</v>
          </cell>
          <cell r="AY273">
            <v>46084</v>
          </cell>
          <cell r="AZ273">
            <v>46084</v>
          </cell>
          <cell r="BA273">
            <v>46086</v>
          </cell>
          <cell r="BB273">
            <v>46086</v>
          </cell>
          <cell r="BC273">
            <v>46087</v>
          </cell>
          <cell r="BD273">
            <v>46086</v>
          </cell>
          <cell r="BE273">
            <v>46087</v>
          </cell>
          <cell r="BF273">
            <v>46087</v>
          </cell>
          <cell r="BG273">
            <v>46090</v>
          </cell>
          <cell r="BQ273"/>
          <cell r="CE273" t="str">
            <v>NÃO</v>
          </cell>
          <cell r="CI273">
            <v>46101</v>
          </cell>
        </row>
        <row r="274">
          <cell r="A274"/>
          <cell r="B274" t="str">
            <v>NH-016/2025</v>
          </cell>
          <cell r="E274" t="str">
            <v>LEISIANE</v>
          </cell>
          <cell r="F274" t="str">
            <v>DELIVERED</v>
          </cell>
          <cell r="G274" t="str">
            <v>SEA</v>
          </cell>
          <cell r="J274">
            <v>46016</v>
          </cell>
          <cell r="L274">
            <v>46084</v>
          </cell>
          <cell r="O274">
            <v>46093</v>
          </cell>
          <cell r="P274" t="str">
            <v>SDBLBS580955</v>
          </cell>
          <cell r="R274" t="str">
            <v>PW2025016</v>
          </cell>
          <cell r="T274" t="str">
            <v>CAAU4227075</v>
          </cell>
          <cell r="U274">
            <v>0.5</v>
          </cell>
          <cell r="AD274">
            <v>46087</v>
          </cell>
          <cell r="AE274">
            <v>46087</v>
          </cell>
          <cell r="AJ274">
            <v>113905.9</v>
          </cell>
          <cell r="AK274">
            <v>46031</v>
          </cell>
          <cell r="AL274">
            <v>46052</v>
          </cell>
          <cell r="AM274">
            <v>46059</v>
          </cell>
          <cell r="AN274">
            <v>46062</v>
          </cell>
          <cell r="AO274">
            <v>46079</v>
          </cell>
          <cell r="AP274">
            <v>46079</v>
          </cell>
          <cell r="AQ274">
            <v>46080</v>
          </cell>
          <cell r="AR274">
            <v>46086</v>
          </cell>
          <cell r="AS274">
            <v>46086</v>
          </cell>
          <cell r="AT274">
            <v>46087</v>
          </cell>
          <cell r="AU274">
            <v>46087</v>
          </cell>
          <cell r="AY274">
            <v>46087</v>
          </cell>
          <cell r="AZ274">
            <v>46087</v>
          </cell>
          <cell r="BA274">
            <v>46090</v>
          </cell>
          <cell r="BB274">
            <v>46091</v>
          </cell>
          <cell r="BC274">
            <v>46091</v>
          </cell>
          <cell r="BD274">
            <v>46091</v>
          </cell>
          <cell r="BE274">
            <v>46092</v>
          </cell>
          <cell r="BF274">
            <v>46092</v>
          </cell>
          <cell r="BG274">
            <v>46093</v>
          </cell>
          <cell r="BQ274"/>
          <cell r="CE274" t="str">
            <v>NÃO</v>
          </cell>
          <cell r="CI274">
            <v>46102</v>
          </cell>
        </row>
        <row r="275">
          <cell r="A275"/>
          <cell r="B275" t="str">
            <v>064A/2025</v>
          </cell>
          <cell r="E275" t="str">
            <v>CATARINA</v>
          </cell>
          <cell r="F275" t="str">
            <v>DELIVERED</v>
          </cell>
          <cell r="G275" t="str">
            <v>SEA</v>
          </cell>
          <cell r="J275">
            <v>46016</v>
          </cell>
          <cell r="L275">
            <v>46084</v>
          </cell>
          <cell r="O275">
            <v>46101</v>
          </cell>
          <cell r="P275" t="str">
            <v>SDBLBS582489</v>
          </cell>
          <cell r="R275" t="str">
            <v>PWBR250100-10A</v>
          </cell>
          <cell r="T275" t="str">
            <v>AMCU9322422</v>
          </cell>
          <cell r="U275">
            <v>1</v>
          </cell>
          <cell r="AD275">
            <v>46087</v>
          </cell>
          <cell r="AE275">
            <v>46087</v>
          </cell>
          <cell r="AJ275">
            <v>200535.5</v>
          </cell>
          <cell r="AK275">
            <v>46055</v>
          </cell>
          <cell r="AL275">
            <v>46058</v>
          </cell>
          <cell r="AM275">
            <v>46059</v>
          </cell>
          <cell r="AN275">
            <v>46062</v>
          </cell>
          <cell r="AO275">
            <v>46063</v>
          </cell>
          <cell r="AP275">
            <v>46065</v>
          </cell>
          <cell r="AQ275">
            <v>46080</v>
          </cell>
          <cell r="AR275">
            <v>46086</v>
          </cell>
          <cell r="AS275">
            <v>46086</v>
          </cell>
          <cell r="AT275">
            <v>46087</v>
          </cell>
          <cell r="AU275">
            <v>46087</v>
          </cell>
          <cell r="AY275">
            <v>46087</v>
          </cell>
          <cell r="AZ275">
            <v>46087</v>
          </cell>
          <cell r="BA275">
            <v>46091</v>
          </cell>
          <cell r="BB275">
            <v>46091</v>
          </cell>
          <cell r="BC275">
            <v>46094</v>
          </cell>
          <cell r="BD275">
            <v>46091</v>
          </cell>
          <cell r="BE275">
            <v>46094</v>
          </cell>
          <cell r="BF275">
            <v>46094</v>
          </cell>
          <cell r="BG275">
            <v>46097</v>
          </cell>
          <cell r="BH275">
            <v>46101</v>
          </cell>
          <cell r="BQ275">
            <v>818.29</v>
          </cell>
          <cell r="BR275">
            <v>46103</v>
          </cell>
          <cell r="BS275">
            <v>5857.71</v>
          </cell>
          <cell r="BT275">
            <v>46167</v>
          </cell>
          <cell r="CE275" t="str">
            <v>NÃO</v>
          </cell>
          <cell r="CI275">
            <v>46102</v>
          </cell>
        </row>
        <row r="276">
          <cell r="A276"/>
          <cell r="B276" t="str">
            <v>064B/2025</v>
          </cell>
          <cell r="E276" t="str">
            <v>CATARINA</v>
          </cell>
          <cell r="F276" t="str">
            <v>DELIVERED</v>
          </cell>
          <cell r="G276" t="str">
            <v>SEA</v>
          </cell>
          <cell r="J276">
            <v>46016</v>
          </cell>
          <cell r="L276">
            <v>46084</v>
          </cell>
          <cell r="O276">
            <v>46101</v>
          </cell>
          <cell r="P276" t="str">
            <v>SDBLBS582490</v>
          </cell>
          <cell r="R276" t="str">
            <v>PWBR250100-10B</v>
          </cell>
          <cell r="T276" t="str">
            <v>CAAU4224097</v>
          </cell>
          <cell r="U276">
            <v>1</v>
          </cell>
          <cell r="AD276">
            <v>46086</v>
          </cell>
          <cell r="AE276">
            <v>46087</v>
          </cell>
          <cell r="AJ276">
            <v>651716.34</v>
          </cell>
          <cell r="AK276">
            <v>46059</v>
          </cell>
          <cell r="AL276">
            <v>46059</v>
          </cell>
          <cell r="AM276">
            <v>46066</v>
          </cell>
          <cell r="AN276">
            <v>46072</v>
          </cell>
          <cell r="AO276">
            <v>46072</v>
          </cell>
          <cell r="AP276">
            <v>46072</v>
          </cell>
          <cell r="AQ276">
            <v>46080</v>
          </cell>
          <cell r="AR276">
            <v>46086</v>
          </cell>
          <cell r="AS276">
            <v>46086</v>
          </cell>
          <cell r="AT276">
            <v>46086</v>
          </cell>
          <cell r="AU276">
            <v>46087</v>
          </cell>
          <cell r="AY276">
            <v>46086</v>
          </cell>
          <cell r="AZ276">
            <v>46090</v>
          </cell>
          <cell r="BA276">
            <v>46092</v>
          </cell>
          <cell r="BB276">
            <v>46093</v>
          </cell>
          <cell r="BC276">
            <v>46094</v>
          </cell>
          <cell r="BD276">
            <v>46093</v>
          </cell>
          <cell r="BE276">
            <v>46094</v>
          </cell>
          <cell r="BF276">
            <v>46094</v>
          </cell>
          <cell r="BG276">
            <v>46097</v>
          </cell>
          <cell r="BH276">
            <v>46101</v>
          </cell>
          <cell r="BQ276">
            <v>818.29</v>
          </cell>
          <cell r="BR276">
            <v>46103</v>
          </cell>
          <cell r="BS276">
            <v>5857.71</v>
          </cell>
          <cell r="BT276">
            <v>46167</v>
          </cell>
          <cell r="CE276" t="str">
            <v>NÃO</v>
          </cell>
          <cell r="CI276">
            <v>46102</v>
          </cell>
        </row>
        <row r="277">
          <cell r="A277"/>
          <cell r="B277" t="str">
            <v>064D/2025</v>
          </cell>
          <cell r="E277" t="str">
            <v>CATARINA</v>
          </cell>
          <cell r="F277" t="str">
            <v>DELIVERED</v>
          </cell>
          <cell r="G277" t="str">
            <v>SEA</v>
          </cell>
          <cell r="J277">
            <v>46016</v>
          </cell>
          <cell r="L277">
            <v>46084</v>
          </cell>
          <cell r="O277">
            <v>46096</v>
          </cell>
          <cell r="P277" t="str">
            <v>SDBLBS582498</v>
          </cell>
          <cell r="R277" t="str">
            <v>PWBR250100-10D</v>
          </cell>
          <cell r="T277" t="str">
            <v>CAAU4224749; CAAU4224796; CAAU4226314</v>
          </cell>
          <cell r="U277">
            <v>3</v>
          </cell>
          <cell r="AD277">
            <v>46086</v>
          </cell>
          <cell r="AE277">
            <v>46087</v>
          </cell>
          <cell r="AJ277">
            <v>1088061.5</v>
          </cell>
          <cell r="AK277">
            <v>46057</v>
          </cell>
          <cell r="AL277">
            <v>46058</v>
          </cell>
          <cell r="AM277">
            <v>46065</v>
          </cell>
          <cell r="AN277">
            <v>46066</v>
          </cell>
          <cell r="AO277">
            <v>46072</v>
          </cell>
          <cell r="AP277">
            <v>46072</v>
          </cell>
          <cell r="AQ277">
            <v>46080</v>
          </cell>
          <cell r="AR277">
            <v>46086</v>
          </cell>
          <cell r="AS277">
            <v>46086</v>
          </cell>
          <cell r="AT277">
            <v>46086</v>
          </cell>
          <cell r="AU277">
            <v>46087</v>
          </cell>
          <cell r="AY277">
            <v>46086</v>
          </cell>
          <cell r="AZ277">
            <v>46090</v>
          </cell>
          <cell r="BA277">
            <v>46091</v>
          </cell>
          <cell r="BB277">
            <v>46091</v>
          </cell>
          <cell r="BC277">
            <v>46094</v>
          </cell>
          <cell r="BD277">
            <v>46091</v>
          </cell>
          <cell r="BE277">
            <v>46094</v>
          </cell>
          <cell r="BF277">
            <v>46094</v>
          </cell>
          <cell r="BG277">
            <v>46095</v>
          </cell>
          <cell r="BH277">
            <v>46096</v>
          </cell>
          <cell r="BQ277">
            <v>2454.87</v>
          </cell>
          <cell r="CE277" t="str">
            <v>NÃO</v>
          </cell>
          <cell r="CI277">
            <v>46102</v>
          </cell>
        </row>
        <row r="278">
          <cell r="A278" t="str">
            <v xml:space="preserve"> </v>
          </cell>
          <cell r="B278" t="str">
            <v>064E/2025</v>
          </cell>
          <cell r="E278" t="str">
            <v>CATARINA</v>
          </cell>
          <cell r="F278" t="str">
            <v>DELIVERED</v>
          </cell>
          <cell r="G278" t="str">
            <v>SEA</v>
          </cell>
          <cell r="J278">
            <v>46016</v>
          </cell>
          <cell r="L278">
            <v>46084</v>
          </cell>
          <cell r="O278">
            <v>46101</v>
          </cell>
          <cell r="P278" t="str">
            <v>SDBLBS582500</v>
          </cell>
          <cell r="R278" t="str">
            <v>PWBR250100-10E</v>
          </cell>
          <cell r="T278" t="str">
            <v>CGMU9363545</v>
          </cell>
          <cell r="U278">
            <v>1</v>
          </cell>
          <cell r="AD278">
            <v>46087</v>
          </cell>
          <cell r="AE278">
            <v>46087</v>
          </cell>
          <cell r="AJ278">
            <v>353433.42</v>
          </cell>
          <cell r="AK278">
            <v>46057</v>
          </cell>
          <cell r="AL278">
            <v>46059</v>
          </cell>
          <cell r="AM278">
            <v>46066</v>
          </cell>
          <cell r="AN278">
            <v>46066</v>
          </cell>
          <cell r="AO278">
            <v>46076</v>
          </cell>
          <cell r="AP278">
            <v>46079</v>
          </cell>
          <cell r="AQ278">
            <v>46080</v>
          </cell>
          <cell r="AR278">
            <v>46086</v>
          </cell>
          <cell r="AS278">
            <v>46086</v>
          </cell>
          <cell r="AT278">
            <v>46087</v>
          </cell>
          <cell r="AU278">
            <v>46087</v>
          </cell>
          <cell r="AY278">
            <v>46087</v>
          </cell>
          <cell r="AZ278">
            <v>46090</v>
          </cell>
          <cell r="BA278">
            <v>46092</v>
          </cell>
          <cell r="BB278">
            <v>46092</v>
          </cell>
          <cell r="BC278">
            <v>46092</v>
          </cell>
          <cell r="BD278">
            <v>46092</v>
          </cell>
          <cell r="BE278">
            <v>46094</v>
          </cell>
          <cell r="BF278">
            <v>46094</v>
          </cell>
          <cell r="BG278">
            <v>46097</v>
          </cell>
          <cell r="BH278">
            <v>46101</v>
          </cell>
          <cell r="BQ278">
            <v>818.29</v>
          </cell>
          <cell r="BR278">
            <v>46103</v>
          </cell>
          <cell r="BS278">
            <v>5857.71</v>
          </cell>
          <cell r="BT278">
            <v>46167</v>
          </cell>
          <cell r="CE278" t="str">
            <v>NÃO</v>
          </cell>
          <cell r="CI278">
            <v>46102</v>
          </cell>
        </row>
        <row r="279">
          <cell r="A279"/>
          <cell r="B279" t="str">
            <v>064F/2025</v>
          </cell>
          <cell r="E279" t="str">
            <v>CATARINA</v>
          </cell>
          <cell r="F279" t="str">
            <v>DELIVERED</v>
          </cell>
          <cell r="G279" t="str">
            <v>SEA</v>
          </cell>
          <cell r="J279">
            <v>46016</v>
          </cell>
          <cell r="L279">
            <v>46084</v>
          </cell>
          <cell r="O279">
            <v>46101</v>
          </cell>
          <cell r="P279" t="str">
            <v>SDBLBS582503</v>
          </cell>
          <cell r="R279" t="str">
            <v>PWBR250100-10F</v>
          </cell>
          <cell r="T279" t="str">
            <v>CAAU4225370</v>
          </cell>
          <cell r="U279">
            <v>0.5</v>
          </cell>
          <cell r="AD279">
            <v>46087</v>
          </cell>
          <cell r="AE279">
            <v>46087</v>
          </cell>
          <cell r="AJ279">
            <v>854369.08</v>
          </cell>
          <cell r="AK279">
            <v>46055</v>
          </cell>
          <cell r="AL279">
            <v>46058</v>
          </cell>
          <cell r="AM279">
            <v>46062</v>
          </cell>
          <cell r="AN279">
            <v>46062</v>
          </cell>
          <cell r="AO279">
            <v>46062</v>
          </cell>
          <cell r="AP279">
            <v>46062</v>
          </cell>
          <cell r="AQ279">
            <v>46080</v>
          </cell>
          <cell r="AR279">
            <v>46086</v>
          </cell>
          <cell r="AS279">
            <v>46086</v>
          </cell>
          <cell r="AT279">
            <v>46087</v>
          </cell>
          <cell r="AU279">
            <v>46087</v>
          </cell>
          <cell r="AY279">
            <v>46087</v>
          </cell>
          <cell r="AZ279">
            <v>46090</v>
          </cell>
          <cell r="BA279">
            <v>46091</v>
          </cell>
          <cell r="BB279">
            <v>46091</v>
          </cell>
          <cell r="BC279">
            <v>46094</v>
          </cell>
          <cell r="BD279">
            <v>46091</v>
          </cell>
          <cell r="BE279">
            <v>46094</v>
          </cell>
          <cell r="BF279">
            <v>46094</v>
          </cell>
          <cell r="BG279">
            <v>46097</v>
          </cell>
          <cell r="BH279">
            <v>46101</v>
          </cell>
          <cell r="BQ279">
            <v>818.29</v>
          </cell>
          <cell r="BR279">
            <v>46103</v>
          </cell>
          <cell r="BS279">
            <v>5857.71</v>
          </cell>
          <cell r="BT279">
            <v>46167</v>
          </cell>
          <cell r="CE279" t="str">
            <v>NÃO</v>
          </cell>
          <cell r="CI279">
            <v>46102</v>
          </cell>
        </row>
        <row r="280">
          <cell r="A280"/>
          <cell r="B280" t="str">
            <v>064G/2025</v>
          </cell>
          <cell r="E280" t="str">
            <v>CATARINA</v>
          </cell>
          <cell r="F280" t="str">
            <v>DELIVERED</v>
          </cell>
          <cell r="G280" t="str">
            <v>SEA</v>
          </cell>
          <cell r="J280">
            <v>46016</v>
          </cell>
          <cell r="L280">
            <v>46084</v>
          </cell>
          <cell r="O280">
            <v>46101</v>
          </cell>
          <cell r="P280" t="str">
            <v>SDBLBS582503</v>
          </cell>
          <cell r="R280" t="str">
            <v>PWBR250100-10G</v>
          </cell>
          <cell r="T280" t="str">
            <v>CAAU4225370</v>
          </cell>
          <cell r="U280">
            <v>0.5</v>
          </cell>
          <cell r="AD280">
            <v>46087</v>
          </cell>
          <cell r="AE280">
            <v>46087</v>
          </cell>
          <cell r="AJ280">
            <v>322019.02</v>
          </cell>
          <cell r="AK280">
            <v>46071</v>
          </cell>
          <cell r="AL280">
            <v>46072</v>
          </cell>
          <cell r="AM280">
            <v>46072</v>
          </cell>
          <cell r="AN280">
            <v>46076</v>
          </cell>
          <cell r="AO280">
            <v>46076</v>
          </cell>
          <cell r="AP280">
            <v>46076</v>
          </cell>
          <cell r="AQ280">
            <v>46080</v>
          </cell>
          <cell r="AR280">
            <v>46086</v>
          </cell>
          <cell r="AS280">
            <v>46086</v>
          </cell>
          <cell r="AT280">
            <v>46087</v>
          </cell>
          <cell r="AU280">
            <v>46087</v>
          </cell>
          <cell r="AY280">
            <v>46087</v>
          </cell>
          <cell r="AZ280">
            <v>46090</v>
          </cell>
          <cell r="BA280">
            <v>46091</v>
          </cell>
          <cell r="BB280">
            <v>46091</v>
          </cell>
          <cell r="BC280">
            <v>46094</v>
          </cell>
          <cell r="BD280">
            <v>46091</v>
          </cell>
          <cell r="BE280">
            <v>46094</v>
          </cell>
          <cell r="BF280">
            <v>46097</v>
          </cell>
          <cell r="BG280">
            <v>46098</v>
          </cell>
          <cell r="BH280">
            <v>46101</v>
          </cell>
          <cell r="BQ280">
            <v>818.29</v>
          </cell>
          <cell r="BR280">
            <v>46103</v>
          </cell>
          <cell r="CE280" t="str">
            <v>NÃO</v>
          </cell>
          <cell r="CI280">
            <v>46102</v>
          </cell>
        </row>
        <row r="281">
          <cell r="A281"/>
          <cell r="B281" t="str">
            <v>Z-032A/2025</v>
          </cell>
          <cell r="E281" t="str">
            <v>LEISIANE</v>
          </cell>
          <cell r="F281" t="str">
            <v>DELIVERED</v>
          </cell>
          <cell r="G281" t="str">
            <v>SEA</v>
          </cell>
          <cell r="J281">
            <v>46019</v>
          </cell>
          <cell r="L281">
            <v>46084</v>
          </cell>
          <cell r="O281">
            <v>46094</v>
          </cell>
          <cell r="P281" t="str">
            <v>SDBLBS580952</v>
          </cell>
          <cell r="R281" t="str">
            <v>PWBR250176-20A</v>
          </cell>
          <cell r="T281" t="str">
            <v>CAAU4227075</v>
          </cell>
          <cell r="U281">
            <v>0.5</v>
          </cell>
          <cell r="AD281">
            <v>46087</v>
          </cell>
          <cell r="AE281">
            <v>46087</v>
          </cell>
          <cell r="AJ281">
            <v>743649.23</v>
          </cell>
          <cell r="AK281">
            <v>46036</v>
          </cell>
          <cell r="AL281">
            <v>46051</v>
          </cell>
          <cell r="AM281">
            <v>46064</v>
          </cell>
          <cell r="AN281">
            <v>46083</v>
          </cell>
          <cell r="AO281">
            <v>46084</v>
          </cell>
          <cell r="AP281">
            <v>46084</v>
          </cell>
          <cell r="AR281">
            <v>46086</v>
          </cell>
          <cell r="AU281">
            <v>46087</v>
          </cell>
          <cell r="AY281">
            <v>46087</v>
          </cell>
          <cell r="AZ281">
            <v>46087</v>
          </cell>
          <cell r="BA281">
            <v>46090</v>
          </cell>
          <cell r="BB281">
            <v>46091</v>
          </cell>
          <cell r="BC281">
            <v>46091</v>
          </cell>
          <cell r="BD281">
            <v>46091</v>
          </cell>
          <cell r="BE281">
            <v>46091</v>
          </cell>
          <cell r="BF281">
            <v>46091</v>
          </cell>
          <cell r="BG281">
            <v>46092</v>
          </cell>
          <cell r="BQ281"/>
          <cell r="CE281" t="str">
            <v>NÃO</v>
          </cell>
          <cell r="CI281">
            <v>46102</v>
          </cell>
        </row>
        <row r="282">
          <cell r="A282"/>
          <cell r="B282" t="str">
            <v>Z-032B/2025</v>
          </cell>
          <cell r="E282" t="str">
            <v>LEISIANE</v>
          </cell>
          <cell r="F282" t="str">
            <v>DELIVERED</v>
          </cell>
          <cell r="G282" t="str">
            <v>SEA</v>
          </cell>
          <cell r="J282">
            <v>46019</v>
          </cell>
          <cell r="L282">
            <v>46084</v>
          </cell>
          <cell r="O282">
            <v>46093</v>
          </cell>
          <cell r="P282" t="str">
            <v>SDBLBS580957</v>
          </cell>
          <cell r="R282" t="str">
            <v>PWBR250170-20B</v>
          </cell>
          <cell r="T282" t="str">
            <v>CGMU652108</v>
          </cell>
          <cell r="U282">
            <v>1</v>
          </cell>
          <cell r="AD282">
            <v>46087</v>
          </cell>
          <cell r="AE282">
            <v>46087</v>
          </cell>
          <cell r="AJ282">
            <v>494255.1</v>
          </cell>
          <cell r="AK282">
            <v>46036</v>
          </cell>
          <cell r="AL282">
            <v>46052</v>
          </cell>
          <cell r="AM282">
            <v>46059</v>
          </cell>
          <cell r="AN282">
            <v>46059</v>
          </cell>
          <cell r="AO282">
            <v>46062</v>
          </cell>
          <cell r="AP282">
            <v>46083</v>
          </cell>
          <cell r="AQ282">
            <v>46084</v>
          </cell>
          <cell r="AR282">
            <v>46086</v>
          </cell>
          <cell r="AS282">
            <v>46086</v>
          </cell>
          <cell r="AT282">
            <v>46087</v>
          </cell>
          <cell r="AU282">
            <v>46087</v>
          </cell>
          <cell r="AY282">
            <v>46087</v>
          </cell>
          <cell r="AZ282">
            <v>46087</v>
          </cell>
          <cell r="BA282">
            <v>46090</v>
          </cell>
          <cell r="BB282">
            <v>46091</v>
          </cell>
          <cell r="BC282">
            <v>46091</v>
          </cell>
          <cell r="BD282">
            <v>46091</v>
          </cell>
          <cell r="BE282">
            <v>46091</v>
          </cell>
          <cell r="BF282">
            <v>46091</v>
          </cell>
          <cell r="BG282">
            <v>46092</v>
          </cell>
          <cell r="BH282">
            <v>46093</v>
          </cell>
          <cell r="BQ282"/>
          <cell r="CE282" t="str">
            <v>NÃO</v>
          </cell>
          <cell r="CI282">
            <v>46102</v>
          </cell>
        </row>
        <row r="283">
          <cell r="A283"/>
          <cell r="B283" t="str">
            <v>064C/2025</v>
          </cell>
          <cell r="E283" t="str">
            <v>CATARINA</v>
          </cell>
          <cell r="F283" t="str">
            <v>DELIVERED</v>
          </cell>
          <cell r="G283" t="str">
            <v>SEA</v>
          </cell>
          <cell r="J283">
            <v>46016</v>
          </cell>
          <cell r="L283">
            <v>46084</v>
          </cell>
          <cell r="O283">
            <v>46105</v>
          </cell>
          <cell r="P283" t="str">
            <v>SDBLBS582494</v>
          </cell>
          <cell r="R283" t="str">
            <v>PWBR250100-10C</v>
          </cell>
          <cell r="T283" t="str">
            <v>CAAU4224121; CAAU4224380; CAAU4224667</v>
          </cell>
          <cell r="U283">
            <v>3</v>
          </cell>
          <cell r="AD283">
            <v>46086</v>
          </cell>
          <cell r="AE283">
            <v>46087</v>
          </cell>
          <cell r="AJ283">
            <v>863226.06</v>
          </cell>
          <cell r="AK283">
            <v>46056</v>
          </cell>
          <cell r="AL283">
            <v>46058</v>
          </cell>
          <cell r="AM283">
            <v>46066</v>
          </cell>
          <cell r="AN283">
            <v>46066</v>
          </cell>
          <cell r="AO283">
            <v>46072</v>
          </cell>
          <cell r="AP283">
            <v>46072</v>
          </cell>
          <cell r="AQ283">
            <v>46080</v>
          </cell>
          <cell r="AR283">
            <v>46086</v>
          </cell>
          <cell r="AS283">
            <v>46086</v>
          </cell>
          <cell r="AT283">
            <v>46086</v>
          </cell>
          <cell r="AU283">
            <v>46087</v>
          </cell>
          <cell r="AY283">
            <v>46086</v>
          </cell>
          <cell r="AZ283">
            <v>46090</v>
          </cell>
          <cell r="BA283">
            <v>46094</v>
          </cell>
          <cell r="BB283">
            <v>46094</v>
          </cell>
          <cell r="BC283">
            <v>46097</v>
          </cell>
          <cell r="BD283">
            <v>46094</v>
          </cell>
          <cell r="BE283">
            <v>46097</v>
          </cell>
          <cell r="BF283">
            <v>46097</v>
          </cell>
          <cell r="BG283">
            <v>46101</v>
          </cell>
          <cell r="BH283">
            <v>46105</v>
          </cell>
          <cell r="BQ283">
            <v>5439.6</v>
          </cell>
          <cell r="BR283">
            <v>46104</v>
          </cell>
          <cell r="BS283">
            <v>28408.55</v>
          </cell>
          <cell r="BT283">
            <v>46167</v>
          </cell>
          <cell r="CE283" t="str">
            <v>NÃO</v>
          </cell>
          <cell r="CI283">
            <v>46102</v>
          </cell>
        </row>
        <row r="284">
          <cell r="A284"/>
          <cell r="B284" t="str">
            <v>NH-017/2025</v>
          </cell>
          <cell r="E284" t="str">
            <v>LEISIANE</v>
          </cell>
          <cell r="F284" t="str">
            <v>DELIVERED</v>
          </cell>
          <cell r="G284" t="str">
            <v>SEA</v>
          </cell>
          <cell r="J284">
            <v>46028</v>
          </cell>
          <cell r="L284">
            <v>46091</v>
          </cell>
          <cell r="O284">
            <v>46108</v>
          </cell>
          <cell r="P284" t="str">
            <v>SDBLBS580976</v>
          </cell>
          <cell r="R284" t="str">
            <v>PW2025017</v>
          </cell>
          <cell r="T284" t="str">
            <v>TCKU340140</v>
          </cell>
          <cell r="U284">
            <v>1</v>
          </cell>
          <cell r="AD284">
            <v>46094</v>
          </cell>
          <cell r="AE284">
            <v>46094</v>
          </cell>
          <cell r="AK284">
            <v>46051</v>
          </cell>
          <cell r="AL284">
            <v>46080</v>
          </cell>
          <cell r="AM284">
            <v>46091</v>
          </cell>
          <cell r="AN284">
            <v>46091</v>
          </cell>
          <cell r="AR284">
            <v>46091</v>
          </cell>
          <cell r="BH284">
            <v>46107</v>
          </cell>
          <cell r="BQ284">
            <v>545.45000000000005</v>
          </cell>
          <cell r="BR284">
            <v>46107</v>
          </cell>
          <cell r="CE284" t="str">
            <v>NÃO</v>
          </cell>
          <cell r="CI284">
            <v>46109</v>
          </cell>
        </row>
        <row r="285">
          <cell r="A285"/>
          <cell r="B285" t="str">
            <v>068A/2025</v>
          </cell>
          <cell r="E285" t="str">
            <v>CATARINA</v>
          </cell>
          <cell r="F285" t="str">
            <v>DELIVERED</v>
          </cell>
          <cell r="G285" t="str">
            <v>SEA</v>
          </cell>
          <cell r="J285">
            <v>46041</v>
          </cell>
          <cell r="L285">
            <v>46091</v>
          </cell>
          <cell r="O285">
            <v>46101</v>
          </cell>
          <cell r="P285" t="str">
            <v>SDBLBS584911</v>
          </cell>
          <cell r="R285" t="str">
            <v>PWBR250062-30A</v>
          </cell>
          <cell r="T285" t="str">
            <v>SZLU7018690</v>
          </cell>
          <cell r="U285">
            <v>0.5</v>
          </cell>
          <cell r="AD285">
            <v>46093</v>
          </cell>
          <cell r="AE285">
            <v>46094</v>
          </cell>
          <cell r="AJ285">
            <v>1662295.79</v>
          </cell>
          <cell r="AK285">
            <v>46072</v>
          </cell>
          <cell r="AL285">
            <v>46076</v>
          </cell>
          <cell r="AM285">
            <v>46076</v>
          </cell>
          <cell r="AN285">
            <v>46079</v>
          </cell>
          <cell r="AO285">
            <v>46079</v>
          </cell>
          <cell r="AP285">
            <v>46084</v>
          </cell>
          <cell r="AQ285">
            <v>46085</v>
          </cell>
          <cell r="AR285">
            <v>46093</v>
          </cell>
          <cell r="AS285">
            <v>46093</v>
          </cell>
          <cell r="AT285" t="str">
            <v>16/003/2026</v>
          </cell>
          <cell r="AU285">
            <v>46097</v>
          </cell>
          <cell r="BA285">
            <v>46098</v>
          </cell>
          <cell r="BB285">
            <v>46098</v>
          </cell>
          <cell r="BC285">
            <v>46099</v>
          </cell>
          <cell r="BD285">
            <v>46098</v>
          </cell>
          <cell r="BE285">
            <v>46101</v>
          </cell>
          <cell r="BF285">
            <v>46101</v>
          </cell>
          <cell r="BG285">
            <v>46104</v>
          </cell>
          <cell r="BH285">
            <v>46101</v>
          </cell>
          <cell r="BQ285">
            <v>818.29</v>
          </cell>
          <cell r="BR285">
            <v>46103</v>
          </cell>
          <cell r="CE285" t="str">
            <v>NÃO</v>
          </cell>
          <cell r="CI285">
            <v>46109</v>
          </cell>
        </row>
        <row r="286">
          <cell r="A286"/>
          <cell r="B286" t="str">
            <v>068B/2025</v>
          </cell>
          <cell r="E286" t="str">
            <v>LEISIANE</v>
          </cell>
          <cell r="F286" t="str">
            <v>DELIVERED</v>
          </cell>
          <cell r="G286" t="str">
            <v>SEA</v>
          </cell>
          <cell r="J286">
            <v>46041</v>
          </cell>
          <cell r="L286">
            <v>46091</v>
          </cell>
          <cell r="O286">
            <v>46120</v>
          </cell>
          <cell r="P286" t="str">
            <v>SDBLBS584917</v>
          </cell>
          <cell r="R286" t="str">
            <v>PWBR250062-30B</v>
          </cell>
          <cell r="T286" t="str">
            <v>SZLU7018534</v>
          </cell>
          <cell r="U286">
            <v>1</v>
          </cell>
          <cell r="AD286">
            <v>46105</v>
          </cell>
          <cell r="AE286">
            <v>46107</v>
          </cell>
          <cell r="AJ286">
            <v>679602.84</v>
          </cell>
          <cell r="AK286">
            <v>46078</v>
          </cell>
          <cell r="AL286">
            <v>46080</v>
          </cell>
          <cell r="AM286">
            <v>46080</v>
          </cell>
          <cell r="AN286">
            <v>46090</v>
          </cell>
          <cell r="AO286">
            <v>46099</v>
          </cell>
          <cell r="AP286">
            <v>46092</v>
          </cell>
          <cell r="AQ286">
            <v>46092</v>
          </cell>
          <cell r="AR286">
            <v>46078</v>
          </cell>
          <cell r="AS286">
            <v>46080</v>
          </cell>
          <cell r="AT286">
            <v>46113</v>
          </cell>
          <cell r="AU286">
            <v>46113</v>
          </cell>
          <cell r="AY286">
            <v>46107</v>
          </cell>
          <cell r="AZ286">
            <v>46107</v>
          </cell>
          <cell r="BA286">
            <v>46112</v>
          </cell>
          <cell r="BB286">
            <v>46113</v>
          </cell>
          <cell r="BC286">
            <v>46113</v>
          </cell>
          <cell r="BD286">
            <v>46113</v>
          </cell>
          <cell r="BE286">
            <v>46118</v>
          </cell>
          <cell r="BF286">
            <v>46118</v>
          </cell>
          <cell r="BG286">
            <v>46119</v>
          </cell>
          <cell r="BH286">
            <v>46119</v>
          </cell>
          <cell r="BQ286">
            <v>1813.2</v>
          </cell>
          <cell r="BR286">
            <v>46112</v>
          </cell>
          <cell r="BS286">
            <v>37379.46</v>
          </cell>
          <cell r="BT286">
            <v>46156</v>
          </cell>
          <cell r="CE286" t="str">
            <v>NÃO</v>
          </cell>
          <cell r="CI286">
            <v>46109</v>
          </cell>
        </row>
        <row r="287">
          <cell r="A287"/>
          <cell r="B287" t="str">
            <v>068C/2025</v>
          </cell>
          <cell r="E287" t="str">
            <v>LEISIANE</v>
          </cell>
          <cell r="F287" t="str">
            <v>DELIVERED</v>
          </cell>
          <cell r="G287" t="str">
            <v>SEA</v>
          </cell>
          <cell r="J287">
            <v>46041</v>
          </cell>
          <cell r="L287">
            <v>46091</v>
          </cell>
          <cell r="O287">
            <v>46120</v>
          </cell>
          <cell r="P287" t="str">
            <v>SDBLBS584922</v>
          </cell>
          <cell r="R287" t="str">
            <v>PWBR250062-30C</v>
          </cell>
          <cell r="T287" t="str">
            <v>SZLU7016758; SZLU7016845; SZLU7018540</v>
          </cell>
          <cell r="U287">
            <v>3</v>
          </cell>
          <cell r="AD287">
            <v>46105</v>
          </cell>
          <cell r="AE287">
            <v>46105</v>
          </cell>
          <cell r="AJ287">
            <v>891209.15</v>
          </cell>
          <cell r="AK287">
            <v>46073</v>
          </cell>
          <cell r="AL287">
            <v>46076</v>
          </cell>
          <cell r="AM287">
            <v>46078</v>
          </cell>
          <cell r="AN287">
            <v>46079</v>
          </cell>
          <cell r="AO287">
            <v>46083</v>
          </cell>
          <cell r="AP287">
            <v>46084</v>
          </cell>
          <cell r="AQ287">
            <v>46085</v>
          </cell>
          <cell r="AR287">
            <v>46094</v>
          </cell>
          <cell r="AS287">
            <v>46097</v>
          </cell>
          <cell r="AT287">
            <v>46107</v>
          </cell>
          <cell r="AU287">
            <v>46113</v>
          </cell>
          <cell r="AY287">
            <v>46107</v>
          </cell>
          <cell r="AZ287">
            <v>46108</v>
          </cell>
          <cell r="BA287">
            <v>46113</v>
          </cell>
          <cell r="BB287">
            <v>46113</v>
          </cell>
          <cell r="BC287">
            <v>46113</v>
          </cell>
          <cell r="BD287">
            <v>46113</v>
          </cell>
          <cell r="BE287">
            <v>46114</v>
          </cell>
          <cell r="BF287">
            <v>46114</v>
          </cell>
          <cell r="BG287">
            <v>46118</v>
          </cell>
          <cell r="BH287">
            <v>46119</v>
          </cell>
          <cell r="BQ287">
            <v>5439.6</v>
          </cell>
          <cell r="BR287">
            <v>46112</v>
          </cell>
          <cell r="BS287">
            <v>92399.23</v>
          </cell>
          <cell r="BT287">
            <v>46156</v>
          </cell>
          <cell r="CE287" t="str">
            <v>NÃO</v>
          </cell>
          <cell r="CI287">
            <v>46109</v>
          </cell>
        </row>
        <row r="288">
          <cell r="A288"/>
          <cell r="B288" t="str">
            <v>068D/2025</v>
          </cell>
          <cell r="E288" t="str">
            <v>LEISIANE</v>
          </cell>
          <cell r="F288" t="str">
            <v>DELIVERED</v>
          </cell>
          <cell r="G288" t="str">
            <v>SEA</v>
          </cell>
          <cell r="J288">
            <v>46041</v>
          </cell>
          <cell r="L288">
            <v>46091</v>
          </cell>
          <cell r="O288">
            <v>46121</v>
          </cell>
          <cell r="P288" t="str">
            <v>SDBLBS584925</v>
          </cell>
          <cell r="R288" t="str">
            <v>PWBR250062-30D</v>
          </cell>
          <cell r="T288" t="str">
            <v>FBIU5820398; SZLU7006997; SZLU7016716</v>
          </cell>
          <cell r="U288">
            <v>3</v>
          </cell>
          <cell r="AD288">
            <v>46093</v>
          </cell>
          <cell r="AE288">
            <v>46093</v>
          </cell>
          <cell r="AJ288">
            <v>880815.55</v>
          </cell>
          <cell r="AK288">
            <v>46072</v>
          </cell>
          <cell r="AL288">
            <v>46076</v>
          </cell>
          <cell r="AM288">
            <v>46077</v>
          </cell>
          <cell r="AN288">
            <v>46079</v>
          </cell>
          <cell r="AO288">
            <v>46079</v>
          </cell>
          <cell r="AP288">
            <v>46084</v>
          </cell>
          <cell r="AQ288">
            <v>46085</v>
          </cell>
          <cell r="AR288">
            <v>46093</v>
          </cell>
          <cell r="AS288">
            <v>46093</v>
          </cell>
          <cell r="AT288">
            <v>46097</v>
          </cell>
          <cell r="AU288">
            <v>46098</v>
          </cell>
          <cell r="AY288">
            <v>46097</v>
          </cell>
          <cell r="AZ288">
            <v>46098</v>
          </cell>
          <cell r="BA288">
            <v>46098</v>
          </cell>
          <cell r="BB288">
            <v>46098</v>
          </cell>
          <cell r="BC288">
            <v>46099</v>
          </cell>
          <cell r="BD288">
            <v>46098</v>
          </cell>
          <cell r="BE288">
            <v>46114</v>
          </cell>
          <cell r="BF288">
            <v>46114</v>
          </cell>
          <cell r="BG288">
            <v>46120</v>
          </cell>
          <cell r="BH288">
            <v>46120</v>
          </cell>
          <cell r="BQ288">
            <v>5439.6</v>
          </cell>
          <cell r="BR288">
            <v>46112</v>
          </cell>
          <cell r="BS288">
            <v>111698.46</v>
          </cell>
          <cell r="BT288">
            <v>46156</v>
          </cell>
          <cell r="CE288" t="str">
            <v>NÃO</v>
          </cell>
          <cell r="CI288">
            <v>46109</v>
          </cell>
        </row>
        <row r="289">
          <cell r="A289"/>
          <cell r="B289" t="str">
            <v>068E/2025</v>
          </cell>
          <cell r="E289" t="str">
            <v>RENATO</v>
          </cell>
          <cell r="F289" t="str">
            <v>DELIVERED</v>
          </cell>
          <cell r="G289" t="str">
            <v>SEA</v>
          </cell>
          <cell r="J289">
            <v>46041</v>
          </cell>
          <cell r="L289">
            <v>46091</v>
          </cell>
          <cell r="O289">
            <v>46114</v>
          </cell>
          <cell r="P289" t="str">
            <v>SDBLBS584927</v>
          </cell>
          <cell r="R289" t="str">
            <v>PWBR250062-30E</v>
          </cell>
          <cell r="T289" t="str">
            <v>SZLU7016763; SZLU7018581</v>
          </cell>
          <cell r="U289">
            <v>2</v>
          </cell>
          <cell r="AD289">
            <v>46105</v>
          </cell>
          <cell r="AE289">
            <v>46107</v>
          </cell>
          <cell r="AJ289">
            <v>1127935.32</v>
          </cell>
          <cell r="AK289">
            <v>46072</v>
          </cell>
          <cell r="AL289">
            <v>46077</v>
          </cell>
          <cell r="AM289">
            <v>46079</v>
          </cell>
          <cell r="AN289">
            <v>46080</v>
          </cell>
          <cell r="AO289">
            <v>46084</v>
          </cell>
          <cell r="AP289">
            <v>46084</v>
          </cell>
          <cell r="AQ289">
            <v>46085</v>
          </cell>
          <cell r="AR289">
            <v>46094</v>
          </cell>
          <cell r="AS289">
            <v>46097</v>
          </cell>
          <cell r="AT289">
            <v>46105</v>
          </cell>
          <cell r="AU289">
            <v>46107</v>
          </cell>
          <cell r="BA289">
            <v>46108</v>
          </cell>
          <cell r="BB289">
            <v>46108</v>
          </cell>
          <cell r="BC289">
            <v>46108</v>
          </cell>
          <cell r="BD289">
            <v>46108</v>
          </cell>
          <cell r="BE289">
            <v>46108</v>
          </cell>
          <cell r="BF289">
            <v>46108</v>
          </cell>
          <cell r="BG289">
            <v>46111</v>
          </cell>
          <cell r="BH289">
            <v>46113</v>
          </cell>
          <cell r="BQ289">
            <v>3626.4</v>
          </cell>
          <cell r="BR289">
            <v>46112</v>
          </cell>
          <cell r="BS289">
            <v>28153.11</v>
          </cell>
          <cell r="BT289">
            <v>46156</v>
          </cell>
          <cell r="CE289" t="str">
            <v>NÃO</v>
          </cell>
          <cell r="CI289">
            <v>46109</v>
          </cell>
        </row>
        <row r="290">
          <cell r="A290"/>
          <cell r="B290" t="str">
            <v>068F/2025</v>
          </cell>
          <cell r="E290" t="str">
            <v>CATARINA</v>
          </cell>
          <cell r="F290" t="str">
            <v>DELIVERED</v>
          </cell>
          <cell r="G290" t="str">
            <v>SEA</v>
          </cell>
          <cell r="J290">
            <v>46041</v>
          </cell>
          <cell r="L290">
            <v>46091</v>
          </cell>
          <cell r="O290">
            <v>46101</v>
          </cell>
          <cell r="P290" t="str">
            <v>SDBLBS584916</v>
          </cell>
          <cell r="R290" t="str">
            <v>PWBR250062-30F</v>
          </cell>
          <cell r="T290" t="str">
            <v>SZLU7018690</v>
          </cell>
          <cell r="U290">
            <v>0.5</v>
          </cell>
          <cell r="AD290">
            <v>46093</v>
          </cell>
          <cell r="AE290">
            <v>46094</v>
          </cell>
          <cell r="AJ290">
            <v>471524.47</v>
          </cell>
          <cell r="AK290">
            <v>46072</v>
          </cell>
          <cell r="AL290">
            <v>46077</v>
          </cell>
          <cell r="AM290">
            <v>46078</v>
          </cell>
          <cell r="AN290">
            <v>46079</v>
          </cell>
          <cell r="AO290">
            <v>46083</v>
          </cell>
          <cell r="AP290">
            <v>46084</v>
          </cell>
          <cell r="AQ290">
            <v>46085</v>
          </cell>
          <cell r="AR290">
            <v>46093</v>
          </cell>
          <cell r="AS290">
            <v>46093</v>
          </cell>
          <cell r="AT290">
            <v>46097</v>
          </cell>
          <cell r="AU290">
            <v>46098</v>
          </cell>
          <cell r="BA290">
            <v>46098</v>
          </cell>
          <cell r="BB290">
            <v>46098</v>
          </cell>
          <cell r="BC290">
            <v>46101</v>
          </cell>
          <cell r="BD290">
            <v>46098</v>
          </cell>
          <cell r="BE290">
            <v>46101</v>
          </cell>
          <cell r="BF290">
            <v>46101</v>
          </cell>
          <cell r="BG290">
            <v>46104</v>
          </cell>
          <cell r="BH290">
            <v>46101</v>
          </cell>
          <cell r="BQ290"/>
          <cell r="CE290" t="str">
            <v>NÃO</v>
          </cell>
          <cell r="CI290">
            <v>46109</v>
          </cell>
        </row>
        <row r="291">
          <cell r="A291" t="str">
            <v xml:space="preserve"> </v>
          </cell>
          <cell r="B291" t="str">
            <v>NH-019A/2025</v>
          </cell>
          <cell r="E291" t="str">
            <v>LEISIANE</v>
          </cell>
          <cell r="F291" t="str">
            <v>DELIVERED</v>
          </cell>
          <cell r="G291" t="str">
            <v>SEA</v>
          </cell>
          <cell r="J291">
            <v>46041</v>
          </cell>
          <cell r="L291">
            <v>46091</v>
          </cell>
          <cell r="O291">
            <v>46122</v>
          </cell>
          <cell r="P291" t="str">
            <v>SDBLBS584943</v>
          </cell>
          <cell r="R291" t="str">
            <v>PW2026019A</v>
          </cell>
          <cell r="T291" t="str">
            <v>SZLU7007000</v>
          </cell>
          <cell r="U291">
            <v>0.5</v>
          </cell>
          <cell r="AD291">
            <v>46094</v>
          </cell>
          <cell r="AE291">
            <v>46094</v>
          </cell>
          <cell r="AJ291">
            <v>139036.89000000001</v>
          </cell>
          <cell r="AK291">
            <v>46055</v>
          </cell>
          <cell r="AL291">
            <v>46084</v>
          </cell>
          <cell r="AM291">
            <v>46087</v>
          </cell>
          <cell r="AN291">
            <v>46092</v>
          </cell>
          <cell r="AO291">
            <v>46092</v>
          </cell>
          <cell r="AP291">
            <v>46092</v>
          </cell>
          <cell r="AQ291">
            <v>46092</v>
          </cell>
          <cell r="AR291">
            <v>46093</v>
          </cell>
          <cell r="AS291">
            <v>46094</v>
          </cell>
          <cell r="AT291">
            <v>46097</v>
          </cell>
          <cell r="AU291">
            <v>46098</v>
          </cell>
          <cell r="AY291">
            <v>46097</v>
          </cell>
          <cell r="AZ291">
            <v>46098</v>
          </cell>
          <cell r="BA291">
            <v>46098</v>
          </cell>
          <cell r="BB291">
            <v>46104</v>
          </cell>
          <cell r="BC291">
            <v>46104</v>
          </cell>
          <cell r="BD291">
            <v>46104</v>
          </cell>
          <cell r="BE291">
            <v>46104</v>
          </cell>
          <cell r="BF291">
            <v>46104</v>
          </cell>
          <cell r="BG291">
            <v>46105</v>
          </cell>
          <cell r="BH291">
            <v>46120</v>
          </cell>
          <cell r="BQ291">
            <v>1813.2</v>
          </cell>
          <cell r="BR291">
            <v>46114</v>
          </cell>
          <cell r="BS291">
            <v>17561.169999999998</v>
          </cell>
          <cell r="BT291">
            <v>46167</v>
          </cell>
          <cell r="CE291" t="str">
            <v>NÃO</v>
          </cell>
          <cell r="CI291">
            <v>46109</v>
          </cell>
        </row>
        <row r="292">
          <cell r="A292"/>
          <cell r="B292" t="str">
            <v>NH-019B/2025</v>
          </cell>
          <cell r="E292" t="str">
            <v>LEISIANE</v>
          </cell>
          <cell r="F292" t="str">
            <v>DELIVERED</v>
          </cell>
          <cell r="G292" t="str">
            <v>SEA</v>
          </cell>
          <cell r="J292">
            <v>46041</v>
          </cell>
          <cell r="L292">
            <v>46091</v>
          </cell>
          <cell r="O292">
            <v>46122</v>
          </cell>
          <cell r="P292" t="str">
            <v>SDBLBS584944</v>
          </cell>
          <cell r="R292" t="str">
            <v>PW2026019B</v>
          </cell>
          <cell r="T292" t="str">
            <v>SZLU7006050</v>
          </cell>
          <cell r="U292">
            <v>0.5</v>
          </cell>
          <cell r="AD292">
            <v>46094</v>
          </cell>
          <cell r="AE292">
            <v>46094</v>
          </cell>
          <cell r="AJ292">
            <v>81545.759999999995</v>
          </cell>
          <cell r="AK292">
            <v>46055</v>
          </cell>
          <cell r="AL292">
            <v>46084</v>
          </cell>
          <cell r="AM292">
            <v>46087</v>
          </cell>
          <cell r="AN292">
            <v>46092</v>
          </cell>
          <cell r="AO292">
            <v>46093</v>
          </cell>
          <cell r="AP292">
            <v>46092</v>
          </cell>
          <cell r="AQ292">
            <v>46092</v>
          </cell>
          <cell r="AR292">
            <v>46093</v>
          </cell>
          <cell r="AS292">
            <v>46094</v>
          </cell>
          <cell r="AT292">
            <v>46097</v>
          </cell>
          <cell r="AU292">
            <v>46098</v>
          </cell>
          <cell r="AY292">
            <v>46097</v>
          </cell>
          <cell r="AZ292">
            <v>46098</v>
          </cell>
          <cell r="BA292">
            <v>46098</v>
          </cell>
          <cell r="BB292">
            <v>46104</v>
          </cell>
          <cell r="BC292">
            <v>46104</v>
          </cell>
          <cell r="BD292">
            <v>46104</v>
          </cell>
          <cell r="BE292">
            <v>46104</v>
          </cell>
          <cell r="BF292">
            <v>46104</v>
          </cell>
          <cell r="BG292" t="str">
            <v xml:space="preserve"> </v>
          </cell>
          <cell r="BH292">
            <v>46120</v>
          </cell>
          <cell r="BQ292">
            <v>4109.17</v>
          </cell>
          <cell r="BR292">
            <v>46114</v>
          </cell>
          <cell r="BS292">
            <v>17561.169999999998</v>
          </cell>
          <cell r="BT292">
            <v>46167</v>
          </cell>
          <cell r="CE292" t="str">
            <v>NÃO</v>
          </cell>
          <cell r="CI292">
            <v>46109</v>
          </cell>
        </row>
        <row r="293">
          <cell r="A293"/>
          <cell r="B293" t="str">
            <v>Z-001A/2026</v>
          </cell>
          <cell r="E293" t="str">
            <v>LEISIANE</v>
          </cell>
          <cell r="F293" t="str">
            <v>DELIVERED</v>
          </cell>
          <cell r="G293" t="str">
            <v>SEA</v>
          </cell>
          <cell r="J293">
            <v>46041</v>
          </cell>
          <cell r="L293">
            <v>46091</v>
          </cell>
          <cell r="O293">
            <v>46122</v>
          </cell>
          <cell r="P293" t="str">
            <v>SDBLBS584947</v>
          </cell>
          <cell r="R293" t="str">
            <v>PWBR250209-10A</v>
          </cell>
          <cell r="T293" t="str">
            <v>SZLU7007000</v>
          </cell>
          <cell r="U293">
            <v>0.5</v>
          </cell>
          <cell r="AD293">
            <v>46105</v>
          </cell>
          <cell r="AJ293">
            <v>662904.94999999995</v>
          </cell>
          <cell r="AK293">
            <v>46056</v>
          </cell>
          <cell r="AL293">
            <v>46092</v>
          </cell>
          <cell r="AM293">
            <v>46101</v>
          </cell>
          <cell r="AN293">
            <v>46105</v>
          </cell>
          <cell r="AO293">
            <v>46105</v>
          </cell>
          <cell r="AP293">
            <v>46105</v>
          </cell>
          <cell r="AQ293">
            <v>46105</v>
          </cell>
          <cell r="AR293">
            <v>46093</v>
          </cell>
          <cell r="AS293">
            <v>46105</v>
          </cell>
          <cell r="AT293">
            <v>46107</v>
          </cell>
          <cell r="AU293">
            <v>46107</v>
          </cell>
          <cell r="AY293">
            <v>46107</v>
          </cell>
          <cell r="AZ293">
            <v>46107</v>
          </cell>
          <cell r="BA293">
            <v>46112</v>
          </cell>
          <cell r="BB293">
            <v>46112</v>
          </cell>
          <cell r="BE293">
            <v>46118</v>
          </cell>
          <cell r="BF293">
            <v>46118</v>
          </cell>
          <cell r="BQ293">
            <v>7318</v>
          </cell>
          <cell r="BR293">
            <v>46130</v>
          </cell>
          <cell r="BS293">
            <v>17561.169999999998</v>
          </cell>
          <cell r="BT293">
            <v>46167</v>
          </cell>
          <cell r="CE293" t="str">
            <v>NÃO</v>
          </cell>
          <cell r="CI293">
            <v>46109</v>
          </cell>
        </row>
        <row r="294">
          <cell r="A294"/>
          <cell r="B294" t="str">
            <v>Z-001B/2026</v>
          </cell>
          <cell r="E294" t="str">
            <v>LEISIANE</v>
          </cell>
          <cell r="F294" t="str">
            <v>DELIVERED</v>
          </cell>
          <cell r="G294" t="str">
            <v>SEA</v>
          </cell>
          <cell r="J294">
            <v>46041</v>
          </cell>
          <cell r="L294">
            <v>46091</v>
          </cell>
          <cell r="O294">
            <v>46122</v>
          </cell>
          <cell r="P294" t="str">
            <v>SDBLBS584949</v>
          </cell>
          <cell r="R294" t="str">
            <v>PWBR250209-10B</v>
          </cell>
          <cell r="T294" t="str">
            <v>SZLU7006050</v>
          </cell>
          <cell r="U294">
            <v>0.5</v>
          </cell>
          <cell r="AD294">
            <v>46104</v>
          </cell>
          <cell r="AE294">
            <v>46104</v>
          </cell>
          <cell r="AJ294">
            <v>751928.04</v>
          </cell>
          <cell r="AK294">
            <v>46056</v>
          </cell>
          <cell r="AL294">
            <v>46092</v>
          </cell>
          <cell r="AM294">
            <v>46101</v>
          </cell>
          <cell r="AN294">
            <v>46104</v>
          </cell>
          <cell r="AO294">
            <v>46104</v>
          </cell>
          <cell r="AP294">
            <v>46104</v>
          </cell>
          <cell r="AQ294">
            <v>46104</v>
          </cell>
          <cell r="AR294">
            <v>46093</v>
          </cell>
          <cell r="AS294">
            <v>46104</v>
          </cell>
          <cell r="AT294">
            <v>46105</v>
          </cell>
          <cell r="AU294">
            <v>46105</v>
          </cell>
          <cell r="AY294">
            <v>46105</v>
          </cell>
          <cell r="AZ294">
            <v>46105</v>
          </cell>
          <cell r="BA294">
            <v>46108</v>
          </cell>
          <cell r="BB294">
            <v>46105</v>
          </cell>
          <cell r="BC294">
            <v>46105</v>
          </cell>
          <cell r="BD294">
            <v>46120</v>
          </cell>
          <cell r="BE294">
            <v>46120</v>
          </cell>
          <cell r="BF294">
            <v>46120</v>
          </cell>
          <cell r="BQ294">
            <v>3264.54</v>
          </cell>
          <cell r="BR294">
            <v>46130</v>
          </cell>
          <cell r="BS294">
            <v>17561.169999999998</v>
          </cell>
          <cell r="BT294">
            <v>46167</v>
          </cell>
          <cell r="CE294" t="str">
            <v>NÃO</v>
          </cell>
          <cell r="CI294">
            <v>46109</v>
          </cell>
        </row>
        <row r="295">
          <cell r="A295"/>
          <cell r="B295" t="str">
            <v>E-017/2025</v>
          </cell>
          <cell r="E295" t="str">
            <v>RENATO</v>
          </cell>
          <cell r="F295" t="str">
            <v>DELIVERED</v>
          </cell>
          <cell r="G295" t="str">
            <v>SEA</v>
          </cell>
          <cell r="J295">
            <v>46028</v>
          </cell>
          <cell r="L295">
            <v>46091</v>
          </cell>
          <cell r="O295">
            <v>46129</v>
          </cell>
          <cell r="P295" t="str">
            <v>CN25121276</v>
          </cell>
          <cell r="R295">
            <v>8000657990</v>
          </cell>
          <cell r="T295" t="str">
            <v>CMAU5904900</v>
          </cell>
          <cell r="U295">
            <v>1</v>
          </cell>
          <cell r="AD295">
            <v>46098</v>
          </cell>
          <cell r="AE295">
            <v>46098</v>
          </cell>
          <cell r="AJ295">
            <v>503216.2</v>
          </cell>
          <cell r="AK295">
            <v>46051</v>
          </cell>
          <cell r="AL295">
            <v>46059</v>
          </cell>
          <cell r="AM295">
            <v>46092</v>
          </cell>
          <cell r="AN295">
            <v>46092</v>
          </cell>
          <cell r="AO295">
            <v>46093</v>
          </cell>
          <cell r="AP295">
            <v>46094</v>
          </cell>
          <cell r="AQ295">
            <v>46098</v>
          </cell>
          <cell r="AR295">
            <v>46093</v>
          </cell>
          <cell r="AS295">
            <v>46098</v>
          </cell>
          <cell r="AT295">
            <v>46101</v>
          </cell>
          <cell r="AU295">
            <v>46101</v>
          </cell>
          <cell r="AY295">
            <v>46101</v>
          </cell>
          <cell r="AZ295">
            <v>46101</v>
          </cell>
          <cell r="BA295">
            <v>46107</v>
          </cell>
          <cell r="BB295">
            <v>46107</v>
          </cell>
          <cell r="BC295">
            <v>46107</v>
          </cell>
          <cell r="BD295">
            <v>46107</v>
          </cell>
          <cell r="BE295">
            <v>46122</v>
          </cell>
          <cell r="BF295">
            <v>46122</v>
          </cell>
          <cell r="BG295">
            <v>46127</v>
          </cell>
          <cell r="BH295">
            <v>46128</v>
          </cell>
          <cell r="BQ295">
            <v>8819.5</v>
          </cell>
          <cell r="BR295">
            <v>46120</v>
          </cell>
          <cell r="BS295">
            <v>30853.89</v>
          </cell>
          <cell r="BT295">
            <v>46141</v>
          </cell>
          <cell r="CE295" t="str">
            <v>NÃO</v>
          </cell>
          <cell r="CI295">
            <v>46109</v>
          </cell>
        </row>
        <row r="296">
          <cell r="A296"/>
          <cell r="B296" t="str">
            <v>008/2026</v>
          </cell>
          <cell r="E296" t="str">
            <v>LEISIANE</v>
          </cell>
          <cell r="F296" t="str">
            <v>DELIVERED</v>
          </cell>
          <cell r="G296" t="str">
            <v>AIR</v>
          </cell>
          <cell r="J296">
            <v>46095</v>
          </cell>
          <cell r="L296">
            <v>46098</v>
          </cell>
          <cell r="O296">
            <v>46129</v>
          </cell>
          <cell r="P296" t="str">
            <v>DTW260312FOR</v>
          </cell>
          <cell r="R296" t="str">
            <v>PWBR260042-10</v>
          </cell>
          <cell r="U296" t="str">
            <v>0</v>
          </cell>
          <cell r="AD296">
            <v>46113</v>
          </cell>
          <cell r="AJ296">
            <v>20574.169999999998</v>
          </cell>
          <cell r="AL296">
            <v>46104</v>
          </cell>
          <cell r="AM296">
            <v>46107</v>
          </cell>
          <cell r="AN296">
            <v>46111</v>
          </cell>
          <cell r="AO296">
            <v>46112</v>
          </cell>
          <cell r="AP296">
            <v>46112</v>
          </cell>
          <cell r="AQ296">
            <v>46112</v>
          </cell>
          <cell r="AR296">
            <v>46098</v>
          </cell>
          <cell r="AS296">
            <v>46113</v>
          </cell>
          <cell r="AT296">
            <v>46114</v>
          </cell>
          <cell r="AU296">
            <v>46114</v>
          </cell>
          <cell r="AV296">
            <v>46114</v>
          </cell>
          <cell r="AW296">
            <v>46114</v>
          </cell>
          <cell r="AX296">
            <v>46114</v>
          </cell>
          <cell r="AY296">
            <v>46114</v>
          </cell>
          <cell r="AZ296">
            <v>46114</v>
          </cell>
          <cell r="BA296">
            <v>46119</v>
          </cell>
          <cell r="BB296">
            <v>46114</v>
          </cell>
          <cell r="BC296">
            <v>46114</v>
          </cell>
          <cell r="BD296">
            <v>46118</v>
          </cell>
          <cell r="BE296">
            <v>46118</v>
          </cell>
          <cell r="BF296">
            <v>46120</v>
          </cell>
          <cell r="BG296">
            <v>46129</v>
          </cell>
          <cell r="BH296">
            <v>46129</v>
          </cell>
          <cell r="BQ296"/>
          <cell r="BS296"/>
          <cell r="CE296" t="str">
            <v>NÃO</v>
          </cell>
          <cell r="CI296" t="str">
            <v/>
          </cell>
        </row>
        <row r="297">
          <cell r="A297"/>
          <cell r="B297" t="str">
            <v>007/2026</v>
          </cell>
          <cell r="E297" t="str">
            <v>LEISIANE</v>
          </cell>
          <cell r="F297" t="str">
            <v>DELIVERED</v>
          </cell>
          <cell r="G297" t="str">
            <v>COURIER</v>
          </cell>
          <cell r="J297">
            <v>46065</v>
          </cell>
          <cell r="L297">
            <v>46104</v>
          </cell>
          <cell r="O297">
            <v>46084</v>
          </cell>
          <cell r="P297">
            <v>5374260356</v>
          </cell>
          <cell r="R297" t="str">
            <v>SBR2600007</v>
          </cell>
          <cell r="AD297">
            <v>46069</v>
          </cell>
          <cell r="AJ297"/>
          <cell r="AR297">
            <v>46076</v>
          </cell>
          <cell r="BQ297"/>
          <cell r="BS297"/>
          <cell r="CE297" t="str">
            <v>NÃO</v>
          </cell>
        </row>
        <row r="298">
          <cell r="A298"/>
          <cell r="B298" t="str">
            <v>068G/2025</v>
          </cell>
          <cell r="E298" t="str">
            <v>LEISIANE</v>
          </cell>
          <cell r="F298" t="str">
            <v>DELIVERED</v>
          </cell>
          <cell r="G298" t="str">
            <v>SEA</v>
          </cell>
          <cell r="J298">
            <v>46054</v>
          </cell>
          <cell r="L298">
            <v>46112</v>
          </cell>
          <cell r="O298">
            <v>46130</v>
          </cell>
          <cell r="P298" t="str">
            <v>SDBLBS586317</v>
          </cell>
          <cell r="R298" t="str">
            <v>PWBR250062-30G</v>
          </cell>
          <cell r="T298" t="str">
            <v>SZLU7016803; SZLU7018555</v>
          </cell>
          <cell r="U298">
            <v>2</v>
          </cell>
          <cell r="AD298">
            <v>46114</v>
          </cell>
          <cell r="AE298">
            <v>46114</v>
          </cell>
          <cell r="AJ298">
            <v>194571.17</v>
          </cell>
          <cell r="AK298">
            <v>46073</v>
          </cell>
          <cell r="AL298">
            <v>46080</v>
          </cell>
          <cell r="AM298">
            <v>46085</v>
          </cell>
          <cell r="AN298">
            <v>46086</v>
          </cell>
          <cell r="AO298">
            <v>46098</v>
          </cell>
          <cell r="AP298">
            <v>46084</v>
          </cell>
          <cell r="AQ298">
            <v>46085</v>
          </cell>
          <cell r="AR298">
            <v>46113</v>
          </cell>
          <cell r="AS298">
            <v>46093</v>
          </cell>
          <cell r="AT298">
            <v>46114</v>
          </cell>
          <cell r="AU298">
            <v>46114</v>
          </cell>
          <cell r="AV298">
            <v>46114</v>
          </cell>
          <cell r="AW298">
            <v>46114</v>
          </cell>
          <cell r="AX298">
            <v>46118</v>
          </cell>
          <cell r="AY298">
            <v>46118</v>
          </cell>
          <cell r="AZ298">
            <v>46118</v>
          </cell>
          <cell r="BA298">
            <v>46120</v>
          </cell>
          <cell r="BB298">
            <v>46121</v>
          </cell>
          <cell r="BC298">
            <v>46128</v>
          </cell>
          <cell r="BD298">
            <v>46121</v>
          </cell>
          <cell r="BE298">
            <v>46128</v>
          </cell>
          <cell r="BF298">
            <v>46128</v>
          </cell>
          <cell r="BG298"/>
          <cell r="BQ298">
            <v>1636.58</v>
          </cell>
          <cell r="BR298">
            <v>46129</v>
          </cell>
          <cell r="BS298">
            <v>17076.47</v>
          </cell>
          <cell r="BT298">
            <v>46167</v>
          </cell>
          <cell r="CE298" t="str">
            <v>NÃO</v>
          </cell>
          <cell r="CI298">
            <v>46130</v>
          </cell>
        </row>
        <row r="299">
          <cell r="A299"/>
          <cell r="B299" t="str">
            <v>002A/2026</v>
          </cell>
          <cell r="E299" t="str">
            <v>LEISIANE</v>
          </cell>
          <cell r="F299" t="str">
            <v>DELIVERED</v>
          </cell>
          <cell r="G299" t="str">
            <v>SEA</v>
          </cell>
          <cell r="J299">
            <v>46054</v>
          </cell>
          <cell r="L299">
            <v>46112</v>
          </cell>
          <cell r="O299">
            <v>46129</v>
          </cell>
          <cell r="P299" t="str">
            <v>SDBLBS586145</v>
          </cell>
          <cell r="R299" t="str">
            <v>PWBR260008-30A</v>
          </cell>
          <cell r="T299" t="str">
            <v>CGMU5455155; SZLU9013423</v>
          </cell>
          <cell r="U299">
            <v>2</v>
          </cell>
          <cell r="AD299">
            <v>46118</v>
          </cell>
          <cell r="AE299">
            <v>46118</v>
          </cell>
          <cell r="AJ299">
            <v>73681.570000000007</v>
          </cell>
          <cell r="AK299">
            <v>46069</v>
          </cell>
          <cell r="AL299">
            <v>46070</v>
          </cell>
          <cell r="AM299">
            <v>46076</v>
          </cell>
          <cell r="AN299">
            <v>46076</v>
          </cell>
          <cell r="AO299">
            <v>46078</v>
          </cell>
          <cell r="AP299">
            <v>46079</v>
          </cell>
          <cell r="AQ299">
            <v>46079</v>
          </cell>
          <cell r="AR299">
            <v>46118</v>
          </cell>
          <cell r="AS299">
            <v>46118</v>
          </cell>
          <cell r="AT299">
            <v>46118</v>
          </cell>
          <cell r="AU299">
            <v>46122</v>
          </cell>
          <cell r="AY299">
            <v>46118</v>
          </cell>
          <cell r="AZ299">
            <v>46122</v>
          </cell>
          <cell r="BA299">
            <v>46126</v>
          </cell>
          <cell r="BB299">
            <v>46126</v>
          </cell>
          <cell r="BC299">
            <v>46122</v>
          </cell>
          <cell r="BD299">
            <v>46126</v>
          </cell>
          <cell r="BE299">
            <v>46126</v>
          </cell>
          <cell r="BF299">
            <v>46126</v>
          </cell>
          <cell r="BG299">
            <v>46128</v>
          </cell>
          <cell r="BH299">
            <v>46128</v>
          </cell>
          <cell r="BQ299">
            <v>1636.58</v>
          </cell>
          <cell r="BR299">
            <v>46128</v>
          </cell>
          <cell r="BS299">
            <v>11361.83</v>
          </cell>
          <cell r="BT299">
            <v>46167</v>
          </cell>
          <cell r="CE299" t="str">
            <v>NÃO</v>
          </cell>
          <cell r="CI299">
            <v>46130</v>
          </cell>
        </row>
        <row r="300">
          <cell r="A300" t="str">
            <v>JAN_2026</v>
          </cell>
          <cell r="B300" t="str">
            <v>002B/2026</v>
          </cell>
          <cell r="E300" t="str">
            <v>LEISIANE</v>
          </cell>
          <cell r="F300" t="str">
            <v>DELIVERED</v>
          </cell>
          <cell r="G300" t="str">
            <v>SEA</v>
          </cell>
          <cell r="J300">
            <v>46054</v>
          </cell>
          <cell r="L300">
            <v>46112</v>
          </cell>
          <cell r="O300">
            <v>46135</v>
          </cell>
          <cell r="P300" t="str">
            <v>SDBLBS586148</v>
          </cell>
          <cell r="R300" t="str">
            <v>PWBR260008-30B</v>
          </cell>
          <cell r="T300" t="str">
            <v>CGMU5321217</v>
          </cell>
          <cell r="U300">
            <v>0.5</v>
          </cell>
          <cell r="AD300">
            <v>46126</v>
          </cell>
          <cell r="AE300">
            <v>46127</v>
          </cell>
          <cell r="AJ300">
            <v>203372.67</v>
          </cell>
          <cell r="AK300">
            <v>46085</v>
          </cell>
          <cell r="AL300">
            <v>46092</v>
          </cell>
          <cell r="AM300">
            <v>46099</v>
          </cell>
          <cell r="AN300">
            <v>46118</v>
          </cell>
          <cell r="AO300">
            <v>46122</v>
          </cell>
          <cell r="AP300">
            <v>46122</v>
          </cell>
          <cell r="AQ300">
            <v>46126</v>
          </cell>
          <cell r="AR300">
            <v>46120</v>
          </cell>
          <cell r="AS300">
            <v>46126</v>
          </cell>
          <cell r="AT300">
            <v>46126</v>
          </cell>
          <cell r="AU300">
            <v>46129</v>
          </cell>
          <cell r="AY300">
            <v>46126</v>
          </cell>
          <cell r="AZ300">
            <v>46129</v>
          </cell>
          <cell r="BA300">
            <v>46132</v>
          </cell>
          <cell r="BB300">
            <v>46132</v>
          </cell>
          <cell r="BC300">
            <v>46132</v>
          </cell>
          <cell r="BD300">
            <v>46132</v>
          </cell>
          <cell r="BE300">
            <v>46132</v>
          </cell>
          <cell r="BF300">
            <v>46132</v>
          </cell>
          <cell r="BG300">
            <v>46135</v>
          </cell>
          <cell r="BH300">
            <v>46135</v>
          </cell>
          <cell r="BQ300">
            <v>409.14499999999998</v>
          </cell>
          <cell r="BR300">
            <v>46128</v>
          </cell>
          <cell r="BS300">
            <v>8576.35</v>
          </cell>
          <cell r="BT300">
            <v>46167</v>
          </cell>
          <cell r="CE300" t="str">
            <v>NÃO</v>
          </cell>
          <cell r="CI300">
            <v>46130</v>
          </cell>
        </row>
        <row r="301">
          <cell r="A301"/>
          <cell r="B301" t="str">
            <v>002C/2026</v>
          </cell>
          <cell r="E301" t="str">
            <v>LEISIANE</v>
          </cell>
          <cell r="F301" t="str">
            <v>DELIVERED</v>
          </cell>
          <cell r="G301" t="str">
            <v>SEA</v>
          </cell>
          <cell r="J301">
            <v>46054</v>
          </cell>
          <cell r="L301">
            <v>46112</v>
          </cell>
          <cell r="O301">
            <v>46135</v>
          </cell>
          <cell r="P301" t="str">
            <v>SDBLBS586149</v>
          </cell>
          <cell r="R301" t="str">
            <v>PWBR260008-30C</v>
          </cell>
          <cell r="T301" t="str">
            <v>CGMU5321217</v>
          </cell>
          <cell r="U301">
            <v>0.5</v>
          </cell>
          <cell r="AD301">
            <v>46127</v>
          </cell>
          <cell r="AE301">
            <v>46127</v>
          </cell>
          <cell r="AJ301">
            <v>17202.53</v>
          </cell>
          <cell r="AK301">
            <v>46076</v>
          </cell>
          <cell r="AL301">
            <v>46078</v>
          </cell>
          <cell r="AM301">
            <v>46111</v>
          </cell>
          <cell r="AN301">
            <v>46118</v>
          </cell>
          <cell r="AO301">
            <v>46126</v>
          </cell>
          <cell r="AP301">
            <v>46126</v>
          </cell>
          <cell r="AQ301">
            <v>46127</v>
          </cell>
          <cell r="AR301">
            <v>46120</v>
          </cell>
          <cell r="AS301">
            <v>46127</v>
          </cell>
          <cell r="AT301">
            <v>46128</v>
          </cell>
          <cell r="AU301">
            <v>46129</v>
          </cell>
          <cell r="AY301">
            <v>46128</v>
          </cell>
          <cell r="AZ301">
            <v>46129</v>
          </cell>
          <cell r="BA301">
            <v>46132</v>
          </cell>
          <cell r="BB301">
            <v>46132</v>
          </cell>
          <cell r="BC301">
            <v>46132</v>
          </cell>
          <cell r="BD301">
            <v>46132</v>
          </cell>
          <cell r="BE301">
            <v>46134</v>
          </cell>
          <cell r="BF301">
            <v>46134</v>
          </cell>
          <cell r="BG301">
            <v>46135</v>
          </cell>
          <cell r="BH301">
            <v>46135</v>
          </cell>
          <cell r="BQ301">
            <v>409.14499999999998</v>
          </cell>
          <cell r="BR301">
            <v>46128</v>
          </cell>
          <cell r="BS301">
            <v>8576.35</v>
          </cell>
          <cell r="BT301">
            <v>46167</v>
          </cell>
          <cell r="CE301" t="str">
            <v>NÃO</v>
          </cell>
          <cell r="CI301">
            <v>46130</v>
          </cell>
        </row>
        <row r="302">
          <cell r="A302"/>
          <cell r="B302" t="str">
            <v>Z-009/2026</v>
          </cell>
          <cell r="E302" t="str">
            <v>RENATO</v>
          </cell>
          <cell r="F302" t="str">
            <v>DELIVERED</v>
          </cell>
          <cell r="G302" t="str">
            <v>AIR</v>
          </cell>
          <cell r="J302">
            <v>46117</v>
          </cell>
          <cell r="L302">
            <v>46119</v>
          </cell>
          <cell r="O302">
            <v>46129</v>
          </cell>
          <cell r="P302" t="str">
            <v>DTW260402FOR</v>
          </cell>
          <cell r="R302" t="str">
            <v>PWBR260073-10</v>
          </cell>
          <cell r="AD302">
            <v>46126</v>
          </cell>
          <cell r="AJ302">
            <v>12251.28</v>
          </cell>
          <cell r="AK302">
            <v>46209</v>
          </cell>
          <cell r="AL302">
            <v>46210</v>
          </cell>
          <cell r="AM302">
            <v>46120</v>
          </cell>
          <cell r="AN302">
            <v>46120</v>
          </cell>
          <cell r="AO302">
            <v>46121</v>
          </cell>
          <cell r="AP302">
            <v>46121</v>
          </cell>
          <cell r="AQ302">
            <v>46122</v>
          </cell>
          <cell r="AR302">
            <v>46119</v>
          </cell>
          <cell r="AS302">
            <v>46122</v>
          </cell>
          <cell r="AT302">
            <v>46126</v>
          </cell>
          <cell r="AU302">
            <v>46126</v>
          </cell>
          <cell r="AY302">
            <v>46126</v>
          </cell>
          <cell r="AZ302">
            <v>46126</v>
          </cell>
          <cell r="BA302">
            <v>46127</v>
          </cell>
          <cell r="BB302">
            <v>46127</v>
          </cell>
          <cell r="BC302">
            <v>46126</v>
          </cell>
          <cell r="BD302">
            <v>46128</v>
          </cell>
          <cell r="BE302">
            <v>46128</v>
          </cell>
          <cell r="BF302">
            <v>46128</v>
          </cell>
          <cell r="BG302">
            <v>46129</v>
          </cell>
          <cell r="BH302">
            <v>46129</v>
          </cell>
          <cell r="BQ302"/>
          <cell r="BS302"/>
          <cell r="CE302" t="str">
            <v>NÃO</v>
          </cell>
          <cell r="CI302" t="str">
            <v/>
          </cell>
        </row>
        <row r="303">
          <cell r="A303"/>
          <cell r="B303" t="str">
            <v>Z-003A/2026</v>
          </cell>
          <cell r="E303" t="str">
            <v>RENATO</v>
          </cell>
          <cell r="F303" t="str">
            <v>DELIVERED</v>
          </cell>
          <cell r="G303" t="str">
            <v>SEA</v>
          </cell>
          <cell r="J303">
            <v>46065</v>
          </cell>
          <cell r="L303">
            <v>46126</v>
          </cell>
          <cell r="O303">
            <v>46135</v>
          </cell>
          <cell r="P303" t="str">
            <v>SDBLBS589543</v>
          </cell>
          <cell r="R303" t="str">
            <v>PWBR250226A</v>
          </cell>
          <cell r="T303" t="str">
            <v>OTPU685288/ SZLU918615/ SZLU965593</v>
          </cell>
          <cell r="U303">
            <v>3</v>
          </cell>
          <cell r="AD303">
            <v>46127</v>
          </cell>
          <cell r="AE303">
            <v>46127</v>
          </cell>
          <cell r="AJ303">
            <v>5571587.1100000003</v>
          </cell>
          <cell r="AK303">
            <v>46084</v>
          </cell>
          <cell r="AL303">
            <v>46092</v>
          </cell>
          <cell r="AM303">
            <v>46119</v>
          </cell>
          <cell r="AN303">
            <v>46119</v>
          </cell>
          <cell r="AO303">
            <v>46120</v>
          </cell>
          <cell r="AP303">
            <v>46126</v>
          </cell>
          <cell r="AQ303">
            <v>46127</v>
          </cell>
          <cell r="AR303">
            <v>46127</v>
          </cell>
          <cell r="AS303">
            <v>46127</v>
          </cell>
          <cell r="AT303">
            <v>46128</v>
          </cell>
          <cell r="AU303">
            <v>46129</v>
          </cell>
          <cell r="AY303">
            <v>46128</v>
          </cell>
          <cell r="AZ303">
            <v>46129</v>
          </cell>
          <cell r="BA303">
            <v>46132</v>
          </cell>
          <cell r="BB303">
            <v>46132</v>
          </cell>
          <cell r="BC303">
            <v>46132</v>
          </cell>
          <cell r="BD303">
            <v>46132</v>
          </cell>
          <cell r="BE303">
            <v>46132</v>
          </cell>
          <cell r="BF303">
            <v>46132</v>
          </cell>
          <cell r="BG303">
            <v>46135</v>
          </cell>
          <cell r="BH303">
            <v>46135</v>
          </cell>
          <cell r="BQ303"/>
          <cell r="CE303" t="str">
            <v>NÃO</v>
          </cell>
          <cell r="CI303">
            <v>46144</v>
          </cell>
        </row>
        <row r="304">
          <cell r="A304"/>
          <cell r="B304" t="str">
            <v>NH-001/2026</v>
          </cell>
          <cell r="E304" t="str">
            <v>RENATO</v>
          </cell>
          <cell r="F304" t="str">
            <v>DELIVERED</v>
          </cell>
          <cell r="G304" t="str">
            <v>SEA</v>
          </cell>
          <cell r="J304">
            <v>46076</v>
          </cell>
          <cell r="L304">
            <v>46126</v>
          </cell>
          <cell r="O304">
            <v>46141</v>
          </cell>
          <cell r="P304" t="str">
            <v>SDBLBS589831</v>
          </cell>
          <cell r="R304" t="str">
            <v>PW2026020</v>
          </cell>
          <cell r="T304" t="str">
            <v>TGBU783797/ TGBU783633</v>
          </cell>
          <cell r="U304">
            <v>2</v>
          </cell>
          <cell r="AD304">
            <v>46135</v>
          </cell>
          <cell r="AE304">
            <v>46135</v>
          </cell>
          <cell r="AJ304">
            <v>468206.36</v>
          </cell>
          <cell r="AK304">
            <v>46085</v>
          </cell>
          <cell r="AL304">
            <v>46126</v>
          </cell>
          <cell r="AM304">
            <v>46126</v>
          </cell>
          <cell r="AN304">
            <v>46126</v>
          </cell>
          <cell r="AO304">
            <v>46127</v>
          </cell>
          <cell r="AP304">
            <v>46127</v>
          </cell>
          <cell r="AQ304">
            <v>46127</v>
          </cell>
          <cell r="AR304">
            <v>46127</v>
          </cell>
          <cell r="AS304">
            <v>46135</v>
          </cell>
          <cell r="AT304">
            <v>46136</v>
          </cell>
          <cell r="AU304">
            <v>46136</v>
          </cell>
          <cell r="AV304">
            <v>46135</v>
          </cell>
          <cell r="AW304">
            <v>46136</v>
          </cell>
          <cell r="AX304">
            <v>46136</v>
          </cell>
          <cell r="AY304">
            <v>46136</v>
          </cell>
          <cell r="AZ304">
            <v>46136</v>
          </cell>
          <cell r="BA304">
            <v>46139</v>
          </cell>
          <cell r="BB304">
            <v>46139</v>
          </cell>
          <cell r="BC304">
            <v>46139</v>
          </cell>
          <cell r="BD304">
            <v>46139</v>
          </cell>
          <cell r="BE304">
            <v>46139</v>
          </cell>
          <cell r="BF304">
            <v>46139</v>
          </cell>
          <cell r="BG304">
            <v>46140</v>
          </cell>
          <cell r="BH304">
            <v>46140</v>
          </cell>
          <cell r="BQ304">
            <v>1636.58</v>
          </cell>
          <cell r="BR304">
            <v>46140</v>
          </cell>
          <cell r="CE304" t="str">
            <v>NÃO</v>
          </cell>
          <cell r="CI304">
            <v>46144</v>
          </cell>
        </row>
        <row r="305">
          <cell r="A305"/>
          <cell r="B305" t="str">
            <v>003A/2026</v>
          </cell>
          <cell r="E305" t="str">
            <v>LEISIANE</v>
          </cell>
          <cell r="F305" t="str">
            <v>DELIVERED</v>
          </cell>
          <cell r="G305" t="str">
            <v>SEA</v>
          </cell>
          <cell r="J305">
            <v>46078</v>
          </cell>
          <cell r="L305">
            <v>46133</v>
          </cell>
          <cell r="O305">
            <v>46142</v>
          </cell>
          <cell r="P305" t="str">
            <v>SDBLBS589838</v>
          </cell>
          <cell r="R305" t="str">
            <v>PWBR260020-10A</v>
          </cell>
          <cell r="T305" t="str">
            <v>BMOU980249; CGMU535628; CGMU703248</v>
          </cell>
          <cell r="U305">
            <v>3</v>
          </cell>
          <cell r="AD305">
            <v>46136</v>
          </cell>
          <cell r="AE305">
            <v>46136</v>
          </cell>
          <cell r="AK305">
            <v>46120</v>
          </cell>
          <cell r="AL305">
            <v>46121</v>
          </cell>
          <cell r="AM305">
            <v>46126</v>
          </cell>
          <cell r="AN305">
            <v>46126</v>
          </cell>
          <cell r="AO305">
            <v>46128</v>
          </cell>
          <cell r="AP305">
            <v>46128</v>
          </cell>
          <cell r="AQ305">
            <v>46129</v>
          </cell>
          <cell r="AR305">
            <v>46134</v>
          </cell>
          <cell r="AS305">
            <v>46136</v>
          </cell>
          <cell r="AT305">
            <v>46136</v>
          </cell>
          <cell r="AU305">
            <v>46136</v>
          </cell>
          <cell r="AY305">
            <v>46136</v>
          </cell>
          <cell r="AZ305">
            <v>46136</v>
          </cell>
          <cell r="BA305">
            <v>46139</v>
          </cell>
          <cell r="BB305">
            <v>46139</v>
          </cell>
          <cell r="BC305">
            <v>46139</v>
          </cell>
          <cell r="BD305">
            <v>46139</v>
          </cell>
          <cell r="BE305">
            <v>46141</v>
          </cell>
          <cell r="BF305">
            <v>46141</v>
          </cell>
          <cell r="BG305">
            <v>46141</v>
          </cell>
          <cell r="BH305">
            <v>46141</v>
          </cell>
          <cell r="BQ305"/>
          <cell r="CE305" t="str">
            <v>NÃO</v>
          </cell>
          <cell r="CI305">
            <v>46151</v>
          </cell>
        </row>
        <row r="306">
          <cell r="A306"/>
          <cell r="B306" t="str">
            <v>003C/2026</v>
          </cell>
          <cell r="E306" t="str">
            <v>LEISIANE</v>
          </cell>
          <cell r="F306" t="str">
            <v>DELIVERED</v>
          </cell>
          <cell r="G306" t="str">
            <v>SEA</v>
          </cell>
          <cell r="J306">
            <v>46078</v>
          </cell>
          <cell r="L306">
            <v>46133</v>
          </cell>
          <cell r="O306">
            <v>46141</v>
          </cell>
          <cell r="P306" t="str">
            <v>SDBLBS589841</v>
          </cell>
          <cell r="R306" t="str">
            <v>PWBR260020-10C</v>
          </cell>
          <cell r="T306" t="str">
            <v>AMCU938424; BMOU989742; SEKU943375</v>
          </cell>
          <cell r="U306">
            <v>3</v>
          </cell>
          <cell r="AD306">
            <v>46135</v>
          </cell>
          <cell r="AE306">
            <v>46135</v>
          </cell>
          <cell r="AJ306">
            <v>2391870.25</v>
          </cell>
          <cell r="AK306">
            <v>46120</v>
          </cell>
          <cell r="AL306">
            <v>46120</v>
          </cell>
          <cell r="AM306">
            <v>46122</v>
          </cell>
          <cell r="AN306">
            <v>46126</v>
          </cell>
          <cell r="AO306">
            <v>46129</v>
          </cell>
          <cell r="AP306">
            <v>46129</v>
          </cell>
          <cell r="AQ306">
            <v>46130</v>
          </cell>
          <cell r="AR306">
            <v>46134</v>
          </cell>
          <cell r="AS306">
            <v>46134</v>
          </cell>
          <cell r="AT306">
            <v>46135</v>
          </cell>
          <cell r="AU306">
            <v>46136</v>
          </cell>
          <cell r="AV306">
            <v>46135</v>
          </cell>
          <cell r="AW306">
            <v>46135</v>
          </cell>
          <cell r="AX306">
            <v>46136</v>
          </cell>
          <cell r="AY306">
            <v>46135</v>
          </cell>
          <cell r="AZ306">
            <v>46135</v>
          </cell>
          <cell r="BA306">
            <v>46136</v>
          </cell>
          <cell r="BB306">
            <v>46136</v>
          </cell>
          <cell r="BC306">
            <v>46136</v>
          </cell>
          <cell r="BD306">
            <v>46136</v>
          </cell>
          <cell r="BE306">
            <v>46139</v>
          </cell>
          <cell r="BF306">
            <v>46139</v>
          </cell>
          <cell r="BG306">
            <v>46140</v>
          </cell>
          <cell r="BH306">
            <v>46140</v>
          </cell>
          <cell r="BQ306"/>
          <cell r="CE306" t="str">
            <v>NÃO</v>
          </cell>
          <cell r="CI306">
            <v>46151</v>
          </cell>
        </row>
        <row r="307">
          <cell r="A307"/>
          <cell r="B307" t="str">
            <v>Z-003B/2026</v>
          </cell>
          <cell r="E307" t="str">
            <v>RENATO</v>
          </cell>
          <cell r="F307" t="str">
            <v>DELIVERED</v>
          </cell>
          <cell r="G307" t="str">
            <v>SEA</v>
          </cell>
          <cell r="J307">
            <v>46087</v>
          </cell>
          <cell r="L307">
            <v>46133</v>
          </cell>
          <cell r="O307">
            <v>46142</v>
          </cell>
          <cell r="P307" t="str">
            <v>SDBLBS589834</v>
          </cell>
          <cell r="R307" t="str">
            <v>PWBR250226B</v>
          </cell>
          <cell r="T307" t="str">
            <v>CXRU124759/ TTNU824223</v>
          </cell>
          <cell r="U307">
            <v>2</v>
          </cell>
          <cell r="AD307">
            <v>46135</v>
          </cell>
          <cell r="AE307">
            <v>46135</v>
          </cell>
          <cell r="AJ307">
            <v>687959.32</v>
          </cell>
          <cell r="AK307">
            <v>46092</v>
          </cell>
          <cell r="AL307">
            <v>46092</v>
          </cell>
          <cell r="AM307">
            <v>46092</v>
          </cell>
          <cell r="AN307">
            <v>46119</v>
          </cell>
          <cell r="AO307">
            <v>46119</v>
          </cell>
          <cell r="AP307">
            <v>46119</v>
          </cell>
          <cell r="AQ307">
            <v>46126</v>
          </cell>
          <cell r="AR307">
            <v>46134</v>
          </cell>
          <cell r="AS307">
            <v>46134</v>
          </cell>
          <cell r="AT307">
            <v>46135</v>
          </cell>
          <cell r="AU307">
            <v>46135</v>
          </cell>
          <cell r="AY307">
            <v>46135</v>
          </cell>
          <cell r="AZ307">
            <v>46135</v>
          </cell>
          <cell r="BA307">
            <v>46135</v>
          </cell>
          <cell r="BB307">
            <v>46136</v>
          </cell>
          <cell r="BC307">
            <v>46136</v>
          </cell>
          <cell r="BD307">
            <v>46136</v>
          </cell>
          <cell r="BE307">
            <v>46139</v>
          </cell>
          <cell r="BF307">
            <v>46139</v>
          </cell>
          <cell r="BG307">
            <v>46141</v>
          </cell>
          <cell r="BH307">
            <v>46141</v>
          </cell>
          <cell r="BQ307"/>
          <cell r="CE307" t="str">
            <v>NÃO</v>
          </cell>
          <cell r="CI307">
            <v>46151</v>
          </cell>
        </row>
        <row r="308">
          <cell r="A308"/>
          <cell r="B308" t="str">
            <v>003B/2026</v>
          </cell>
          <cell r="E308" t="str">
            <v>LEISIANE</v>
          </cell>
          <cell r="F308" t="str">
            <v>DELIVERED</v>
          </cell>
          <cell r="G308" t="str">
            <v>SEA</v>
          </cell>
          <cell r="J308">
            <v>46078</v>
          </cell>
          <cell r="L308">
            <v>46133</v>
          </cell>
          <cell r="O308">
            <v>46137</v>
          </cell>
          <cell r="P308" t="str">
            <v>SDBLBS589840</v>
          </cell>
          <cell r="R308" t="str">
            <v>PWBR260020-10B</v>
          </cell>
          <cell r="T308" t="str">
            <v>CGMU550611; FBIU581394; TTNU887888</v>
          </cell>
          <cell r="U308">
            <v>3</v>
          </cell>
          <cell r="AD308">
            <v>46134</v>
          </cell>
          <cell r="AE308">
            <v>46134</v>
          </cell>
          <cell r="AJ308">
            <v>935880.14</v>
          </cell>
          <cell r="AK308">
            <v>46118</v>
          </cell>
          <cell r="AL308">
            <v>46119</v>
          </cell>
          <cell r="AM308">
            <v>46128</v>
          </cell>
          <cell r="AN308">
            <v>46129</v>
          </cell>
          <cell r="AO308">
            <v>46132</v>
          </cell>
          <cell r="AP308">
            <v>46132</v>
          </cell>
          <cell r="AQ308">
            <v>46134</v>
          </cell>
          <cell r="AR308">
            <v>46134</v>
          </cell>
          <cell r="AS308">
            <v>46134</v>
          </cell>
          <cell r="AT308">
            <v>46134</v>
          </cell>
          <cell r="AU308">
            <v>46134</v>
          </cell>
          <cell r="AY308">
            <v>46134</v>
          </cell>
          <cell r="AZ308">
            <v>46134</v>
          </cell>
          <cell r="BA308">
            <v>46135</v>
          </cell>
          <cell r="BB308">
            <v>46135</v>
          </cell>
          <cell r="BC308">
            <v>46135</v>
          </cell>
          <cell r="BD308">
            <v>46135</v>
          </cell>
          <cell r="BE308">
            <v>46135</v>
          </cell>
          <cell r="BF308">
            <v>46135</v>
          </cell>
          <cell r="BG308">
            <v>46136</v>
          </cell>
          <cell r="BH308">
            <v>46137</v>
          </cell>
          <cell r="BQ308"/>
          <cell r="CE308" t="str">
            <v>NÃO</v>
          </cell>
          <cell r="CI308">
            <v>46151</v>
          </cell>
        </row>
        <row r="309">
          <cell r="A309"/>
          <cell r="B309" t="str">
            <v>001A/2026</v>
          </cell>
          <cell r="E309" t="str">
            <v>LEISIANE</v>
          </cell>
          <cell r="F309" t="str">
            <v>DELIVERED</v>
          </cell>
          <cell r="G309" t="str">
            <v>SEA</v>
          </cell>
          <cell r="J309">
            <v>46059</v>
          </cell>
          <cell r="L309">
            <v>46138</v>
          </cell>
          <cell r="O309">
            <v>46151</v>
          </cell>
          <cell r="P309" t="str">
            <v>SYNHGH26SE020287</v>
          </cell>
          <cell r="R309" t="str">
            <v>PWBR250168-30A</v>
          </cell>
          <cell r="T309" t="str">
            <v>MSMU8919206</v>
          </cell>
          <cell r="U309">
            <v>0.5</v>
          </cell>
          <cell r="AD309">
            <v>46141</v>
          </cell>
          <cell r="AE309">
            <v>46141</v>
          </cell>
          <cell r="AJ309">
            <v>174486.98</v>
          </cell>
          <cell r="AK309">
            <v>46069</v>
          </cell>
          <cell r="AL309">
            <v>46070</v>
          </cell>
          <cell r="AM309">
            <v>46073</v>
          </cell>
          <cell r="AN309">
            <v>46076</v>
          </cell>
          <cell r="AO309">
            <v>46076</v>
          </cell>
          <cell r="AP309">
            <v>46076</v>
          </cell>
          <cell r="AQ309">
            <v>46076</v>
          </cell>
          <cell r="AR309">
            <v>46141</v>
          </cell>
          <cell r="AS309">
            <v>46141</v>
          </cell>
          <cell r="AT309">
            <v>46142</v>
          </cell>
          <cell r="AU309">
            <v>46148</v>
          </cell>
          <cell r="AY309">
            <v>46142</v>
          </cell>
          <cell r="AZ309">
            <v>46142</v>
          </cell>
          <cell r="BA309">
            <v>46146</v>
          </cell>
          <cell r="BB309">
            <v>46146</v>
          </cell>
          <cell r="BC309">
            <v>46148</v>
          </cell>
          <cell r="BD309">
            <v>46146</v>
          </cell>
          <cell r="BE309">
            <v>46148</v>
          </cell>
          <cell r="BF309">
            <v>46148</v>
          </cell>
          <cell r="BG309">
            <v>46150</v>
          </cell>
          <cell r="BH309">
            <v>46150</v>
          </cell>
          <cell r="BQ309">
            <v>409.14499999999998</v>
          </cell>
          <cell r="BR309">
            <v>46149</v>
          </cell>
          <cell r="CE309" t="str">
            <v>NÃO</v>
          </cell>
          <cell r="CI309">
            <v>46156</v>
          </cell>
          <cell r="DW309" t="str">
            <v>DELAY AT POST-REGISTRATION VALIDATION</v>
          </cell>
        </row>
        <row r="310">
          <cell r="A310"/>
          <cell r="B310" t="str">
            <v>001B/2026</v>
          </cell>
          <cell r="E310" t="str">
            <v>LEISIANE</v>
          </cell>
          <cell r="F310" t="str">
            <v>DELIVERED</v>
          </cell>
          <cell r="G310" t="str">
            <v>SEA</v>
          </cell>
          <cell r="J310">
            <v>46059</v>
          </cell>
          <cell r="L310">
            <v>46138</v>
          </cell>
          <cell r="O310">
            <v>46151</v>
          </cell>
          <cell r="P310" t="str">
            <v>SYNHGH26SE02028701</v>
          </cell>
          <cell r="R310" t="str">
            <v>PWBR250168-30B</v>
          </cell>
          <cell r="T310" t="str">
            <v>MSMU8919206</v>
          </cell>
          <cell r="U310">
            <v>0.5</v>
          </cell>
          <cell r="AD310">
            <v>46141</v>
          </cell>
          <cell r="AE310">
            <v>46141</v>
          </cell>
          <cell r="AJ310">
            <v>649.11</v>
          </cell>
          <cell r="AK310">
            <v>46069</v>
          </cell>
          <cell r="AL310">
            <v>46070</v>
          </cell>
          <cell r="AM310">
            <v>46073</v>
          </cell>
          <cell r="AN310">
            <v>46076</v>
          </cell>
          <cell r="AO310">
            <v>46076</v>
          </cell>
          <cell r="AP310">
            <v>46076</v>
          </cell>
          <cell r="AQ310">
            <v>46076</v>
          </cell>
          <cell r="AR310">
            <v>46141</v>
          </cell>
          <cell r="AS310">
            <v>46141</v>
          </cell>
          <cell r="AT310">
            <v>46142</v>
          </cell>
          <cell r="AU310">
            <v>46148</v>
          </cell>
          <cell r="AY310">
            <v>46142</v>
          </cell>
          <cell r="AZ310">
            <v>46142</v>
          </cell>
          <cell r="BA310">
            <v>46146</v>
          </cell>
          <cell r="BB310">
            <v>46146</v>
          </cell>
          <cell r="BC310">
            <v>46148</v>
          </cell>
          <cell r="BD310">
            <v>46146</v>
          </cell>
          <cell r="BE310">
            <v>46148</v>
          </cell>
          <cell r="BF310">
            <v>46148</v>
          </cell>
          <cell r="BG310">
            <v>46150</v>
          </cell>
          <cell r="BH310">
            <v>46150</v>
          </cell>
          <cell r="BQ310">
            <v>409.14499999999998</v>
          </cell>
          <cell r="BR310">
            <v>46149</v>
          </cell>
          <cell r="CE310" t="str">
            <v>NÃO</v>
          </cell>
          <cell r="CI310">
            <v>46156</v>
          </cell>
          <cell r="DW310" t="str">
            <v>DELAY AT POST-REGISTRATION VALIDATION</v>
          </cell>
        </row>
        <row r="311">
          <cell r="A311" t="str">
            <v>JUN_2026</v>
          </cell>
          <cell r="B311" t="str">
            <v>003D/2026</v>
          </cell>
          <cell r="E311" t="str">
            <v>LEISIANE</v>
          </cell>
          <cell r="F311" t="str">
            <v>DELIVERED</v>
          </cell>
          <cell r="G311" t="str">
            <v>SEA</v>
          </cell>
          <cell r="J311">
            <v>46094</v>
          </cell>
          <cell r="L311">
            <v>46147</v>
          </cell>
          <cell r="O311">
            <v>46162</v>
          </cell>
          <cell r="P311" t="str">
            <v>SDBLBS593291</v>
          </cell>
          <cell r="R311" t="str">
            <v>Z-003A/2026</v>
          </cell>
          <cell r="T311" t="str">
            <v>CXRU152692/6</v>
          </cell>
          <cell r="U311">
            <v>0.5</v>
          </cell>
          <cell r="AD311">
            <v>46150</v>
          </cell>
          <cell r="AE311">
            <v>46150</v>
          </cell>
          <cell r="AJ311">
            <v>368154.58</v>
          </cell>
          <cell r="AK311">
            <v>46128</v>
          </cell>
          <cell r="AL311">
            <v>46128</v>
          </cell>
          <cell r="AM311">
            <v>46129</v>
          </cell>
          <cell r="AN311">
            <v>46129</v>
          </cell>
          <cell r="AO311">
            <v>46129</v>
          </cell>
          <cell r="AP311">
            <v>46129</v>
          </cell>
          <cell r="AQ311">
            <v>46130</v>
          </cell>
          <cell r="AR311">
            <v>46150</v>
          </cell>
          <cell r="AS311">
            <v>46150</v>
          </cell>
          <cell r="AT311">
            <v>46153</v>
          </cell>
          <cell r="AU311">
            <v>46153</v>
          </cell>
          <cell r="AY311">
            <v>46153</v>
          </cell>
          <cell r="AZ311">
            <v>46153</v>
          </cell>
          <cell r="BA311">
            <v>46154</v>
          </cell>
          <cell r="BB311">
            <v>46154</v>
          </cell>
          <cell r="BC311">
            <v>46154</v>
          </cell>
          <cell r="BD311">
            <v>46154</v>
          </cell>
          <cell r="BE311">
            <v>46154</v>
          </cell>
          <cell r="BF311">
            <v>46154</v>
          </cell>
          <cell r="BG311">
            <v>46156</v>
          </cell>
          <cell r="BH311">
            <v>46162</v>
          </cell>
          <cell r="BQ311">
            <v>409.14499999999998</v>
          </cell>
          <cell r="BR311">
            <v>46160</v>
          </cell>
          <cell r="CE311"/>
          <cell r="DW311" t="str">
            <v>SEFAZ HOMOLOGATION - NF/GLME</v>
          </cell>
        </row>
        <row r="312">
          <cell r="A312"/>
          <cell r="B312" t="str">
            <v>003F/2026</v>
          </cell>
          <cell r="E312" t="str">
            <v>LEISIANE</v>
          </cell>
          <cell r="F312" t="str">
            <v>DELIVERED</v>
          </cell>
          <cell r="G312" t="str">
            <v>SEA</v>
          </cell>
          <cell r="J312">
            <v>46097</v>
          </cell>
          <cell r="L312">
            <v>46147</v>
          </cell>
          <cell r="O312">
            <v>46158</v>
          </cell>
          <cell r="P312" t="str">
            <v>SDBLBS593293</v>
          </cell>
          <cell r="T312" t="str">
            <v>CGMU939742/1;  TEMU988093/6;  TTNU809331/1</v>
          </cell>
          <cell r="U312">
            <v>3</v>
          </cell>
          <cell r="AD312">
            <v>46150</v>
          </cell>
          <cell r="AE312">
            <v>46150</v>
          </cell>
          <cell r="AJ312">
            <v>992396.63</v>
          </cell>
          <cell r="AK312">
            <v>46132</v>
          </cell>
          <cell r="AL312">
            <v>46140</v>
          </cell>
          <cell r="AM312">
            <v>46147</v>
          </cell>
          <cell r="AN312">
            <v>46147</v>
          </cell>
          <cell r="AO312">
            <v>46148</v>
          </cell>
          <cell r="AP312">
            <v>46148</v>
          </cell>
          <cell r="AQ312">
            <v>46150</v>
          </cell>
          <cell r="AR312">
            <v>46150</v>
          </cell>
          <cell r="AS312">
            <v>46150</v>
          </cell>
          <cell r="AT312">
            <v>46153</v>
          </cell>
          <cell r="AU312">
            <v>46153</v>
          </cell>
          <cell r="AY312">
            <v>46153</v>
          </cell>
          <cell r="AZ312">
            <v>46153</v>
          </cell>
          <cell r="BA312">
            <v>46154</v>
          </cell>
          <cell r="BB312">
            <v>46154</v>
          </cell>
          <cell r="BC312">
            <v>46154</v>
          </cell>
          <cell r="BD312">
            <v>46154</v>
          </cell>
          <cell r="BE312">
            <v>46155</v>
          </cell>
          <cell r="BF312">
            <v>46155</v>
          </cell>
          <cell r="BG312">
            <v>46157</v>
          </cell>
          <cell r="BH312">
            <v>46157</v>
          </cell>
          <cell r="BQ312">
            <v>2454.87</v>
          </cell>
          <cell r="BR312">
            <v>46160</v>
          </cell>
          <cell r="CE312"/>
          <cell r="DW312" t="str">
            <v>DELAY AT CARGO PRESENCE AT PORT/AIRPORT</v>
          </cell>
        </row>
        <row r="313">
          <cell r="A313"/>
          <cell r="B313" t="str">
            <v>003H/2026</v>
          </cell>
          <cell r="E313" t="str">
            <v>LEISIANE</v>
          </cell>
          <cell r="F313" t="str">
            <v>DELIVERED</v>
          </cell>
          <cell r="G313" t="str">
            <v>SEA</v>
          </cell>
          <cell r="J313">
            <v>46094</v>
          </cell>
          <cell r="L313">
            <v>46147</v>
          </cell>
          <cell r="O313">
            <v>46162</v>
          </cell>
          <cell r="P313" t="str">
            <v>SDBLBS593296</v>
          </cell>
          <cell r="T313" t="str">
            <v>TTNU837503/8</v>
          </cell>
          <cell r="U313">
            <v>0.5</v>
          </cell>
          <cell r="AD313">
            <v>46153</v>
          </cell>
          <cell r="AE313">
            <v>46153</v>
          </cell>
          <cell r="AJ313">
            <v>847850.75</v>
          </cell>
          <cell r="AK313">
            <v>46132</v>
          </cell>
          <cell r="AL313">
            <v>46140</v>
          </cell>
          <cell r="AM313">
            <v>46147</v>
          </cell>
          <cell r="AN313">
            <v>46147</v>
          </cell>
          <cell r="AO313">
            <v>46148</v>
          </cell>
          <cell r="AP313">
            <v>46148</v>
          </cell>
          <cell r="AQ313">
            <v>46150</v>
          </cell>
          <cell r="AR313">
            <v>46150</v>
          </cell>
          <cell r="AS313">
            <v>46150</v>
          </cell>
          <cell r="AT313">
            <v>46153</v>
          </cell>
          <cell r="AU313">
            <v>46153</v>
          </cell>
          <cell r="AY313">
            <v>46153</v>
          </cell>
          <cell r="AZ313">
            <v>46153</v>
          </cell>
          <cell r="BA313">
            <v>46154</v>
          </cell>
          <cell r="BB313">
            <v>46154</v>
          </cell>
          <cell r="BC313">
            <v>46154</v>
          </cell>
          <cell r="BD313">
            <v>46154</v>
          </cell>
          <cell r="BE313">
            <v>46157</v>
          </cell>
          <cell r="BF313">
            <v>46157</v>
          </cell>
          <cell r="BG313">
            <v>46162</v>
          </cell>
          <cell r="BH313">
            <v>46162</v>
          </cell>
          <cell r="BQ313">
            <v>409.14499999999998</v>
          </cell>
          <cell r="BR313">
            <v>46160</v>
          </cell>
          <cell r="CE313"/>
          <cell r="DW313" t="str">
            <v>SEFAZ HOMOLOGATION - NF/GLME</v>
          </cell>
        </row>
        <row r="314">
          <cell r="A314"/>
          <cell r="B314" t="str">
            <v>Z-006A/2026</v>
          </cell>
          <cell r="E314" t="str">
            <v>CATARINA</v>
          </cell>
          <cell r="F314" t="str">
            <v>DELIVERED</v>
          </cell>
          <cell r="G314" t="str">
            <v>SEA</v>
          </cell>
          <cell r="J314">
            <v>46102</v>
          </cell>
          <cell r="L314">
            <v>46154</v>
          </cell>
          <cell r="O314">
            <v>46165</v>
          </cell>
          <cell r="P314" t="str">
            <v>SDBLBS593283</v>
          </cell>
          <cell r="R314" t="str">
            <v>PWBR260018-20 A</v>
          </cell>
          <cell r="T314" t="str">
            <v>TRHU660536</v>
          </cell>
          <cell r="U314">
            <v>1</v>
          </cell>
          <cell r="AD314">
            <v>46156</v>
          </cell>
          <cell r="AE314">
            <v>46156</v>
          </cell>
          <cell r="AJ314">
            <v>791338.44</v>
          </cell>
          <cell r="AK314">
            <v>46136</v>
          </cell>
          <cell r="AL314">
            <v>46136</v>
          </cell>
          <cell r="AM314">
            <v>46142</v>
          </cell>
          <cell r="AN314">
            <v>46142</v>
          </cell>
          <cell r="AO314">
            <v>46142</v>
          </cell>
          <cell r="AP314">
            <v>46142</v>
          </cell>
          <cell r="AQ314">
            <v>46142</v>
          </cell>
          <cell r="AR314" t="str">
            <v>13/05/2026</v>
          </cell>
          <cell r="AS314">
            <v>46155</v>
          </cell>
          <cell r="AT314" t="str">
            <v>15/05/2026</v>
          </cell>
          <cell r="AU314" t="str">
            <v>15/05/2026</v>
          </cell>
          <cell r="AY314">
            <v>46157</v>
          </cell>
          <cell r="AZ314">
            <v>46157</v>
          </cell>
          <cell r="BA314">
            <v>46160</v>
          </cell>
          <cell r="BB314">
            <v>46161</v>
          </cell>
          <cell r="BC314">
            <v>46161</v>
          </cell>
          <cell r="BD314">
            <v>45796</v>
          </cell>
          <cell r="BE314">
            <v>46162</v>
          </cell>
          <cell r="BF314">
            <v>46162</v>
          </cell>
          <cell r="BG314">
            <v>46164</v>
          </cell>
          <cell r="BH314">
            <v>46164</v>
          </cell>
          <cell r="BQ314">
            <v>1591.8</v>
          </cell>
          <cell r="BR314">
            <v>46164</v>
          </cell>
          <cell r="CE314" t="str">
            <v>NÃO</v>
          </cell>
          <cell r="CI314">
            <v>46172</v>
          </cell>
        </row>
        <row r="315">
          <cell r="A315"/>
          <cell r="B315" t="str">
            <v>Z-006B/2026</v>
          </cell>
          <cell r="E315" t="str">
            <v>CATARINA</v>
          </cell>
          <cell r="F315" t="str">
            <v>DELIVERED</v>
          </cell>
          <cell r="G315" t="str">
            <v>SEA</v>
          </cell>
          <cell r="J315">
            <v>46111</v>
          </cell>
          <cell r="L315">
            <v>46161</v>
          </cell>
          <cell r="O315">
            <v>46169</v>
          </cell>
          <cell r="P315" t="str">
            <v>SDBLBS593279</v>
          </cell>
          <cell r="R315" t="str">
            <v>PWBR260018-20 B</v>
          </cell>
          <cell r="T315" t="str">
            <v>GESU955253/5</v>
          </cell>
          <cell r="U315">
            <v>1</v>
          </cell>
          <cell r="AC315" t="str">
            <v xml:space="preserve"> </v>
          </cell>
          <cell r="AD315">
            <v>46162</v>
          </cell>
          <cell r="AE315">
            <v>46162</v>
          </cell>
          <cell r="AJ315">
            <v>3009439.66</v>
          </cell>
          <cell r="AK315">
            <v>46136</v>
          </cell>
          <cell r="AL315">
            <v>46139</v>
          </cell>
          <cell r="AM315">
            <v>46142</v>
          </cell>
          <cell r="AN315">
            <v>46142</v>
          </cell>
          <cell r="AO315">
            <v>46142</v>
          </cell>
          <cell r="AP315">
            <v>46142</v>
          </cell>
          <cell r="AQ315">
            <v>46142</v>
          </cell>
          <cell r="AR315">
            <v>46162</v>
          </cell>
          <cell r="AS315">
            <v>46162</v>
          </cell>
          <cell r="AT315">
            <v>46162</v>
          </cell>
          <cell r="AU315">
            <v>46163</v>
          </cell>
          <cell r="BA315">
            <v>46168</v>
          </cell>
          <cell r="BB315">
            <v>46168</v>
          </cell>
          <cell r="BC315">
            <v>46168</v>
          </cell>
          <cell r="BD315">
            <v>46163</v>
          </cell>
          <cell r="BE315">
            <v>46164</v>
          </cell>
          <cell r="BF315">
            <v>46164</v>
          </cell>
          <cell r="BG315">
            <v>46168</v>
          </cell>
          <cell r="BH315">
            <v>46168</v>
          </cell>
          <cell r="BQ315"/>
          <cell r="CE315" t="str">
            <v>NÃO</v>
          </cell>
          <cell r="CI315">
            <v>46179</v>
          </cell>
        </row>
        <row r="316">
          <cell r="A316"/>
          <cell r="B316" t="str">
            <v>Z-006C/2026</v>
          </cell>
          <cell r="E316" t="str">
            <v>CATARINA</v>
          </cell>
          <cell r="F316" t="str">
            <v>DELIVERED</v>
          </cell>
          <cell r="G316" t="str">
            <v>SEA</v>
          </cell>
          <cell r="J316">
            <v>46111</v>
          </cell>
          <cell r="L316">
            <v>46161</v>
          </cell>
          <cell r="O316">
            <v>46169</v>
          </cell>
          <cell r="P316" t="str">
            <v>SDBLBS593281</v>
          </cell>
          <cell r="R316" t="str">
            <v>PWBR260018-20 C</v>
          </cell>
          <cell r="T316" t="str">
            <v>CGMU544468/0</v>
          </cell>
          <cell r="U316">
            <v>0.5</v>
          </cell>
          <cell r="AD316">
            <v>46162</v>
          </cell>
          <cell r="AE316">
            <v>46162</v>
          </cell>
          <cell r="AJ316">
            <v>740463.49</v>
          </cell>
          <cell r="AK316">
            <v>46136</v>
          </cell>
          <cell r="AL316">
            <v>46136</v>
          </cell>
          <cell r="AM316">
            <v>46139</v>
          </cell>
          <cell r="AN316">
            <v>46140</v>
          </cell>
          <cell r="AO316">
            <v>46140</v>
          </cell>
          <cell r="AP316">
            <v>46140</v>
          </cell>
          <cell r="AQ316">
            <v>46141</v>
          </cell>
          <cell r="AR316">
            <v>46162</v>
          </cell>
          <cell r="AS316">
            <v>46162</v>
          </cell>
          <cell r="AT316">
            <v>46163</v>
          </cell>
          <cell r="AU316">
            <v>46163</v>
          </cell>
          <cell r="BA316">
            <v>46168</v>
          </cell>
          <cell r="BB316">
            <v>46168</v>
          </cell>
          <cell r="BC316">
            <v>46168</v>
          </cell>
          <cell r="BD316">
            <v>46164</v>
          </cell>
          <cell r="BE316">
            <v>46164</v>
          </cell>
          <cell r="BF316">
            <v>46164</v>
          </cell>
          <cell r="BG316">
            <v>46168</v>
          </cell>
          <cell r="BH316">
            <v>46168</v>
          </cell>
          <cell r="BQ316"/>
          <cell r="CE316" t="str">
            <v>NÃO</v>
          </cell>
          <cell r="CI316">
            <v>46179</v>
          </cell>
        </row>
        <row r="317">
          <cell r="A317"/>
          <cell r="B317" t="str">
            <v>NH-004/2026</v>
          </cell>
          <cell r="E317" t="str">
            <v>CATARINA</v>
          </cell>
          <cell r="F317" t="str">
            <v>DELIVERED</v>
          </cell>
          <cell r="G317" t="str">
            <v>SEA</v>
          </cell>
          <cell r="J317">
            <v>46105</v>
          </cell>
          <cell r="L317">
            <v>46152</v>
          </cell>
          <cell r="O317">
            <v>46163</v>
          </cell>
          <cell r="P317" t="str">
            <v>SDBLBS593289</v>
          </cell>
          <cell r="R317" t="str">
            <v>PW2026004</v>
          </cell>
          <cell r="T317" t="str">
            <v>MSMU631619/0</v>
          </cell>
          <cell r="U317">
            <v>1</v>
          </cell>
          <cell r="AD317">
            <v>46155</v>
          </cell>
          <cell r="AE317">
            <v>46155</v>
          </cell>
          <cell r="AJ317">
            <v>402404.4</v>
          </cell>
          <cell r="AK317">
            <v>46128</v>
          </cell>
          <cell r="AL317">
            <v>46134</v>
          </cell>
          <cell r="AM317">
            <v>46139</v>
          </cell>
          <cell r="AN317">
            <v>46140</v>
          </cell>
          <cell r="AO317">
            <v>46141</v>
          </cell>
          <cell r="AP317">
            <v>46141</v>
          </cell>
          <cell r="AQ317">
            <v>46142</v>
          </cell>
          <cell r="AR317">
            <v>46154</v>
          </cell>
          <cell r="AS317" t="str">
            <v>13/05/2026</v>
          </cell>
          <cell r="AT317" t="str">
            <v>14/05/2026</v>
          </cell>
          <cell r="AU317" t="str">
            <v>14/05/2026</v>
          </cell>
          <cell r="AV317" t="str">
            <v>13/05/2026</v>
          </cell>
          <cell r="AW317" t="str">
            <v>14/05/2026</v>
          </cell>
          <cell r="AX317" t="str">
            <v>14/05/2026</v>
          </cell>
          <cell r="BA317" t="str">
            <v>14/05/2026</v>
          </cell>
          <cell r="BB317" t="str">
            <v>14/05/2026</v>
          </cell>
          <cell r="BC317">
            <v>46157</v>
          </cell>
          <cell r="BD317">
            <v>46156</v>
          </cell>
          <cell r="BE317">
            <v>46160</v>
          </cell>
          <cell r="BF317">
            <v>46160</v>
          </cell>
          <cell r="BG317">
            <v>46162</v>
          </cell>
          <cell r="BH317">
            <v>46163</v>
          </cell>
          <cell r="BQ317">
            <v>818.29</v>
          </cell>
          <cell r="BR317">
            <v>46163</v>
          </cell>
          <cell r="CE317" t="str">
            <v>NÃO</v>
          </cell>
          <cell r="CI317">
            <v>46170</v>
          </cell>
        </row>
        <row r="318">
          <cell r="A318"/>
          <cell r="B318" t="str">
            <v>003E/2026</v>
          </cell>
          <cell r="E318" t="str">
            <v>LEISIANE</v>
          </cell>
          <cell r="F318" t="str">
            <v>DELIVERED</v>
          </cell>
          <cell r="G318" t="str">
            <v>SEA</v>
          </cell>
          <cell r="J318">
            <v>46094</v>
          </cell>
          <cell r="L318">
            <v>46147</v>
          </cell>
          <cell r="O318">
            <v>46161</v>
          </cell>
          <cell r="P318" t="str">
            <v>SDBLBS593295</v>
          </cell>
          <cell r="T318" t="str">
            <v>CGMU527113;  CGMU553254; CGMU574800</v>
          </cell>
          <cell r="U318">
            <v>3</v>
          </cell>
          <cell r="AD318">
            <v>46150</v>
          </cell>
          <cell r="AE318">
            <v>46150</v>
          </cell>
          <cell r="AJ318">
            <v>1118742.06</v>
          </cell>
          <cell r="AK318">
            <v>46134</v>
          </cell>
          <cell r="AL318">
            <v>46134</v>
          </cell>
          <cell r="AM318">
            <v>46139</v>
          </cell>
          <cell r="AN318">
            <v>46139</v>
          </cell>
          <cell r="AO318">
            <v>46142</v>
          </cell>
          <cell r="AP318">
            <v>46142</v>
          </cell>
          <cell r="AQ318">
            <v>46142</v>
          </cell>
          <cell r="AR318">
            <v>46150</v>
          </cell>
          <cell r="AS318">
            <v>46150</v>
          </cell>
          <cell r="AT318">
            <v>46153</v>
          </cell>
          <cell r="AU318">
            <v>46153</v>
          </cell>
          <cell r="AY318">
            <v>46153</v>
          </cell>
          <cell r="AZ318">
            <v>46153</v>
          </cell>
          <cell r="BA318">
            <v>46154</v>
          </cell>
          <cell r="BB318">
            <v>46154</v>
          </cell>
          <cell r="BC318">
            <v>46154</v>
          </cell>
          <cell r="BD318">
            <v>46154</v>
          </cell>
          <cell r="BE318">
            <v>46157</v>
          </cell>
          <cell r="BF318">
            <v>46157</v>
          </cell>
          <cell r="BG318">
            <v>46161</v>
          </cell>
          <cell r="BH318">
            <v>46161</v>
          </cell>
          <cell r="BQ318">
            <v>2454.87</v>
          </cell>
          <cell r="BR318">
            <v>46160</v>
          </cell>
          <cell r="CE318"/>
          <cell r="DW318" t="str">
            <v>SEFAZ HOMOLOGATION - NF/GLME</v>
          </cell>
        </row>
        <row r="319">
          <cell r="A319"/>
          <cell r="B319" t="str">
            <v>003G/2026</v>
          </cell>
          <cell r="E319" t="str">
            <v>LEISIANE</v>
          </cell>
          <cell r="F319" t="str">
            <v>DELIVERED</v>
          </cell>
          <cell r="G319" t="str">
            <v>SEA</v>
          </cell>
          <cell r="J319">
            <v>46094</v>
          </cell>
          <cell r="L319">
            <v>46147</v>
          </cell>
          <cell r="O319">
            <v>46162</v>
          </cell>
          <cell r="P319" t="str">
            <v>SDBLBS593294</v>
          </cell>
          <cell r="T319" t="str">
            <v>SZLU905877/3; TEMU943481/0</v>
          </cell>
          <cell r="U319">
            <v>2</v>
          </cell>
          <cell r="AD319">
            <v>46155</v>
          </cell>
          <cell r="AE319">
            <v>46155</v>
          </cell>
          <cell r="AJ319">
            <v>668304.77</v>
          </cell>
          <cell r="AK319">
            <v>46135</v>
          </cell>
          <cell r="AL319">
            <v>46140</v>
          </cell>
          <cell r="AM319">
            <v>46153</v>
          </cell>
          <cell r="AN319">
            <v>46153</v>
          </cell>
          <cell r="AO319">
            <v>46153</v>
          </cell>
          <cell r="AP319">
            <v>46153</v>
          </cell>
          <cell r="AQ319">
            <v>46154</v>
          </cell>
          <cell r="AR319">
            <v>46150</v>
          </cell>
          <cell r="AS319">
            <v>46154</v>
          </cell>
          <cell r="AT319" t="str">
            <v>14/05/2026</v>
          </cell>
          <cell r="AU319" t="str">
            <v>14/05/2026</v>
          </cell>
          <cell r="BA319" t="str">
            <v>14/05/2026</v>
          </cell>
          <cell r="BB319" t="str">
            <v>14/05/2026</v>
          </cell>
          <cell r="BC319" t="str">
            <v>15/05/2026</v>
          </cell>
          <cell r="BD319">
            <v>46156</v>
          </cell>
          <cell r="BE319" t="str">
            <v>15/05/2026</v>
          </cell>
          <cell r="BF319" t="str">
            <v>15/05/2026</v>
          </cell>
          <cell r="BG319">
            <v>46162</v>
          </cell>
          <cell r="BH319">
            <v>46162</v>
          </cell>
          <cell r="BQ319">
            <v>1636.58</v>
          </cell>
          <cell r="BR319">
            <v>46160</v>
          </cell>
          <cell r="CE319"/>
          <cell r="DW319" t="str">
            <v>SEFAZ HOMOLOGATION - NF/GLME</v>
          </cell>
        </row>
        <row r="320">
          <cell r="A320"/>
          <cell r="B320" t="str">
            <v>003I/2026</v>
          </cell>
          <cell r="E320" t="str">
            <v>LEISIANE</v>
          </cell>
          <cell r="F320" t="str">
            <v>DELIVERED</v>
          </cell>
          <cell r="G320" t="str">
            <v>SEA</v>
          </cell>
          <cell r="J320">
            <v>46094</v>
          </cell>
          <cell r="L320">
            <v>46147</v>
          </cell>
          <cell r="O320">
            <v>46162</v>
          </cell>
          <cell r="P320" t="str">
            <v>SDBLBS593297</v>
          </cell>
          <cell r="T320" t="str">
            <v>TTNU837503/8</v>
          </cell>
          <cell r="U320">
            <v>0.5</v>
          </cell>
          <cell r="AD320">
            <v>46153</v>
          </cell>
          <cell r="AE320">
            <v>46153</v>
          </cell>
          <cell r="AJ320">
            <v>198078.36</v>
          </cell>
          <cell r="AK320">
            <v>46132</v>
          </cell>
          <cell r="AL320">
            <v>46140</v>
          </cell>
          <cell r="AM320">
            <v>46146</v>
          </cell>
          <cell r="AN320">
            <v>46147</v>
          </cell>
          <cell r="AO320">
            <v>46148</v>
          </cell>
          <cell r="AP320">
            <v>46148</v>
          </cell>
          <cell r="AQ320">
            <v>46150</v>
          </cell>
          <cell r="AR320">
            <v>46150</v>
          </cell>
          <cell r="AS320">
            <v>46150</v>
          </cell>
          <cell r="AT320">
            <v>46153</v>
          </cell>
          <cell r="AU320">
            <v>46153</v>
          </cell>
          <cell r="AY320">
            <v>46153</v>
          </cell>
          <cell r="AZ320">
            <v>46153</v>
          </cell>
          <cell r="BA320">
            <v>46155</v>
          </cell>
          <cell r="BB320">
            <v>46155</v>
          </cell>
          <cell r="BC320">
            <v>46155</v>
          </cell>
          <cell r="BD320">
            <v>46155</v>
          </cell>
          <cell r="BE320">
            <v>46155</v>
          </cell>
          <cell r="BF320">
            <v>46155</v>
          </cell>
          <cell r="BG320">
            <v>46156</v>
          </cell>
          <cell r="BH320">
            <v>46162</v>
          </cell>
          <cell r="BQ320">
            <v>409.14499999999998</v>
          </cell>
          <cell r="BR320">
            <v>46160</v>
          </cell>
          <cell r="CE320"/>
          <cell r="DW320" t="str">
            <v>SEFAZ HOMOLOGATION - NF/GLME</v>
          </cell>
        </row>
        <row r="321">
          <cell r="A321"/>
          <cell r="B321" t="str">
            <v>NH-003/2026</v>
          </cell>
          <cell r="E321" t="str">
            <v>CATARINA</v>
          </cell>
          <cell r="F321" t="str">
            <v>DELIVERED</v>
          </cell>
          <cell r="G321" t="str">
            <v>SEA</v>
          </cell>
          <cell r="J321">
            <v>46095</v>
          </cell>
          <cell r="L321">
            <v>46161</v>
          </cell>
          <cell r="O321">
            <v>46169</v>
          </cell>
          <cell r="P321" t="str">
            <v>SDBLBS593280</v>
          </cell>
          <cell r="R321" t="str">
            <v>PW2026003</v>
          </cell>
          <cell r="T321" t="str">
            <v>CGMU544468/0</v>
          </cell>
          <cell r="U321">
            <v>0.5</v>
          </cell>
          <cell r="AD321">
            <v>46162</v>
          </cell>
          <cell r="AE321">
            <v>46162</v>
          </cell>
          <cell r="AJ321">
            <v>21710.86</v>
          </cell>
          <cell r="AK321">
            <v>46128</v>
          </cell>
          <cell r="AL321">
            <v>46134</v>
          </cell>
          <cell r="AM321">
            <v>46136</v>
          </cell>
          <cell r="AN321">
            <v>46136</v>
          </cell>
          <cell r="AO321">
            <v>46136</v>
          </cell>
          <cell r="AP321">
            <v>46139</v>
          </cell>
          <cell r="AQ321">
            <v>46140</v>
          </cell>
          <cell r="AR321">
            <v>46162</v>
          </cell>
          <cell r="AS321">
            <v>46162</v>
          </cell>
          <cell r="AT321">
            <v>46163</v>
          </cell>
          <cell r="AU321">
            <v>46163</v>
          </cell>
          <cell r="BA321">
            <v>46168</v>
          </cell>
          <cell r="BB321">
            <v>46168</v>
          </cell>
          <cell r="BC321">
            <v>46168</v>
          </cell>
          <cell r="BD321">
            <v>46163</v>
          </cell>
          <cell r="BE321">
            <v>46164</v>
          </cell>
          <cell r="BF321">
            <v>46164</v>
          </cell>
          <cell r="BG321">
            <v>46168</v>
          </cell>
          <cell r="BH321">
            <v>46168</v>
          </cell>
          <cell r="BQ321"/>
          <cell r="CE321" t="str">
            <v>NÃO</v>
          </cell>
          <cell r="CI321">
            <v>46179</v>
          </cell>
        </row>
        <row r="322">
          <cell r="A322" t="str">
            <v>MAY_2026</v>
          </cell>
          <cell r="B322" t="str">
            <v>Z-005/2026</v>
          </cell>
          <cell r="E322" t="str">
            <v>CATARINA</v>
          </cell>
          <cell r="F322" t="str">
            <v>DELIVERED</v>
          </cell>
          <cell r="G322" t="str">
            <v>SEA</v>
          </cell>
          <cell r="J322">
            <v>46122</v>
          </cell>
          <cell r="L322">
            <v>46168</v>
          </cell>
          <cell r="O322">
            <v>46183</v>
          </cell>
          <cell r="P322" t="str">
            <v>SDBLBS594994</v>
          </cell>
          <cell r="R322" t="str">
            <v>PWBR260041-10</v>
          </cell>
          <cell r="T322" t="str">
            <v>SEKU906255 / TCLU136541</v>
          </cell>
          <cell r="U322">
            <v>2</v>
          </cell>
          <cell r="AD322">
            <v>46174</v>
          </cell>
          <cell r="AE322">
            <v>46174</v>
          </cell>
          <cell r="AJ322">
            <v>1344756.23</v>
          </cell>
          <cell r="AK322">
            <v>46140</v>
          </cell>
          <cell r="AL322">
            <v>46140</v>
          </cell>
          <cell r="AM322">
            <v>46148</v>
          </cell>
          <cell r="AN322">
            <v>46148</v>
          </cell>
          <cell r="AO322">
            <v>46148</v>
          </cell>
          <cell r="AP322">
            <v>46150</v>
          </cell>
          <cell r="AQ322">
            <v>46150</v>
          </cell>
          <cell r="AR322">
            <v>46170</v>
          </cell>
          <cell r="AS322">
            <v>46174</v>
          </cell>
          <cell r="AT322">
            <v>46174</v>
          </cell>
          <cell r="AU322">
            <v>46175</v>
          </cell>
          <cell r="BA322">
            <v>46181</v>
          </cell>
          <cell r="BB322">
            <v>46181</v>
          </cell>
          <cell r="BC322">
            <v>46181</v>
          </cell>
          <cell r="BD322">
            <v>46175</v>
          </cell>
          <cell r="BE322">
            <v>46175</v>
          </cell>
          <cell r="BF322">
            <v>46175</v>
          </cell>
          <cell r="BG322">
            <v>46181</v>
          </cell>
          <cell r="BH322">
            <v>46181</v>
          </cell>
          <cell r="BQ322">
            <v>1636.58</v>
          </cell>
          <cell r="BR322">
            <v>46182</v>
          </cell>
          <cell r="CE322" t="str">
            <v>NÃO</v>
          </cell>
          <cell r="CI322">
            <v>46186</v>
          </cell>
          <cell r="DW322" t="str">
            <v>ACCOUNTING/TAX MONTH-END CLOSING</v>
          </cell>
        </row>
        <row r="323">
          <cell r="A323" t="str">
            <v>JUL_2026</v>
          </cell>
          <cell r="B323" t="str">
            <v>Z-007/2026</v>
          </cell>
          <cell r="E323" t="str">
            <v>CATARINA</v>
          </cell>
          <cell r="F323" t="str">
            <v>DELIVERED</v>
          </cell>
          <cell r="G323" t="str">
            <v>SEA</v>
          </cell>
          <cell r="J323">
            <v>46123</v>
          </cell>
          <cell r="L323">
            <v>46168</v>
          </cell>
          <cell r="O323">
            <v>46183</v>
          </cell>
          <cell r="P323" t="str">
            <v>SDBLBS594320</v>
          </cell>
          <cell r="R323" t="str">
            <v>PWBR260074-10</v>
          </cell>
          <cell r="T323" t="str">
            <v>CMAU0230590</v>
          </cell>
          <cell r="U323">
            <v>1</v>
          </cell>
          <cell r="AD323">
            <v>46174</v>
          </cell>
          <cell r="AE323">
            <v>46174</v>
          </cell>
          <cell r="AJ323">
            <v>369652.42</v>
          </cell>
          <cell r="AK323">
            <v>46154</v>
          </cell>
          <cell r="AL323" t="str">
            <v>14/05/2026</v>
          </cell>
          <cell r="AM323">
            <v>46160</v>
          </cell>
          <cell r="AN323">
            <v>46161</v>
          </cell>
          <cell r="AO323">
            <v>46162</v>
          </cell>
          <cell r="AP323">
            <v>46162</v>
          </cell>
          <cell r="AQ323">
            <v>46162</v>
          </cell>
          <cell r="AR323">
            <v>46170</v>
          </cell>
          <cell r="AS323">
            <v>46174</v>
          </cell>
          <cell r="AT323">
            <v>46174</v>
          </cell>
          <cell r="AU323">
            <v>46174</v>
          </cell>
          <cell r="BA323">
            <v>46178</v>
          </cell>
          <cell r="BB323">
            <v>46178</v>
          </cell>
          <cell r="BC323">
            <v>46181</v>
          </cell>
          <cell r="BD323">
            <v>46175</v>
          </cell>
          <cell r="BE323">
            <v>46175</v>
          </cell>
          <cell r="BF323">
            <v>46175</v>
          </cell>
          <cell r="BG323">
            <v>46178</v>
          </cell>
          <cell r="BH323">
            <v>46182</v>
          </cell>
          <cell r="BQ323">
            <v>1341.92</v>
          </cell>
          <cell r="BR323">
            <v>46182</v>
          </cell>
          <cell r="CE323" t="str">
            <v>NÃO</v>
          </cell>
          <cell r="CI323">
            <v>46186</v>
          </cell>
          <cell r="DW323" t="str">
            <v>ACCOUNTING/TAX MONTH-END CLOSING</v>
          </cell>
        </row>
        <row r="324">
          <cell r="A324"/>
          <cell r="B324" t="str">
            <v>003D2/2026</v>
          </cell>
          <cell r="E324" t="str">
            <v>LEISIANE</v>
          </cell>
          <cell r="F324" t="str">
            <v>DELIVERED</v>
          </cell>
          <cell r="G324" t="str">
            <v>SEA</v>
          </cell>
          <cell r="J324">
            <v>46093</v>
          </cell>
          <cell r="L324">
            <v>46147</v>
          </cell>
          <cell r="O324">
            <v>46162</v>
          </cell>
          <cell r="P324" t="str">
            <v>SDBLBS593292</v>
          </cell>
          <cell r="T324" t="str">
            <v>CXRU152692/6</v>
          </cell>
          <cell r="U324">
            <v>0.5</v>
          </cell>
          <cell r="AD324">
            <v>46154</v>
          </cell>
          <cell r="AE324">
            <v>46154</v>
          </cell>
          <cell r="AJ324">
            <v>397470.01</v>
          </cell>
          <cell r="AK324">
            <v>46129</v>
          </cell>
          <cell r="AL324">
            <v>46129</v>
          </cell>
          <cell r="AM324">
            <v>46134</v>
          </cell>
          <cell r="AN324">
            <v>46139</v>
          </cell>
          <cell r="AO324">
            <v>46141</v>
          </cell>
          <cell r="AP324">
            <v>46142</v>
          </cell>
          <cell r="AQ324">
            <v>46142</v>
          </cell>
          <cell r="AR324">
            <v>46150</v>
          </cell>
          <cell r="AS324">
            <v>46150</v>
          </cell>
          <cell r="AT324">
            <v>46155</v>
          </cell>
          <cell r="AU324" t="str">
            <v>13/05/2026</v>
          </cell>
          <cell r="BA324" t="str">
            <v>14/05/2026</v>
          </cell>
          <cell r="BB324" t="str">
            <v>14/05/2026</v>
          </cell>
          <cell r="BC324">
            <v>46157</v>
          </cell>
          <cell r="BD324">
            <v>46156</v>
          </cell>
          <cell r="BE324">
            <v>46157</v>
          </cell>
          <cell r="BF324">
            <v>46157</v>
          </cell>
          <cell r="BG324">
            <v>46162</v>
          </cell>
          <cell r="BH324">
            <v>46162</v>
          </cell>
          <cell r="BQ324">
            <v>409.14499999999998</v>
          </cell>
          <cell r="BR324">
            <v>46160</v>
          </cell>
          <cell r="CE324" t="str">
            <v>NÃO</v>
          </cell>
          <cell r="CI324">
            <v>46165</v>
          </cell>
          <cell r="DW324" t="str">
            <v>ISSUE WITH RFB/PORT SYSTEMS</v>
          </cell>
        </row>
        <row r="325">
          <cell r="A325"/>
          <cell r="B325" t="str">
            <v>Z-011/2026</v>
          </cell>
          <cell r="E325" t="str">
            <v>RENATO</v>
          </cell>
          <cell r="F325" t="str">
            <v>DELIVERED</v>
          </cell>
          <cell r="G325" t="str">
            <v>AIR</v>
          </cell>
          <cell r="J325">
            <v>46141</v>
          </cell>
          <cell r="L325">
            <v>46143</v>
          </cell>
          <cell r="O325">
            <v>46150</v>
          </cell>
          <cell r="P325" t="str">
            <v>DTW260420FOR</v>
          </cell>
          <cell r="R325" t="str">
            <v xml:space="preserve">PWBR260053-10 </v>
          </cell>
          <cell r="AD325">
            <v>46146</v>
          </cell>
          <cell r="AE325">
            <v>46146</v>
          </cell>
          <cell r="AJ325">
            <v>137140.67000000001</v>
          </cell>
          <cell r="AK325">
            <v>46140</v>
          </cell>
          <cell r="AL325">
            <v>46140</v>
          </cell>
          <cell r="AM325">
            <v>46141</v>
          </cell>
          <cell r="AN325">
            <v>46141</v>
          </cell>
          <cell r="AO325">
            <v>46142</v>
          </cell>
          <cell r="AP325">
            <v>46142</v>
          </cell>
          <cell r="AQ325">
            <v>46142</v>
          </cell>
          <cell r="AR325">
            <v>46146</v>
          </cell>
          <cell r="AS325">
            <v>46146</v>
          </cell>
          <cell r="AT325">
            <v>46146</v>
          </cell>
          <cell r="AU325">
            <v>46147</v>
          </cell>
          <cell r="AY325">
            <v>46146</v>
          </cell>
          <cell r="AZ325">
            <v>46147</v>
          </cell>
          <cell r="BA325">
            <v>46147</v>
          </cell>
          <cell r="BB325">
            <v>46147</v>
          </cell>
          <cell r="BC325">
            <v>46147</v>
          </cell>
          <cell r="BD325">
            <v>46147</v>
          </cell>
          <cell r="BE325">
            <v>46147</v>
          </cell>
          <cell r="BF325">
            <v>46147</v>
          </cell>
          <cell r="BG325">
            <v>46149</v>
          </cell>
          <cell r="BH325">
            <v>46149</v>
          </cell>
          <cell r="BQ325">
            <v>9667.99</v>
          </cell>
          <cell r="BR325">
            <v>46183</v>
          </cell>
          <cell r="BS325"/>
          <cell r="CE325" t="str">
            <v>NÃO</v>
          </cell>
          <cell r="CI325" t="str">
            <v/>
          </cell>
        </row>
        <row r="326">
          <cell r="A326"/>
          <cell r="B326" t="str">
            <v>010/2026</v>
          </cell>
          <cell r="E326" t="str">
            <v>LEISIANE</v>
          </cell>
          <cell r="F326" t="str">
            <v>DELIVERED</v>
          </cell>
          <cell r="G326" t="str">
            <v>COURIER</v>
          </cell>
          <cell r="J326">
            <v>46124</v>
          </cell>
          <cell r="L326">
            <v>46132</v>
          </cell>
          <cell r="O326">
            <v>46147</v>
          </cell>
          <cell r="P326">
            <v>4769426325</v>
          </cell>
          <cell r="R326" t="str">
            <v>SPY2600001</v>
          </cell>
          <cell r="BQ326"/>
          <cell r="BS326"/>
          <cell r="CE326" t="str">
            <v>NÃO</v>
          </cell>
          <cell r="CI326" t="str">
            <v/>
          </cell>
        </row>
        <row r="327">
          <cell r="A327"/>
          <cell r="B327" t="str">
            <v>012/2026</v>
          </cell>
          <cell r="E327" t="str">
            <v>LEISIANE</v>
          </cell>
          <cell r="F327" t="str">
            <v>DELIVERED</v>
          </cell>
          <cell r="G327" t="str">
            <v>COURIER</v>
          </cell>
          <cell r="J327">
            <v>46133</v>
          </cell>
          <cell r="L327">
            <v>46142</v>
          </cell>
          <cell r="O327">
            <v>46148</v>
          </cell>
          <cell r="P327" t="str">
            <v>82 6579 6862</v>
          </cell>
          <cell r="R327" t="str">
            <v>YRN2600041</v>
          </cell>
          <cell r="BQ327"/>
          <cell r="BS327"/>
          <cell r="CE327" t="str">
            <v>NÃO</v>
          </cell>
          <cell r="CI327" t="str">
            <v/>
          </cell>
        </row>
        <row r="328">
          <cell r="A328"/>
          <cell r="B328" t="str">
            <v>H-FOR003/2026</v>
          </cell>
          <cell r="E328" t="str">
            <v>LEISIANE</v>
          </cell>
          <cell r="F328" t="str">
            <v>DELIVERED</v>
          </cell>
          <cell r="G328" t="str">
            <v>SEA</v>
          </cell>
          <cell r="J328">
            <v>46060</v>
          </cell>
          <cell r="L328">
            <v>46112</v>
          </cell>
          <cell r="O328">
            <v>46141</v>
          </cell>
          <cell r="P328" t="str">
            <v>SYNHGH26SE011439</v>
          </cell>
          <cell r="R328" t="str">
            <v>PWBR250236-1</v>
          </cell>
          <cell r="T328" t="str">
            <v>CAIU7199832</v>
          </cell>
          <cell r="U328">
            <v>1</v>
          </cell>
          <cell r="AD328">
            <v>46136</v>
          </cell>
          <cell r="AE328">
            <v>46136</v>
          </cell>
          <cell r="AJ328">
            <v>603684.59</v>
          </cell>
          <cell r="AL328">
            <v>46134</v>
          </cell>
          <cell r="AM328">
            <v>46134</v>
          </cell>
          <cell r="AN328">
            <v>46134</v>
          </cell>
          <cell r="AO328">
            <v>46135</v>
          </cell>
          <cell r="AP328">
            <v>46135</v>
          </cell>
          <cell r="AQ328">
            <v>46135</v>
          </cell>
          <cell r="AR328">
            <v>46112</v>
          </cell>
          <cell r="AS328">
            <v>46135</v>
          </cell>
          <cell r="AT328">
            <v>46136</v>
          </cell>
          <cell r="AU328">
            <v>46136</v>
          </cell>
          <cell r="AY328">
            <v>46136</v>
          </cell>
          <cell r="AZ328">
            <v>46136</v>
          </cell>
          <cell r="BA328">
            <v>46139</v>
          </cell>
          <cell r="BB328">
            <v>46139</v>
          </cell>
          <cell r="BC328">
            <v>46139</v>
          </cell>
          <cell r="BD328">
            <v>46139</v>
          </cell>
          <cell r="BE328">
            <v>46139</v>
          </cell>
          <cell r="BF328">
            <v>46139</v>
          </cell>
          <cell r="BG328">
            <v>46140</v>
          </cell>
          <cell r="BH328">
            <v>46140</v>
          </cell>
          <cell r="BQ328">
            <v>6705.99</v>
          </cell>
          <cell r="BR328">
            <v>46141</v>
          </cell>
          <cell r="BS328">
            <v>12641.51</v>
          </cell>
          <cell r="BT328">
            <v>46216</v>
          </cell>
          <cell r="CE328" t="str">
            <v>NÃO</v>
          </cell>
          <cell r="CI328">
            <v>46130</v>
          </cell>
        </row>
        <row r="329">
          <cell r="A329"/>
          <cell r="B329" t="str">
            <v>H-FOR007/2026</v>
          </cell>
          <cell r="E329" t="str">
            <v>RENATO</v>
          </cell>
          <cell r="F329" t="str">
            <v>DELIVERED</v>
          </cell>
          <cell r="G329" t="str">
            <v>COURIER</v>
          </cell>
          <cell r="J329">
            <v>46119</v>
          </cell>
          <cell r="L329">
            <v>46123</v>
          </cell>
          <cell r="O329">
            <v>46171</v>
          </cell>
          <cell r="P329" t="str">
            <v>17 2793 4364</v>
          </cell>
          <cell r="R329" t="str">
            <v>PWBR260039-A</v>
          </cell>
          <cell r="AD329">
            <v>46157</v>
          </cell>
          <cell r="AE329">
            <v>46160</v>
          </cell>
          <cell r="AJ329">
            <v>12204.91</v>
          </cell>
          <cell r="AK329">
            <v>46147</v>
          </cell>
          <cell r="AL329">
            <v>46147</v>
          </cell>
          <cell r="AM329">
            <v>46153</v>
          </cell>
          <cell r="AN329">
            <v>46153</v>
          </cell>
          <cell r="AO329">
            <v>46153</v>
          </cell>
          <cell r="AP329">
            <v>46153</v>
          </cell>
          <cell r="AQ329">
            <v>46155</v>
          </cell>
          <cell r="AR329">
            <v>46123</v>
          </cell>
          <cell r="AS329">
            <v>46155</v>
          </cell>
          <cell r="AT329">
            <v>46157</v>
          </cell>
          <cell r="AU329">
            <v>46157</v>
          </cell>
          <cell r="AY329">
            <v>46157</v>
          </cell>
          <cell r="AZ329">
            <v>46157</v>
          </cell>
          <cell r="BA329">
            <v>46163</v>
          </cell>
          <cell r="BB329">
            <v>46163</v>
          </cell>
          <cell r="BC329">
            <v>46163</v>
          </cell>
          <cell r="BD329">
            <v>46160</v>
          </cell>
          <cell r="BE329">
            <v>46162</v>
          </cell>
          <cell r="BF329">
            <v>46162</v>
          </cell>
          <cell r="BG329">
            <v>46163</v>
          </cell>
          <cell r="BH329">
            <v>46163</v>
          </cell>
          <cell r="BQ329">
            <v>2547.2199999999998</v>
          </cell>
          <cell r="BR329">
            <v>46174</v>
          </cell>
          <cell r="BS329"/>
          <cell r="CE329" t="str">
            <v>NÃO</v>
          </cell>
          <cell r="CI329" t="str">
            <v/>
          </cell>
          <cell r="DW329" t="str">
            <v>LATE RECEIVING OF INFORMATION FROM COMEX TEAM</v>
          </cell>
        </row>
        <row r="330">
          <cell r="A330"/>
          <cell r="B330" t="str">
            <v>H-FOR005/2026</v>
          </cell>
          <cell r="E330" t="str">
            <v>RENATO</v>
          </cell>
          <cell r="F330" t="str">
            <v>DELIVERED</v>
          </cell>
          <cell r="G330" t="str">
            <v>SEA</v>
          </cell>
          <cell r="J330">
            <v>46060</v>
          </cell>
          <cell r="L330">
            <v>46126</v>
          </cell>
          <cell r="O330">
            <v>46150</v>
          </cell>
          <cell r="P330" t="str">
            <v>SYNHGH26SE011608</v>
          </cell>
          <cell r="R330" t="str">
            <v>PWBR250206-2</v>
          </cell>
          <cell r="T330" t="str">
            <v>TIIU6102410</v>
          </cell>
          <cell r="U330">
            <v>1</v>
          </cell>
          <cell r="AD330">
            <v>46141</v>
          </cell>
          <cell r="AE330">
            <v>46142</v>
          </cell>
          <cell r="AJ330">
            <v>543486.71999999997</v>
          </cell>
          <cell r="AL330">
            <v>46140</v>
          </cell>
          <cell r="AM330">
            <v>46141</v>
          </cell>
          <cell r="AN330">
            <v>46141</v>
          </cell>
          <cell r="AO330">
            <v>46141</v>
          </cell>
          <cell r="AP330">
            <v>46141</v>
          </cell>
          <cell r="AQ330">
            <v>46142</v>
          </cell>
          <cell r="AR330">
            <v>46126</v>
          </cell>
          <cell r="AS330">
            <v>46141</v>
          </cell>
          <cell r="AT330">
            <v>46142</v>
          </cell>
          <cell r="AU330">
            <v>46142</v>
          </cell>
          <cell r="BA330">
            <v>46146</v>
          </cell>
          <cell r="BB330">
            <v>46146</v>
          </cell>
          <cell r="BC330">
            <v>46146</v>
          </cell>
          <cell r="BD330">
            <v>46146</v>
          </cell>
          <cell r="BE330">
            <v>46147</v>
          </cell>
          <cell r="BF330">
            <v>46147</v>
          </cell>
          <cell r="BG330">
            <v>46148</v>
          </cell>
          <cell r="BH330">
            <v>46150</v>
          </cell>
          <cell r="BQ330"/>
          <cell r="CE330" t="str">
            <v>NÃO</v>
          </cell>
          <cell r="CI330">
            <v>46144</v>
          </cell>
        </row>
        <row r="331">
          <cell r="A331"/>
          <cell r="B331" t="str">
            <v>H-FOR004/2026</v>
          </cell>
          <cell r="E331" t="str">
            <v>RENATO</v>
          </cell>
          <cell r="F331" t="str">
            <v>DELIVERED</v>
          </cell>
          <cell r="G331" t="str">
            <v>SEA</v>
          </cell>
          <cell r="J331">
            <v>46075</v>
          </cell>
          <cell r="L331">
            <v>46126</v>
          </cell>
          <cell r="O331">
            <v>46154</v>
          </cell>
          <cell r="P331" t="str">
            <v>SYNHGH26SE021026</v>
          </cell>
          <cell r="R331" t="str">
            <v>PWBR250204</v>
          </cell>
          <cell r="T331" t="str">
            <v>UETU6146822</v>
          </cell>
          <cell r="U331">
            <v>1</v>
          </cell>
          <cell r="AD331">
            <v>46147</v>
          </cell>
          <cell r="AE331">
            <v>46147</v>
          </cell>
          <cell r="AJ331">
            <v>321400.19</v>
          </cell>
          <cell r="AK331">
            <v>46139</v>
          </cell>
          <cell r="AL331">
            <v>46139</v>
          </cell>
          <cell r="AM331">
            <v>46141</v>
          </cell>
          <cell r="AN331">
            <v>46141</v>
          </cell>
          <cell r="AO331">
            <v>46142</v>
          </cell>
          <cell r="AP331">
            <v>46142</v>
          </cell>
          <cell r="AQ331">
            <v>46142</v>
          </cell>
          <cell r="AR331">
            <v>46126</v>
          </cell>
          <cell r="AS331">
            <v>46146</v>
          </cell>
          <cell r="AT331">
            <v>46147</v>
          </cell>
          <cell r="AU331">
            <v>46147</v>
          </cell>
          <cell r="AY331">
            <v>46147</v>
          </cell>
          <cell r="AZ331">
            <v>46147</v>
          </cell>
          <cell r="BA331">
            <v>46149</v>
          </cell>
          <cell r="BB331">
            <v>46150</v>
          </cell>
          <cell r="BC331">
            <v>46150</v>
          </cell>
          <cell r="BD331">
            <v>46150</v>
          </cell>
          <cell r="BE331">
            <v>46150</v>
          </cell>
          <cell r="BF331">
            <v>46150</v>
          </cell>
          <cell r="BG331">
            <v>46153</v>
          </cell>
          <cell r="BH331">
            <v>46153</v>
          </cell>
          <cell r="BQ331">
            <v>660.91</v>
          </cell>
          <cell r="BR331">
            <v>46160</v>
          </cell>
          <cell r="CE331" t="str">
            <v>NÃO</v>
          </cell>
          <cell r="CI331">
            <v>46144</v>
          </cell>
        </row>
        <row r="332">
          <cell r="A332" t="str">
            <v>JAN_2026</v>
          </cell>
          <cell r="B332" t="str">
            <v>H-CWB002/2026</v>
          </cell>
          <cell r="E332" t="str">
            <v>LEISIANE</v>
          </cell>
          <cell r="F332" t="str">
            <v>DELIVERED</v>
          </cell>
          <cell r="G332" t="str">
            <v>SEA</v>
          </cell>
          <cell r="J332">
            <v>46061</v>
          </cell>
          <cell r="L332">
            <v>46131</v>
          </cell>
          <cell r="O332">
            <v>46150</v>
          </cell>
          <cell r="R332" t="str">
            <v>PWBR26000356</v>
          </cell>
          <cell r="T332" t="str">
            <v>SEGU6846649</v>
          </cell>
          <cell r="U332">
            <v>1</v>
          </cell>
          <cell r="AD332">
            <v>46141</v>
          </cell>
          <cell r="AE332">
            <v>46142</v>
          </cell>
          <cell r="AJ332">
            <v>15216.88</v>
          </cell>
          <cell r="AK332">
            <v>46140</v>
          </cell>
          <cell r="AL332">
            <v>46091</v>
          </cell>
          <cell r="AM332">
            <v>46091</v>
          </cell>
          <cell r="AN332">
            <v>46091</v>
          </cell>
          <cell r="AO332">
            <v>46092</v>
          </cell>
          <cell r="AP332">
            <v>46092</v>
          </cell>
          <cell r="AQ332">
            <v>46092</v>
          </cell>
          <cell r="AR332">
            <v>46135</v>
          </cell>
          <cell r="AS332">
            <v>46141</v>
          </cell>
          <cell r="AT332">
            <v>46141</v>
          </cell>
          <cell r="AU332">
            <v>46142</v>
          </cell>
          <cell r="AY332">
            <v>46141</v>
          </cell>
          <cell r="AZ332">
            <v>46141</v>
          </cell>
          <cell r="BA332">
            <v>46142</v>
          </cell>
          <cell r="BB332">
            <v>46146</v>
          </cell>
          <cell r="BC332">
            <v>46146</v>
          </cell>
          <cell r="BD332">
            <v>46146</v>
          </cell>
          <cell r="BE332">
            <v>46146</v>
          </cell>
          <cell r="BF332">
            <v>46146</v>
          </cell>
          <cell r="BQ332">
            <v>14431.96</v>
          </cell>
          <cell r="BR332">
            <v>46148</v>
          </cell>
          <cell r="CE332" t="str">
            <v>NÃO</v>
          </cell>
          <cell r="CI332">
            <v>46149</v>
          </cell>
        </row>
        <row r="333">
          <cell r="A333" t="str">
            <v>MAR_2026</v>
          </cell>
          <cell r="B333" t="str">
            <v>H-CWB004/2026</v>
          </cell>
          <cell r="E333" t="str">
            <v>LEISIANE</v>
          </cell>
          <cell r="F333" t="str">
            <v>DELIVERED</v>
          </cell>
          <cell r="G333" t="str">
            <v>AIR</v>
          </cell>
          <cell r="J333">
            <v>46119</v>
          </cell>
          <cell r="L333">
            <v>46124</v>
          </cell>
          <cell r="O333">
            <v>46149</v>
          </cell>
          <cell r="P333" t="str">
            <v>TW260403CWB</v>
          </cell>
          <cell r="R333" t="str">
            <v>PWBR2600689</v>
          </cell>
          <cell r="AD333">
            <v>46141</v>
          </cell>
          <cell r="AE333">
            <v>46141</v>
          </cell>
          <cell r="AJ333">
            <v>9741.09</v>
          </cell>
          <cell r="AK333">
            <v>46139</v>
          </cell>
          <cell r="AL333">
            <v>46139</v>
          </cell>
          <cell r="AM333">
            <v>46139</v>
          </cell>
          <cell r="AN333">
            <v>46139</v>
          </cell>
          <cell r="AO333">
            <v>46139</v>
          </cell>
          <cell r="AP333">
            <v>46139</v>
          </cell>
          <cell r="AQ333">
            <v>46140</v>
          </cell>
          <cell r="AR333">
            <v>46124</v>
          </cell>
          <cell r="AS333">
            <v>46140</v>
          </cell>
          <cell r="AT333">
            <v>46141</v>
          </cell>
          <cell r="AU333">
            <v>46142</v>
          </cell>
          <cell r="AY333">
            <v>46141</v>
          </cell>
          <cell r="AZ333">
            <v>46141</v>
          </cell>
          <cell r="BA333">
            <v>46146</v>
          </cell>
          <cell r="BB333">
            <v>46146</v>
          </cell>
          <cell r="BD333">
            <v>46146</v>
          </cell>
          <cell r="BE333">
            <v>46148</v>
          </cell>
          <cell r="BF333">
            <v>46148</v>
          </cell>
          <cell r="BG333">
            <v>46148</v>
          </cell>
          <cell r="BH333">
            <v>46148</v>
          </cell>
          <cell r="BQ333">
            <v>2190.91</v>
          </cell>
          <cell r="BR333">
            <v>46147</v>
          </cell>
          <cell r="BS333"/>
          <cell r="CE333" t="str">
            <v>NÃO</v>
          </cell>
          <cell r="CI333" t="str">
            <v/>
          </cell>
        </row>
        <row r="334">
          <cell r="A334"/>
          <cell r="B334" t="str">
            <v>H-FOR002/2026</v>
          </cell>
          <cell r="E334" t="str">
            <v>RENATO</v>
          </cell>
          <cell r="F334" t="str">
            <v>DELIVERED</v>
          </cell>
          <cell r="G334" t="str">
            <v>SEA</v>
          </cell>
          <cell r="J334">
            <v>46059</v>
          </cell>
          <cell r="L334">
            <v>46139</v>
          </cell>
          <cell r="O334">
            <v>46157</v>
          </cell>
          <cell r="P334" t="str">
            <v>SYNHGH26SE020428</v>
          </cell>
          <cell r="R334" t="str">
            <v>PWBR250206</v>
          </cell>
          <cell r="T334" t="str">
            <v>MTSU9640992</v>
          </cell>
          <cell r="U334">
            <v>1</v>
          </cell>
          <cell r="AD334">
            <v>46154</v>
          </cell>
          <cell r="AE334">
            <v>46155</v>
          </cell>
          <cell r="AJ334">
            <v>314292.23</v>
          </cell>
          <cell r="AK334">
            <v>46141</v>
          </cell>
          <cell r="AL334">
            <v>46146</v>
          </cell>
          <cell r="AM334">
            <v>46149</v>
          </cell>
          <cell r="AN334">
            <v>46149</v>
          </cell>
          <cell r="AO334">
            <v>46153</v>
          </cell>
          <cell r="AP334">
            <v>46153</v>
          </cell>
          <cell r="AQ334">
            <v>46153</v>
          </cell>
          <cell r="AR334">
            <v>46140</v>
          </cell>
          <cell r="AS334">
            <v>46153</v>
          </cell>
          <cell r="AT334">
            <v>46154</v>
          </cell>
          <cell r="AU334">
            <v>46155</v>
          </cell>
          <cell r="AY334">
            <v>46154</v>
          </cell>
          <cell r="AZ334">
            <v>46154</v>
          </cell>
          <cell r="BA334">
            <v>46155</v>
          </cell>
          <cell r="BB334">
            <v>46155</v>
          </cell>
          <cell r="BC334">
            <v>46155</v>
          </cell>
          <cell r="BD334">
            <v>46155</v>
          </cell>
          <cell r="BE334">
            <v>46155</v>
          </cell>
          <cell r="BF334">
            <v>46155</v>
          </cell>
          <cell r="BG334">
            <v>46156</v>
          </cell>
          <cell r="BH334">
            <v>46156</v>
          </cell>
          <cell r="BQ334">
            <v>818.29</v>
          </cell>
          <cell r="BR334">
            <v>46160</v>
          </cell>
          <cell r="CD334">
            <v>46158</v>
          </cell>
          <cell r="CE334" t="str">
            <v>SIM  1 dias</v>
          </cell>
          <cell r="CI334">
            <v>46157</v>
          </cell>
        </row>
        <row r="335">
          <cell r="A335"/>
          <cell r="B335" t="str">
            <v>H-FOR001/2026</v>
          </cell>
          <cell r="E335" t="str">
            <v>RENATO</v>
          </cell>
          <cell r="F335" t="str">
            <v>DELIVERED</v>
          </cell>
          <cell r="G335" t="str">
            <v>SEA</v>
          </cell>
          <cell r="J335">
            <v>46090</v>
          </cell>
          <cell r="L335">
            <v>46140</v>
          </cell>
          <cell r="O335">
            <v>46157</v>
          </cell>
          <cell r="P335" t="str">
            <v>SYNHGH26SE030051</v>
          </cell>
          <cell r="R335" t="str">
            <v>PWBR250204-2</v>
          </cell>
          <cell r="T335" t="str">
            <v>CMAU0437968, ECMU2962443, TCKU3756034</v>
          </cell>
          <cell r="U335">
            <v>3</v>
          </cell>
          <cell r="AD335">
            <v>46153</v>
          </cell>
          <cell r="AE335">
            <v>46154</v>
          </cell>
          <cell r="AJ335">
            <v>791485.04</v>
          </cell>
          <cell r="AK335">
            <v>46147</v>
          </cell>
          <cell r="AL335">
            <v>46148</v>
          </cell>
          <cell r="AM335">
            <v>46150</v>
          </cell>
          <cell r="AN335">
            <v>46150</v>
          </cell>
          <cell r="AO335">
            <v>46150</v>
          </cell>
          <cell r="AP335">
            <v>46150</v>
          </cell>
          <cell r="AQ335">
            <v>46150</v>
          </cell>
          <cell r="AR335">
            <v>46141</v>
          </cell>
          <cell r="AS335">
            <v>46153</v>
          </cell>
          <cell r="AT335">
            <v>46154</v>
          </cell>
          <cell r="AU335">
            <v>46155</v>
          </cell>
          <cell r="AY335">
            <v>46154</v>
          </cell>
          <cell r="AZ335">
            <v>46154</v>
          </cell>
          <cell r="BA335">
            <v>46155</v>
          </cell>
          <cell r="BB335">
            <v>46155</v>
          </cell>
          <cell r="BC335">
            <v>46155</v>
          </cell>
          <cell r="BD335">
            <v>46155</v>
          </cell>
          <cell r="BE335">
            <v>46155</v>
          </cell>
          <cell r="BF335">
            <v>46155</v>
          </cell>
          <cell r="BG335">
            <v>46156</v>
          </cell>
          <cell r="BH335">
            <v>46156</v>
          </cell>
          <cell r="BQ335">
            <v>4025.76</v>
          </cell>
          <cell r="BR335">
            <v>46160</v>
          </cell>
          <cell r="CD335">
            <v>46158</v>
          </cell>
          <cell r="CE335" t="str">
            <v>SIM  0 dias</v>
          </cell>
          <cell r="CI335">
            <v>46158</v>
          </cell>
        </row>
        <row r="336">
          <cell r="A336"/>
          <cell r="B336" t="str">
            <v>H-FOR006/2026</v>
          </cell>
          <cell r="E336" t="str">
            <v>RENATO</v>
          </cell>
          <cell r="F336" t="str">
            <v>DELIVERED</v>
          </cell>
          <cell r="G336" t="str">
            <v>SEA</v>
          </cell>
          <cell r="J336">
            <v>46105</v>
          </cell>
          <cell r="L336">
            <v>46161</v>
          </cell>
          <cell r="O336">
            <v>46170</v>
          </cell>
          <cell r="P336" t="str">
            <v>SYNHGH26SE030930</v>
          </cell>
          <cell r="R336" t="str">
            <v>SBR2600003</v>
          </cell>
          <cell r="T336" t="str">
            <v>GCXU6105315, TRHU3790633</v>
          </cell>
          <cell r="U336">
            <v>2</v>
          </cell>
          <cell r="AD336">
            <v>46163</v>
          </cell>
          <cell r="AE336">
            <v>46163</v>
          </cell>
          <cell r="AJ336">
            <v>887903.91</v>
          </cell>
          <cell r="AK336">
            <v>46149</v>
          </cell>
          <cell r="AL336">
            <v>46149</v>
          </cell>
          <cell r="AM336">
            <v>46157</v>
          </cell>
          <cell r="AN336">
            <v>46157</v>
          </cell>
          <cell r="AO336">
            <v>46162</v>
          </cell>
          <cell r="AP336">
            <v>46162</v>
          </cell>
          <cell r="AQ336">
            <v>46162</v>
          </cell>
          <cell r="AR336">
            <v>46162</v>
          </cell>
          <cell r="AS336">
            <v>46163</v>
          </cell>
          <cell r="AT336">
            <v>46163</v>
          </cell>
          <cell r="AU336">
            <v>46163</v>
          </cell>
          <cell r="AV336">
            <v>46162</v>
          </cell>
          <cell r="AW336">
            <v>46163</v>
          </cell>
          <cell r="AX336">
            <v>46163</v>
          </cell>
          <cell r="AY336">
            <v>46157</v>
          </cell>
          <cell r="AZ336">
            <v>46162</v>
          </cell>
          <cell r="BD336">
            <v>46163</v>
          </cell>
          <cell r="BE336">
            <v>46164</v>
          </cell>
          <cell r="BF336">
            <v>46164</v>
          </cell>
          <cell r="BG336">
            <v>46169</v>
          </cell>
          <cell r="BH336">
            <v>46169</v>
          </cell>
          <cell r="BQ336"/>
          <cell r="CE336" t="str">
            <v>NÃO</v>
          </cell>
          <cell r="CI336">
            <v>46179</v>
          </cell>
        </row>
        <row r="337">
          <cell r="A337" t="str">
            <v>JUN_2026</v>
          </cell>
          <cell r="B337" t="str">
            <v>H-CWB003/2026</v>
          </cell>
          <cell r="E337" t="str">
            <v>RENATO</v>
          </cell>
          <cell r="F337" t="str">
            <v>DELIVERED</v>
          </cell>
          <cell r="G337" t="str">
            <v>SEA</v>
          </cell>
          <cell r="J337">
            <v>46097</v>
          </cell>
          <cell r="L337">
            <v>46154</v>
          </cell>
          <cell r="O337">
            <v>46164</v>
          </cell>
          <cell r="P337" t="str">
            <v>NBHKG26012345</v>
          </cell>
          <cell r="R337" t="str">
            <v>SBR2600008-10</v>
          </cell>
          <cell r="T337" t="str">
            <v>TLLU8809111</v>
          </cell>
          <cell r="U337">
            <v>1</v>
          </cell>
          <cell r="AD337">
            <v>46160</v>
          </cell>
          <cell r="AE337">
            <v>46161</v>
          </cell>
          <cell r="AJ337">
            <v>15053.43</v>
          </cell>
          <cell r="AK337">
            <v>46154</v>
          </cell>
          <cell r="AL337">
            <v>46154</v>
          </cell>
          <cell r="AM337">
            <v>46156</v>
          </cell>
          <cell r="AN337">
            <v>46156</v>
          </cell>
          <cell r="AO337">
            <v>46157</v>
          </cell>
          <cell r="AP337">
            <v>46157</v>
          </cell>
          <cell r="AQ337">
            <v>46160</v>
          </cell>
          <cell r="AR337">
            <v>46154</v>
          </cell>
          <cell r="AS337">
            <v>46160</v>
          </cell>
          <cell r="AT337">
            <v>46160</v>
          </cell>
          <cell r="AU337">
            <v>46160</v>
          </cell>
          <cell r="BD337">
            <v>46160</v>
          </cell>
          <cell r="BE337">
            <v>46161</v>
          </cell>
          <cell r="BF337">
            <v>46161</v>
          </cell>
          <cell r="BQ337">
            <v>3244.34</v>
          </cell>
          <cell r="BR337">
            <v>46170</v>
          </cell>
          <cell r="CE337" t="str">
            <v>NÃO</v>
          </cell>
          <cell r="CI337">
            <v>46172</v>
          </cell>
        </row>
        <row r="338">
          <cell r="A338"/>
          <cell r="B338" t="str">
            <v>Z-008/2026</v>
          </cell>
          <cell r="E338" t="str">
            <v>LEISIANE</v>
          </cell>
          <cell r="F338" t="str">
            <v>DELIVERED</v>
          </cell>
          <cell r="G338" t="str">
            <v>AIR</v>
          </cell>
          <cell r="J338">
            <v>46123</v>
          </cell>
          <cell r="L338">
            <v>46145</v>
          </cell>
          <cell r="O338">
            <v>46157</v>
          </cell>
          <cell r="P338">
            <v>2111743340</v>
          </cell>
          <cell r="R338" t="str">
            <v>SBR2600002</v>
          </cell>
          <cell r="AD338">
            <v>46146</v>
          </cell>
          <cell r="AE338">
            <v>46146</v>
          </cell>
          <cell r="AK338">
            <v>46139</v>
          </cell>
          <cell r="AL338">
            <v>46139</v>
          </cell>
          <cell r="AM338">
            <v>46141</v>
          </cell>
          <cell r="AN338">
            <v>46141</v>
          </cell>
          <cell r="AO338">
            <v>46142</v>
          </cell>
          <cell r="AP338">
            <v>46142</v>
          </cell>
          <cell r="AQ338">
            <v>46142</v>
          </cell>
          <cell r="AR338">
            <v>46146</v>
          </cell>
          <cell r="AS338">
            <v>46146</v>
          </cell>
          <cell r="AT338">
            <v>46146</v>
          </cell>
          <cell r="AU338">
            <v>46147</v>
          </cell>
          <cell r="AV338">
            <v>46146</v>
          </cell>
          <cell r="AW338">
            <v>46147</v>
          </cell>
          <cell r="AX338">
            <v>46147</v>
          </cell>
          <cell r="BD338">
            <v>46147</v>
          </cell>
          <cell r="BE338">
            <v>46149</v>
          </cell>
          <cell r="BF338">
            <v>46149</v>
          </cell>
          <cell r="BG338">
            <v>46149</v>
          </cell>
          <cell r="BH338">
            <v>46153</v>
          </cell>
          <cell r="BQ338">
            <v>258.67</v>
          </cell>
          <cell r="BR338">
            <v>46149</v>
          </cell>
          <cell r="BS338"/>
          <cell r="CE338" t="str">
            <v>NÃO</v>
          </cell>
          <cell r="CI338" t="str">
            <v/>
          </cell>
        </row>
        <row r="339">
          <cell r="A339" t="str">
            <v>JUL_2026</v>
          </cell>
          <cell r="B339" t="str">
            <v>Z-010/2026</v>
          </cell>
          <cell r="E339" t="str">
            <v>CATARINA</v>
          </cell>
          <cell r="F339" t="str">
            <v>DELIVERED</v>
          </cell>
          <cell r="G339" t="str">
            <v>SEA</v>
          </cell>
          <cell r="J339">
            <v>46139</v>
          </cell>
          <cell r="L339">
            <v>46203</v>
          </cell>
          <cell r="O339">
            <v>46210</v>
          </cell>
          <cell r="P339" t="str">
            <v>SDBLBS597053</v>
          </cell>
          <cell r="R339" t="str">
            <v>PWBR260076-10</v>
          </cell>
          <cell r="T339" t="str">
            <v>CGMU540944, OTPU634300, TTNU822622</v>
          </cell>
          <cell r="U339">
            <v>3</v>
          </cell>
          <cell r="AD339">
            <v>46204</v>
          </cell>
          <cell r="AE339">
            <v>46204</v>
          </cell>
          <cell r="AJ339">
            <v>4428474.2300000004</v>
          </cell>
          <cell r="AK339">
            <v>46157</v>
          </cell>
          <cell r="AL339">
            <v>46168</v>
          </cell>
          <cell r="AM339">
            <v>46176</v>
          </cell>
          <cell r="AN339">
            <v>46176</v>
          </cell>
          <cell r="AO339">
            <v>46176</v>
          </cell>
          <cell r="AP339">
            <v>46178</v>
          </cell>
          <cell r="AQ339">
            <v>46178</v>
          </cell>
          <cell r="AR339">
            <v>46204</v>
          </cell>
          <cell r="AS339">
            <v>46204</v>
          </cell>
          <cell r="AT339">
            <v>46204</v>
          </cell>
          <cell r="AU339">
            <v>46204</v>
          </cell>
          <cell r="BA339">
            <v>46209</v>
          </cell>
          <cell r="BB339">
            <v>46209</v>
          </cell>
          <cell r="BC339">
            <v>46210</v>
          </cell>
          <cell r="BD339">
            <v>46204</v>
          </cell>
          <cell r="BE339">
            <v>46205</v>
          </cell>
          <cell r="BF339">
            <v>46205</v>
          </cell>
          <cell r="BG339">
            <v>46209</v>
          </cell>
          <cell r="BH339">
            <v>46210</v>
          </cell>
          <cell r="BQ339"/>
          <cell r="CE339" t="str">
            <v>NÃO</v>
          </cell>
          <cell r="CI339">
            <v>46221</v>
          </cell>
        </row>
        <row r="340">
          <cell r="A340" t="str">
            <v>JUL_2026</v>
          </cell>
          <cell r="B340" t="str">
            <v>Z-012/2026</v>
          </cell>
          <cell r="E340" t="str">
            <v>CATARINA</v>
          </cell>
          <cell r="F340" t="str">
            <v>DELIVERED</v>
          </cell>
          <cell r="G340" t="str">
            <v>SEA</v>
          </cell>
          <cell r="J340">
            <v>46141</v>
          </cell>
          <cell r="L340">
            <v>46187</v>
          </cell>
          <cell r="O340">
            <v>46197</v>
          </cell>
          <cell r="P340" t="str">
            <v>SDBLBS598556</v>
          </cell>
          <cell r="R340" t="str">
            <v>PWBR260087</v>
          </cell>
          <cell r="T340" t="str">
            <v>MSMU7142024, TGHU9800803</v>
          </cell>
          <cell r="U340">
            <v>2</v>
          </cell>
          <cell r="AD340">
            <v>46189</v>
          </cell>
          <cell r="AE340">
            <v>46190</v>
          </cell>
          <cell r="AJ340">
            <v>545127.78</v>
          </cell>
          <cell r="AK340">
            <v>46156</v>
          </cell>
          <cell r="AL340">
            <v>46170</v>
          </cell>
          <cell r="AM340">
            <v>46171</v>
          </cell>
          <cell r="AN340">
            <v>46171</v>
          </cell>
          <cell r="AO340">
            <v>46176</v>
          </cell>
          <cell r="AP340">
            <v>46176</v>
          </cell>
          <cell r="AQ340">
            <v>46176</v>
          </cell>
          <cell r="AR340">
            <v>46189</v>
          </cell>
          <cell r="AS340">
            <v>46189</v>
          </cell>
          <cell r="AT340">
            <v>46189</v>
          </cell>
          <cell r="AU340">
            <v>46190</v>
          </cell>
          <cell r="BA340">
            <v>46196</v>
          </cell>
          <cell r="BB340">
            <v>46196</v>
          </cell>
          <cell r="BC340">
            <v>46196</v>
          </cell>
          <cell r="BD340">
            <v>46190</v>
          </cell>
          <cell r="BE340">
            <v>46191</v>
          </cell>
          <cell r="BF340">
            <v>46191</v>
          </cell>
          <cell r="BG340">
            <v>46196</v>
          </cell>
          <cell r="BH340">
            <v>46197</v>
          </cell>
          <cell r="BQ340"/>
          <cell r="CE340" t="str">
            <v>NÃO</v>
          </cell>
          <cell r="CI340">
            <v>46205</v>
          </cell>
        </row>
        <row r="341">
          <cell r="A341" t="str">
            <v>JUL_2026</v>
          </cell>
          <cell r="B341" t="str">
            <v>005A/2026</v>
          </cell>
          <cell r="E341" t="str">
            <v>LEISIANE</v>
          </cell>
          <cell r="F341" t="str">
            <v>DELIVERED</v>
          </cell>
          <cell r="G341" t="str">
            <v>SEA</v>
          </cell>
          <cell r="J341">
            <v>46122</v>
          </cell>
          <cell r="L341">
            <v>46169</v>
          </cell>
          <cell r="O341">
            <v>46184</v>
          </cell>
          <cell r="P341" t="str">
            <v>SDBLBS594322</v>
          </cell>
          <cell r="R341" t="str">
            <v>PWBR260060-10A</v>
          </cell>
          <cell r="T341" t="str">
            <v>TCLU122528, TCLU135227</v>
          </cell>
          <cell r="U341">
            <v>2</v>
          </cell>
          <cell r="AD341">
            <v>46176</v>
          </cell>
          <cell r="AE341">
            <v>46176</v>
          </cell>
          <cell r="AJ341">
            <v>911552.42</v>
          </cell>
          <cell r="AK341">
            <v>46141</v>
          </cell>
          <cell r="AL341">
            <v>46147</v>
          </cell>
          <cell r="AM341">
            <v>46156</v>
          </cell>
          <cell r="AN341">
            <v>46167</v>
          </cell>
          <cell r="AO341">
            <v>46168</v>
          </cell>
          <cell r="AP341">
            <v>46168</v>
          </cell>
          <cell r="AQ341">
            <v>46168</v>
          </cell>
          <cell r="AR341">
            <v>46170</v>
          </cell>
          <cell r="AS341">
            <v>46174</v>
          </cell>
          <cell r="AT341">
            <v>46176</v>
          </cell>
          <cell r="AU341">
            <v>46176</v>
          </cell>
          <cell r="BA341">
            <v>46183</v>
          </cell>
          <cell r="BB341">
            <v>46183</v>
          </cell>
          <cell r="BC341">
            <v>46183</v>
          </cell>
          <cell r="BD341">
            <v>46181</v>
          </cell>
          <cell r="BE341">
            <v>46181</v>
          </cell>
          <cell r="BF341">
            <v>46181</v>
          </cell>
          <cell r="BG341">
            <v>46183</v>
          </cell>
          <cell r="BH341">
            <v>46184</v>
          </cell>
          <cell r="BQ341">
            <v>1636.58</v>
          </cell>
          <cell r="BR341">
            <v>46182</v>
          </cell>
          <cell r="CE341" t="str">
            <v>NÃO</v>
          </cell>
          <cell r="CI341">
            <v>46187</v>
          </cell>
          <cell r="DW341" t="str">
            <v>ACCOUNTING/TAX MONTH-END CLOSING</v>
          </cell>
        </row>
        <row r="342">
          <cell r="A342" t="str">
            <v>JUL_2026</v>
          </cell>
          <cell r="B342" t="str">
            <v>005B/2026</v>
          </cell>
          <cell r="E342" t="str">
            <v>LEISIANE</v>
          </cell>
          <cell r="F342" t="str">
            <v>DELIVERED</v>
          </cell>
          <cell r="G342" t="str">
            <v>SEA</v>
          </cell>
          <cell r="J342">
            <v>46122</v>
          </cell>
          <cell r="L342">
            <v>46169</v>
          </cell>
          <cell r="O342">
            <v>46181</v>
          </cell>
          <cell r="P342" t="str">
            <v>SDBLBS594323</v>
          </cell>
          <cell r="R342" t="str">
            <v>PWBR260060-10B</v>
          </cell>
          <cell r="T342" t="str">
            <v>CGMU513625, TCLU114775, TRIU886044</v>
          </cell>
          <cell r="U342">
            <v>3</v>
          </cell>
          <cell r="AD342">
            <v>46174</v>
          </cell>
          <cell r="AE342">
            <v>46175</v>
          </cell>
          <cell r="AJ342">
            <v>854356.47999999998</v>
          </cell>
          <cell r="AK342">
            <v>46141</v>
          </cell>
          <cell r="AL342">
            <v>46148</v>
          </cell>
          <cell r="AM342">
            <v>46156</v>
          </cell>
          <cell r="AN342">
            <v>46168</v>
          </cell>
          <cell r="AO342">
            <v>46169</v>
          </cell>
          <cell r="AP342">
            <v>46169</v>
          </cell>
          <cell r="AQ342">
            <v>46169</v>
          </cell>
          <cell r="AR342">
            <v>46170</v>
          </cell>
          <cell r="AS342">
            <v>46174</v>
          </cell>
          <cell r="AT342">
            <v>46174</v>
          </cell>
          <cell r="AU342">
            <v>46175</v>
          </cell>
          <cell r="BA342">
            <v>46178</v>
          </cell>
          <cell r="BB342">
            <v>46178</v>
          </cell>
          <cell r="BC342">
            <v>46181</v>
          </cell>
          <cell r="BD342">
            <v>46175</v>
          </cell>
          <cell r="BE342">
            <v>46175</v>
          </cell>
          <cell r="BF342">
            <v>46175</v>
          </cell>
          <cell r="BG342">
            <v>46178</v>
          </cell>
          <cell r="BH342">
            <v>46181</v>
          </cell>
          <cell r="BQ342">
            <v>2454.87</v>
          </cell>
          <cell r="BR342">
            <v>46178</v>
          </cell>
          <cell r="CE342" t="str">
            <v>NÃO</v>
          </cell>
          <cell r="CI342">
            <v>46187</v>
          </cell>
          <cell r="DW342" t="str">
            <v>ACCOUNTING/TAX MONTH-END CLOSING</v>
          </cell>
        </row>
        <row r="343">
          <cell r="A343" t="str">
            <v>AUG_2026</v>
          </cell>
          <cell r="B343" t="str">
            <v>005C/2026</v>
          </cell>
          <cell r="E343" t="str">
            <v>LEISIANE</v>
          </cell>
          <cell r="F343" t="str">
            <v>DELIVERED</v>
          </cell>
          <cell r="G343" t="str">
            <v>SEA</v>
          </cell>
          <cell r="J343">
            <v>46122</v>
          </cell>
          <cell r="L343">
            <v>46169</v>
          </cell>
          <cell r="O343">
            <v>46179</v>
          </cell>
          <cell r="P343" t="str">
            <v>SDBLBS594324</v>
          </cell>
          <cell r="R343" t="str">
            <v>PWBR260060-10C</v>
          </cell>
          <cell r="T343" t="str">
            <v>TRIU8677304</v>
          </cell>
          <cell r="U343">
            <v>0.5</v>
          </cell>
          <cell r="AD343">
            <v>46170</v>
          </cell>
          <cell r="AE343">
            <v>46170</v>
          </cell>
          <cell r="AJ343">
            <v>802438.41</v>
          </cell>
          <cell r="AK343">
            <v>46146</v>
          </cell>
          <cell r="AL343">
            <v>46148</v>
          </cell>
          <cell r="AM343">
            <v>46155</v>
          </cell>
          <cell r="AN343">
            <v>46168</v>
          </cell>
          <cell r="AO343">
            <v>46169</v>
          </cell>
          <cell r="AP343">
            <v>46169</v>
          </cell>
          <cell r="AQ343">
            <v>46169</v>
          </cell>
          <cell r="AR343">
            <v>46170</v>
          </cell>
          <cell r="AS343">
            <v>46170</v>
          </cell>
          <cell r="AT343">
            <v>46170</v>
          </cell>
          <cell r="AU343">
            <v>46170</v>
          </cell>
          <cell r="AV343">
            <v>46170</v>
          </cell>
          <cell r="AW343">
            <v>46170</v>
          </cell>
          <cell r="AX343">
            <v>46171</v>
          </cell>
          <cell r="BA343">
            <v>46178</v>
          </cell>
          <cell r="BB343">
            <v>46178</v>
          </cell>
          <cell r="BC343">
            <v>46178</v>
          </cell>
          <cell r="BD343">
            <v>46171</v>
          </cell>
          <cell r="BE343">
            <v>46171</v>
          </cell>
          <cell r="BF343">
            <v>46171</v>
          </cell>
          <cell r="BG343">
            <v>46178</v>
          </cell>
          <cell r="BH343">
            <v>46179</v>
          </cell>
          <cell r="BQ343">
            <v>409.14499999999998</v>
          </cell>
          <cell r="BR343">
            <v>46178</v>
          </cell>
          <cell r="CE343" t="str">
            <v>NÃO</v>
          </cell>
          <cell r="CI343">
            <v>46187</v>
          </cell>
          <cell r="DW343" t="str">
            <v>SEFAZ HOMOLOGATION - NF/GLME</v>
          </cell>
        </row>
        <row r="344">
          <cell r="A344" t="str">
            <v>JAN_2026</v>
          </cell>
          <cell r="B344" t="str">
            <v>005D/2026</v>
          </cell>
          <cell r="E344" t="str">
            <v>LEISIANE</v>
          </cell>
          <cell r="F344" t="str">
            <v>DELIVERED</v>
          </cell>
          <cell r="G344" t="str">
            <v>SEA</v>
          </cell>
          <cell r="J344">
            <v>46122</v>
          </cell>
          <cell r="L344">
            <v>46169</v>
          </cell>
          <cell r="O344">
            <v>46179</v>
          </cell>
          <cell r="P344" t="str">
            <v>SDBLBS594325</v>
          </cell>
          <cell r="R344" t="str">
            <v>PWBR260060-10D</v>
          </cell>
          <cell r="T344" t="str">
            <v>TRIU8677304</v>
          </cell>
          <cell r="U344">
            <v>0.5</v>
          </cell>
          <cell r="AD344">
            <v>46174</v>
          </cell>
          <cell r="AE344">
            <v>46174</v>
          </cell>
          <cell r="AJ344">
            <v>433847.17</v>
          </cell>
          <cell r="AK344">
            <v>46140</v>
          </cell>
          <cell r="AL344">
            <v>46148</v>
          </cell>
          <cell r="AM344">
            <v>46154</v>
          </cell>
          <cell r="AN344">
            <v>46168</v>
          </cell>
          <cell r="AO344">
            <v>46168</v>
          </cell>
          <cell r="AP344">
            <v>46168</v>
          </cell>
          <cell r="AQ344">
            <v>46168</v>
          </cell>
          <cell r="AR344">
            <v>46170</v>
          </cell>
          <cell r="AS344">
            <v>46174</v>
          </cell>
          <cell r="AT344">
            <v>46175</v>
          </cell>
          <cell r="AU344">
            <v>46175</v>
          </cell>
          <cell r="BA344">
            <v>46178</v>
          </cell>
          <cell r="BB344">
            <v>46178</v>
          </cell>
          <cell r="BD344">
            <v>46175</v>
          </cell>
          <cell r="BE344">
            <v>46175</v>
          </cell>
          <cell r="BF344">
            <v>46175</v>
          </cell>
          <cell r="BG344">
            <v>46178</v>
          </cell>
          <cell r="BH344">
            <v>46179</v>
          </cell>
          <cell r="BQ344">
            <v>409.14499999999998</v>
          </cell>
          <cell r="BR344">
            <v>46178</v>
          </cell>
          <cell r="CE344" t="str">
            <v>NÃO</v>
          </cell>
          <cell r="CI344">
            <v>46187</v>
          </cell>
          <cell r="DW344" t="str">
            <v>SEFAZ HOMOLOGATION - NF/GLME</v>
          </cell>
        </row>
        <row r="345">
          <cell r="A345" t="str">
            <v>JUL_2026</v>
          </cell>
          <cell r="B345" t="str">
            <v>005E/2026</v>
          </cell>
          <cell r="E345" t="str">
            <v>LEISIANE</v>
          </cell>
          <cell r="F345" t="str">
            <v>DELIVERED</v>
          </cell>
          <cell r="G345" t="str">
            <v>SEA</v>
          </cell>
          <cell r="J345">
            <v>46122</v>
          </cell>
          <cell r="L345">
            <v>46169</v>
          </cell>
          <cell r="O345">
            <v>46183</v>
          </cell>
          <cell r="P345" t="str">
            <v>SDBLBS594326</v>
          </cell>
          <cell r="R345" t="str">
            <v>PWBR260060-10E</v>
          </cell>
          <cell r="T345" t="str">
            <v>TTNU8008074</v>
          </cell>
          <cell r="U345">
            <v>1</v>
          </cell>
          <cell r="AD345">
            <v>46175</v>
          </cell>
          <cell r="AE345">
            <v>46175</v>
          </cell>
          <cell r="AJ345">
            <v>464013.3</v>
          </cell>
          <cell r="AK345">
            <v>46160</v>
          </cell>
          <cell r="AL345">
            <v>46168</v>
          </cell>
          <cell r="AM345">
            <v>46168</v>
          </cell>
          <cell r="AN345">
            <v>46168</v>
          </cell>
          <cell r="AO345">
            <v>46169</v>
          </cell>
          <cell r="AP345">
            <v>46169</v>
          </cell>
          <cell r="AQ345">
            <v>46169</v>
          </cell>
          <cell r="AR345">
            <v>46170</v>
          </cell>
          <cell r="AS345">
            <v>46174</v>
          </cell>
          <cell r="AT345">
            <v>46175</v>
          </cell>
          <cell r="AU345">
            <v>46175</v>
          </cell>
          <cell r="AV345">
            <v>46175</v>
          </cell>
          <cell r="AW345">
            <v>46175</v>
          </cell>
          <cell r="AX345">
            <v>46176</v>
          </cell>
          <cell r="BA345">
            <v>46181</v>
          </cell>
          <cell r="BB345">
            <v>46181</v>
          </cell>
          <cell r="BD345">
            <v>46176</v>
          </cell>
          <cell r="BE345">
            <v>46176</v>
          </cell>
          <cell r="BF345">
            <v>46176</v>
          </cell>
          <cell r="BG345">
            <v>46181</v>
          </cell>
          <cell r="BH345">
            <v>46182</v>
          </cell>
          <cell r="BQ345">
            <v>818.29</v>
          </cell>
          <cell r="BR345">
            <v>46182</v>
          </cell>
          <cell r="CE345" t="str">
            <v>NÃO</v>
          </cell>
          <cell r="CI345">
            <v>46187</v>
          </cell>
          <cell r="DW345" t="str">
            <v>SEFAZ HOMOLOGATION - NF/GLME</v>
          </cell>
        </row>
        <row r="346">
          <cell r="A346" t="str">
            <v>JUL_2026</v>
          </cell>
          <cell r="B346" t="str">
            <v>009A/2026</v>
          </cell>
          <cell r="E346" t="str">
            <v>LEISIANE</v>
          </cell>
          <cell r="F346" t="str">
            <v>DELIVERED</v>
          </cell>
          <cell r="G346" t="str">
            <v>SEA</v>
          </cell>
          <cell r="J346">
            <v>46133</v>
          </cell>
          <cell r="L346">
            <v>46180</v>
          </cell>
          <cell r="O346">
            <v>46196</v>
          </cell>
          <cell r="P346" t="str">
            <v>SDBLBS596923</v>
          </cell>
          <cell r="R346" t="str">
            <v>PWBR260065-10A</v>
          </cell>
          <cell r="T346" t="str">
            <v>MSBU8197080, MSDU7422918, TXGU5312165</v>
          </cell>
          <cell r="U346">
            <v>3</v>
          </cell>
          <cell r="AD346">
            <v>46185</v>
          </cell>
          <cell r="AE346">
            <v>46185</v>
          </cell>
          <cell r="AJ346">
            <v>1150223.68</v>
          </cell>
          <cell r="AK346">
            <v>46175</v>
          </cell>
          <cell r="AL346">
            <v>46176</v>
          </cell>
          <cell r="AM346">
            <v>46184</v>
          </cell>
          <cell r="AN346">
            <v>46184</v>
          </cell>
          <cell r="AO346">
            <v>46185</v>
          </cell>
          <cell r="AP346">
            <v>46185</v>
          </cell>
          <cell r="AQ346">
            <v>46185</v>
          </cell>
          <cell r="AR346">
            <v>46181</v>
          </cell>
          <cell r="AS346">
            <v>46185</v>
          </cell>
          <cell r="AT346">
            <v>46188</v>
          </cell>
          <cell r="AU346">
            <v>46188</v>
          </cell>
          <cell r="BA346">
            <v>46195</v>
          </cell>
          <cell r="BB346">
            <v>46196</v>
          </cell>
          <cell r="BD346">
            <v>46188</v>
          </cell>
          <cell r="BE346">
            <v>46189</v>
          </cell>
          <cell r="BF346">
            <v>46189</v>
          </cell>
          <cell r="BG346">
            <v>46195</v>
          </cell>
          <cell r="BH346">
            <v>46196</v>
          </cell>
          <cell r="BQ346">
            <v>2454.87</v>
          </cell>
          <cell r="BR346">
            <v>46191</v>
          </cell>
          <cell r="CE346" t="str">
            <v>NÃO</v>
          </cell>
          <cell r="CI346">
            <v>46198</v>
          </cell>
        </row>
        <row r="347">
          <cell r="A347" t="str">
            <v>JUL_2026</v>
          </cell>
          <cell r="B347" t="str">
            <v>009B/2026</v>
          </cell>
          <cell r="E347" t="str">
            <v>LEISIANE</v>
          </cell>
          <cell r="F347" t="str">
            <v>DELIVERED</v>
          </cell>
          <cell r="G347" t="str">
            <v>SEA</v>
          </cell>
          <cell r="J347">
            <v>46133</v>
          </cell>
          <cell r="L347">
            <v>46180</v>
          </cell>
          <cell r="O347">
            <v>46189</v>
          </cell>
          <cell r="P347" t="str">
            <v>SDBLBS596924</v>
          </cell>
          <cell r="R347" t="str">
            <v>PWBR260065-10B</v>
          </cell>
          <cell r="T347" t="str">
            <v>FFAU4025566, MSMU5655861, TGHU6135422</v>
          </cell>
          <cell r="U347">
            <v>3</v>
          </cell>
          <cell r="AD347">
            <v>46183</v>
          </cell>
          <cell r="AE347">
            <v>46183</v>
          </cell>
          <cell r="AJ347">
            <v>795344.39</v>
          </cell>
          <cell r="AK347">
            <v>46175</v>
          </cell>
          <cell r="AL347">
            <v>46176</v>
          </cell>
          <cell r="AM347">
            <v>46178</v>
          </cell>
          <cell r="AN347">
            <v>46178</v>
          </cell>
          <cell r="AO347">
            <v>46178</v>
          </cell>
          <cell r="AP347">
            <v>46178</v>
          </cell>
          <cell r="AQ347">
            <v>46178</v>
          </cell>
          <cell r="AR347">
            <v>46183</v>
          </cell>
          <cell r="AS347">
            <v>46183</v>
          </cell>
          <cell r="AT347">
            <v>46183</v>
          </cell>
          <cell r="AU347">
            <v>46183</v>
          </cell>
          <cell r="BA347">
            <v>46185</v>
          </cell>
          <cell r="BB347">
            <v>46185</v>
          </cell>
          <cell r="BC347">
            <v>46185</v>
          </cell>
          <cell r="BD347">
            <v>46183</v>
          </cell>
          <cell r="BE347">
            <v>46183</v>
          </cell>
          <cell r="BF347">
            <v>46183</v>
          </cell>
          <cell r="BG347">
            <v>46185</v>
          </cell>
          <cell r="BH347">
            <v>46189</v>
          </cell>
          <cell r="BQ347"/>
          <cell r="CE347" t="str">
            <v>NÃO</v>
          </cell>
          <cell r="CI347">
            <v>46198</v>
          </cell>
        </row>
        <row r="348">
          <cell r="A348" t="str">
            <v>JUL_2026</v>
          </cell>
          <cell r="B348" t="str">
            <v>009C/2026</v>
          </cell>
          <cell r="E348" t="str">
            <v>LEISIANE</v>
          </cell>
          <cell r="F348" t="str">
            <v>DELIVERED</v>
          </cell>
          <cell r="G348" t="str">
            <v>SEA</v>
          </cell>
          <cell r="J348">
            <v>46133</v>
          </cell>
          <cell r="L348">
            <v>46180</v>
          </cell>
          <cell r="O348">
            <v>46189</v>
          </cell>
          <cell r="P348" t="str">
            <v>SDBLBS596925</v>
          </cell>
          <cell r="R348" t="str">
            <v>PWBR260065-10C</v>
          </cell>
          <cell r="T348" t="str">
            <v>FDCU0069666, GAOU7873580, MSDU8999571</v>
          </cell>
          <cell r="U348">
            <v>3</v>
          </cell>
          <cell r="AD348">
            <v>46183</v>
          </cell>
          <cell r="AE348">
            <v>46183</v>
          </cell>
          <cell r="AJ348">
            <v>937466.92</v>
          </cell>
          <cell r="AK348">
            <v>46175</v>
          </cell>
          <cell r="AL348">
            <v>46176</v>
          </cell>
          <cell r="AM348">
            <v>46178</v>
          </cell>
          <cell r="AN348">
            <v>46181</v>
          </cell>
          <cell r="AO348">
            <v>46181</v>
          </cell>
          <cell r="AP348">
            <v>46181</v>
          </cell>
          <cell r="AQ348">
            <v>46182</v>
          </cell>
          <cell r="AR348">
            <v>46182</v>
          </cell>
          <cell r="AS348">
            <v>46182</v>
          </cell>
          <cell r="AT348">
            <v>46183</v>
          </cell>
          <cell r="AU348">
            <v>46183</v>
          </cell>
          <cell r="BA348">
            <v>46185</v>
          </cell>
          <cell r="BB348">
            <v>46185</v>
          </cell>
          <cell r="BC348">
            <v>46185</v>
          </cell>
          <cell r="BD348">
            <v>46183</v>
          </cell>
          <cell r="BE348">
            <v>46183</v>
          </cell>
          <cell r="BF348">
            <v>46183</v>
          </cell>
          <cell r="BG348">
            <v>46185</v>
          </cell>
          <cell r="BH348">
            <v>46189</v>
          </cell>
          <cell r="BQ348"/>
          <cell r="CE348" t="str">
            <v>NÃO</v>
          </cell>
          <cell r="CI348">
            <v>46198</v>
          </cell>
        </row>
        <row r="349">
          <cell r="A349" t="str">
            <v>JUN_2026</v>
          </cell>
          <cell r="B349" t="str">
            <v>009D/2026</v>
          </cell>
          <cell r="E349" t="str">
            <v>LEISIANE</v>
          </cell>
          <cell r="F349" t="str">
            <v>DELIVERED</v>
          </cell>
          <cell r="G349" t="str">
            <v>SEA</v>
          </cell>
          <cell r="J349">
            <v>46137</v>
          </cell>
          <cell r="L349">
            <v>46180</v>
          </cell>
          <cell r="O349">
            <v>46188</v>
          </cell>
          <cell r="P349" t="str">
            <v>SDBLBS596926</v>
          </cell>
          <cell r="R349" t="str">
            <v>PWBR260065-10D</v>
          </cell>
          <cell r="T349" t="str">
            <v>MSMU8213143, TGBU6868217, TRHU5067747</v>
          </cell>
          <cell r="U349">
            <v>3</v>
          </cell>
          <cell r="AD349">
            <v>46182</v>
          </cell>
          <cell r="AE349">
            <v>46183</v>
          </cell>
          <cell r="AJ349">
            <v>1206067.51</v>
          </cell>
          <cell r="AK349">
            <v>46175</v>
          </cell>
          <cell r="AL349">
            <v>46176</v>
          </cell>
          <cell r="AM349">
            <v>46176</v>
          </cell>
          <cell r="AN349">
            <v>46176</v>
          </cell>
          <cell r="AO349">
            <v>46178</v>
          </cell>
          <cell r="AP349">
            <v>46178</v>
          </cell>
          <cell r="AQ349">
            <v>46178</v>
          </cell>
          <cell r="AR349">
            <v>46182</v>
          </cell>
          <cell r="AS349">
            <v>46182</v>
          </cell>
          <cell r="AT349">
            <v>46182</v>
          </cell>
          <cell r="AU349">
            <v>46182</v>
          </cell>
          <cell r="BA349">
            <v>46185</v>
          </cell>
          <cell r="BB349">
            <v>46185</v>
          </cell>
          <cell r="BC349">
            <v>46185</v>
          </cell>
          <cell r="BD349">
            <v>46183</v>
          </cell>
          <cell r="BE349">
            <v>46183</v>
          </cell>
          <cell r="BF349">
            <v>46183</v>
          </cell>
          <cell r="BG349">
            <v>46185</v>
          </cell>
          <cell r="BH349">
            <v>46188</v>
          </cell>
          <cell r="BQ349"/>
          <cell r="CE349" t="str">
            <v>NÃO</v>
          </cell>
          <cell r="CI349">
            <v>46198</v>
          </cell>
        </row>
        <row r="350">
          <cell r="A350" t="str">
            <v>JUL_2026</v>
          </cell>
          <cell r="B350" t="str">
            <v>009E/2026</v>
          </cell>
          <cell r="E350" t="str">
            <v>LEISIANE</v>
          </cell>
          <cell r="F350" t="str">
            <v>DELIVERED</v>
          </cell>
          <cell r="G350" t="str">
            <v>SEA</v>
          </cell>
          <cell r="J350">
            <v>46137</v>
          </cell>
          <cell r="L350">
            <v>46180</v>
          </cell>
          <cell r="O350">
            <v>46206</v>
          </cell>
          <cell r="P350" t="str">
            <v>SDBLBS596929</v>
          </cell>
          <cell r="R350" t="str">
            <v>PWBR260065-10E</v>
          </cell>
          <cell r="T350" t="str">
            <v>MSMU5417950, MSMU6803011</v>
          </cell>
          <cell r="U350">
            <v>2</v>
          </cell>
          <cell r="AD350">
            <v>46185</v>
          </cell>
          <cell r="AE350">
            <v>46203</v>
          </cell>
          <cell r="AJ350">
            <v>573797.41</v>
          </cell>
          <cell r="AK350">
            <v>46175</v>
          </cell>
          <cell r="AL350">
            <v>46178</v>
          </cell>
          <cell r="AM350">
            <v>46181</v>
          </cell>
          <cell r="AN350">
            <v>46182</v>
          </cell>
          <cell r="AO350">
            <v>46182</v>
          </cell>
          <cell r="AP350">
            <v>46182</v>
          </cell>
          <cell r="AQ350">
            <v>46183</v>
          </cell>
          <cell r="AR350">
            <v>46182</v>
          </cell>
          <cell r="AS350">
            <v>46185</v>
          </cell>
          <cell r="AT350">
            <v>46185</v>
          </cell>
          <cell r="AU350">
            <v>46188</v>
          </cell>
          <cell r="BA350">
            <v>46205</v>
          </cell>
          <cell r="BB350">
            <v>46205</v>
          </cell>
          <cell r="BD350">
            <v>46203</v>
          </cell>
          <cell r="BE350">
            <v>46203</v>
          </cell>
          <cell r="BF350">
            <v>46203</v>
          </cell>
          <cell r="BG350">
            <v>46205</v>
          </cell>
          <cell r="BH350">
            <v>46206</v>
          </cell>
          <cell r="BQ350">
            <v>3626.4</v>
          </cell>
          <cell r="BR350">
            <v>46204</v>
          </cell>
          <cell r="CE350" t="str">
            <v>NÃO</v>
          </cell>
          <cell r="CI350">
            <v>46198</v>
          </cell>
        </row>
        <row r="351">
          <cell r="A351" t="str">
            <v>FEV_2026</v>
          </cell>
          <cell r="B351" t="str">
            <v>009F/2026</v>
          </cell>
          <cell r="E351" t="str">
            <v>LEISIANE</v>
          </cell>
          <cell r="F351" t="str">
            <v>DELIVERED</v>
          </cell>
          <cell r="G351" t="str">
            <v>SEA</v>
          </cell>
          <cell r="J351">
            <v>46147</v>
          </cell>
          <cell r="L351">
            <v>46187</v>
          </cell>
          <cell r="O351">
            <v>46205</v>
          </cell>
          <cell r="P351" t="str">
            <v>SDBLBS598573</v>
          </cell>
          <cell r="R351" t="str">
            <v>PWBR260065-10F</v>
          </cell>
          <cell r="T351" t="str">
            <v>MSBU6573810</v>
          </cell>
          <cell r="U351">
            <v>0.5</v>
          </cell>
          <cell r="AD351">
            <v>46192</v>
          </cell>
          <cell r="AE351">
            <v>46192</v>
          </cell>
          <cell r="AJ351">
            <v>517847.48</v>
          </cell>
          <cell r="AK351">
            <v>46176</v>
          </cell>
          <cell r="AL351">
            <v>46176</v>
          </cell>
          <cell r="AM351">
            <v>46181</v>
          </cell>
          <cell r="AN351">
            <v>46181</v>
          </cell>
          <cell r="AO351">
            <v>46190</v>
          </cell>
          <cell r="AP351">
            <v>46190</v>
          </cell>
          <cell r="AQ351">
            <v>46183</v>
          </cell>
          <cell r="AR351">
            <v>46189</v>
          </cell>
          <cell r="AS351">
            <v>46192</v>
          </cell>
          <cell r="AT351">
            <v>46192</v>
          </cell>
          <cell r="AU351">
            <v>46192</v>
          </cell>
          <cell r="AV351">
            <v>46192</v>
          </cell>
          <cell r="AW351">
            <v>46192</v>
          </cell>
          <cell r="BA351">
            <v>46204</v>
          </cell>
          <cell r="BB351">
            <v>46204</v>
          </cell>
          <cell r="BC351">
            <v>46205</v>
          </cell>
          <cell r="BD351">
            <v>46196</v>
          </cell>
          <cell r="BE351">
            <v>46197</v>
          </cell>
          <cell r="BF351">
            <v>46197</v>
          </cell>
          <cell r="BG351">
            <v>46204</v>
          </cell>
          <cell r="BH351">
            <v>46205</v>
          </cell>
          <cell r="BQ351">
            <v>409.15</v>
          </cell>
          <cell r="BR351">
            <v>46198</v>
          </cell>
          <cell r="CE351" t="str">
            <v>NÃO</v>
          </cell>
          <cell r="CI351">
            <v>46205</v>
          </cell>
          <cell r="DW351" t="str">
            <v>SEFAZ HOMOLOGATION - NF/GLME</v>
          </cell>
          <cell r="DX351">
            <v>46061</v>
          </cell>
        </row>
        <row r="352">
          <cell r="A352" t="str">
            <v>JAN_2026</v>
          </cell>
          <cell r="B352" t="str">
            <v>009G/2026</v>
          </cell>
          <cell r="E352" t="str">
            <v>LEISIANE</v>
          </cell>
          <cell r="F352" t="str">
            <v>DELIVERED</v>
          </cell>
          <cell r="G352" t="str">
            <v>SEA</v>
          </cell>
          <cell r="J352">
            <v>46147</v>
          </cell>
          <cell r="L352">
            <v>46187</v>
          </cell>
          <cell r="O352">
            <v>46205</v>
          </cell>
          <cell r="P352" t="str">
            <v>SDBLBS598574</v>
          </cell>
          <cell r="R352" t="str">
            <v>PWBR260065-10G</v>
          </cell>
          <cell r="T352" t="str">
            <v>MSBU6573810</v>
          </cell>
          <cell r="U352">
            <v>0.5</v>
          </cell>
          <cell r="AD352">
            <v>46189</v>
          </cell>
          <cell r="AE352">
            <v>46190</v>
          </cell>
          <cell r="AJ352">
            <v>806833.98</v>
          </cell>
          <cell r="AK352">
            <v>46175</v>
          </cell>
          <cell r="AL352">
            <v>46175</v>
          </cell>
          <cell r="AM352">
            <v>46181</v>
          </cell>
          <cell r="AN352">
            <v>46181</v>
          </cell>
          <cell r="AO352">
            <v>46181</v>
          </cell>
          <cell r="AP352">
            <v>46181</v>
          </cell>
          <cell r="AQ352">
            <v>46182</v>
          </cell>
          <cell r="AR352">
            <v>46189</v>
          </cell>
          <cell r="AS352">
            <v>46189</v>
          </cell>
          <cell r="AT352">
            <v>46189</v>
          </cell>
          <cell r="AU352">
            <v>46190</v>
          </cell>
          <cell r="BA352">
            <v>46196</v>
          </cell>
          <cell r="BB352">
            <v>46196</v>
          </cell>
          <cell r="BD352">
            <v>46190</v>
          </cell>
          <cell r="BE352">
            <v>46191</v>
          </cell>
          <cell r="BF352">
            <v>46191</v>
          </cell>
          <cell r="BG352">
            <v>46196</v>
          </cell>
          <cell r="BH352">
            <v>46205</v>
          </cell>
          <cell r="BQ352">
            <v>409.14</v>
          </cell>
          <cell r="BR352">
            <v>46198</v>
          </cell>
          <cell r="CE352" t="str">
            <v>NÃO</v>
          </cell>
          <cell r="CI352">
            <v>46205</v>
          </cell>
          <cell r="DW352" t="str">
            <v>SEFAZ HOMOLOGATION - NF/GLME</v>
          </cell>
        </row>
        <row r="353">
          <cell r="A353"/>
          <cell r="B353" t="str">
            <v>009H/2026</v>
          </cell>
          <cell r="E353" t="str">
            <v>LEISIANE</v>
          </cell>
          <cell r="G353" t="str">
            <v>SEA</v>
          </cell>
          <cell r="L353"/>
          <cell r="O353"/>
          <cell r="BQ353"/>
          <cell r="CE353" t="str">
            <v>NÃO</v>
          </cell>
          <cell r="CI353">
            <v>18</v>
          </cell>
        </row>
        <row r="354">
          <cell r="A354"/>
          <cell r="B354" t="str">
            <v>24705/2026</v>
          </cell>
          <cell r="E354" t="str">
            <v>LEISIANE</v>
          </cell>
          <cell r="F354" t="str">
            <v>DELIVERED</v>
          </cell>
          <cell r="G354" t="str">
            <v>COURIER</v>
          </cell>
          <cell r="J354">
            <v>46099</v>
          </cell>
          <cell r="L354">
            <v>46107</v>
          </cell>
          <cell r="O354">
            <v>46112</v>
          </cell>
          <cell r="P354">
            <v>2654434392</v>
          </cell>
          <cell r="BQ354"/>
          <cell r="BS354"/>
          <cell r="CE354" t="str">
            <v>NÃO</v>
          </cell>
          <cell r="CI354" t="str">
            <v/>
          </cell>
        </row>
        <row r="355">
          <cell r="A355"/>
          <cell r="B355" t="str">
            <v>NH-006/2026</v>
          </cell>
          <cell r="E355" t="str">
            <v>CATARINA</v>
          </cell>
          <cell r="F355" t="str">
            <v>DELIVERED</v>
          </cell>
          <cell r="G355" t="str">
            <v>AIR</v>
          </cell>
          <cell r="J355">
            <v>46149</v>
          </cell>
          <cell r="L355">
            <v>46152</v>
          </cell>
          <cell r="O355">
            <v>46163</v>
          </cell>
          <cell r="P355" t="str">
            <v>DTW260430FOR</v>
          </cell>
          <cell r="R355" t="str">
            <v>PW2026006</v>
          </cell>
          <cell r="AD355" t="str">
            <v>15/05/2026</v>
          </cell>
          <cell r="AE355">
            <v>46160</v>
          </cell>
          <cell r="AJ355">
            <v>14447.14</v>
          </cell>
          <cell r="AK355">
            <v>46148</v>
          </cell>
          <cell r="AL355">
            <v>46148</v>
          </cell>
          <cell r="AM355">
            <v>46154</v>
          </cell>
          <cell r="AN355">
            <v>46154</v>
          </cell>
          <cell r="AO355" t="str">
            <v>13/05/2026</v>
          </cell>
          <cell r="AP355" t="str">
            <v>13/05/2026</v>
          </cell>
          <cell r="AQ355" t="str">
            <v>15/05/2026</v>
          </cell>
          <cell r="AR355">
            <v>46154</v>
          </cell>
          <cell r="AS355" t="str">
            <v>15/05/2026</v>
          </cell>
          <cell r="AT355" t="str">
            <v>15/05/2026</v>
          </cell>
          <cell r="AU355" t="str">
            <v>15/05/2026</v>
          </cell>
          <cell r="AV355" t="str">
            <v>15/05/2026</v>
          </cell>
          <cell r="AW355">
            <v>46157</v>
          </cell>
          <cell r="AX355">
            <v>46160</v>
          </cell>
          <cell r="BB355">
            <v>46160</v>
          </cell>
          <cell r="BC355">
            <v>46160</v>
          </cell>
          <cell r="BD355">
            <v>46160</v>
          </cell>
          <cell r="BE355">
            <v>46160</v>
          </cell>
          <cell r="BF355">
            <v>46160</v>
          </cell>
          <cell r="BG355">
            <v>46162</v>
          </cell>
          <cell r="BH355">
            <v>46163</v>
          </cell>
          <cell r="BQ355">
            <v>661.13</v>
          </cell>
          <cell r="BR355">
            <v>46183</v>
          </cell>
          <cell r="BS355"/>
          <cell r="CE355" t="str">
            <v>NÃO</v>
          </cell>
          <cell r="CI355" t="str">
            <v/>
          </cell>
          <cell r="DW355" t="str">
            <v>CASH FLOW/AVAILABILITY OF FUNDS IN THE ACCOUNT</v>
          </cell>
        </row>
        <row r="356">
          <cell r="A356" t="str">
            <v>JUN_2026</v>
          </cell>
          <cell r="B356" t="str">
            <v>H-FOR008/2026</v>
          </cell>
          <cell r="E356" t="str">
            <v>LEISIANE</v>
          </cell>
          <cell r="F356" t="str">
            <v>DELIVERED</v>
          </cell>
          <cell r="G356" t="str">
            <v>SEA</v>
          </cell>
          <cell r="J356">
            <v>46134</v>
          </cell>
          <cell r="L356">
            <v>46182</v>
          </cell>
          <cell r="O356">
            <v>46204</v>
          </cell>
          <cell r="P356" t="str">
            <v>SYNHGH26SE040966A</v>
          </cell>
          <cell r="R356" t="str">
            <v>PWBR26003940</v>
          </cell>
          <cell r="T356" t="str">
            <v>TCKU6297617, TLLU5099438</v>
          </cell>
          <cell r="U356">
            <v>2</v>
          </cell>
          <cell r="AD356">
            <v>46184</v>
          </cell>
          <cell r="AE356">
            <v>46184</v>
          </cell>
          <cell r="AJ356">
            <v>1139523.28</v>
          </cell>
          <cell r="AK356">
            <v>46176</v>
          </cell>
          <cell r="AL356">
            <v>46178</v>
          </cell>
          <cell r="AM356">
            <v>46182</v>
          </cell>
          <cell r="AN356">
            <v>46182</v>
          </cell>
          <cell r="AO356">
            <v>46182</v>
          </cell>
          <cell r="AP356">
            <v>46182</v>
          </cell>
          <cell r="AQ356">
            <v>46183</v>
          </cell>
          <cell r="AR356">
            <v>46183</v>
          </cell>
          <cell r="AS356">
            <v>46184</v>
          </cell>
          <cell r="AT356">
            <v>46184</v>
          </cell>
          <cell r="AU356">
            <v>46184</v>
          </cell>
          <cell r="AV356">
            <v>46184</v>
          </cell>
          <cell r="AW356">
            <v>46184</v>
          </cell>
          <cell r="AX356">
            <v>46184</v>
          </cell>
          <cell r="BA356">
            <v>46204</v>
          </cell>
          <cell r="BD356">
            <v>46190</v>
          </cell>
          <cell r="BE356">
            <v>46197</v>
          </cell>
          <cell r="BF356">
            <v>46197</v>
          </cell>
          <cell r="BG356">
            <v>46204</v>
          </cell>
          <cell r="BH356">
            <v>46204</v>
          </cell>
          <cell r="BQ356">
            <v>9284.26</v>
          </cell>
          <cell r="BR356">
            <v>46204</v>
          </cell>
          <cell r="CE356" t="str">
            <v>NÃO</v>
          </cell>
          <cell r="CI356">
            <v>46200</v>
          </cell>
          <cell r="DW356" t="str">
            <v>DELAY IN ISSUANCE/NF ERROR</v>
          </cell>
        </row>
        <row r="357">
          <cell r="A357" t="str">
            <v>SEP_2026</v>
          </cell>
          <cell r="B357" t="str">
            <v>H-FOR009/2026</v>
          </cell>
          <cell r="E357" t="str">
            <v>NATHALIA</v>
          </cell>
          <cell r="F357" t="str">
            <v>WAITING ARRIVAL</v>
          </cell>
          <cell r="G357" t="str">
            <v>SEA</v>
          </cell>
          <cell r="J357">
            <v>46191</v>
          </cell>
          <cell r="L357">
            <v>46236</v>
          </cell>
          <cell r="O357"/>
          <cell r="P357" t="str">
            <v>SYNHGH26SE051110</v>
          </cell>
          <cell r="R357" t="str">
            <v>PWBR260040</v>
          </cell>
          <cell r="T357" t="str">
            <v>TIIU8095476</v>
          </cell>
          <cell r="U357">
            <v>1</v>
          </cell>
          <cell r="BQ357"/>
          <cell r="CE357" t="str">
            <v>NÃO</v>
          </cell>
          <cell r="CI357">
            <v>46254</v>
          </cell>
        </row>
        <row r="358">
          <cell r="A358" t="str">
            <v>APR_2026</v>
          </cell>
          <cell r="B358" t="str">
            <v>019/2026</v>
          </cell>
          <cell r="E358" t="str">
            <v>LEISIANE</v>
          </cell>
          <cell r="F358" t="str">
            <v>DELIVERED</v>
          </cell>
          <cell r="G358" t="str">
            <v>AIR</v>
          </cell>
          <cell r="J358">
            <v>46175</v>
          </cell>
          <cell r="L358">
            <v>46178</v>
          </cell>
          <cell r="O358">
            <v>46188</v>
          </cell>
          <cell r="P358" t="str">
            <v>DTW260528FOR</v>
          </cell>
          <cell r="R358" t="str">
            <v>PWBR260099-10</v>
          </cell>
          <cell r="AD358">
            <v>46182</v>
          </cell>
          <cell r="AE358">
            <v>46183</v>
          </cell>
          <cell r="AJ358">
            <v>82205.350000000006</v>
          </cell>
          <cell r="AK358">
            <v>46175</v>
          </cell>
          <cell r="AL358">
            <v>46176</v>
          </cell>
          <cell r="AM358">
            <v>46178</v>
          </cell>
          <cell r="AN358">
            <v>46178</v>
          </cell>
          <cell r="AO358">
            <v>46178</v>
          </cell>
          <cell r="AP358">
            <v>46178</v>
          </cell>
          <cell r="AQ358">
            <v>46178</v>
          </cell>
          <cell r="AR358">
            <v>46181</v>
          </cell>
          <cell r="AS358">
            <v>46182</v>
          </cell>
          <cell r="AT358">
            <v>46182</v>
          </cell>
          <cell r="AU358">
            <v>46183</v>
          </cell>
          <cell r="BA358">
            <v>46185</v>
          </cell>
          <cell r="BB358">
            <v>46185</v>
          </cell>
          <cell r="BC358">
            <v>46185</v>
          </cell>
          <cell r="BD358">
            <v>46183</v>
          </cell>
          <cell r="BE358">
            <v>46183</v>
          </cell>
          <cell r="BF358">
            <v>46183</v>
          </cell>
          <cell r="BG358">
            <v>46185</v>
          </cell>
          <cell r="BH358">
            <v>46188</v>
          </cell>
          <cell r="BQ358"/>
          <cell r="BS358"/>
          <cell r="CE358"/>
          <cell r="CI358" t="str">
            <v/>
          </cell>
        </row>
        <row r="359">
          <cell r="A359" t="str">
            <v>JUN_2026</v>
          </cell>
          <cell r="B359" t="str">
            <v>NH-005/2026</v>
          </cell>
          <cell r="E359" t="str">
            <v>CATARINA</v>
          </cell>
          <cell r="F359" t="str">
            <v>WAITING ARRIVAL</v>
          </cell>
          <cell r="G359" t="str">
            <v>SEA</v>
          </cell>
          <cell r="J359">
            <v>46172</v>
          </cell>
          <cell r="L359">
            <v>46222</v>
          </cell>
          <cell r="O359"/>
          <cell r="P359" t="str">
            <v>SDBLBS601822</v>
          </cell>
          <cell r="R359" t="str">
            <v>PWBR260040</v>
          </cell>
          <cell r="T359" t="str">
            <v>CAAU736753/2</v>
          </cell>
          <cell r="U359">
            <v>0.5</v>
          </cell>
          <cell r="AK359">
            <v>46170</v>
          </cell>
          <cell r="AL359">
            <v>46184</v>
          </cell>
          <cell r="AM359">
            <v>46184</v>
          </cell>
          <cell r="AN359">
            <v>46188</v>
          </cell>
          <cell r="AO359">
            <v>46189</v>
          </cell>
          <cell r="AP359">
            <v>46190</v>
          </cell>
          <cell r="AQ359">
            <v>46190</v>
          </cell>
          <cell r="BQ359"/>
          <cell r="CE359" t="str">
            <v>NÃO</v>
          </cell>
          <cell r="CI359">
            <v>46240</v>
          </cell>
          <cell r="DX359">
            <v>46143</v>
          </cell>
        </row>
        <row r="360">
          <cell r="A360" t="str">
            <v>AUG_2026</v>
          </cell>
          <cell r="B360" t="str">
            <v>011A/2026</v>
          </cell>
          <cell r="E360" t="str">
            <v>LEISIANE</v>
          </cell>
          <cell r="F360" t="str">
            <v>WAITING ARRIVAL</v>
          </cell>
          <cell r="G360" t="str">
            <v>SEA</v>
          </cell>
          <cell r="J360">
            <v>46176</v>
          </cell>
          <cell r="L360">
            <v>46231</v>
          </cell>
          <cell r="O360"/>
          <cell r="P360" t="str">
            <v>SDBLBS601395</v>
          </cell>
          <cell r="R360" t="str">
            <v>PWBR260096-10A</v>
          </cell>
          <cell r="T360" t="str">
            <v>CMAU929705/0; ECMU513651/1 ;TLLU435106/2</v>
          </cell>
          <cell r="U360">
            <v>3</v>
          </cell>
          <cell r="AK360">
            <v>46190</v>
          </cell>
          <cell r="AL360">
            <v>46192</v>
          </cell>
          <cell r="AM360">
            <v>46198</v>
          </cell>
          <cell r="AN360">
            <v>46198</v>
          </cell>
          <cell r="AO360">
            <v>46199</v>
          </cell>
          <cell r="AP360">
            <v>46199</v>
          </cell>
          <cell r="AQ360">
            <v>46202</v>
          </cell>
          <cell r="BQ360"/>
          <cell r="CE360" t="str">
            <v>NÃO</v>
          </cell>
          <cell r="CI360">
            <v>46249</v>
          </cell>
          <cell r="DX360">
            <v>46144</v>
          </cell>
        </row>
        <row r="361">
          <cell r="A361" t="str">
            <v>AUG_2026</v>
          </cell>
          <cell r="B361" t="str">
            <v>011B/2026</v>
          </cell>
          <cell r="E361" t="str">
            <v>LEISIANE</v>
          </cell>
          <cell r="F361" t="str">
            <v>WAITING ARRIVAL</v>
          </cell>
          <cell r="G361" t="str">
            <v>SEA</v>
          </cell>
          <cell r="J361">
            <v>46176</v>
          </cell>
          <cell r="L361">
            <v>46231</v>
          </cell>
          <cell r="O361"/>
          <cell r="P361" t="str">
            <v>SDBLBS601399</v>
          </cell>
          <cell r="R361" t="str">
            <v>PWBR260096-10B</v>
          </cell>
          <cell r="T361" t="str">
            <v>CMAU947192/1 ;GAOU760645/4 ;TCNU269949/0</v>
          </cell>
          <cell r="U361">
            <v>3</v>
          </cell>
          <cell r="AK361">
            <v>46190</v>
          </cell>
          <cell r="AL361">
            <v>46195</v>
          </cell>
          <cell r="AM361">
            <v>46198</v>
          </cell>
          <cell r="AN361">
            <v>46198</v>
          </cell>
          <cell r="AO361">
            <v>46198</v>
          </cell>
          <cell r="AP361">
            <v>46199</v>
          </cell>
          <cell r="AQ361">
            <v>46202</v>
          </cell>
          <cell r="BQ361"/>
          <cell r="CE361" t="str">
            <v>NÃO</v>
          </cell>
          <cell r="CI361">
            <v>46249</v>
          </cell>
          <cell r="DX361">
            <v>46144</v>
          </cell>
        </row>
        <row r="362">
          <cell r="A362" t="str">
            <v>AUG_2026</v>
          </cell>
          <cell r="B362" t="str">
            <v>011G/2026</v>
          </cell>
          <cell r="E362" t="str">
            <v>LEISIANE</v>
          </cell>
          <cell r="F362" t="str">
            <v>DELIVERED</v>
          </cell>
          <cell r="G362" t="str">
            <v>AIR</v>
          </cell>
          <cell r="J362">
            <v>46159</v>
          </cell>
          <cell r="L362">
            <v>46164</v>
          </cell>
          <cell r="O362">
            <v>46174</v>
          </cell>
          <cell r="P362" t="str">
            <v>TW260514FOR</v>
          </cell>
          <cell r="R362" t="str">
            <v>PWBR260108-10</v>
          </cell>
          <cell r="AD362">
            <v>46168</v>
          </cell>
          <cell r="AE362">
            <v>46168</v>
          </cell>
          <cell r="AJ362">
            <v>91058.07</v>
          </cell>
          <cell r="AK362">
            <v>46159</v>
          </cell>
          <cell r="AL362">
            <v>46167</v>
          </cell>
          <cell r="AM362">
            <v>46167</v>
          </cell>
          <cell r="AN362">
            <v>46167</v>
          </cell>
          <cell r="AO362">
            <v>46167</v>
          </cell>
          <cell r="AP362">
            <v>46167</v>
          </cell>
          <cell r="AQ362">
            <v>46167</v>
          </cell>
          <cell r="AR362">
            <v>46167</v>
          </cell>
          <cell r="AS362">
            <v>46168</v>
          </cell>
          <cell r="AT362">
            <v>46168</v>
          </cell>
          <cell r="AU362">
            <v>46168</v>
          </cell>
          <cell r="BA362">
            <v>46195</v>
          </cell>
          <cell r="BB362">
            <v>46196</v>
          </cell>
          <cell r="BD362">
            <v>46168</v>
          </cell>
          <cell r="BE362">
            <v>46169</v>
          </cell>
          <cell r="BF362">
            <v>46169</v>
          </cell>
          <cell r="BG362">
            <v>46171</v>
          </cell>
          <cell r="BH362">
            <v>46174</v>
          </cell>
          <cell r="BQ362"/>
          <cell r="BS362"/>
          <cell r="CE362" t="str">
            <v>NÃO</v>
          </cell>
          <cell r="CI362" t="str">
            <v/>
          </cell>
          <cell r="DW362" t="str">
            <v>SEFAZ HOMOLOGATION - NF/GLME</v>
          </cell>
          <cell r="DX362">
            <v>46144</v>
          </cell>
        </row>
        <row r="363">
          <cell r="A363" t="str">
            <v>MAY_2026</v>
          </cell>
          <cell r="B363" t="str">
            <v>013/2026</v>
          </cell>
          <cell r="E363" t="str">
            <v>LEISIANE</v>
          </cell>
          <cell r="F363" t="str">
            <v>DELIVERED</v>
          </cell>
          <cell r="G363" t="str">
            <v>COURIER</v>
          </cell>
          <cell r="J363">
            <v>46142</v>
          </cell>
          <cell r="L363">
            <v>46149</v>
          </cell>
          <cell r="O363">
            <v>46157</v>
          </cell>
          <cell r="P363">
            <v>9655625873</v>
          </cell>
          <cell r="R363" t="str">
            <v>SBR2600017</v>
          </cell>
          <cell r="BS363"/>
        </row>
        <row r="364">
          <cell r="A364" t="str">
            <v>APR_2026</v>
          </cell>
          <cell r="B364" t="str">
            <v>Z-014/2026</v>
          </cell>
          <cell r="E364" t="str">
            <v>CATARINA</v>
          </cell>
          <cell r="F364" t="str">
            <v>DELIVERED</v>
          </cell>
          <cell r="G364" t="str">
            <v>AIR</v>
          </cell>
          <cell r="J364">
            <v>46161</v>
          </cell>
          <cell r="L364">
            <v>46164</v>
          </cell>
          <cell r="O364">
            <v>46171</v>
          </cell>
          <cell r="P364" t="str">
            <v>DTW260516FOR</v>
          </cell>
          <cell r="R364" t="str">
            <v>PWBR260087-50</v>
          </cell>
          <cell r="AD364">
            <v>46168</v>
          </cell>
          <cell r="AE364">
            <v>46168</v>
          </cell>
          <cell r="AJ364">
            <v>339347.74</v>
          </cell>
          <cell r="AK364">
            <v>46161</v>
          </cell>
          <cell r="AL364">
            <v>46164</v>
          </cell>
          <cell r="AM364">
            <v>46164</v>
          </cell>
          <cell r="AN364">
            <v>46167</v>
          </cell>
          <cell r="AO364">
            <v>46167</v>
          </cell>
          <cell r="AP364">
            <v>46167</v>
          </cell>
          <cell r="AQ364">
            <v>46167</v>
          </cell>
          <cell r="AR364">
            <v>46167</v>
          </cell>
          <cell r="AS364">
            <v>46168</v>
          </cell>
          <cell r="AT364">
            <v>46168</v>
          </cell>
          <cell r="AU364">
            <v>46168</v>
          </cell>
          <cell r="BA364">
            <v>46171</v>
          </cell>
          <cell r="BB364">
            <v>46171</v>
          </cell>
          <cell r="BC364">
            <v>46171</v>
          </cell>
          <cell r="BD364">
            <v>46168</v>
          </cell>
          <cell r="BE364">
            <v>46168</v>
          </cell>
          <cell r="BF364">
            <v>46168</v>
          </cell>
          <cell r="BG364">
            <v>46171</v>
          </cell>
          <cell r="BH364">
            <v>46171</v>
          </cell>
          <cell r="BS364"/>
          <cell r="DW364" t="str">
            <v>SEFAZ HOMOLOGATION - NF/GLME</v>
          </cell>
        </row>
        <row r="365">
          <cell r="A365" t="str">
            <v>AUG_2026</v>
          </cell>
          <cell r="B365" t="str">
            <v>011E/2026</v>
          </cell>
          <cell r="E365" t="str">
            <v>LEISIANE</v>
          </cell>
          <cell r="F365" t="str">
            <v>WAITING ARRIVAL</v>
          </cell>
          <cell r="G365" t="str">
            <v>SEA</v>
          </cell>
          <cell r="J365">
            <v>46176</v>
          </cell>
          <cell r="L365">
            <v>46231</v>
          </cell>
          <cell r="O365"/>
          <cell r="P365" t="str">
            <v>SDBLBS601407</v>
          </cell>
          <cell r="R365" t="str">
            <v>PWBR260096-10E</v>
          </cell>
          <cell r="T365" t="str">
            <v>FFAU442597, GESU656653, TCLU876705</v>
          </cell>
          <cell r="U365">
            <v>3</v>
          </cell>
          <cell r="AK365">
            <v>46185</v>
          </cell>
          <cell r="AL365">
            <v>46189</v>
          </cell>
          <cell r="AM365">
            <v>46196</v>
          </cell>
          <cell r="AN365">
            <v>46197</v>
          </cell>
          <cell r="AO365">
            <v>46198</v>
          </cell>
          <cell r="AP365">
            <v>46198</v>
          </cell>
          <cell r="AQ365">
            <v>46198</v>
          </cell>
          <cell r="DX365">
            <v>46121</v>
          </cell>
        </row>
        <row r="366">
          <cell r="A366" t="str">
            <v>AUG_2026</v>
          </cell>
          <cell r="B366" t="str">
            <v>011C/2026</v>
          </cell>
          <cell r="E366" t="str">
            <v>LEISIANE</v>
          </cell>
          <cell r="F366" t="str">
            <v>WAITING ARRIVAL</v>
          </cell>
          <cell r="G366" t="str">
            <v>SEA</v>
          </cell>
          <cell r="J366">
            <v>46176</v>
          </cell>
          <cell r="L366">
            <v>46231</v>
          </cell>
          <cell r="O366"/>
          <cell r="P366" t="str">
            <v>SDBLBS601400</v>
          </cell>
          <cell r="R366" t="str">
            <v>PWBR260096-10C</v>
          </cell>
          <cell r="T366" t="str">
            <v>BEAU409345, SEGU508903, TCKU640114</v>
          </cell>
          <cell r="U366">
            <v>3</v>
          </cell>
          <cell r="AK366">
            <v>46197</v>
          </cell>
          <cell r="AL366">
            <v>46198</v>
          </cell>
          <cell r="DX366">
            <v>46142</v>
          </cell>
        </row>
        <row r="367">
          <cell r="A367" t="str">
            <v>AUG_2026</v>
          </cell>
          <cell r="B367" t="str">
            <v>011D/2026</v>
          </cell>
          <cell r="E367" t="str">
            <v>LEISIANE</v>
          </cell>
          <cell r="F367" t="str">
            <v>WAITING ARRIVAL</v>
          </cell>
          <cell r="G367" t="str">
            <v>SEA</v>
          </cell>
          <cell r="J367">
            <v>46176</v>
          </cell>
          <cell r="L367">
            <v>46231</v>
          </cell>
          <cell r="O367"/>
          <cell r="P367" t="str">
            <v>SDBLBS601402</v>
          </cell>
          <cell r="R367" t="str">
            <v>PWBR260096-10D</v>
          </cell>
          <cell r="T367" t="str">
            <v>BEAU609544, CMAU345990, CMAU417020</v>
          </cell>
          <cell r="U367">
            <v>3</v>
          </cell>
          <cell r="AK367">
            <v>46185</v>
          </cell>
          <cell r="AL367">
            <v>46189</v>
          </cell>
          <cell r="AM367">
            <v>46189</v>
          </cell>
          <cell r="AN367">
            <v>46190</v>
          </cell>
          <cell r="AO367">
            <v>46191</v>
          </cell>
          <cell r="AP367">
            <v>46191</v>
          </cell>
          <cell r="AQ367">
            <v>46192</v>
          </cell>
          <cell r="DX367">
            <v>46144</v>
          </cell>
        </row>
        <row r="368">
          <cell r="A368" t="str">
            <v>JUL_2026</v>
          </cell>
          <cell r="B368" t="str">
            <v>011F/2026</v>
          </cell>
          <cell r="E368" t="str">
            <v>LEISIANE</v>
          </cell>
          <cell r="F368" t="str">
            <v>WAITING ARRIVAL</v>
          </cell>
          <cell r="G368" t="str">
            <v>SEA</v>
          </cell>
          <cell r="J368">
            <v>46176</v>
          </cell>
          <cell r="L368">
            <v>46231</v>
          </cell>
          <cell r="O368"/>
          <cell r="P368" t="str">
            <v>SDBLBS601413</v>
          </cell>
          <cell r="R368" t="str">
            <v>PWBR260096-10F</v>
          </cell>
          <cell r="T368" t="str">
            <v>TCNU313037</v>
          </cell>
          <cell r="U368">
            <v>0.5</v>
          </cell>
          <cell r="AK368">
            <v>46185</v>
          </cell>
          <cell r="AL368">
            <v>46189</v>
          </cell>
          <cell r="AM368">
            <v>46191</v>
          </cell>
          <cell r="AN368">
            <v>46191</v>
          </cell>
          <cell r="AO368">
            <v>46192</v>
          </cell>
          <cell r="AP368">
            <v>46192</v>
          </cell>
          <cell r="AQ368">
            <v>46192</v>
          </cell>
        </row>
        <row r="369">
          <cell r="A369" t="str">
            <v>AUG_2026</v>
          </cell>
          <cell r="B369" t="str">
            <v>011H/2026</v>
          </cell>
          <cell r="E369" t="str">
            <v>LEISIANE</v>
          </cell>
          <cell r="F369" t="str">
            <v>WAITING ARRIVAL</v>
          </cell>
          <cell r="G369" t="str">
            <v>SEA</v>
          </cell>
          <cell r="J369">
            <v>46176</v>
          </cell>
          <cell r="L369">
            <v>46231</v>
          </cell>
          <cell r="O369"/>
          <cell r="P369" t="str">
            <v>SDBLBS601416</v>
          </cell>
          <cell r="R369" t="str">
            <v>PWBR260096-10H</v>
          </cell>
          <cell r="T369" t="str">
            <v>TCNU313037</v>
          </cell>
          <cell r="U369">
            <v>0.5</v>
          </cell>
          <cell r="AK369">
            <v>46191</v>
          </cell>
          <cell r="AL369">
            <v>46195</v>
          </cell>
          <cell r="AM369">
            <v>46196</v>
          </cell>
          <cell r="AN369">
            <v>46196</v>
          </cell>
          <cell r="AO369">
            <v>46196</v>
          </cell>
          <cell r="AP369">
            <v>46196</v>
          </cell>
          <cell r="AQ369">
            <v>46198</v>
          </cell>
        </row>
        <row r="370">
          <cell r="A370" t="str">
            <v>AUG_2026</v>
          </cell>
          <cell r="B370" t="str">
            <v>011I/2026</v>
          </cell>
          <cell r="E370" t="str">
            <v>LEISIANE</v>
          </cell>
          <cell r="F370" t="str">
            <v>WAITING ARRIVAL</v>
          </cell>
          <cell r="G370" t="str">
            <v>SEA</v>
          </cell>
          <cell r="J370">
            <v>46176</v>
          </cell>
          <cell r="L370">
            <v>46231</v>
          </cell>
          <cell r="O370"/>
          <cell r="P370" t="str">
            <v>SDBLBS601417</v>
          </cell>
          <cell r="R370" t="str">
            <v>PWBR260096-10I</v>
          </cell>
          <cell r="T370" t="str">
            <v>CMAU884183/1</v>
          </cell>
          <cell r="U370">
            <v>1</v>
          </cell>
          <cell r="AK370">
            <v>46181</v>
          </cell>
          <cell r="AL370">
            <v>46189</v>
          </cell>
          <cell r="AM370">
            <v>46189</v>
          </cell>
          <cell r="AN370">
            <v>46190</v>
          </cell>
          <cell r="AO370">
            <v>46191</v>
          </cell>
          <cell r="AP370">
            <v>46191</v>
          </cell>
          <cell r="AQ370">
            <v>46192</v>
          </cell>
          <cell r="DX370">
            <v>46143</v>
          </cell>
        </row>
        <row r="371">
          <cell r="A371" t="str">
            <v>MAY_2026</v>
          </cell>
          <cell r="B371" t="str">
            <v>016/2026</v>
          </cell>
          <cell r="E371" t="str">
            <v>LEISIANE</v>
          </cell>
          <cell r="F371" t="str">
            <v>DELIVERED</v>
          </cell>
          <cell r="G371" t="str">
            <v>AIR</v>
          </cell>
          <cell r="J371">
            <v>46166</v>
          </cell>
          <cell r="L371">
            <v>46168</v>
          </cell>
          <cell r="O371">
            <v>46182</v>
          </cell>
          <cell r="P371" t="str">
            <v>DTW260521FOR</v>
          </cell>
          <cell r="R371" t="str">
            <v>YRN2600069-10</v>
          </cell>
          <cell r="AD371">
            <v>46175</v>
          </cell>
          <cell r="AE371">
            <v>46175</v>
          </cell>
          <cell r="AJ371">
            <v>16375.24</v>
          </cell>
          <cell r="AK371">
            <v>46168</v>
          </cell>
          <cell r="AL371">
            <v>46168</v>
          </cell>
          <cell r="AM371">
            <v>46168</v>
          </cell>
          <cell r="AN371">
            <v>46169</v>
          </cell>
          <cell r="AO371">
            <v>46170</v>
          </cell>
          <cell r="AP371">
            <v>46170</v>
          </cell>
          <cell r="AQ371">
            <v>46170</v>
          </cell>
          <cell r="AR371">
            <v>46168</v>
          </cell>
          <cell r="AS371">
            <v>46174</v>
          </cell>
          <cell r="AT371">
            <v>46175</v>
          </cell>
          <cell r="AU371">
            <v>46175</v>
          </cell>
          <cell r="AV371">
            <v>46175</v>
          </cell>
          <cell r="AW371">
            <v>46175</v>
          </cell>
          <cell r="AX371">
            <v>46176</v>
          </cell>
          <cell r="BD371">
            <v>46175</v>
          </cell>
          <cell r="BE371">
            <v>46176</v>
          </cell>
          <cell r="BF371">
            <v>46176</v>
          </cell>
          <cell r="BQ371">
            <v>4311.3100000000004</v>
          </cell>
          <cell r="BR371">
            <v>46214</v>
          </cell>
          <cell r="DW371" t="str">
            <v>ACCOUNTING/TAX MONTH-END CLOSING</v>
          </cell>
        </row>
        <row r="372">
          <cell r="A372"/>
          <cell r="B372" t="str">
            <v>018/2026</v>
          </cell>
          <cell r="E372" t="str">
            <v>LEISIANE</v>
          </cell>
          <cell r="F372" t="str">
            <v>DELIVERED</v>
          </cell>
          <cell r="G372" t="str">
            <v>COURIER</v>
          </cell>
          <cell r="J372">
            <v>46168</v>
          </cell>
          <cell r="L372">
            <v>46170</v>
          </cell>
          <cell r="O372">
            <v>46184</v>
          </cell>
          <cell r="AJ372">
            <v>2028.1235999999999</v>
          </cell>
        </row>
        <row r="373">
          <cell r="A373" t="str">
            <v>AUG_2026</v>
          </cell>
          <cell r="B373" t="str">
            <v>Z-013A/2026</v>
          </cell>
          <cell r="E373" t="str">
            <v>CATARINA</v>
          </cell>
          <cell r="F373" t="str">
            <v>WAITING ARRIVAL</v>
          </cell>
          <cell r="G373" t="str">
            <v>SEA</v>
          </cell>
          <cell r="J373">
            <v>46172</v>
          </cell>
          <cell r="L373">
            <v>46222</v>
          </cell>
          <cell r="O373"/>
          <cell r="P373" t="str">
            <v>SDBLBS601813</v>
          </cell>
          <cell r="R373" t="str">
            <v>PWBR260089-10A</v>
          </cell>
          <cell r="T373" t="str">
            <v>MSCU524446/0, MSMU625580/7, TGBU481580/9</v>
          </cell>
          <cell r="U373">
            <v>3</v>
          </cell>
          <cell r="AC373"/>
          <cell r="AK373">
            <v>46183</v>
          </cell>
          <cell r="AL373">
            <v>46184</v>
          </cell>
          <cell r="AM373">
            <v>46192</v>
          </cell>
          <cell r="AN373">
            <v>46192</v>
          </cell>
          <cell r="AO373">
            <v>46195</v>
          </cell>
          <cell r="AP373">
            <v>46195</v>
          </cell>
          <cell r="AQ373">
            <v>46196</v>
          </cell>
          <cell r="DX373">
            <v>46151</v>
          </cell>
        </row>
        <row r="374">
          <cell r="A374" t="str">
            <v>AUG_2026</v>
          </cell>
          <cell r="B374" t="str">
            <v>Z-013B/2026</v>
          </cell>
          <cell r="E374" t="str">
            <v>CATARINA</v>
          </cell>
          <cell r="F374" t="str">
            <v>WAITING ARRIVAL</v>
          </cell>
          <cell r="G374" t="str">
            <v>SEA</v>
          </cell>
          <cell r="J374">
            <v>46172</v>
          </cell>
          <cell r="L374">
            <v>46222</v>
          </cell>
          <cell r="O374"/>
          <cell r="P374" t="str">
            <v>SDBLBS601818</v>
          </cell>
          <cell r="R374" t="str">
            <v>PWBR260089-10B</v>
          </cell>
          <cell r="T374" t="str">
            <v>MSMU508501/2, TEMU689905/4</v>
          </cell>
          <cell r="U374">
            <v>2</v>
          </cell>
          <cell r="AK374">
            <v>46181</v>
          </cell>
          <cell r="AL374">
            <v>46191</v>
          </cell>
          <cell r="AM374">
            <v>46196</v>
          </cell>
          <cell r="AN374">
            <v>46196</v>
          </cell>
          <cell r="AO374" t="str">
            <v>24/26/2026</v>
          </cell>
          <cell r="AP374">
            <v>46198</v>
          </cell>
          <cell r="AQ374">
            <v>46198</v>
          </cell>
          <cell r="DX374">
            <v>46151</v>
          </cell>
        </row>
        <row r="375">
          <cell r="A375" t="str">
            <v>AUG_2026</v>
          </cell>
          <cell r="B375" t="str">
            <v>Z-013C/2026</v>
          </cell>
          <cell r="E375" t="str">
            <v>CATARINA</v>
          </cell>
          <cell r="F375" t="str">
            <v>WAITING ARRIVAL</v>
          </cell>
          <cell r="G375" t="str">
            <v>SEA</v>
          </cell>
          <cell r="J375">
            <v>46172</v>
          </cell>
          <cell r="L375">
            <v>46222</v>
          </cell>
          <cell r="O375"/>
          <cell r="P375" t="str">
            <v>SDBLBS601820</v>
          </cell>
          <cell r="R375" t="str">
            <v>PWBR260089-10C</v>
          </cell>
          <cell r="T375" t="str">
            <v>CAAU736753/2</v>
          </cell>
          <cell r="U375">
            <v>0.5</v>
          </cell>
          <cell r="AK375" t="str">
            <v>10/06/20026</v>
          </cell>
          <cell r="AL375">
            <v>46191</v>
          </cell>
          <cell r="AM375">
            <v>46192</v>
          </cell>
          <cell r="AN375">
            <v>46192</v>
          </cell>
          <cell r="AO375">
            <v>46195</v>
          </cell>
          <cell r="AP375">
            <v>46195</v>
          </cell>
          <cell r="AQ375">
            <v>46196</v>
          </cell>
          <cell r="DX375">
            <v>46151</v>
          </cell>
        </row>
        <row r="376">
          <cell r="A376" t="str">
            <v>AUG_2026</v>
          </cell>
          <cell r="B376" t="str">
            <v>Z-013D/2026</v>
          </cell>
          <cell r="E376" t="str">
            <v>CATARINA</v>
          </cell>
          <cell r="F376" t="str">
            <v>WAITING ARRIVAL</v>
          </cell>
          <cell r="G376" t="str">
            <v>SEA</v>
          </cell>
          <cell r="J376">
            <v>46195</v>
          </cell>
          <cell r="L376">
            <v>46237</v>
          </cell>
          <cell r="O376"/>
          <cell r="P376" t="str">
            <v>SDBLBS603286</v>
          </cell>
          <cell r="R376" t="str">
            <v>PWBR260089-10D</v>
          </cell>
          <cell r="T376" t="str">
            <v>MSMU4126349</v>
          </cell>
          <cell r="U376">
            <v>1</v>
          </cell>
          <cell r="DX376">
            <v>46143</v>
          </cell>
        </row>
        <row r="377">
          <cell r="A377" t="str">
            <v>JUN_2026</v>
          </cell>
          <cell r="B377" t="str">
            <v>020/2026</v>
          </cell>
          <cell r="E377" t="str">
            <v>LEISIANE</v>
          </cell>
          <cell r="F377" t="str">
            <v>DELIVERED</v>
          </cell>
          <cell r="G377" t="str">
            <v>AIR</v>
          </cell>
          <cell r="J377">
            <v>46176</v>
          </cell>
          <cell r="L377">
            <v>46178</v>
          </cell>
          <cell r="O377">
            <v>46189</v>
          </cell>
          <cell r="P377" t="str">
            <v>DTW260529FOR</v>
          </cell>
          <cell r="R377" t="str">
            <v>PWBR260099-40</v>
          </cell>
          <cell r="AD377">
            <v>46182</v>
          </cell>
          <cell r="AE377">
            <v>46183</v>
          </cell>
          <cell r="AJ377">
            <v>687486.08</v>
          </cell>
          <cell r="AK377">
            <v>46174</v>
          </cell>
          <cell r="AL377">
            <v>46175</v>
          </cell>
          <cell r="AM377">
            <v>46176</v>
          </cell>
          <cell r="AN377">
            <v>46178</v>
          </cell>
          <cell r="AO377">
            <v>46181</v>
          </cell>
          <cell r="AP377">
            <v>46181</v>
          </cell>
          <cell r="AQ377">
            <v>46182</v>
          </cell>
          <cell r="AR377">
            <v>46181</v>
          </cell>
          <cell r="AS377">
            <v>46182</v>
          </cell>
          <cell r="AT377">
            <v>46182</v>
          </cell>
          <cell r="AU377">
            <v>46182</v>
          </cell>
          <cell r="BA377">
            <v>46188</v>
          </cell>
          <cell r="BD377">
            <v>46183</v>
          </cell>
          <cell r="BE377">
            <v>46184</v>
          </cell>
          <cell r="BF377">
            <v>46184</v>
          </cell>
          <cell r="BG377">
            <v>46188</v>
          </cell>
          <cell r="BH377">
            <v>46189</v>
          </cell>
          <cell r="BQ377">
            <v>41533.550000000003</v>
          </cell>
          <cell r="BR377">
            <v>46214</v>
          </cell>
          <cell r="DW377" t="str">
            <v>SEFAZ HOMOLOGATION - NF/GLME</v>
          </cell>
        </row>
        <row r="378">
          <cell r="A378" t="str">
            <v>AUG_2026</v>
          </cell>
          <cell r="B378" t="str">
            <v>Z-016/2026</v>
          </cell>
          <cell r="E378" t="str">
            <v>CATARINA</v>
          </cell>
          <cell r="F378" t="str">
            <v>WAITING ARRIVAL</v>
          </cell>
          <cell r="G378" t="str">
            <v>SEA</v>
          </cell>
          <cell r="J378">
            <v>46190</v>
          </cell>
          <cell r="L378">
            <v>46245</v>
          </cell>
          <cell r="P378" t="str">
            <v>SYNHGH26SE061367A</v>
          </cell>
          <cell r="R378" t="str">
            <v>PWBR260053-20</v>
          </cell>
          <cell r="T378" t="str">
            <v>TEMU8270482</v>
          </cell>
          <cell r="U378">
            <v>1</v>
          </cell>
          <cell r="DX378">
            <v>46162</v>
          </cell>
        </row>
        <row r="379">
          <cell r="A379" t="str">
            <v>MAY_2026</v>
          </cell>
          <cell r="B379" t="str">
            <v>H-FOR011/2026</v>
          </cell>
          <cell r="E379" t="str">
            <v>NATHALIA</v>
          </cell>
          <cell r="F379" t="str">
            <v>WAITING SHIPMENT</v>
          </cell>
          <cell r="G379" t="str">
            <v>SEA</v>
          </cell>
        </row>
        <row r="380">
          <cell r="A380" t="str">
            <v>JUNE_2026</v>
          </cell>
          <cell r="B380" t="str">
            <v>H-FOR012/2026</v>
          </cell>
          <cell r="E380" t="str">
            <v>LEISIANE</v>
          </cell>
          <cell r="F380" t="str">
            <v>DELIVERED</v>
          </cell>
          <cell r="G380" t="str">
            <v>AIR</v>
          </cell>
          <cell r="J380">
            <v>46189</v>
          </cell>
          <cell r="L380">
            <v>46193</v>
          </cell>
          <cell r="O380">
            <v>46199</v>
          </cell>
          <cell r="P380" t="str">
            <v>DTW260612FOR</v>
          </cell>
          <cell r="R380" t="str">
            <v>PWBR260131-20</v>
          </cell>
          <cell r="AD380">
            <v>46196</v>
          </cell>
          <cell r="AE380">
            <v>46196</v>
          </cell>
          <cell r="AJ380">
            <v>11723.67</v>
          </cell>
          <cell r="AK380">
            <v>46195</v>
          </cell>
          <cell r="AL380">
            <v>46195</v>
          </cell>
          <cell r="AM380">
            <v>46195</v>
          </cell>
          <cell r="AN380">
            <v>46195</v>
          </cell>
          <cell r="AO380">
            <v>46195</v>
          </cell>
          <cell r="AP380">
            <v>46195</v>
          </cell>
          <cell r="AQ380">
            <v>46196</v>
          </cell>
          <cell r="AR380">
            <v>46195</v>
          </cell>
          <cell r="AS380">
            <v>46196</v>
          </cell>
          <cell r="AT380">
            <v>46196</v>
          </cell>
          <cell r="AU380">
            <v>46196</v>
          </cell>
          <cell r="BA380">
            <v>46199</v>
          </cell>
          <cell r="BB380">
            <v>46199</v>
          </cell>
          <cell r="BD380">
            <v>46196</v>
          </cell>
          <cell r="BE380">
            <v>46197</v>
          </cell>
          <cell r="BF380">
            <v>46197</v>
          </cell>
          <cell r="BG380">
            <v>46199</v>
          </cell>
          <cell r="BH380">
            <v>46199</v>
          </cell>
        </row>
        <row r="381">
          <cell r="A381" t="str">
            <v>AUG_2026</v>
          </cell>
          <cell r="B381" t="str">
            <v>017/2026</v>
          </cell>
          <cell r="E381" t="str">
            <v>LEISIANE</v>
          </cell>
          <cell r="F381" t="str">
            <v>WAITING SHIPMENT</v>
          </cell>
          <cell r="G381" t="str">
            <v>SEA</v>
          </cell>
          <cell r="R381" t="str">
            <v>YRN2600066-10</v>
          </cell>
          <cell r="DX381">
            <v>46206</v>
          </cell>
        </row>
        <row r="382">
          <cell r="A382" t="str">
            <v>AUG_2026</v>
          </cell>
          <cell r="B382" t="str">
            <v>H-CWB006/2026</v>
          </cell>
          <cell r="E382" t="str">
            <v xml:space="preserve">LEISIANE </v>
          </cell>
          <cell r="F382" t="str">
            <v>WAITING SHIPMENT</v>
          </cell>
          <cell r="G382" t="str">
            <v>SEA</v>
          </cell>
        </row>
        <row r="383">
          <cell r="A383" t="str">
            <v>SEP_2026</v>
          </cell>
          <cell r="B383" t="str">
            <v>Z-018/2026</v>
          </cell>
          <cell r="E383" t="str">
            <v>CATARINA</v>
          </cell>
          <cell r="F383" t="str">
            <v>CUSTOMS CLEARANCE</v>
          </cell>
          <cell r="G383" t="str">
            <v>COURIER</v>
          </cell>
          <cell r="J383">
            <v>46191</v>
          </cell>
          <cell r="L383">
            <v>46205</v>
          </cell>
        </row>
        <row r="384">
          <cell r="A384" t="str">
            <v>AUG - 2026</v>
          </cell>
          <cell r="B384" t="str">
            <v>021A/2026</v>
          </cell>
          <cell r="E384" t="str">
            <v>LEISIANE</v>
          </cell>
          <cell r="F384" t="str">
            <v>DELIVERED</v>
          </cell>
          <cell r="G384" t="str">
            <v>AIR</v>
          </cell>
          <cell r="J384">
            <v>46199</v>
          </cell>
          <cell r="L384">
            <v>46201</v>
          </cell>
          <cell r="O384">
            <v>46206</v>
          </cell>
          <cell r="P384" t="str">
            <v xml:space="preserve">DTW260623FOR </v>
          </cell>
          <cell r="R384" t="str">
            <v xml:space="preserve">PWBR260112-10A </v>
          </cell>
          <cell r="AD384">
            <v>46203</v>
          </cell>
          <cell r="AE384">
            <v>46203</v>
          </cell>
          <cell r="AJ384">
            <v>37211.629999999997</v>
          </cell>
          <cell r="AK384">
            <v>46197</v>
          </cell>
          <cell r="AL384">
            <v>46197</v>
          </cell>
          <cell r="AM384">
            <v>46198</v>
          </cell>
          <cell r="AN384">
            <v>46198</v>
          </cell>
          <cell r="AO384">
            <v>46199</v>
          </cell>
          <cell r="AP384">
            <v>46199</v>
          </cell>
          <cell r="AQ384">
            <v>46202</v>
          </cell>
          <cell r="AR384">
            <v>46202</v>
          </cell>
          <cell r="AS384">
            <v>46203</v>
          </cell>
          <cell r="AT384">
            <v>46203</v>
          </cell>
          <cell r="AU384">
            <v>46203</v>
          </cell>
          <cell r="AV384">
            <v>46203</v>
          </cell>
          <cell r="AW384">
            <v>46203</v>
          </cell>
          <cell r="AX384">
            <v>46204</v>
          </cell>
          <cell r="BA384">
            <v>46205</v>
          </cell>
          <cell r="BB384">
            <v>46205</v>
          </cell>
          <cell r="BC384">
            <v>46206</v>
          </cell>
          <cell r="BD384">
            <v>46203</v>
          </cell>
          <cell r="BE384">
            <v>46204</v>
          </cell>
          <cell r="BF384">
            <v>46204</v>
          </cell>
          <cell r="BG384">
            <v>46205</v>
          </cell>
          <cell r="BH384">
            <v>46206</v>
          </cell>
        </row>
        <row r="385">
          <cell r="B385" t="str">
            <v>015/2026</v>
          </cell>
          <cell r="E385" t="str">
            <v>LEISIANE</v>
          </cell>
          <cell r="F385" t="str">
            <v>WAITING ARRIVAL</v>
          </cell>
          <cell r="G385" t="str">
            <v>SEA</v>
          </cell>
          <cell r="J385">
            <v>46196</v>
          </cell>
          <cell r="L385">
            <v>46236</v>
          </cell>
          <cell r="P385" t="str">
            <v>SDBLBS680256</v>
          </cell>
          <cell r="R385" t="str">
            <v>PWBR260112-10</v>
          </cell>
          <cell r="T385" t="str">
            <v>UETU6603739; MSBU5356770; MEDU4785065</v>
          </cell>
          <cell r="U385">
            <v>3</v>
          </cell>
        </row>
        <row r="386">
          <cell r="B386" t="str">
            <v>021B/2026</v>
          </cell>
          <cell r="E386" t="str">
            <v>LEISIANE</v>
          </cell>
          <cell r="F386" t="str">
            <v>WAITING SHIPMENT</v>
          </cell>
          <cell r="G386" t="str">
            <v>AIR</v>
          </cell>
          <cell r="R386" t="str">
            <v>PWBR260112-10B</v>
          </cell>
        </row>
        <row r="387">
          <cell r="A387" t="str">
            <v>SEP_2026</v>
          </cell>
          <cell r="B387" t="str">
            <v>Z-019/2026</v>
          </cell>
          <cell r="E387" t="str">
            <v>CATARINA</v>
          </cell>
          <cell r="F387" t="str">
            <v>WAITING ARRIVAL</v>
          </cell>
          <cell r="G387" t="str">
            <v>SEA</v>
          </cell>
          <cell r="J387"/>
          <cell r="R387" t="str">
            <v>PWBR260121-90</v>
          </cell>
        </row>
        <row r="388">
          <cell r="B388" t="str">
            <v>022/2026</v>
          </cell>
          <cell r="E388" t="str">
            <v>LEISIANE</v>
          </cell>
          <cell r="F388" t="str">
            <v>CUSTOMS CLEARANCE</v>
          </cell>
          <cell r="G388" t="str">
            <v>COURIER</v>
          </cell>
          <cell r="J388">
            <v>46206</v>
          </cell>
          <cell r="L388">
            <v>46216</v>
          </cell>
          <cell r="P388">
            <v>3330718436</v>
          </cell>
          <cell r="R388" t="str">
            <v>SBR2600028</v>
          </cell>
        </row>
        <row r="389">
          <cell r="B389" t="str">
            <v>023/2026</v>
          </cell>
          <cell r="E389" t="str">
            <v>LEISIANE</v>
          </cell>
          <cell r="F389" t="str">
            <v>WAITING ARRIVAL</v>
          </cell>
          <cell r="G389" t="str">
            <v>AIR</v>
          </cell>
          <cell r="J389">
            <v>46211</v>
          </cell>
          <cell r="L389">
            <v>46216</v>
          </cell>
          <cell r="R389" t="str">
            <v>PWBR260114-30</v>
          </cell>
        </row>
        <row r="674">
          <cell r="AO674">
            <v>46164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NATO  JANERI" id="{E2A93720-AEF9-4B92-989C-3FAC6470BBC5}" userId="S::renato.janeri@eletraenergy.com::e68a1932-740e-4de6-a8fd-938956f3455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12" dT="2026-04-24T00:45:08.06" personId="{E2A93720-AEF9-4B92-989C-3FAC6470BBC5}" id="{4934D672-0F91-4CD7-9E9A-F001125E7804}">
    <text>DUIMP was not registered at the required date because did not resources at bank account. Registration authorized again at 22-Apr-2026.</text>
  </threadedComment>
  <threadedComment ref="W54" dT="2026-04-29T12:43:46.12" personId="{E2A93720-AEF9-4B92-989C-3FAC6470BBC5}" id="{472360B8-FBB4-4557-BBAE-DB7A5773E2E1}">
    <text>Pending autohorization caused by a ICMS tax divergengy that is being checked.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16" dT="2026-04-24T00:45:08.06" personId="{E2A93720-AEF9-4B92-989C-3FAC6470BBC5}" id="{1C3D828F-85FA-4E0E-94E9-1C493FE32B07}">
    <text>DUIMP was not registered at the required date because did not resources at bank account. Registration authorized again at 22-Apr-2026.</text>
  </threadedComment>
  <threadedComment ref="CP21" dT="2026-05-13T12:32:24.95" personId="{E2A93720-AEF9-4B92-989C-3FAC6470BBC5}" id="{2AE40B50-ED5B-4F03-B23A-FC1D6C953FDC}">
    <text>Issue with Fiscal Note (NF) being solved with TAX and IT Teams</text>
  </threadedComment>
  <threadedComment ref="CP22" dT="2026-05-13T12:32:24.95" personId="{E2A93720-AEF9-4B92-989C-3FAC6470BBC5}" id="{B13FBDDA-BF84-43F0-9351-19117D6C25FD}">
    <text>Issue with Fiscal Note (NF) being solved with TAX and IT Teams</text>
  </threadedComment>
  <threadedComment ref="AC24" dT="2026-05-11T12:07:49.40" personId="{E2A93720-AEF9-4B92-989C-3FAC6470BBC5}" id="{35C124AE-1D4F-4160-9648-C36CA9AEB95F}">
    <text>DUIMP not registered at 08-May caused by a problem at Customs system integration</text>
  </threadedComment>
  <threadedComment ref="AC25" dT="2026-05-13T12:34:03.87" personId="{E2A93720-AEF9-4B92-989C-3FAC6470BBC5}" id="{453E3F46-3F31-4B0A-B7E0-3E1A4B0A3B74}">
    <text>Imports Declaration (DUIMP) not registered because didn´t have resources at accounting</text>
  </threadedComment>
  <threadedComment ref="AC26" dT="2026-05-11T12:07:49.40" personId="{E2A93720-AEF9-4B92-989C-3FAC6470BBC5}" id="{F49AC7D4-59A4-479F-969D-D07C6F98A2BC}">
    <text>DUIMP not registered at 08-May caused by a problem at Customs system integration</text>
  </threadedComment>
  <threadedComment ref="CP26" dT="2026-05-13T12:32:24.95" personId="{E2A93720-AEF9-4B92-989C-3FAC6470BBC5}" id="{56F69EEE-5781-47C3-AE13-E1A3B134EDD5}">
    <text>Issue with Fiscal Note (NF) being solved with TAX and IT Teams</text>
  </threadedComment>
  <threadedComment ref="AC27" dT="2026-05-11T12:07:49.40" personId="{E2A93720-AEF9-4B92-989C-3FAC6470BBC5}" id="{E325C78B-B6A5-471A-937B-854B12AA4956}">
    <text>DUIMP not registered at 08-May caused by a problem at Customs system integration</text>
  </threadedComment>
  <threadedComment ref="X80" dT="2026-04-29T12:43:46.12" personId="{E2A93720-AEF9-4B92-989C-3FAC6470BBC5}" id="{CE6261F8-9D16-4758-8DB2-45FE8773E430}">
    <text>Pending autohorization caused by a ICMS tax divergengy that is being checked.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8504D9-CA31-4841-940F-6FBF7C8601B9}">
  <we:reference id="WA200009404" version="1.0.0.8" store="pt-br" storeType="omex"/>
  <we:alternateReferences>
    <we:reference id="WA200009404" version="1.0.0.8" store="pt-br" storeType="omex"/>
  </we:alternateReferences>
  <we:properties>
    <we:property name="claude.fileId" value="&quot;d702bf60-55d6-4702-9663-283d185280e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1B0B-BFE8-4700-8232-2ACAFE05E814}">
  <sheetPr filterMode="1"/>
  <dimension ref="A1:FY266"/>
  <sheetViews>
    <sheetView showGridLines="0" zoomScale="113" zoomScaleNormal="115" workbookViewId="0">
      <pane xSplit="4" ySplit="7" topLeftCell="E10" activePane="bottomRight" state="frozen"/>
      <selection pane="bottomRight"/>
      <selection pane="bottomLeft" activeCell="A297" sqref="A297"/>
      <selection pane="topRight" activeCell="D1" sqref="D1"/>
    </sheetView>
  </sheetViews>
  <sheetFormatPr defaultColWidth="9.140625" defaultRowHeight="30" customHeight="1"/>
  <cols>
    <col min="1" max="1" width="9.140625" style="221"/>
    <col min="2" max="2" width="8.28515625" style="93" customWidth="1"/>
    <col min="3" max="3" width="11.42578125" style="149" customWidth="1"/>
    <col min="4" max="4" width="15.42578125" style="92" customWidth="1"/>
    <col min="5" max="5" width="7.140625" style="92" customWidth="1"/>
    <col min="6" max="6" width="17" style="148" customWidth="1"/>
    <col min="7" max="7" width="20.140625" style="92" customWidth="1"/>
    <col min="8" max="8" width="6.7109375" style="141" customWidth="1"/>
    <col min="9" max="9" width="12.7109375" style="141" customWidth="1"/>
    <col min="10" max="10" width="12.140625" style="141" customWidth="1"/>
    <col min="11" max="11" width="11.85546875" style="141" customWidth="1"/>
    <col min="12" max="12" width="13.42578125" style="141" customWidth="1"/>
    <col min="13" max="14" width="13.7109375" style="141" customWidth="1"/>
    <col min="15" max="15" width="12.5703125" style="141" customWidth="1"/>
    <col min="16" max="16" width="14.5703125" style="141" customWidth="1"/>
    <col min="17" max="17" width="12.140625" style="141" customWidth="1"/>
    <col min="18" max="18" width="12.42578125" style="141" customWidth="1"/>
    <col min="19" max="19" width="14.42578125" style="141" customWidth="1"/>
    <col min="20" max="20" width="13" style="141" customWidth="1"/>
    <col min="21" max="21" width="15.85546875" style="92" customWidth="1"/>
    <col min="22" max="22" width="14.42578125" style="141" customWidth="1"/>
    <col min="23" max="23" width="11.7109375" style="141" customWidth="1"/>
    <col min="24" max="26" width="8.5703125" style="150" customWidth="1"/>
    <col min="27" max="27" width="14" style="150" customWidth="1"/>
    <col min="28" max="28" width="13.28515625" style="151" customWidth="1"/>
    <col min="29" max="29" width="9.5703125" style="141" customWidth="1"/>
    <col min="30" max="30" width="9.28515625" style="141" customWidth="1"/>
    <col min="31" max="31" width="9.140625" style="141" customWidth="1"/>
    <col min="32" max="32" width="13.140625" style="141" customWidth="1"/>
    <col min="33" max="33" width="11.5703125" style="141" customWidth="1"/>
    <col min="34" max="36" width="8.5703125" style="141" customWidth="1"/>
    <col min="37" max="37" width="12.85546875" style="141" customWidth="1"/>
    <col min="38" max="38" width="12.42578125" style="141" customWidth="1"/>
    <col min="39" max="41" width="8.5703125" style="141" customWidth="1"/>
    <col min="42" max="43" width="12.140625" style="141" customWidth="1"/>
    <col min="44" max="46" width="8.5703125" style="141" customWidth="1"/>
    <col min="47" max="47" width="12.5703125" style="141" customWidth="1"/>
    <col min="48" max="48" width="13.42578125" style="141" customWidth="1"/>
    <col min="49" max="51" width="8.5703125" style="141" customWidth="1"/>
    <col min="52" max="52" width="13.5703125" style="141" customWidth="1"/>
    <col min="53" max="53" width="13.42578125" style="141" bestFit="1" customWidth="1"/>
    <col min="54" max="56" width="8.5703125" style="141" customWidth="1"/>
    <col min="57" max="57" width="13.5703125" style="149" customWidth="1"/>
    <col min="58" max="58" width="13.5703125" style="149" bestFit="1" customWidth="1"/>
    <col min="59" max="61" width="8.5703125" style="141" customWidth="1"/>
    <col min="62" max="62" width="14.5703125" style="149" customWidth="1"/>
    <col min="63" max="63" width="12.5703125" style="152" customWidth="1"/>
    <col min="64" max="66" width="8.5703125" style="141" customWidth="1"/>
    <col min="67" max="67" width="12.42578125" style="141" customWidth="1"/>
    <col min="68" max="68" width="12.42578125" style="92" customWidth="1"/>
    <col min="69" max="71" width="8.5703125" style="141" customWidth="1"/>
    <col min="72" max="72" width="12.42578125" style="141" customWidth="1"/>
    <col min="73" max="73" width="11.5703125" style="92" customWidth="1"/>
    <col min="74" max="76" width="8.5703125" style="141" customWidth="1"/>
    <col min="77" max="77" width="13.140625" style="141" customWidth="1"/>
    <col min="78" max="78" width="11.85546875" style="92" customWidth="1"/>
    <col min="79" max="81" width="8.5703125" style="141" customWidth="1"/>
    <col min="82" max="82" width="12.85546875" style="141" customWidth="1"/>
    <col min="83" max="83" width="11.5703125" style="92" customWidth="1"/>
    <col min="84" max="86" width="8.5703125" style="141" customWidth="1"/>
    <col min="87" max="87" width="14" style="141" customWidth="1"/>
    <col min="88" max="88" width="12.140625" style="92" customWidth="1"/>
    <col min="89" max="91" width="8.5703125" style="141" customWidth="1"/>
    <col min="92" max="92" width="13.42578125" style="141" customWidth="1"/>
    <col min="93" max="93" width="11.85546875" style="92" customWidth="1"/>
    <col min="94" max="96" width="8.5703125" style="141" customWidth="1"/>
    <col min="97" max="97" width="13.7109375" style="141" customWidth="1"/>
    <col min="98" max="98" width="11.5703125" style="92" customWidth="1"/>
    <col min="99" max="99" width="12.42578125" style="141" customWidth="1"/>
    <col min="100" max="101" width="8.5703125" style="141" customWidth="1"/>
    <col min="102" max="102" width="13" style="141" customWidth="1"/>
    <col min="103" max="103" width="11.85546875" style="92" customWidth="1"/>
    <col min="104" max="106" width="8.5703125" style="141" customWidth="1"/>
    <col min="107" max="107" width="14.42578125" style="141" customWidth="1"/>
    <col min="108" max="108" width="11.5703125" style="141" customWidth="1"/>
    <col min="109" max="111" width="8.5703125" style="141" customWidth="1"/>
    <col min="112" max="112" width="13.140625" style="141" customWidth="1"/>
    <col min="113" max="113" width="11.85546875" style="92" customWidth="1"/>
    <col min="114" max="116" width="8.5703125" style="141" customWidth="1"/>
    <col min="117" max="117" width="13.42578125" style="141" customWidth="1"/>
    <col min="118" max="118" width="13.28515625" style="155" customWidth="1"/>
    <col min="119" max="119" width="11.85546875" style="92" customWidth="1"/>
    <col min="120" max="122" width="8.5703125" style="141" customWidth="1"/>
    <col min="123" max="123" width="14.28515625" style="156" customWidth="1"/>
    <col min="124" max="124" width="13.42578125" style="136" customWidth="1"/>
    <col min="125" max="125" width="13.7109375" style="136" customWidth="1"/>
    <col min="126" max="126" width="3.5703125" style="141" customWidth="1"/>
    <col min="127" max="127" width="74.140625" style="141" bestFit="1" customWidth="1"/>
    <col min="128" max="181" width="9.140625" style="141" customWidth="1"/>
    <col min="182" max="16384" width="9.140625" style="141"/>
  </cols>
  <sheetData>
    <row r="1" spans="1:181" s="134" customFormat="1" ht="30" customHeight="1">
      <c r="A1" s="222"/>
      <c r="B1" s="60"/>
      <c r="C1" s="55"/>
      <c r="D1" s="534" t="s">
        <v>0</v>
      </c>
      <c r="E1" s="465"/>
      <c r="F1" s="465"/>
      <c r="G1" s="465"/>
      <c r="H1" s="465"/>
      <c r="I1" s="465"/>
      <c r="J1" s="465"/>
      <c r="K1" s="465"/>
      <c r="L1" s="465"/>
      <c r="M1" s="467"/>
      <c r="N1" s="474" t="s">
        <v>1</v>
      </c>
      <c r="O1" s="475"/>
      <c r="P1" s="475"/>
      <c r="Q1" s="475"/>
      <c r="R1" s="475"/>
      <c r="S1" s="475"/>
      <c r="T1" s="476"/>
      <c r="U1" s="56" t="s">
        <v>2</v>
      </c>
      <c r="V1" s="516" t="s">
        <v>3</v>
      </c>
      <c r="W1" s="535"/>
      <c r="X1" s="518"/>
      <c r="Y1" s="518"/>
      <c r="Z1" s="518"/>
      <c r="AA1" s="518"/>
      <c r="AB1" s="536"/>
      <c r="AC1" s="518"/>
      <c r="AD1" s="518"/>
      <c r="AE1" s="518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65"/>
      <c r="DO1" s="41"/>
      <c r="DP1" s="41"/>
      <c r="DQ1" s="41"/>
      <c r="DR1" s="42"/>
      <c r="DS1" s="514" t="s">
        <v>4</v>
      </c>
      <c r="DT1" s="514"/>
      <c r="DU1" s="514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  <c r="EP1" s="133"/>
      <c r="EQ1" s="133"/>
      <c r="ER1" s="133"/>
      <c r="ES1" s="133"/>
      <c r="ET1" s="133"/>
      <c r="EU1" s="133"/>
      <c r="EV1" s="133"/>
      <c r="EW1" s="133"/>
      <c r="EX1" s="133"/>
      <c r="EY1" s="133"/>
      <c r="EZ1" s="133"/>
      <c r="FA1" s="133"/>
      <c r="FB1" s="133"/>
      <c r="FC1" s="133"/>
      <c r="FD1" s="133"/>
      <c r="FE1" s="133"/>
      <c r="FF1" s="133"/>
      <c r="FG1" s="133"/>
      <c r="FH1" s="133"/>
      <c r="FI1" s="133"/>
      <c r="FJ1" s="133"/>
      <c r="FK1" s="133"/>
      <c r="FL1" s="133"/>
      <c r="FM1" s="133"/>
      <c r="FN1" s="133"/>
      <c r="FO1" s="133"/>
      <c r="FP1" s="133"/>
      <c r="FQ1" s="133"/>
      <c r="FR1" s="133"/>
      <c r="FS1" s="133"/>
      <c r="FT1" s="133"/>
      <c r="FU1" s="133"/>
      <c r="FV1" s="133"/>
      <c r="FW1" s="133"/>
      <c r="FX1" s="133"/>
      <c r="FY1" s="133"/>
    </row>
    <row r="2" spans="1:181" s="135" customFormat="1" ht="15" customHeight="1">
      <c r="A2" s="223"/>
      <c r="B2" s="468"/>
      <c r="C2" s="469"/>
      <c r="D2" s="469"/>
      <c r="E2" s="469"/>
      <c r="F2" s="469"/>
      <c r="G2" s="469"/>
      <c r="H2" s="469"/>
      <c r="I2" s="469"/>
      <c r="J2" s="469"/>
      <c r="K2" s="469"/>
      <c r="L2" s="469"/>
      <c r="M2" s="472"/>
      <c r="N2" s="473"/>
      <c r="O2" s="469"/>
      <c r="P2" s="469"/>
      <c r="Q2" s="469"/>
      <c r="R2" s="469"/>
      <c r="S2" s="469"/>
      <c r="T2" s="472"/>
      <c r="U2" s="57" t="s">
        <v>5</v>
      </c>
      <c r="V2" s="524" t="s">
        <v>6</v>
      </c>
      <c r="W2" s="537"/>
      <c r="X2" s="526"/>
      <c r="Y2" s="526"/>
      <c r="Z2" s="527"/>
      <c r="AA2" s="509" t="s">
        <v>7</v>
      </c>
      <c r="AB2" s="538"/>
      <c r="AC2" s="511"/>
      <c r="AD2" s="511"/>
      <c r="AE2" s="511"/>
      <c r="AF2" s="499" t="s">
        <v>8</v>
      </c>
      <c r="AG2" s="501"/>
      <c r="AH2" s="501" t="s">
        <v>9</v>
      </c>
      <c r="AI2" s="501" t="s">
        <v>9</v>
      </c>
      <c r="AJ2" s="502" t="s">
        <v>9</v>
      </c>
      <c r="AK2" s="503" t="s">
        <v>10</v>
      </c>
      <c r="AL2" s="505"/>
      <c r="AM2" s="505" t="s">
        <v>11</v>
      </c>
      <c r="AN2" s="505" t="s">
        <v>11</v>
      </c>
      <c r="AO2" s="506" t="s">
        <v>11</v>
      </c>
      <c r="AP2" s="507" t="s">
        <v>12</v>
      </c>
      <c r="AQ2" s="501"/>
      <c r="AR2" s="501" t="s">
        <v>13</v>
      </c>
      <c r="AS2" s="501" t="s">
        <v>13</v>
      </c>
      <c r="AT2" s="508" t="s">
        <v>13</v>
      </c>
      <c r="AU2" s="503" t="s">
        <v>14</v>
      </c>
      <c r="AV2" s="505"/>
      <c r="AW2" s="505" t="s">
        <v>15</v>
      </c>
      <c r="AX2" s="505" t="s">
        <v>15</v>
      </c>
      <c r="AY2" s="506" t="s">
        <v>15</v>
      </c>
      <c r="AZ2" s="507" t="s">
        <v>16</v>
      </c>
      <c r="BA2" s="501"/>
      <c r="BB2" s="501" t="s">
        <v>17</v>
      </c>
      <c r="BC2" s="501" t="s">
        <v>17</v>
      </c>
      <c r="BD2" s="508" t="s">
        <v>17</v>
      </c>
      <c r="BE2" s="503" t="s">
        <v>18</v>
      </c>
      <c r="BF2" s="505"/>
      <c r="BG2" s="505" t="s">
        <v>19</v>
      </c>
      <c r="BH2" s="505" t="s">
        <v>19</v>
      </c>
      <c r="BI2" s="506" t="s">
        <v>19</v>
      </c>
      <c r="BJ2" s="507" t="s">
        <v>20</v>
      </c>
      <c r="BK2" s="501"/>
      <c r="BL2" s="501" t="s">
        <v>21</v>
      </c>
      <c r="BM2" s="501" t="s">
        <v>21</v>
      </c>
      <c r="BN2" s="508" t="s">
        <v>21</v>
      </c>
      <c r="BO2" s="503" t="s">
        <v>22</v>
      </c>
      <c r="BP2" s="505"/>
      <c r="BQ2" s="505" t="s">
        <v>23</v>
      </c>
      <c r="BR2" s="505" t="s">
        <v>23</v>
      </c>
      <c r="BS2" s="506" t="s">
        <v>23</v>
      </c>
      <c r="BT2" s="507" t="s">
        <v>24</v>
      </c>
      <c r="BU2" s="501"/>
      <c r="BV2" s="501" t="s">
        <v>25</v>
      </c>
      <c r="BW2" s="501" t="s">
        <v>25</v>
      </c>
      <c r="BX2" s="508" t="s">
        <v>25</v>
      </c>
      <c r="BY2" s="503" t="s">
        <v>26</v>
      </c>
      <c r="BZ2" s="505"/>
      <c r="CA2" s="505" t="s">
        <v>27</v>
      </c>
      <c r="CB2" s="505" t="s">
        <v>27</v>
      </c>
      <c r="CC2" s="506" t="s">
        <v>27</v>
      </c>
      <c r="CD2" s="507" t="s">
        <v>28</v>
      </c>
      <c r="CE2" s="501"/>
      <c r="CF2" s="501" t="s">
        <v>29</v>
      </c>
      <c r="CG2" s="501" t="s">
        <v>29</v>
      </c>
      <c r="CH2" s="508" t="s">
        <v>29</v>
      </c>
      <c r="CI2" s="503" t="s">
        <v>30</v>
      </c>
      <c r="CJ2" s="505"/>
      <c r="CK2" s="505" t="s">
        <v>31</v>
      </c>
      <c r="CL2" s="505" t="s">
        <v>31</v>
      </c>
      <c r="CM2" s="506" t="s">
        <v>31</v>
      </c>
      <c r="CN2" s="507" t="s">
        <v>32</v>
      </c>
      <c r="CO2" s="501"/>
      <c r="CP2" s="501" t="s">
        <v>33</v>
      </c>
      <c r="CQ2" s="501" t="s">
        <v>33</v>
      </c>
      <c r="CR2" s="501" t="s">
        <v>33</v>
      </c>
      <c r="CS2" s="509" t="s">
        <v>34</v>
      </c>
      <c r="CT2" s="511"/>
      <c r="CU2" s="511"/>
      <c r="CV2" s="511"/>
      <c r="CW2" s="512"/>
      <c r="CX2" s="501" t="s">
        <v>35</v>
      </c>
      <c r="CY2" s="501"/>
      <c r="CZ2" s="501"/>
      <c r="DA2" s="501"/>
      <c r="DB2" s="508"/>
      <c r="DC2" s="509" t="s">
        <v>36</v>
      </c>
      <c r="DD2" s="511"/>
      <c r="DE2" s="511" t="s">
        <v>37</v>
      </c>
      <c r="DF2" s="511" t="s">
        <v>37</v>
      </c>
      <c r="DG2" s="512" t="s">
        <v>37</v>
      </c>
      <c r="DH2" s="501" t="s">
        <v>38</v>
      </c>
      <c r="DI2" s="501"/>
      <c r="DJ2" s="501" t="s">
        <v>39</v>
      </c>
      <c r="DK2" s="501" t="s">
        <v>39</v>
      </c>
      <c r="DL2" s="508" t="s">
        <v>39</v>
      </c>
      <c r="DM2" s="520" t="s">
        <v>40</v>
      </c>
      <c r="DN2" s="521"/>
      <c r="DO2" s="521"/>
      <c r="DP2" s="521"/>
      <c r="DQ2" s="521"/>
      <c r="DR2" s="522"/>
      <c r="DS2" s="515"/>
      <c r="DT2" s="514"/>
      <c r="DU2" s="514"/>
    </row>
    <row r="3" spans="1:181" s="136" customFormat="1" ht="15" customHeight="1">
      <c r="A3" s="224"/>
      <c r="B3" s="479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3"/>
      <c r="S3" s="435" t="s">
        <v>41</v>
      </c>
      <c r="T3" s="436"/>
      <c r="U3" s="530"/>
      <c r="V3" s="429">
        <v>0</v>
      </c>
      <c r="W3" s="532"/>
      <c r="X3" s="431"/>
      <c r="Y3" s="431"/>
      <c r="Z3" s="432"/>
      <c r="AA3" s="429">
        <v>0</v>
      </c>
      <c r="AB3" s="533"/>
      <c r="AC3" s="431"/>
      <c r="AD3" s="431"/>
      <c r="AE3" s="431"/>
      <c r="AF3" s="429">
        <v>0</v>
      </c>
      <c r="AG3" s="431"/>
      <c r="AH3" s="431"/>
      <c r="AI3" s="431"/>
      <c r="AJ3" s="432"/>
      <c r="AK3" s="456">
        <v>0</v>
      </c>
      <c r="AL3" s="457"/>
      <c r="AM3" s="457"/>
      <c r="AN3" s="457"/>
      <c r="AO3" s="458"/>
      <c r="AP3" s="444">
        <v>1</v>
      </c>
      <c r="AQ3" s="446"/>
      <c r="AR3" s="446"/>
      <c r="AS3" s="446"/>
      <c r="AT3" s="447"/>
      <c r="AU3" s="461">
        <v>0</v>
      </c>
      <c r="AV3" s="446"/>
      <c r="AW3" s="446"/>
      <c r="AX3" s="446"/>
      <c r="AY3" s="462"/>
      <c r="AZ3" s="444">
        <v>0</v>
      </c>
      <c r="BA3" s="446"/>
      <c r="BB3" s="446"/>
      <c r="BC3" s="446"/>
      <c r="BD3" s="447"/>
      <c r="BE3" s="456">
        <v>0</v>
      </c>
      <c r="BF3" s="457"/>
      <c r="BG3" s="457"/>
      <c r="BH3" s="457"/>
      <c r="BI3" s="458"/>
      <c r="BJ3" s="433">
        <v>0</v>
      </c>
      <c r="BK3" s="457"/>
      <c r="BL3" s="457"/>
      <c r="BM3" s="457"/>
      <c r="BN3" s="434"/>
      <c r="BO3" s="456">
        <v>0</v>
      </c>
      <c r="BP3" s="457"/>
      <c r="BQ3" s="457"/>
      <c r="BR3" s="457"/>
      <c r="BS3" s="458"/>
      <c r="BT3" s="433">
        <v>2</v>
      </c>
      <c r="BU3" s="457"/>
      <c r="BV3" s="457"/>
      <c r="BW3" s="457"/>
      <c r="BX3" s="434"/>
      <c r="BY3" s="456">
        <v>0</v>
      </c>
      <c r="BZ3" s="457"/>
      <c r="CA3" s="457"/>
      <c r="CB3" s="457"/>
      <c r="CC3" s="458"/>
      <c r="CD3" s="433">
        <v>0</v>
      </c>
      <c r="CE3" s="457"/>
      <c r="CF3" s="457"/>
      <c r="CG3" s="457"/>
      <c r="CH3" s="434"/>
      <c r="CI3" s="456">
        <v>0</v>
      </c>
      <c r="CJ3" s="457"/>
      <c r="CK3" s="457"/>
      <c r="CL3" s="457"/>
      <c r="CM3" s="458"/>
      <c r="CN3" s="433">
        <v>0</v>
      </c>
      <c r="CO3" s="457"/>
      <c r="CP3" s="457"/>
      <c r="CQ3" s="457"/>
      <c r="CR3" s="457"/>
      <c r="CS3" s="456">
        <v>0</v>
      </c>
      <c r="CT3" s="457"/>
      <c r="CU3" s="457"/>
      <c r="CV3" s="457"/>
      <c r="CW3" s="434"/>
      <c r="CX3" s="429">
        <v>0</v>
      </c>
      <c r="CY3" s="431"/>
      <c r="CZ3" s="431"/>
      <c r="DA3" s="431"/>
      <c r="DB3" s="433"/>
      <c r="DC3" s="457">
        <v>2</v>
      </c>
      <c r="DD3" s="457"/>
      <c r="DE3" s="457"/>
      <c r="DF3" s="457"/>
      <c r="DG3" s="434"/>
      <c r="DH3" s="456">
        <v>1</v>
      </c>
      <c r="DI3" s="457"/>
      <c r="DJ3" s="457"/>
      <c r="DK3" s="457"/>
      <c r="DL3" s="458"/>
      <c r="DM3" s="429">
        <v>1</v>
      </c>
      <c r="DN3" s="431"/>
      <c r="DO3" s="431"/>
      <c r="DP3" s="431"/>
      <c r="DQ3" s="431"/>
      <c r="DR3" s="432"/>
      <c r="DS3" s="433">
        <f>SUM(U3:DR3)</f>
        <v>7</v>
      </c>
      <c r="DT3" s="457"/>
      <c r="DU3" s="457"/>
    </row>
    <row r="4" spans="1:181" s="136" customFormat="1" ht="15" customHeight="1">
      <c r="A4" s="224"/>
      <c r="B4" s="484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8"/>
      <c r="S4" s="438"/>
      <c r="T4" s="439"/>
      <c r="U4" s="531"/>
      <c r="V4" s="429">
        <v>0</v>
      </c>
      <c r="W4" s="431"/>
      <c r="X4" s="431"/>
      <c r="Y4" s="431"/>
      <c r="Z4" s="432"/>
      <c r="AA4" s="429">
        <v>1</v>
      </c>
      <c r="AB4" s="431"/>
      <c r="AC4" s="431"/>
      <c r="AD4" s="431"/>
      <c r="AE4" s="432"/>
      <c r="AF4" s="429">
        <v>1</v>
      </c>
      <c r="AG4" s="431"/>
      <c r="AH4" s="431"/>
      <c r="AI4" s="431"/>
      <c r="AJ4" s="432"/>
      <c r="AK4" s="429">
        <v>0</v>
      </c>
      <c r="AL4" s="431"/>
      <c r="AM4" s="431"/>
      <c r="AN4" s="431"/>
      <c r="AO4" s="432"/>
      <c r="AP4" s="441">
        <v>1</v>
      </c>
      <c r="AQ4" s="442"/>
      <c r="AR4" s="442"/>
      <c r="AS4" s="442"/>
      <c r="AT4" s="443"/>
      <c r="AU4" s="441">
        <v>0</v>
      </c>
      <c r="AV4" s="442"/>
      <c r="AW4" s="442"/>
      <c r="AX4" s="442"/>
      <c r="AY4" s="443"/>
      <c r="AZ4" s="441">
        <v>0</v>
      </c>
      <c r="BA4" s="442"/>
      <c r="BB4" s="442"/>
      <c r="BC4" s="442"/>
      <c r="BD4" s="443"/>
      <c r="BE4" s="429">
        <v>0</v>
      </c>
      <c r="BF4" s="431"/>
      <c r="BG4" s="431"/>
      <c r="BH4" s="431"/>
      <c r="BI4" s="432"/>
      <c r="BJ4" s="429">
        <v>0</v>
      </c>
      <c r="BK4" s="431"/>
      <c r="BL4" s="431"/>
      <c r="BM4" s="431"/>
      <c r="BN4" s="432"/>
      <c r="BO4" s="429">
        <v>0</v>
      </c>
      <c r="BP4" s="431"/>
      <c r="BQ4" s="431"/>
      <c r="BR4" s="431"/>
      <c r="BS4" s="432"/>
      <c r="BT4" s="429">
        <v>2</v>
      </c>
      <c r="BU4" s="431"/>
      <c r="BV4" s="431"/>
      <c r="BW4" s="431"/>
      <c r="BX4" s="432"/>
      <c r="BY4" s="429">
        <v>0</v>
      </c>
      <c r="BZ4" s="431"/>
      <c r="CA4" s="431"/>
      <c r="CB4" s="431"/>
      <c r="CC4" s="432"/>
      <c r="CD4" s="429">
        <v>0</v>
      </c>
      <c r="CE4" s="431"/>
      <c r="CF4" s="431"/>
      <c r="CG4" s="431"/>
      <c r="CH4" s="432"/>
      <c r="CI4" s="429">
        <v>0</v>
      </c>
      <c r="CJ4" s="431"/>
      <c r="CK4" s="431"/>
      <c r="CL4" s="431"/>
      <c r="CM4" s="432"/>
      <c r="CN4" s="429">
        <v>1</v>
      </c>
      <c r="CO4" s="431"/>
      <c r="CP4" s="431"/>
      <c r="CQ4" s="431"/>
      <c r="CR4" s="432"/>
      <c r="CS4" s="429">
        <v>0</v>
      </c>
      <c r="CT4" s="431"/>
      <c r="CU4" s="431"/>
      <c r="CV4" s="431"/>
      <c r="CW4" s="432"/>
      <c r="CX4" s="429">
        <v>0</v>
      </c>
      <c r="CY4" s="431"/>
      <c r="CZ4" s="431"/>
      <c r="DA4" s="431"/>
      <c r="DB4" s="433"/>
      <c r="DC4" s="434">
        <v>2</v>
      </c>
      <c r="DD4" s="431"/>
      <c r="DE4" s="431"/>
      <c r="DF4" s="431"/>
      <c r="DG4" s="432"/>
      <c r="DH4" s="429">
        <v>1</v>
      </c>
      <c r="DI4" s="431"/>
      <c r="DJ4" s="431"/>
      <c r="DK4" s="431"/>
      <c r="DL4" s="432"/>
      <c r="DM4" s="429">
        <v>1</v>
      </c>
      <c r="DN4" s="431"/>
      <c r="DO4" s="431"/>
      <c r="DP4" s="431"/>
      <c r="DQ4" s="431"/>
      <c r="DR4" s="432"/>
      <c r="DS4" s="429">
        <f>SUM(V4:DR4)</f>
        <v>10</v>
      </c>
      <c r="DT4" s="431"/>
      <c r="DU4" s="433"/>
    </row>
    <row r="5" spans="1:181" s="135" customFormat="1" ht="15" customHeight="1">
      <c r="A5" s="223"/>
      <c r="B5" s="88"/>
      <c r="C5" s="89"/>
      <c r="D5" s="89"/>
      <c r="E5" s="89"/>
      <c r="F5" s="89"/>
      <c r="G5" s="89"/>
      <c r="H5" s="477" t="s">
        <v>42</v>
      </c>
      <c r="I5" s="478"/>
      <c r="J5" s="478"/>
      <c r="K5" s="478"/>
      <c r="L5" s="478"/>
      <c r="M5" s="83"/>
      <c r="N5" s="26" t="s">
        <v>43</v>
      </c>
      <c r="O5" s="13" t="s">
        <v>43</v>
      </c>
      <c r="P5" s="13" t="s">
        <v>43</v>
      </c>
      <c r="Q5" s="13" t="s">
        <v>43</v>
      </c>
      <c r="R5" s="13" t="s">
        <v>44</v>
      </c>
      <c r="S5" s="13" t="s">
        <v>43</v>
      </c>
      <c r="T5" s="15" t="s">
        <v>45</v>
      </c>
      <c r="U5" s="38" t="s">
        <v>46</v>
      </c>
      <c r="V5" s="489" t="s">
        <v>43</v>
      </c>
      <c r="W5" s="528"/>
      <c r="X5" s="491"/>
      <c r="Y5" s="491"/>
      <c r="Z5" s="492"/>
      <c r="AA5" s="16"/>
      <c r="AB5" s="529" t="s">
        <v>43</v>
      </c>
      <c r="AC5" s="454"/>
      <c r="AD5" s="454"/>
      <c r="AE5" s="455"/>
      <c r="AF5" s="448" t="s">
        <v>47</v>
      </c>
      <c r="AG5" s="450"/>
      <c r="AH5" s="450"/>
      <c r="AI5" s="450"/>
      <c r="AJ5" s="451"/>
      <c r="AK5" s="452" t="s">
        <v>43</v>
      </c>
      <c r="AL5" s="454"/>
      <c r="AM5" s="454"/>
      <c r="AN5" s="454"/>
      <c r="AO5" s="459"/>
      <c r="AP5" s="460" t="s">
        <v>44</v>
      </c>
      <c r="AQ5" s="454"/>
      <c r="AR5" s="454"/>
      <c r="AS5" s="454"/>
      <c r="AT5" s="455"/>
      <c r="AU5" s="452" t="s">
        <v>43</v>
      </c>
      <c r="AV5" s="454"/>
      <c r="AW5" s="454"/>
      <c r="AX5" s="454"/>
      <c r="AY5" s="459"/>
      <c r="AZ5" s="460" t="s">
        <v>45</v>
      </c>
      <c r="BA5" s="454"/>
      <c r="BB5" s="454"/>
      <c r="BC5" s="454"/>
      <c r="BD5" s="455"/>
      <c r="BE5" s="452" t="s">
        <v>43</v>
      </c>
      <c r="BF5" s="454"/>
      <c r="BG5" s="454"/>
      <c r="BH5" s="454"/>
      <c r="BI5" s="459"/>
      <c r="BJ5" s="460" t="s">
        <v>43</v>
      </c>
      <c r="BK5" s="454"/>
      <c r="BL5" s="454"/>
      <c r="BM5" s="454"/>
      <c r="BN5" s="455"/>
      <c r="BO5" s="452" t="s">
        <v>44</v>
      </c>
      <c r="BP5" s="454"/>
      <c r="BQ5" s="454"/>
      <c r="BR5" s="454"/>
      <c r="BS5" s="459"/>
      <c r="BT5" s="495" t="s">
        <v>48</v>
      </c>
      <c r="BU5" s="450"/>
      <c r="BV5" s="450"/>
      <c r="BW5" s="450"/>
      <c r="BX5" s="496"/>
      <c r="BY5" s="452" t="s">
        <v>43</v>
      </c>
      <c r="BZ5" s="454"/>
      <c r="CA5" s="454"/>
      <c r="CB5" s="454"/>
      <c r="CC5" s="459"/>
      <c r="CD5" s="460" t="s">
        <v>44</v>
      </c>
      <c r="CE5" s="454"/>
      <c r="CF5" s="454"/>
      <c r="CG5" s="454"/>
      <c r="CH5" s="455"/>
      <c r="CI5" s="452" t="s">
        <v>43</v>
      </c>
      <c r="CJ5" s="454"/>
      <c r="CK5" s="454"/>
      <c r="CL5" s="454"/>
      <c r="CM5" s="459"/>
      <c r="CN5" s="460" t="s">
        <v>44</v>
      </c>
      <c r="CO5" s="454"/>
      <c r="CP5" s="454"/>
      <c r="CQ5" s="454"/>
      <c r="CR5" s="454"/>
      <c r="CS5" s="452" t="s">
        <v>43</v>
      </c>
      <c r="CT5" s="454"/>
      <c r="CU5" s="454"/>
      <c r="CV5" s="454"/>
      <c r="CW5" s="455"/>
      <c r="CX5" s="452" t="s">
        <v>43</v>
      </c>
      <c r="CY5" s="454"/>
      <c r="CZ5" s="454"/>
      <c r="DA5" s="454"/>
      <c r="DB5" s="455"/>
      <c r="DC5" s="450" t="s">
        <v>48</v>
      </c>
      <c r="DD5" s="450"/>
      <c r="DE5" s="450"/>
      <c r="DF5" s="450"/>
      <c r="DG5" s="496"/>
      <c r="DH5" s="452" t="s">
        <v>43</v>
      </c>
      <c r="DI5" s="454"/>
      <c r="DJ5" s="454"/>
      <c r="DK5" s="454"/>
      <c r="DL5" s="459"/>
      <c r="DM5" s="16"/>
      <c r="DN5" s="513" t="s">
        <v>49</v>
      </c>
      <c r="DO5" s="454"/>
      <c r="DP5" s="454"/>
      <c r="DQ5" s="454"/>
      <c r="DR5" s="459"/>
      <c r="DS5" s="497"/>
      <c r="DT5" s="498"/>
      <c r="DU5" s="498"/>
    </row>
    <row r="6" spans="1:181" s="137" customFormat="1" ht="42.75" customHeight="1">
      <c r="A6" s="225"/>
      <c r="B6" s="61" t="s">
        <v>50</v>
      </c>
      <c r="C6" s="44" t="s">
        <v>51</v>
      </c>
      <c r="D6" s="44" t="s">
        <v>52</v>
      </c>
      <c r="E6" s="94" t="s">
        <v>53</v>
      </c>
      <c r="F6" s="80" t="s">
        <v>54</v>
      </c>
      <c r="G6" s="44" t="s">
        <v>55</v>
      </c>
      <c r="H6" s="44" t="s">
        <v>56</v>
      </c>
      <c r="I6" s="44" t="s">
        <v>57</v>
      </c>
      <c r="J6" s="44" t="s">
        <v>58</v>
      </c>
      <c r="K6" s="44" t="s">
        <v>59</v>
      </c>
      <c r="L6" s="44" t="s">
        <v>60</v>
      </c>
      <c r="M6" s="45" t="s">
        <v>61</v>
      </c>
      <c r="N6" s="46" t="s">
        <v>62</v>
      </c>
      <c r="O6" s="44" t="s">
        <v>63</v>
      </c>
      <c r="P6" s="44" t="s">
        <v>64</v>
      </c>
      <c r="Q6" s="44" t="s">
        <v>65</v>
      </c>
      <c r="R6" s="44" t="s">
        <v>66</v>
      </c>
      <c r="S6" s="44" t="s">
        <v>67</v>
      </c>
      <c r="T6" s="45" t="s">
        <v>68</v>
      </c>
      <c r="U6" s="47" t="s">
        <v>69</v>
      </c>
      <c r="V6" s="46" t="s">
        <v>70</v>
      </c>
      <c r="W6" s="44" t="s">
        <v>71</v>
      </c>
      <c r="X6" s="48" t="s">
        <v>72</v>
      </c>
      <c r="Y6" s="48" t="s">
        <v>73</v>
      </c>
      <c r="Z6" s="49" t="s">
        <v>74</v>
      </c>
      <c r="AA6" s="50" t="s">
        <v>75</v>
      </c>
      <c r="AB6" s="50" t="s">
        <v>76</v>
      </c>
      <c r="AC6" s="48" t="s">
        <v>77</v>
      </c>
      <c r="AD6" s="48" t="s">
        <v>78</v>
      </c>
      <c r="AE6" s="51" t="s">
        <v>79</v>
      </c>
      <c r="AF6" s="46" t="s">
        <v>80</v>
      </c>
      <c r="AG6" s="44" t="s">
        <v>81</v>
      </c>
      <c r="AH6" s="48" t="s">
        <v>77</v>
      </c>
      <c r="AI6" s="48" t="s">
        <v>78</v>
      </c>
      <c r="AJ6" s="49" t="s">
        <v>79</v>
      </c>
      <c r="AK6" s="46" t="s">
        <v>82</v>
      </c>
      <c r="AL6" s="44" t="s">
        <v>83</v>
      </c>
      <c r="AM6" s="48" t="s">
        <v>77</v>
      </c>
      <c r="AN6" s="48" t="s">
        <v>78</v>
      </c>
      <c r="AO6" s="49" t="s">
        <v>79</v>
      </c>
      <c r="AP6" s="50" t="s">
        <v>84</v>
      </c>
      <c r="AQ6" s="44" t="s">
        <v>85</v>
      </c>
      <c r="AR6" s="48" t="s">
        <v>77</v>
      </c>
      <c r="AS6" s="48" t="s">
        <v>78</v>
      </c>
      <c r="AT6" s="51" t="s">
        <v>79</v>
      </c>
      <c r="AU6" s="46" t="s">
        <v>86</v>
      </c>
      <c r="AV6" s="44" t="s">
        <v>87</v>
      </c>
      <c r="AW6" s="48" t="s">
        <v>77</v>
      </c>
      <c r="AX6" s="48" t="s">
        <v>78</v>
      </c>
      <c r="AY6" s="49" t="s">
        <v>79</v>
      </c>
      <c r="AZ6" s="50" t="s">
        <v>88</v>
      </c>
      <c r="BA6" s="44" t="s">
        <v>89</v>
      </c>
      <c r="BB6" s="48" t="s">
        <v>77</v>
      </c>
      <c r="BC6" s="48" t="s">
        <v>78</v>
      </c>
      <c r="BD6" s="51" t="s">
        <v>79</v>
      </c>
      <c r="BE6" s="46" t="s">
        <v>90</v>
      </c>
      <c r="BF6" s="44" t="s">
        <v>91</v>
      </c>
      <c r="BG6" s="48" t="s">
        <v>77</v>
      </c>
      <c r="BH6" s="48" t="s">
        <v>78</v>
      </c>
      <c r="BI6" s="49" t="s">
        <v>79</v>
      </c>
      <c r="BJ6" s="50" t="s">
        <v>92</v>
      </c>
      <c r="BK6" s="44" t="s">
        <v>93</v>
      </c>
      <c r="BL6" s="48" t="s">
        <v>77</v>
      </c>
      <c r="BM6" s="48" t="s">
        <v>78</v>
      </c>
      <c r="BN6" s="51" t="s">
        <v>79</v>
      </c>
      <c r="BO6" s="46" t="s">
        <v>94</v>
      </c>
      <c r="BP6" s="44" t="s">
        <v>95</v>
      </c>
      <c r="BQ6" s="48" t="s">
        <v>77</v>
      </c>
      <c r="BR6" s="48" t="s">
        <v>78</v>
      </c>
      <c r="BS6" s="49" t="s">
        <v>79</v>
      </c>
      <c r="BT6" s="50" t="s">
        <v>96</v>
      </c>
      <c r="BU6" s="44" t="s">
        <v>97</v>
      </c>
      <c r="BV6" s="48" t="s">
        <v>77</v>
      </c>
      <c r="BW6" s="48" t="s">
        <v>78</v>
      </c>
      <c r="BX6" s="51" t="s">
        <v>79</v>
      </c>
      <c r="BY6" s="46" t="s">
        <v>98</v>
      </c>
      <c r="BZ6" s="44" t="s">
        <v>99</v>
      </c>
      <c r="CA6" s="48" t="s">
        <v>77</v>
      </c>
      <c r="CB6" s="48" t="s">
        <v>78</v>
      </c>
      <c r="CC6" s="49" t="s">
        <v>79</v>
      </c>
      <c r="CD6" s="50" t="s">
        <v>100</v>
      </c>
      <c r="CE6" s="44" t="s">
        <v>101</v>
      </c>
      <c r="CF6" s="48" t="s">
        <v>77</v>
      </c>
      <c r="CG6" s="48" t="s">
        <v>78</v>
      </c>
      <c r="CH6" s="51" t="s">
        <v>79</v>
      </c>
      <c r="CI6" s="46" t="s">
        <v>102</v>
      </c>
      <c r="CJ6" s="44" t="s">
        <v>102</v>
      </c>
      <c r="CK6" s="48" t="s">
        <v>77</v>
      </c>
      <c r="CL6" s="48" t="s">
        <v>78</v>
      </c>
      <c r="CM6" s="49" t="s">
        <v>79</v>
      </c>
      <c r="CN6" s="50" t="s">
        <v>103</v>
      </c>
      <c r="CO6" s="44" t="s">
        <v>104</v>
      </c>
      <c r="CP6" s="48" t="s">
        <v>77</v>
      </c>
      <c r="CQ6" s="48" t="s">
        <v>78</v>
      </c>
      <c r="CR6" s="48" t="s">
        <v>79</v>
      </c>
      <c r="CS6" s="46" t="s">
        <v>105</v>
      </c>
      <c r="CT6" s="44" t="s">
        <v>106</v>
      </c>
      <c r="CU6" s="48" t="s">
        <v>77</v>
      </c>
      <c r="CV6" s="48" t="s">
        <v>78</v>
      </c>
      <c r="CW6" s="51" t="s">
        <v>79</v>
      </c>
      <c r="CX6" s="52" t="s">
        <v>107</v>
      </c>
      <c r="CY6" s="51" t="s">
        <v>108</v>
      </c>
      <c r="CZ6" s="48" t="s">
        <v>77</v>
      </c>
      <c r="DA6" s="48" t="s">
        <v>78</v>
      </c>
      <c r="DB6" s="49" t="s">
        <v>79</v>
      </c>
      <c r="DC6" s="44" t="s">
        <v>109</v>
      </c>
      <c r="DD6" s="44" t="s">
        <v>110</v>
      </c>
      <c r="DE6" s="48" t="s">
        <v>77</v>
      </c>
      <c r="DF6" s="48" t="s">
        <v>78</v>
      </c>
      <c r="DG6" s="51" t="s">
        <v>79</v>
      </c>
      <c r="DH6" s="46" t="s">
        <v>111</v>
      </c>
      <c r="DI6" s="44" t="s">
        <v>112</v>
      </c>
      <c r="DJ6" s="48" t="s">
        <v>77</v>
      </c>
      <c r="DK6" s="48" t="s">
        <v>78</v>
      </c>
      <c r="DL6" s="49" t="s">
        <v>79</v>
      </c>
      <c r="DM6" s="63" t="s">
        <v>113</v>
      </c>
      <c r="DN6" s="66" t="s">
        <v>114</v>
      </c>
      <c r="DO6" s="44" t="s">
        <v>115</v>
      </c>
      <c r="DP6" s="48" t="s">
        <v>77</v>
      </c>
      <c r="DQ6" s="48" t="s">
        <v>78</v>
      </c>
      <c r="DR6" s="49" t="s">
        <v>79</v>
      </c>
      <c r="DS6" s="53" t="s">
        <v>116</v>
      </c>
      <c r="DT6" s="54" t="s">
        <v>117</v>
      </c>
      <c r="DU6" s="54" t="s">
        <v>118</v>
      </c>
    </row>
    <row r="7" spans="1:181" s="138" customFormat="1" ht="49.5" customHeight="1">
      <c r="A7" s="226"/>
      <c r="B7" s="62" t="s">
        <v>119</v>
      </c>
      <c r="C7" s="11" t="s">
        <v>120</v>
      </c>
      <c r="D7" s="11" t="s">
        <v>121</v>
      </c>
      <c r="E7" s="95" t="s">
        <v>122</v>
      </c>
      <c r="F7" s="79" t="s">
        <v>123</v>
      </c>
      <c r="G7" s="11" t="s">
        <v>124</v>
      </c>
      <c r="H7" s="11" t="s">
        <v>125</v>
      </c>
      <c r="I7" s="11" t="s">
        <v>126</v>
      </c>
      <c r="J7" s="11" t="s">
        <v>127</v>
      </c>
      <c r="K7" s="11" t="s">
        <v>128</v>
      </c>
      <c r="L7" s="12" t="s">
        <v>129</v>
      </c>
      <c r="M7" s="43" t="s">
        <v>130</v>
      </c>
      <c r="N7" s="39" t="s">
        <v>131</v>
      </c>
      <c r="O7" s="11" t="s">
        <v>132</v>
      </c>
      <c r="P7" s="11" t="s">
        <v>133</v>
      </c>
      <c r="Q7" s="11" t="s">
        <v>134</v>
      </c>
      <c r="R7" s="11" t="s">
        <v>135</v>
      </c>
      <c r="S7" s="11" t="s">
        <v>136</v>
      </c>
      <c r="T7" s="37" t="s">
        <v>137</v>
      </c>
      <c r="U7" s="36" t="s">
        <v>138</v>
      </c>
      <c r="V7" s="21" t="s">
        <v>139</v>
      </c>
      <c r="W7" s="8" t="s">
        <v>140</v>
      </c>
      <c r="X7" s="14" t="s">
        <v>141</v>
      </c>
      <c r="Y7" s="14" t="s">
        <v>142</v>
      </c>
      <c r="Z7" s="22" t="s">
        <v>143</v>
      </c>
      <c r="AA7" s="17" t="s">
        <v>144</v>
      </c>
      <c r="AB7" s="17" t="s">
        <v>145</v>
      </c>
      <c r="AC7" s="9" t="s">
        <v>146</v>
      </c>
      <c r="AD7" s="9" t="s">
        <v>147</v>
      </c>
      <c r="AE7" s="23" t="s">
        <v>148</v>
      </c>
      <c r="AF7" s="21" t="s">
        <v>149</v>
      </c>
      <c r="AG7" s="8" t="s">
        <v>150</v>
      </c>
      <c r="AH7" s="7" t="s">
        <v>151</v>
      </c>
      <c r="AI7" s="7" t="s">
        <v>152</v>
      </c>
      <c r="AJ7" s="27" t="s">
        <v>153</v>
      </c>
      <c r="AK7" s="29" t="s">
        <v>154</v>
      </c>
      <c r="AL7" s="10" t="s">
        <v>155</v>
      </c>
      <c r="AM7" s="9" t="s">
        <v>156</v>
      </c>
      <c r="AN7" s="9" t="s">
        <v>157</v>
      </c>
      <c r="AO7" s="30" t="s">
        <v>158</v>
      </c>
      <c r="AP7" s="31" t="s">
        <v>159</v>
      </c>
      <c r="AQ7" s="8" t="s">
        <v>160</v>
      </c>
      <c r="AR7" s="7" t="s">
        <v>161</v>
      </c>
      <c r="AS7" s="7" t="s">
        <v>162</v>
      </c>
      <c r="AT7" s="28" t="s">
        <v>163</v>
      </c>
      <c r="AU7" s="29" t="s">
        <v>164</v>
      </c>
      <c r="AV7" s="10" t="s">
        <v>165</v>
      </c>
      <c r="AW7" s="9" t="s">
        <v>166</v>
      </c>
      <c r="AX7" s="9" t="s">
        <v>167</v>
      </c>
      <c r="AY7" s="30" t="s">
        <v>168</v>
      </c>
      <c r="AZ7" s="31" t="s">
        <v>169</v>
      </c>
      <c r="BA7" s="8" t="s">
        <v>170</v>
      </c>
      <c r="BB7" s="7" t="s">
        <v>171</v>
      </c>
      <c r="BC7" s="7" t="s">
        <v>172</v>
      </c>
      <c r="BD7" s="28" t="s">
        <v>173</v>
      </c>
      <c r="BE7" s="32" t="s">
        <v>174</v>
      </c>
      <c r="BF7" s="10" t="s">
        <v>175</v>
      </c>
      <c r="BG7" s="9" t="s">
        <v>176</v>
      </c>
      <c r="BH7" s="9" t="s">
        <v>177</v>
      </c>
      <c r="BI7" s="30" t="s">
        <v>178</v>
      </c>
      <c r="BJ7" s="99" t="s">
        <v>179</v>
      </c>
      <c r="BK7" s="99" t="s">
        <v>180</v>
      </c>
      <c r="BL7" s="7" t="s">
        <v>181</v>
      </c>
      <c r="BM7" s="7" t="s">
        <v>182</v>
      </c>
      <c r="BN7" s="28" t="s">
        <v>183</v>
      </c>
      <c r="BO7" s="29" t="s">
        <v>184</v>
      </c>
      <c r="BP7" s="10" t="s">
        <v>185</v>
      </c>
      <c r="BQ7" s="9" t="s">
        <v>186</v>
      </c>
      <c r="BR7" s="9" t="s">
        <v>187</v>
      </c>
      <c r="BS7" s="30" t="s">
        <v>188</v>
      </c>
      <c r="BT7" s="31" t="s">
        <v>189</v>
      </c>
      <c r="BU7" s="8" t="s">
        <v>190</v>
      </c>
      <c r="BV7" s="7" t="s">
        <v>191</v>
      </c>
      <c r="BW7" s="7" t="s">
        <v>192</v>
      </c>
      <c r="BX7" s="28" t="s">
        <v>193</v>
      </c>
      <c r="BY7" s="100" t="s">
        <v>194</v>
      </c>
      <c r="BZ7" s="101" t="s">
        <v>195</v>
      </c>
      <c r="CA7" s="9" t="s">
        <v>196</v>
      </c>
      <c r="CB7" s="9" t="s">
        <v>197</v>
      </c>
      <c r="CC7" s="30" t="s">
        <v>198</v>
      </c>
      <c r="CD7" s="99" t="s">
        <v>199</v>
      </c>
      <c r="CE7" s="102" t="s">
        <v>200</v>
      </c>
      <c r="CF7" s="7" t="s">
        <v>201</v>
      </c>
      <c r="CG7" s="7" t="s">
        <v>202</v>
      </c>
      <c r="CH7" s="28" t="s">
        <v>203</v>
      </c>
      <c r="CI7" s="32" t="s">
        <v>204</v>
      </c>
      <c r="CJ7" s="10" t="s">
        <v>205</v>
      </c>
      <c r="CK7" s="9" t="s">
        <v>206</v>
      </c>
      <c r="CL7" s="9" t="s">
        <v>207</v>
      </c>
      <c r="CM7" s="30" t="s">
        <v>208</v>
      </c>
      <c r="CN7" s="74" t="s">
        <v>209</v>
      </c>
      <c r="CO7" s="74" t="s">
        <v>210</v>
      </c>
      <c r="CP7" s="75" t="s">
        <v>211</v>
      </c>
      <c r="CQ7" s="75" t="s">
        <v>212</v>
      </c>
      <c r="CR7" s="75" t="s">
        <v>213</v>
      </c>
      <c r="CS7" s="29" t="s">
        <v>214</v>
      </c>
      <c r="CT7" s="10" t="s">
        <v>215</v>
      </c>
      <c r="CU7" s="9" t="s">
        <v>216</v>
      </c>
      <c r="CV7" s="9" t="s">
        <v>217</v>
      </c>
      <c r="CW7" s="78" t="s">
        <v>218</v>
      </c>
      <c r="CX7" s="21" t="s">
        <v>219</v>
      </c>
      <c r="CY7" s="8" t="s">
        <v>220</v>
      </c>
      <c r="CZ7" s="7" t="s">
        <v>216</v>
      </c>
      <c r="DA7" s="7" t="s">
        <v>217</v>
      </c>
      <c r="DB7" s="28" t="s">
        <v>218</v>
      </c>
      <c r="DC7" s="29" t="s">
        <v>221</v>
      </c>
      <c r="DD7" s="10" t="s">
        <v>222</v>
      </c>
      <c r="DE7" s="9" t="s">
        <v>223</v>
      </c>
      <c r="DF7" s="9" t="s">
        <v>224</v>
      </c>
      <c r="DG7" s="23" t="s">
        <v>225</v>
      </c>
      <c r="DH7" s="21" t="s">
        <v>226</v>
      </c>
      <c r="DI7" s="8" t="s">
        <v>227</v>
      </c>
      <c r="DJ7" s="7" t="s">
        <v>228</v>
      </c>
      <c r="DK7" s="7" t="s">
        <v>229</v>
      </c>
      <c r="DL7" s="28" t="s">
        <v>230</v>
      </c>
      <c r="DM7" s="32" t="s">
        <v>231</v>
      </c>
      <c r="DN7" s="67" t="s">
        <v>232</v>
      </c>
      <c r="DO7" s="10" t="s">
        <v>233</v>
      </c>
      <c r="DP7" s="9" t="s">
        <v>234</v>
      </c>
      <c r="DQ7" s="9" t="s">
        <v>235</v>
      </c>
      <c r="DR7" s="23" t="s">
        <v>236</v>
      </c>
      <c r="DS7" s="25" t="s">
        <v>237</v>
      </c>
      <c r="DT7" s="6" t="s">
        <v>238</v>
      </c>
      <c r="DU7" s="5" t="s">
        <v>239</v>
      </c>
      <c r="DW7" s="11" t="s">
        <v>240</v>
      </c>
      <c r="DZ7" s="234" t="s">
        <v>241</v>
      </c>
    </row>
    <row r="8" spans="1:181" ht="30" hidden="1" customHeight="1">
      <c r="B8" s="91">
        <v>4</v>
      </c>
      <c r="C8" s="2" t="s">
        <v>242</v>
      </c>
      <c r="D8" s="81" t="s">
        <v>243</v>
      </c>
      <c r="E8" s="96">
        <f>IF(_xlfn.XLOOKUP($D8,'[1]Import Eletra'!$B:$B,'[1]Import Eletra'!$U:$U,,0,1)=0,"",_xlfn.XLOOKUP($D8,'[1]Import Eletra'!$B:$B,'[1]Import Eletra'!$U:$U,,0,1))</f>
        <v>0.5</v>
      </c>
      <c r="F8" s="73" t="s">
        <v>244</v>
      </c>
      <c r="G8" s="2" t="str">
        <f>_xlfn.XLOOKUP($D8,'[1]Import Eletra'!$B:$B,'[1]Import Eletra'!$F:$F,,0,1)</f>
        <v>DELIVERED</v>
      </c>
      <c r="H8" s="3" t="str">
        <f>_xlfn.XLOOKUP($D8,'[1]Import Eletra'!$B:$B,'[1]Import Eletra'!$G:$G,,0,1)</f>
        <v>SEA</v>
      </c>
      <c r="I8" s="3">
        <v>46043</v>
      </c>
      <c r="J8" s="58">
        <v>30</v>
      </c>
      <c r="K8" s="58">
        <f>L8-I8</f>
        <v>11</v>
      </c>
      <c r="L8" s="3">
        <f>IF(_xlfn.XLOOKUP($D8,'[1]Import Eletra'!$B:$B,'[1]Import Eletra'!$J:$J,,0,1)=0,"",_xlfn.XLOOKUP($D8,'[1]Import Eletra'!$B:$B,'[1]Import Eletra'!$J:$J,,0,1))</f>
        <v>46054</v>
      </c>
      <c r="M8" s="2">
        <f>IF(_xlfn.XLOOKUP($D8,'[1]Import Eletra'!$B:$B,'[1]Import Eletra'!$L:$L,,0,1)=0,"",_xlfn.XLOOKUP($D8,'[1]Import Eletra'!$B:$B,'[1]Import Eletra'!$L:$L,,0,1))</f>
        <v>46112</v>
      </c>
      <c r="N8" s="19">
        <f>IF(_xlfn.XLOOKUP($D8,'[1]Import Eletra'!$B:$B,'[1]Import Eletra'!$AJ:$AJ,,0,1)=0,"",_xlfn.XLOOKUP($D8,'[1]Import Eletra'!$B:$B,'[1]Import Eletra'!$AJ:$AJ,,0,1))</f>
        <v>203372.67</v>
      </c>
      <c r="O8" s="3">
        <f>IF(_xlfn.XLOOKUP($D8,'[1]Import Eletra'!$B:$B,'[1]Import Eletra'!$AK:$AK,,0,1)=0,"",_xlfn.XLOOKUP($D8,'[1]Import Eletra'!$B:$B,'[1]Import Eletra'!$AK:$AK,,0,1))</f>
        <v>46085</v>
      </c>
      <c r="P8" s="3">
        <f>IF(_xlfn.XLOOKUP($D8,'[1]Import Eletra'!$B:$B,'[1]Import Eletra'!$AL:$AL,,0,1)=0,"",_xlfn.XLOOKUP($D8,'[1]Import Eletra'!$B:$B,'[1]Import Eletra'!$AL:$AL,,0,1))</f>
        <v>46092</v>
      </c>
      <c r="Q8" s="3">
        <f>IF(_xlfn.XLOOKUP($D8,'[1]Import Eletra'!$B:$B,'[1]Import Eletra'!$AM:$AM,,0,1)=0,"",_xlfn.XLOOKUP($D8,'[1]Import Eletra'!$B:$B,'[1]Import Eletra'!$AM:$AM,,0,1))</f>
        <v>46099</v>
      </c>
      <c r="R8" s="3">
        <f>IF(_xlfn.XLOOKUP($D8,'[1]Import Eletra'!$B:$B,'[1]Import Eletra'!$AN:$AN,,0,1)=0,"",_xlfn.XLOOKUP($D8,'[1]Import Eletra'!$B:$B,'[1]Import Eletra'!$AN:$AN,,0,1))</f>
        <v>46118</v>
      </c>
      <c r="S8" s="3">
        <f>IF(_xlfn.XLOOKUP($D8,'[1]Import Eletra'!$B:$B,'[1]Import Eletra'!$AO:$AO,,0,1)=0,"",_xlfn.XLOOKUP($D8,'[1]Import Eletra'!$B:$B,'[1]Import Eletra'!$AO:$AO,,0,1))</f>
        <v>46122</v>
      </c>
      <c r="T8" s="3">
        <f>IF(_xlfn.XLOOKUP($D8,'[1]Import Eletra'!$B:$B,'[1]Import Eletra'!$AP:$AP,,0,1)=0,"",_xlfn.XLOOKUP($D8,'[1]Import Eletra'!$B:$B,'[1]Import Eletra'!$AP:$AP,,0,1))</f>
        <v>46122</v>
      </c>
      <c r="U8" s="82">
        <f>IF(_xlfn.XLOOKUP($D8,'[1]Import Eletra'!$B:$B,'[1]Import Eletra'!$AQ:$AQ,,0,1)=0,"",_xlfn.XLOOKUP($D8,'[1]Import Eletra'!$B:$B,'[1]Import Eletra'!$AQ:$AQ,,0,1))</f>
        <v>46126</v>
      </c>
      <c r="V8" s="19">
        <f t="shared" ref="V8:V9" si="0">AA8-$AA$3</f>
        <v>46129</v>
      </c>
      <c r="W8" s="2">
        <f>IF(_xlfn.XLOOKUP($D8,'[1]Import Eletra'!$B:$B,'[1]Import Eletra'!$AR:$AR,,0,1)=0,"",_xlfn.XLOOKUP($D8,'[1]Import Eletra'!$B:$B,'[1]Import Eletra'!$AR:$AR,,0,1))</f>
        <v>46120</v>
      </c>
      <c r="X8" s="1">
        <f t="shared" ref="X8:X61" si="1">$V$3</f>
        <v>0</v>
      </c>
      <c r="Y8" s="72">
        <f t="shared" ref="Y8:Y33" ca="1" si="2">IF(W8="",TODAY()-V8,W8-V8)</f>
        <v>-9</v>
      </c>
      <c r="Z8" s="184">
        <f ca="1">Y8-X8</f>
        <v>-9</v>
      </c>
      <c r="AA8" s="33">
        <f>AF8-$AA$3</f>
        <v>46129</v>
      </c>
      <c r="AB8" s="2" t="str">
        <f>IF(_xlfn.XLOOKUP($D8,'[1]Import Eletra'!$B:$B,'[1]Import Eletra'!$AC:$AC,,0,1)=0,"",_xlfn.XLOOKUP($D8,'[1]Import Eletra'!$B:$B,'[1]Import Eletra'!$AC:$AC,,0,1))</f>
        <v/>
      </c>
      <c r="AC8" s="1">
        <f t="shared" ref="AC8:AC61" si="3">$AA$3</f>
        <v>0</v>
      </c>
      <c r="AD8" s="1">
        <f ca="1">IF(AB8="",TODAY()-AA8,AB8-AA8)</f>
        <v>82</v>
      </c>
      <c r="AE8" s="184">
        <f ca="1">AD8-AC8</f>
        <v>82</v>
      </c>
      <c r="AF8" s="35">
        <f>AK8-$AK$3</f>
        <v>46129</v>
      </c>
      <c r="AG8" s="2">
        <f>IF(_xlfn.XLOOKUP($D8,'[1]Import Eletra'!$B:$B,'[1]Import Eletra'!$AD:$AD,,0,1)=0,"",_xlfn.XLOOKUP($D8,'[1]Import Eletra'!$B:$B,'[1]Import Eletra'!$AD:$AD,,0,1))</f>
        <v>46126</v>
      </c>
      <c r="AH8" s="1">
        <f t="shared" ref="AH8:AH61" si="4">$AF$3</f>
        <v>0</v>
      </c>
      <c r="AI8" s="1">
        <f ca="1">IF(AG8="",TODAY()-AF8,AG8-AF8)</f>
        <v>-3</v>
      </c>
      <c r="AJ8" s="184">
        <f ca="1">AI8-AH8</f>
        <v>-3</v>
      </c>
      <c r="AK8" s="70">
        <f>AP8-$AP$3</f>
        <v>46129</v>
      </c>
      <c r="AL8" s="2">
        <f>IF(_xlfn.XLOOKUP($D8,'[1]Import Eletra'!$B:$B,'[1]Import Eletra'!$AS:$AS,,0,1)=0,"",_xlfn.XLOOKUP($D8,'[1]Import Eletra'!$B:$B,'[1]Import Eletra'!$AS:$AS,,0,1))</f>
        <v>46126</v>
      </c>
      <c r="AM8" s="1">
        <f t="shared" ref="AM8:AM61" si="5">$AK$3</f>
        <v>0</v>
      </c>
      <c r="AN8" s="1">
        <f ca="1">IF(AL8="",TODAY()-AK8,AL8-AK8)</f>
        <v>-3</v>
      </c>
      <c r="AO8" s="184">
        <f ca="1">AN8-AM8</f>
        <v>-3</v>
      </c>
      <c r="AP8" s="71">
        <f>AU8-$AU$3</f>
        <v>46130</v>
      </c>
      <c r="AQ8" s="2">
        <f>IF(_xlfn.XLOOKUP($D8,'[1]Import Eletra'!$B:$B,'[1]Import Eletra'!$AT:$AT,,0,1)=0,"",_xlfn.XLOOKUP($D8,'[1]Import Eletra'!$B:$B,'[1]Import Eletra'!$AT:$AT,,0,1))</f>
        <v>46126</v>
      </c>
      <c r="AR8" s="1">
        <f t="shared" ref="AR8:AR61" si="6">$AP$3</f>
        <v>1</v>
      </c>
      <c r="AS8" s="1">
        <f ca="1">IF(AQ8="",TODAY()-AP8,AQ8-AP8)</f>
        <v>-4</v>
      </c>
      <c r="AT8" s="184">
        <f ca="1">AS8-AR8</f>
        <v>-5</v>
      </c>
      <c r="AU8" s="70">
        <f>AZ8-$AZ$3</f>
        <v>46130</v>
      </c>
      <c r="AV8" s="2">
        <f>IF(_xlfn.XLOOKUP($D8,'[1]Import Eletra'!$B:$B,'[1]Import Eletra'!$AU:$AU,,0,1)=0,"",_xlfn.XLOOKUP($D8,'[1]Import Eletra'!$B:$B,'[1]Import Eletra'!$AU:$AU,,0,1))</f>
        <v>46129</v>
      </c>
      <c r="AW8" s="1"/>
      <c r="AX8" s="72"/>
      <c r="AY8" s="184">
        <f>AX8-AW8</f>
        <v>0</v>
      </c>
      <c r="AZ8" s="71">
        <f>BE8-$BE$3</f>
        <v>46130</v>
      </c>
      <c r="BA8" s="2" t="str">
        <f>IF(_xlfn.XLOOKUP($D8,'[1]Import Eletra'!$B:$B,'[1]Import Eletra'!$AV:$AV,,0,1)=0,"",_xlfn.XLOOKUP($D8,'[1]Import Eletra'!$B:$B,'[1]Import Eletra'!$AV:$AV,,0,1))</f>
        <v/>
      </c>
      <c r="BB8" s="1"/>
      <c r="BC8" s="1"/>
      <c r="BD8" s="184">
        <f>BC8-BB8</f>
        <v>0</v>
      </c>
      <c r="BE8" s="19">
        <f>BJ8-$BJ$3</f>
        <v>46130</v>
      </c>
      <c r="BF8" s="2" t="str">
        <f>IF(_xlfn.XLOOKUP($D8,'[1]Import Eletra'!$B:$B,'[1]Import Eletra'!$AW:$AW,,0,1)=0,"",_xlfn.XLOOKUP($D8,'[1]Import Eletra'!$B:$B,'[1]Import Eletra'!$AW:$AW,,0,1))</f>
        <v/>
      </c>
      <c r="BG8" s="1"/>
      <c r="BH8" s="1"/>
      <c r="BI8" s="184">
        <f>BH8-BG8</f>
        <v>0</v>
      </c>
      <c r="BJ8" s="18">
        <f>BO8-$BO$3</f>
        <v>46130</v>
      </c>
      <c r="BK8" s="2" t="str">
        <f>IF(_xlfn.XLOOKUP($D8,'[1]Import Eletra'!$B:$B,'[1]Import Eletra'!$AX:$AX,,0,1)=0,"",_xlfn.XLOOKUP($D8,'[1]Import Eletra'!$B:$B,'[1]Import Eletra'!$AX:$AX,,0,1))</f>
        <v/>
      </c>
      <c r="BL8" s="1">
        <f t="shared" ref="BL8:BL61" si="7">$BJ$3</f>
        <v>0</v>
      </c>
      <c r="BM8" s="1">
        <f ca="1">IF(BK8="",TODAY()-BJ8,BK8-BJ8)</f>
        <v>81</v>
      </c>
      <c r="BN8" s="184">
        <f ca="1">BM8-BL8</f>
        <v>81</v>
      </c>
      <c r="BO8" s="19">
        <f>BT8-$BT$3</f>
        <v>46130</v>
      </c>
      <c r="BP8" s="2">
        <f>IF(_xlfn.XLOOKUP($D8,'[1]Import Eletra'!$B:$B,'[1]Import Eletra'!$AY:$AY,,0,1)=0,"",_xlfn.XLOOKUP($D8,'[1]Import Eletra'!$B:$B,'[1]Import Eletra'!$AY:$AY,,0,1))</f>
        <v>46126</v>
      </c>
      <c r="BQ8" s="1">
        <f t="shared" ref="BQ8:BQ61" si="8">$BO$3</f>
        <v>0</v>
      </c>
      <c r="BR8" s="1">
        <f ca="1">IF(BP8="",TODAY()-BO8,BP8-BO8)</f>
        <v>-4</v>
      </c>
      <c r="BS8" s="184">
        <f ca="1">BR8-BQ8</f>
        <v>-4</v>
      </c>
      <c r="BT8" s="18">
        <f>BY8-$BY$3</f>
        <v>46132</v>
      </c>
      <c r="BU8" s="2">
        <f>IF(_xlfn.XLOOKUP($D8,'[1]Import Eletra'!$B:$B,'[1]Import Eletra'!$AZ:$AZ,,0,1)=0,"",_xlfn.XLOOKUP($D8,'[1]Import Eletra'!$B:$B,'[1]Import Eletra'!$AZ:$AZ,,0,1))</f>
        <v>46129</v>
      </c>
      <c r="BV8" s="1">
        <f t="shared" ref="BV8:BV61" si="9">$BT$3</f>
        <v>2</v>
      </c>
      <c r="BW8" s="1">
        <f ca="1">IF(BU8="",TODAY()-BT8,BU8-BT8)</f>
        <v>-3</v>
      </c>
      <c r="BX8" s="184">
        <f ca="1">BW8-BV8</f>
        <v>-5</v>
      </c>
      <c r="BY8" s="19">
        <f>CD8-$CD$3</f>
        <v>46132</v>
      </c>
      <c r="BZ8" s="2">
        <f>IF(_xlfn.XLOOKUP($D8,'[1]Import Eletra'!$B:$B,'[1]Import Eletra'!$BA:$BA,,0,1)=0,"",_xlfn.XLOOKUP($D8,'[1]Import Eletra'!$B:$B,'[1]Import Eletra'!$BA:$BA,,0,1))</f>
        <v>46132</v>
      </c>
      <c r="CA8" s="1">
        <f t="shared" ref="CA8:CA61" si="10">$BY$3</f>
        <v>0</v>
      </c>
      <c r="CB8" s="1">
        <f ca="1">IF(BZ8="",TODAY()-BY8,BZ8-BY8)</f>
        <v>0</v>
      </c>
      <c r="CC8" s="184">
        <f ca="1">CB8-CA8</f>
        <v>0</v>
      </c>
      <c r="CD8" s="18">
        <f>CI8-$CI$3</f>
        <v>46132</v>
      </c>
      <c r="CE8" s="2">
        <f>IF(_xlfn.XLOOKUP($D8,'[1]Import Eletra'!$B:$B,'[1]Import Eletra'!$BB:$BB,,0,1)=0,"",_xlfn.XLOOKUP($D8,'[1]Import Eletra'!$B:$B,'[1]Import Eletra'!$BB:$BB,,0,1))</f>
        <v>46132</v>
      </c>
      <c r="CF8" s="1">
        <f t="shared" ref="CF8:CF61" si="11">$CD$3</f>
        <v>0</v>
      </c>
      <c r="CG8" s="1">
        <f ca="1">IF(CE8="",TODAY()-CD8,CE8-CD8)</f>
        <v>0</v>
      </c>
      <c r="CH8" s="184">
        <f ca="1">CG8-CF8</f>
        <v>0</v>
      </c>
      <c r="CI8" s="19">
        <f>CN8-$CN$3</f>
        <v>46132</v>
      </c>
      <c r="CJ8" s="2">
        <f>IF(_xlfn.XLOOKUP($D8,'[1]Import Eletra'!$B:$B,'[1]Import Eletra'!$BC:$BC,,0,1)=0,"",_xlfn.XLOOKUP($D8,'[1]Import Eletra'!$B:$B,'[1]Import Eletra'!$BC:$BC,,0,1))</f>
        <v>46132</v>
      </c>
      <c r="CK8" s="1"/>
      <c r="CL8" s="1">
        <f ca="1">IF(CJ8="",TODAY()-CI8,CJ8-CI8)</f>
        <v>0</v>
      </c>
      <c r="CM8" s="184">
        <f ca="1">CL8-CK8</f>
        <v>0</v>
      </c>
      <c r="CN8" s="18">
        <f>CS8-$CS$3</f>
        <v>46132</v>
      </c>
      <c r="CO8" s="2">
        <f>IF(_xlfn.XLOOKUP($D8,'[1]Import Eletra'!$B:$B,'[1]Import Eletra'!$BD:$BD,,0,1)=0,"",_xlfn.XLOOKUP($D8,'[1]Import Eletra'!$B:$B,'[1]Import Eletra'!$BD:$BD,,0,1))</f>
        <v>46132</v>
      </c>
      <c r="CP8" s="1">
        <f t="shared" ref="CP8:CP61" si="12">$CN$3</f>
        <v>0</v>
      </c>
      <c r="CQ8" s="1">
        <f ca="1">IF(CO8="",TODAY()-CN8,CO8-CN8)</f>
        <v>0</v>
      </c>
      <c r="CR8" s="184">
        <f ca="1">CQ8-CP8</f>
        <v>0</v>
      </c>
      <c r="CS8" s="19">
        <f>CX8-$CX$3</f>
        <v>46132</v>
      </c>
      <c r="CT8" s="2">
        <f>IF(_xlfn.XLOOKUP($D8,'[1]Import Eletra'!$B:$B,'[1]Import Eletra'!$BE:$BE,,0,1)=0,"",_xlfn.XLOOKUP($D8,'[1]Import Eletra'!$B:$B,'[1]Import Eletra'!$BE:$BE,,0,1))</f>
        <v>46132</v>
      </c>
      <c r="CU8" s="1">
        <f t="shared" ref="CU8:CU61" si="13">$CS$3</f>
        <v>0</v>
      </c>
      <c r="CV8" s="1">
        <f ca="1">IF(CT8="",TODAY()-CS8,CT8-CS8)</f>
        <v>0</v>
      </c>
      <c r="CW8" s="184">
        <f ca="1">CV8-CU8</f>
        <v>0</v>
      </c>
      <c r="CX8" s="19">
        <f>DC8-$DC$3</f>
        <v>46132</v>
      </c>
      <c r="CY8" s="2">
        <f>IF(_xlfn.XLOOKUP($D8,'[1]Import Eletra'!$B:$B,'[1]Import Eletra'!$BE:$BE,,0,1)=0,"",_xlfn.XLOOKUP($D8,'[1]Import Eletra'!$B:$B,'[1]Import Eletra'!$BE:$BE,,0,1))</f>
        <v>46132</v>
      </c>
      <c r="CZ8" s="40">
        <f t="shared" ref="CZ8:CZ61" si="14">$CX$3</f>
        <v>0</v>
      </c>
      <c r="DA8" s="1">
        <f ca="1">IF(CY8="",TODAY()-CX8,CY8-CX8)</f>
        <v>0</v>
      </c>
      <c r="DB8" s="184">
        <f ca="1">DA8-CZ8</f>
        <v>0</v>
      </c>
      <c r="DC8" s="19">
        <f>DH8-$DH$3</f>
        <v>46134</v>
      </c>
      <c r="DD8" s="2">
        <f>IF(_xlfn.XLOOKUP($D8,'[1]Import Eletra'!$B:$B,'[1]Import Eletra'!$BF:$BF,,0,1)=0,"",_xlfn.XLOOKUP($D8,'[1]Import Eletra'!$B:$B,'[1]Import Eletra'!$BF:$BF,0,1))</f>
        <v>46132</v>
      </c>
      <c r="DE8" s="1">
        <f t="shared" ref="DE8:DE61" si="15">$DC$3</f>
        <v>2</v>
      </c>
      <c r="DF8" s="1">
        <f ca="1">IF(DD8="",TODAY()-DC8,DD8-DC8)</f>
        <v>-2</v>
      </c>
      <c r="DG8" s="184">
        <f ca="1">DF8-DE8</f>
        <v>-4</v>
      </c>
      <c r="DH8" s="19">
        <f>DN8-$DM$3</f>
        <v>46135</v>
      </c>
      <c r="DI8" s="2">
        <f>IF(_xlfn.XLOOKUP($D8,'[1]Import Eletra'!$B:$B,'[1]Import Eletra'!$BG:$BG,,0,1)=0,"",_xlfn.XLOOKUP($D8,'[1]Import Eletra'!$B:$B,'[1]Import Eletra'!$BG:$BG,0,1))</f>
        <v>46135</v>
      </c>
      <c r="DJ8" s="1">
        <f t="shared" ref="DJ8:DJ61" si="16">$DH$3</f>
        <v>1</v>
      </c>
      <c r="DK8" s="1">
        <f ca="1">IF(DI8="",TODAY()-DH8,DI8-DH8)</f>
        <v>0</v>
      </c>
      <c r="DL8" s="184">
        <f ca="1">DK8-DJ8</f>
        <v>-1</v>
      </c>
      <c r="DM8" s="64"/>
      <c r="DN8" s="202">
        <f>IF(U8="",M8+DS8,U8+DS8)</f>
        <v>46136</v>
      </c>
      <c r="DO8" s="165">
        <v>46135</v>
      </c>
      <c r="DP8" s="1">
        <f>$DM$3</f>
        <v>1</v>
      </c>
      <c r="DQ8" s="1">
        <f ca="1">IF(DO8="",TODAY()-DN8,DO8-DN8)</f>
        <v>-1</v>
      </c>
      <c r="DR8" s="184">
        <f ca="1">DQ8-DP8</f>
        <v>-2</v>
      </c>
      <c r="DS8" s="139">
        <v>10</v>
      </c>
      <c r="DT8" s="140">
        <f ca="1">IF(DO8="",TODAY()-U8,DO8-U8)</f>
        <v>9</v>
      </c>
      <c r="DU8" s="184">
        <f ca="1">DT8-DS8</f>
        <v>-1</v>
      </c>
      <c r="DW8" s="185" t="s">
        <v>245</v>
      </c>
      <c r="DZ8" s="230"/>
    </row>
    <row r="9" spans="1:181" ht="30" hidden="1" customHeight="1">
      <c r="B9" s="103">
        <v>4</v>
      </c>
      <c r="C9" s="104" t="s">
        <v>242</v>
      </c>
      <c r="D9" s="105" t="s">
        <v>246</v>
      </c>
      <c r="E9" s="106">
        <f>IF(_xlfn.XLOOKUP($D9,'[1]Import Eletra'!$B:$B,'[1]Import Eletra'!$U:$U,,0,1)=0,"",_xlfn.XLOOKUP($D9,'[1]Import Eletra'!$B:$B,'[1]Import Eletra'!$U:$U,,0,1))</f>
        <v>0.5</v>
      </c>
      <c r="F9" s="107" t="s">
        <v>244</v>
      </c>
      <c r="G9" s="2" t="str">
        <f>_xlfn.XLOOKUP($D9,'[1]Import Eletra'!$B:$B,'[1]Import Eletra'!$F:$F,,0,1)</f>
        <v>DELIVERED</v>
      </c>
      <c r="H9" s="108" t="str">
        <f>_xlfn.XLOOKUP($D9,'[1]Import Eletra'!$B:$B,'[1]Import Eletra'!$G:$G,,0,1)</f>
        <v>SEA</v>
      </c>
      <c r="I9" s="108">
        <v>45991</v>
      </c>
      <c r="J9" s="109">
        <v>30</v>
      </c>
      <c r="K9" s="109">
        <f>L9-I9</f>
        <v>63</v>
      </c>
      <c r="L9" s="108">
        <f>IF(_xlfn.XLOOKUP($D9,'[1]Import Eletra'!$B:$B,'[1]Import Eletra'!$J:$J,,0,1)=0,"",_xlfn.XLOOKUP($D9,'[1]Import Eletra'!$B:$B,'[1]Import Eletra'!$J:$J,,0,1))</f>
        <v>46054</v>
      </c>
      <c r="M9" s="104">
        <f>IF(_xlfn.XLOOKUP($D9,'[1]Import Eletra'!$B:$B,'[1]Import Eletra'!$L:$L,,0,1)=0,"",_xlfn.XLOOKUP($D9,'[1]Import Eletra'!$B:$B,'[1]Import Eletra'!$L:$L,,0,1))</f>
        <v>46112</v>
      </c>
      <c r="N9" s="110">
        <f>IF(_xlfn.XLOOKUP($D9,'[1]Import Eletra'!$B:$B,'[1]Import Eletra'!$AJ:$AJ,,0,1)=0,"",_xlfn.XLOOKUP($D9,'[1]Import Eletra'!$B:$B,'[1]Import Eletra'!$AJ:$AJ,,0,1))</f>
        <v>17202.53</v>
      </c>
      <c r="O9" s="108">
        <f>IF(_xlfn.XLOOKUP($D9,'[1]Import Eletra'!$B:$B,'[1]Import Eletra'!$AK:$AK,,0,1)=0,"",_xlfn.XLOOKUP($D9,'[1]Import Eletra'!$B:$B,'[1]Import Eletra'!$AK:$AK,,0,1))</f>
        <v>46076</v>
      </c>
      <c r="P9" s="108">
        <f>IF(_xlfn.XLOOKUP($D9,'[1]Import Eletra'!$B:$B,'[1]Import Eletra'!$AL:$AL,,0,1)=0,"",_xlfn.XLOOKUP($D9,'[1]Import Eletra'!$B:$B,'[1]Import Eletra'!$AL:$AL,,0,1))</f>
        <v>46078</v>
      </c>
      <c r="Q9" s="108">
        <f>IF(_xlfn.XLOOKUP($D9,'[1]Import Eletra'!$B:$B,'[1]Import Eletra'!$AM:$AM,,0,1)=0,"",_xlfn.XLOOKUP($D9,'[1]Import Eletra'!$B:$B,'[1]Import Eletra'!$AM:$AM,,0,1))</f>
        <v>46111</v>
      </c>
      <c r="R9" s="108">
        <f>IF(_xlfn.XLOOKUP($D9,'[1]Import Eletra'!$B:$B,'[1]Import Eletra'!$AN:$AN,,0,1)=0,"",_xlfn.XLOOKUP($D9,'[1]Import Eletra'!$B:$B,'[1]Import Eletra'!$AN:$AN,,0,1))</f>
        <v>46118</v>
      </c>
      <c r="S9" s="108">
        <f>IF(_xlfn.XLOOKUP($D9,'[1]Import Eletra'!$B:$B,'[1]Import Eletra'!$AO:$AO,,0,1)=0,"",_xlfn.XLOOKUP($D9,'[1]Import Eletra'!$B:$B,'[1]Import Eletra'!$AO:$AO,,0,1))</f>
        <v>46126</v>
      </c>
      <c r="T9" s="108">
        <f>IF(_xlfn.XLOOKUP($D9,'[1]Import Eletra'!$B:$B,'[1]Import Eletra'!$AP:$AP,,0,1)=0,"",_xlfn.XLOOKUP($D9,'[1]Import Eletra'!$B:$B,'[1]Import Eletra'!$AP:$AP,,0,1))</f>
        <v>46126</v>
      </c>
      <c r="U9" s="111">
        <f>IF(_xlfn.XLOOKUP($D9,'[1]Import Eletra'!$B:$B,'[1]Import Eletra'!$AQ:$AQ,,0,1)=0,"",_xlfn.XLOOKUP($D9,'[1]Import Eletra'!$B:$B,'[1]Import Eletra'!$AQ:$AQ,,0,1))</f>
        <v>46127</v>
      </c>
      <c r="V9" s="110">
        <f t="shared" si="0"/>
        <v>46130</v>
      </c>
      <c r="W9" s="104">
        <f>IF(_xlfn.XLOOKUP($D9,'[1]Import Eletra'!$B:$B,'[1]Import Eletra'!$AR:$AR,,0,1)=0,"",_xlfn.XLOOKUP($D9,'[1]Import Eletra'!$B:$B,'[1]Import Eletra'!$AR:$AR,,0,1))</f>
        <v>46120</v>
      </c>
      <c r="X9" s="112">
        <f t="shared" si="1"/>
        <v>0</v>
      </c>
      <c r="Y9" s="113">
        <f t="shared" ca="1" si="2"/>
        <v>-10</v>
      </c>
      <c r="Z9" s="184">
        <f t="shared" ref="Z9:Z33" ca="1" si="17">Y9-X9</f>
        <v>-10</v>
      </c>
      <c r="AA9" s="114">
        <f>AF9-$AA$3</f>
        <v>46130</v>
      </c>
      <c r="AB9" s="104" t="str">
        <f>IF(_xlfn.XLOOKUP($D9,'[1]Import Eletra'!$B:$B,'[1]Import Eletra'!$AC:$AC,,0,1)=0,"",_xlfn.XLOOKUP($D9,'[1]Import Eletra'!$B:$B,'[1]Import Eletra'!$AC:$AC,,0,1))</f>
        <v/>
      </c>
      <c r="AC9" s="112">
        <f t="shared" si="3"/>
        <v>0</v>
      </c>
      <c r="AD9" s="112">
        <f ca="1">IF(AB9="",TODAY()-AA9,AB9-AA9)</f>
        <v>81</v>
      </c>
      <c r="AE9" s="184">
        <f t="shared" ref="AE9:AE33" ca="1" si="18">AD9-AC9</f>
        <v>81</v>
      </c>
      <c r="AF9" s="116">
        <f>AK9-$AK$3</f>
        <v>46130</v>
      </c>
      <c r="AG9" s="104">
        <f>IF(_xlfn.XLOOKUP($D9,'[1]Import Eletra'!$B:$B,'[1]Import Eletra'!$AD:$AD,,0,1)=0,"",_xlfn.XLOOKUP($D9,'[1]Import Eletra'!$B:$B,'[1]Import Eletra'!$AD:$AD,,0,1))</f>
        <v>46127</v>
      </c>
      <c r="AH9" s="112">
        <f t="shared" si="4"/>
        <v>0</v>
      </c>
      <c r="AI9" s="112">
        <f ca="1">IF(AG9="",TODAY()-AF9,AG9-AF9)</f>
        <v>-3</v>
      </c>
      <c r="AJ9" s="184">
        <f t="shared" ref="AJ9:AJ33" ca="1" si="19">AI9-AH9</f>
        <v>-3</v>
      </c>
      <c r="AK9" s="117">
        <f>AP9-$AP$3</f>
        <v>46130</v>
      </c>
      <c r="AL9" s="104">
        <f>IF(_xlfn.XLOOKUP($D9,'[1]Import Eletra'!$B:$B,'[1]Import Eletra'!$AS:$AS,,0,1)=0,"",_xlfn.XLOOKUP($D9,'[1]Import Eletra'!$B:$B,'[1]Import Eletra'!$AS:$AS,,0,1))</f>
        <v>46127</v>
      </c>
      <c r="AM9" s="112">
        <f t="shared" si="5"/>
        <v>0</v>
      </c>
      <c r="AN9" s="112">
        <f ca="1">IF(AL9="",TODAY()-AK9,AL9-AK9)</f>
        <v>-3</v>
      </c>
      <c r="AO9" s="184">
        <f t="shared" ref="AO9:AO33" ca="1" si="20">AN9-AM9</f>
        <v>-3</v>
      </c>
      <c r="AP9" s="118">
        <f>AU9-$AU$3</f>
        <v>46131</v>
      </c>
      <c r="AQ9" s="104">
        <f>IF(_xlfn.XLOOKUP($D9,'[1]Import Eletra'!$B:$B,'[1]Import Eletra'!$AT:$AT,,0,1)=0,"",_xlfn.XLOOKUP($D9,'[1]Import Eletra'!$B:$B,'[1]Import Eletra'!$AT:$AT,,0,1))</f>
        <v>46128</v>
      </c>
      <c r="AR9" s="112">
        <f t="shared" si="6"/>
        <v>1</v>
      </c>
      <c r="AS9" s="112">
        <f ca="1">IF(AQ9="",TODAY()-AP9,AQ9-AP9)</f>
        <v>-3</v>
      </c>
      <c r="AT9" s="184">
        <f t="shared" ref="AT9:AT33" ca="1" si="21">AS9-AR9</f>
        <v>-4</v>
      </c>
      <c r="AU9" s="117">
        <f>AZ9-$AZ$3</f>
        <v>46131</v>
      </c>
      <c r="AV9" s="104">
        <f>IF(_xlfn.XLOOKUP($D9,'[1]Import Eletra'!$B:$B,'[1]Import Eletra'!$AU:$AU,,0,1)=0,"",_xlfn.XLOOKUP($D9,'[1]Import Eletra'!$B:$B,'[1]Import Eletra'!$AU:$AU,,0,1))</f>
        <v>46129</v>
      </c>
      <c r="AW9" s="112"/>
      <c r="AX9" s="113"/>
      <c r="AY9" s="184">
        <f t="shared" ref="AY9:AY33" si="22">AX9-AW9</f>
        <v>0</v>
      </c>
      <c r="AZ9" s="118">
        <f>BE9-$BE$3</f>
        <v>46131</v>
      </c>
      <c r="BA9" s="104" t="str">
        <f>IF(_xlfn.XLOOKUP($D9,'[1]Import Eletra'!$B:$B,'[1]Import Eletra'!$AV:$AV,,0,1)=0,"",_xlfn.XLOOKUP($D9,'[1]Import Eletra'!$B:$B,'[1]Import Eletra'!$AV:$AV,,0,1))</f>
        <v/>
      </c>
      <c r="BB9" s="112"/>
      <c r="BC9" s="112"/>
      <c r="BD9" s="184">
        <f t="shared" ref="BD9:BD33" si="23">BC9-BB9</f>
        <v>0</v>
      </c>
      <c r="BE9" s="110">
        <f>BJ9-$BJ$3</f>
        <v>46131</v>
      </c>
      <c r="BF9" s="104" t="str">
        <f>IF(_xlfn.XLOOKUP($D9,'[1]Import Eletra'!$B:$B,'[1]Import Eletra'!$AW:$AW,,0,1)=0,"",_xlfn.XLOOKUP($D9,'[1]Import Eletra'!$B:$B,'[1]Import Eletra'!$AW:$AW,,0,1))</f>
        <v/>
      </c>
      <c r="BG9" s="112"/>
      <c r="BH9" s="112"/>
      <c r="BI9" s="184">
        <f t="shared" ref="BI9:BI33" si="24">BH9-BG9</f>
        <v>0</v>
      </c>
      <c r="BJ9" s="120">
        <f>BO9-$BO$3</f>
        <v>46131</v>
      </c>
      <c r="BK9" s="104" t="str">
        <f>IF(_xlfn.XLOOKUP($D9,'[1]Import Eletra'!$B:$B,'[1]Import Eletra'!$AX:$AX,,0,1)=0,"",_xlfn.XLOOKUP($D9,'[1]Import Eletra'!$B:$B,'[1]Import Eletra'!$AX:$AX,,0,1))</f>
        <v/>
      </c>
      <c r="BL9" s="112">
        <f t="shared" si="7"/>
        <v>0</v>
      </c>
      <c r="BM9" s="112">
        <f ca="1">IF(BK9="",TODAY()-BJ9,BK9-BJ9)</f>
        <v>80</v>
      </c>
      <c r="BN9" s="184">
        <f t="shared" ref="BN9:BN33" ca="1" si="25">BM9-BL9</f>
        <v>80</v>
      </c>
      <c r="BO9" s="110">
        <f>BT9-$BT$3</f>
        <v>46131</v>
      </c>
      <c r="BP9" s="104">
        <f>IF(_xlfn.XLOOKUP($D9,'[1]Import Eletra'!$B:$B,'[1]Import Eletra'!$AY:$AY,,0,1)=0,"",_xlfn.XLOOKUP($D9,'[1]Import Eletra'!$B:$B,'[1]Import Eletra'!$AY:$AY,,0,1))</f>
        <v>46128</v>
      </c>
      <c r="BQ9" s="112">
        <f t="shared" si="8"/>
        <v>0</v>
      </c>
      <c r="BR9" s="112">
        <f ca="1">IF(BP9="",TODAY()-BO9,BP9-BO9)</f>
        <v>-3</v>
      </c>
      <c r="BS9" s="184">
        <f t="shared" ref="BS9:BS33" ca="1" si="26">BR9-BQ9</f>
        <v>-3</v>
      </c>
      <c r="BT9" s="120">
        <f>BY9-$BY$3</f>
        <v>46133</v>
      </c>
      <c r="BU9" s="104">
        <f>IF(_xlfn.XLOOKUP($D9,'[1]Import Eletra'!$B:$B,'[1]Import Eletra'!$AZ:$AZ,,0,1)=0,"",_xlfn.XLOOKUP($D9,'[1]Import Eletra'!$B:$B,'[1]Import Eletra'!$AZ:$AZ,,0,1))</f>
        <v>46129</v>
      </c>
      <c r="BV9" s="112">
        <f t="shared" si="9"/>
        <v>2</v>
      </c>
      <c r="BW9" s="112">
        <f ca="1">IF(BU9="",TODAY()-BT9,BU9-BT9)</f>
        <v>-4</v>
      </c>
      <c r="BX9" s="184">
        <f t="shared" ref="BX9:BX33" ca="1" si="27">BW9-BV9</f>
        <v>-6</v>
      </c>
      <c r="BY9" s="110">
        <f>CD9-$CD$3</f>
        <v>46133</v>
      </c>
      <c r="BZ9" s="104">
        <f>IF(_xlfn.XLOOKUP($D9,'[1]Import Eletra'!$B:$B,'[1]Import Eletra'!$BA:$BA,,0,1)=0,"",_xlfn.XLOOKUP($D9,'[1]Import Eletra'!$B:$B,'[1]Import Eletra'!$BA:$BA,,0,1))</f>
        <v>46132</v>
      </c>
      <c r="CA9" s="112">
        <f t="shared" si="10"/>
        <v>0</v>
      </c>
      <c r="CB9" s="112">
        <f ca="1">IF(BZ9="",TODAY()-BY9,BZ9-BY9)</f>
        <v>-1</v>
      </c>
      <c r="CC9" s="184">
        <f t="shared" ref="CC9:CC33" ca="1" si="28">CB9-CA9</f>
        <v>-1</v>
      </c>
      <c r="CD9" s="120">
        <f>CI9-$CI$3</f>
        <v>46133</v>
      </c>
      <c r="CE9" s="104">
        <f>IF(_xlfn.XLOOKUP($D9,'[1]Import Eletra'!$B:$B,'[1]Import Eletra'!$BB:$BB,,0,1)=0,"",_xlfn.XLOOKUP($D9,'[1]Import Eletra'!$B:$B,'[1]Import Eletra'!$BB:$BB,,0,1))</f>
        <v>46132</v>
      </c>
      <c r="CF9" s="112">
        <f t="shared" si="11"/>
        <v>0</v>
      </c>
      <c r="CG9" s="112">
        <f ca="1">IF(CE9="",TODAY()-CD9,CE9-CD9)</f>
        <v>-1</v>
      </c>
      <c r="CH9" s="184">
        <f t="shared" ref="CH9:CH33" ca="1" si="29">CG9-CF9</f>
        <v>-1</v>
      </c>
      <c r="CI9" s="110">
        <f>CN9-$CN$3</f>
        <v>46133</v>
      </c>
      <c r="CJ9" s="104">
        <f>IF(_xlfn.XLOOKUP($D9,'[1]Import Eletra'!$B:$B,'[1]Import Eletra'!$BC:$BC,,0,1)=0,"",_xlfn.XLOOKUP($D9,'[1]Import Eletra'!$B:$B,'[1]Import Eletra'!$BC:$BC,,0,1))</f>
        <v>46132</v>
      </c>
      <c r="CK9" s="112"/>
      <c r="CL9" s="112">
        <f ca="1">IF(CJ9="",TODAY()-CI9,CJ9-CI9)</f>
        <v>-1</v>
      </c>
      <c r="CM9" s="184">
        <f t="shared" ref="CM9:CM33" ca="1" si="30">CL9-CK9</f>
        <v>-1</v>
      </c>
      <c r="CN9" s="120">
        <f>CS9-$CS$3</f>
        <v>46133</v>
      </c>
      <c r="CO9" s="104">
        <f>IF(_xlfn.XLOOKUP($D9,'[1]Import Eletra'!$B:$B,'[1]Import Eletra'!$BD:$BD,,0,1)=0,"",_xlfn.XLOOKUP($D9,'[1]Import Eletra'!$B:$B,'[1]Import Eletra'!$BD:$BD,,0,1))</f>
        <v>46132</v>
      </c>
      <c r="CP9" s="112">
        <f t="shared" si="12"/>
        <v>0</v>
      </c>
      <c r="CQ9" s="112">
        <f ca="1">IF(CO9="",TODAY()-CN9,CO9-CN9)</f>
        <v>-1</v>
      </c>
      <c r="CR9" s="184">
        <f t="shared" ref="CR9:CR33" ca="1" si="31">CQ9-CP9</f>
        <v>-1</v>
      </c>
      <c r="CS9" s="110">
        <f>CX9-$CX$3</f>
        <v>46133</v>
      </c>
      <c r="CT9" s="104">
        <f>IF(_xlfn.XLOOKUP($D9,'[1]Import Eletra'!$B:$B,'[1]Import Eletra'!$BE:$BE,,0,1)=0,"",_xlfn.XLOOKUP($D9,'[1]Import Eletra'!$B:$B,'[1]Import Eletra'!$BE:$BE,,0,1))</f>
        <v>46134</v>
      </c>
      <c r="CU9" s="112">
        <f t="shared" si="13"/>
        <v>0</v>
      </c>
      <c r="CV9" s="112">
        <f ca="1">IF(CT9="",TODAY()-CS9,CT9-CS9)</f>
        <v>1</v>
      </c>
      <c r="CW9" s="184">
        <f t="shared" ref="CW9:CW33" ca="1" si="32">CV9-CU9</f>
        <v>1</v>
      </c>
      <c r="CX9" s="110">
        <f>DC9-$DC$3</f>
        <v>46133</v>
      </c>
      <c r="CY9" s="104">
        <f>IF(_xlfn.XLOOKUP($D9,'[1]Import Eletra'!$B:$B,'[1]Import Eletra'!$BE:$BE,,0,1)=0,"",_xlfn.XLOOKUP($D9,'[1]Import Eletra'!$B:$B,'[1]Import Eletra'!$BE:$BE,,0,1))</f>
        <v>46134</v>
      </c>
      <c r="CZ9" s="121">
        <f t="shared" si="14"/>
        <v>0</v>
      </c>
      <c r="DA9" s="112">
        <f ca="1">IF(CY9="",TODAY()-CX9,CY9-CX9)</f>
        <v>1</v>
      </c>
      <c r="DB9" s="184">
        <f t="shared" ref="DB9:DB33" ca="1" si="33">DA9-CZ9</f>
        <v>1</v>
      </c>
      <c r="DC9" s="110">
        <f>DH9-$DH$3</f>
        <v>46135</v>
      </c>
      <c r="DD9" s="104">
        <f>IF(_xlfn.XLOOKUP($D9,'[1]Import Eletra'!$B:$B,'[1]Import Eletra'!$BF:$BF,,0,1)=0,"",_xlfn.XLOOKUP($D9,'[1]Import Eletra'!$B:$B,'[1]Import Eletra'!$BF:$BF,0,1))</f>
        <v>46134</v>
      </c>
      <c r="DE9" s="112">
        <f t="shared" si="15"/>
        <v>2</v>
      </c>
      <c r="DF9" s="112">
        <f ca="1">IF(DD9="",TODAY()-DC9,DD9-DC9)</f>
        <v>-1</v>
      </c>
      <c r="DG9" s="184">
        <f t="shared" ref="DG9:DG33" ca="1" si="34">DF9-DE9</f>
        <v>-3</v>
      </c>
      <c r="DH9" s="110">
        <f>DN9-$DM$3</f>
        <v>46136</v>
      </c>
      <c r="DI9" s="104">
        <f>IF(_xlfn.XLOOKUP($D9,'[1]Import Eletra'!$B:$B,'[1]Import Eletra'!$BG:$BG,,0,1)=0,"",_xlfn.XLOOKUP($D9,'[1]Import Eletra'!$B:$B,'[1]Import Eletra'!$BG:$BG,0,1))</f>
        <v>46135</v>
      </c>
      <c r="DJ9" s="112">
        <f t="shared" si="16"/>
        <v>1</v>
      </c>
      <c r="DK9" s="112">
        <f ca="1">IF(DI9="",TODAY()-DH9,DI9-DH9)</f>
        <v>-1</v>
      </c>
      <c r="DL9" s="184">
        <f t="shared" ref="DL9:DL33" ca="1" si="35">DK9-DJ9</f>
        <v>-2</v>
      </c>
      <c r="DM9" s="64"/>
      <c r="DN9" s="202">
        <f>IF(U9="",M9+DS9,U9+DS9)</f>
        <v>46137</v>
      </c>
      <c r="DO9" s="165">
        <v>46135</v>
      </c>
      <c r="DP9" s="112">
        <f>$DM$3</f>
        <v>1</v>
      </c>
      <c r="DQ9" s="112">
        <f ca="1">IF(DO9="",TODAY()-DN9,DO9-DN9)</f>
        <v>-2</v>
      </c>
      <c r="DR9" s="184">
        <f t="shared" ref="DR9:DR33" ca="1" si="36">DQ9-DP9</f>
        <v>-3</v>
      </c>
      <c r="DS9" s="143">
        <v>10</v>
      </c>
      <c r="DT9" s="140">
        <f ca="1">IF(DO9="",TODAY()-U9,DO9-U9)</f>
        <v>8</v>
      </c>
      <c r="DU9" s="184">
        <f t="shared" ref="DU9:DU33" ca="1" si="37">DT9-DS9</f>
        <v>-2</v>
      </c>
      <c r="DW9" s="185" t="s">
        <v>245</v>
      </c>
      <c r="DZ9" s="230"/>
    </row>
    <row r="10" spans="1:181" ht="30" customHeight="1">
      <c r="B10" s="91">
        <v>1</v>
      </c>
      <c r="C10" s="104" t="s">
        <v>247</v>
      </c>
      <c r="D10" s="212" t="s">
        <v>248</v>
      </c>
      <c r="E10" s="96">
        <f>IF(_xlfn.XLOOKUP($D10,'[1]Import Eletra'!$B:$B,'[1]Import Eletra'!$U:$U,,0,1)=0,"",_xlfn.XLOOKUP($D10,'[1]Import Eletra'!$B:$B,'[1]Import Eletra'!$U:$U,,0,1))</f>
        <v>2</v>
      </c>
      <c r="F10" s="2" t="s">
        <v>244</v>
      </c>
      <c r="G10" s="2" t="str">
        <f>_xlfn.XLOOKUP($D10,'[1]Import Eletra'!$B:$B,'[1]Import Eletra'!$F:$F,,0,1)</f>
        <v>DELIVERED</v>
      </c>
      <c r="H10" s="3" t="str">
        <f>_xlfn.XLOOKUP($D10,'[1]Import Eletra'!$B:$B,'[1]Import Eletra'!$G:$G,,0,1)</f>
        <v>SEA</v>
      </c>
      <c r="I10" s="3">
        <v>46025</v>
      </c>
      <c r="J10" s="58">
        <v>30</v>
      </c>
      <c r="K10" s="58">
        <f>L10-I10</f>
        <v>51</v>
      </c>
      <c r="L10" s="3">
        <f>IF(_xlfn.XLOOKUP($D10,'[1]Import Eletra'!$B:$B,'[1]Import Eletra'!$J:$J,,0,1)=0,"",_xlfn.XLOOKUP($D10,'[1]Import Eletra'!$B:$B,'[1]Import Eletra'!$J:$J,,0,1))</f>
        <v>46076</v>
      </c>
      <c r="M10" s="2">
        <f>IF(_xlfn.XLOOKUP($D10,'[1]Import Eletra'!$B:$B,'[1]Import Eletra'!$L:$L,,0,1)=0,"",_xlfn.XLOOKUP($D10,'[1]Import Eletra'!$B:$B,'[1]Import Eletra'!$L:$L,,0,1))</f>
        <v>46126</v>
      </c>
      <c r="N10" s="19">
        <f>IF(_xlfn.XLOOKUP($D10,'[1]Import Eletra'!$B:$B,'[1]Import Eletra'!$AJ:$AJ,,0,1)=0,"",_xlfn.XLOOKUP($D10,'[1]Import Eletra'!$B:$B,'[1]Import Eletra'!$AJ:$AJ,,0,1))</f>
        <v>468206.36</v>
      </c>
      <c r="O10" s="3">
        <f>IF(_xlfn.XLOOKUP($D10,'[1]Import Eletra'!$B:$B,'[1]Import Eletra'!$AK:$AK,,0,1)=0,"",_xlfn.XLOOKUP($D10,'[1]Import Eletra'!$B:$B,'[1]Import Eletra'!$AK:$AK,,0,1))</f>
        <v>46085</v>
      </c>
      <c r="P10" s="3">
        <f>IF(_xlfn.XLOOKUP($D10,'[1]Import Eletra'!$B:$B,'[1]Import Eletra'!$AL:$AL,,0,1)=0,"",_xlfn.XLOOKUP($D10,'[1]Import Eletra'!$B:$B,'[1]Import Eletra'!$AL:$AL,,0,1))</f>
        <v>46126</v>
      </c>
      <c r="Q10" s="3">
        <f>IF(_xlfn.XLOOKUP($D10,'[1]Import Eletra'!$B:$B,'[1]Import Eletra'!$AM:$AM,,0,1)=0,"",_xlfn.XLOOKUP($D10,'[1]Import Eletra'!$B:$B,'[1]Import Eletra'!$AM:$AM,,0,1))</f>
        <v>46126</v>
      </c>
      <c r="R10" s="3">
        <f>IF(_xlfn.XLOOKUP($D10,'[1]Import Eletra'!$B:$B,'[1]Import Eletra'!$AN:$AN,,0,1)=0,"",_xlfn.XLOOKUP($D10,'[1]Import Eletra'!$B:$B,'[1]Import Eletra'!$AN:$AN,,0,1))</f>
        <v>46126</v>
      </c>
      <c r="S10" s="3">
        <f>IF(_xlfn.XLOOKUP($D10,'[1]Import Eletra'!$B:$B,'[1]Import Eletra'!$AO:$AO,,0,1)=0,"",_xlfn.XLOOKUP($D10,'[1]Import Eletra'!$B:$B,'[1]Import Eletra'!$AO:$AO,,0,1))</f>
        <v>46127</v>
      </c>
      <c r="T10" s="3">
        <f>IF(_xlfn.XLOOKUP($D10,'[1]Import Eletra'!$B:$B,'[1]Import Eletra'!$AP:$AP,,0,1)=0,"",_xlfn.XLOOKUP($D10,'[1]Import Eletra'!$B:$B,'[1]Import Eletra'!$AP:$AP,,0,1))</f>
        <v>46127</v>
      </c>
      <c r="U10" s="82">
        <f>IF(_xlfn.XLOOKUP($D10,'[1]Import Eletra'!$B:$B,'[1]Import Eletra'!$AQ:$AQ,,0,1)=0,"",_xlfn.XLOOKUP($D10,'[1]Import Eletra'!$B:$B,'[1]Import Eletra'!$AQ:$AQ,,0,1))</f>
        <v>46127</v>
      </c>
      <c r="V10" s="19">
        <f>AA10-$AA$4</f>
        <v>46127</v>
      </c>
      <c r="W10" s="2">
        <f>IF(_xlfn.XLOOKUP($D10,'[1]Import Eletra'!$B:$B,'[1]Import Eletra'!$AR:$AR,,0,1)=0,"",_xlfn.XLOOKUP($D10,'[1]Import Eletra'!$B:$B,'[1]Import Eletra'!$AR:$AR,,0,1))</f>
        <v>46127</v>
      </c>
      <c r="X10" s="1">
        <f t="shared" si="1"/>
        <v>0</v>
      </c>
      <c r="Y10" s="72">
        <f t="shared" ca="1" si="2"/>
        <v>0</v>
      </c>
      <c r="Z10" s="184">
        <f t="shared" ca="1" si="17"/>
        <v>0</v>
      </c>
      <c r="AA10" s="33">
        <f>AF10-$AA$4</f>
        <v>46128</v>
      </c>
      <c r="AB10" s="2">
        <v>46135</v>
      </c>
      <c r="AC10" s="1">
        <f t="shared" si="3"/>
        <v>0</v>
      </c>
      <c r="AD10" s="1">
        <f ca="1">IF(AB10="",TODAY()-AA10,AB10-AA10)</f>
        <v>7</v>
      </c>
      <c r="AE10" s="184">
        <f t="shared" ca="1" si="18"/>
        <v>7</v>
      </c>
      <c r="AF10" s="35">
        <f>AK10-$AK$4</f>
        <v>46129</v>
      </c>
      <c r="AG10" s="2">
        <f>IF(_xlfn.XLOOKUP($D10,'[1]Import Eletra'!$B:$B,'[1]Import Eletra'!$AD:$AD,,0,1)=0,"",_xlfn.XLOOKUP($D10,'[1]Import Eletra'!$B:$B,'[1]Import Eletra'!$AD:$AD,,0,1))</f>
        <v>46135</v>
      </c>
      <c r="AH10" s="1">
        <f t="shared" si="4"/>
        <v>0</v>
      </c>
      <c r="AI10" s="1">
        <f ca="1">IF(AG10="",TODAY()-AF10,AG10-AF10)</f>
        <v>6</v>
      </c>
      <c r="AJ10" s="184">
        <f t="shared" ca="1" si="19"/>
        <v>6</v>
      </c>
      <c r="AK10" s="70">
        <f>AP10-$AP$4</f>
        <v>46129</v>
      </c>
      <c r="AL10" s="2">
        <f>IF(_xlfn.XLOOKUP($D10,'[1]Import Eletra'!$B:$B,'[1]Import Eletra'!$AS:$AS,,0,1)=0,"",_xlfn.XLOOKUP($D10,'[1]Import Eletra'!$B:$B,'[1]Import Eletra'!$AS:$AS,,0,1))</f>
        <v>46135</v>
      </c>
      <c r="AM10" s="1">
        <f t="shared" si="5"/>
        <v>0</v>
      </c>
      <c r="AN10" s="1">
        <f ca="1">IF(AL10="",TODAY()-AK10,AL10-AK10)</f>
        <v>6</v>
      </c>
      <c r="AO10" s="184">
        <f t="shared" ca="1" si="20"/>
        <v>6</v>
      </c>
      <c r="AP10" s="71">
        <f>AU10-$AU$4</f>
        <v>46130</v>
      </c>
      <c r="AQ10" s="2">
        <f>IF(_xlfn.XLOOKUP($D10,'[1]Import Eletra'!$B:$B,'[1]Import Eletra'!$AT:$AT,,0,1)=0,"",_xlfn.XLOOKUP($D10,'[1]Import Eletra'!$B:$B,'[1]Import Eletra'!$AT:$AT,,0,1))</f>
        <v>46136</v>
      </c>
      <c r="AR10" s="1">
        <f t="shared" si="6"/>
        <v>1</v>
      </c>
      <c r="AS10" s="1">
        <f ca="1">IF(AQ10="",TODAY()-AP10,AQ10-AP10)</f>
        <v>6</v>
      </c>
      <c r="AT10" s="184">
        <f t="shared" ca="1" si="21"/>
        <v>5</v>
      </c>
      <c r="AU10" s="70">
        <f>AZ10-$AZ$4</f>
        <v>46130</v>
      </c>
      <c r="AV10" s="2">
        <f>IF(_xlfn.XLOOKUP($D10,'[1]Import Eletra'!$B:$B,'[1]Import Eletra'!$AU:$AU,,0,1)=0,"",_xlfn.XLOOKUP($D10,'[1]Import Eletra'!$B:$B,'[1]Import Eletra'!$AU:$AU,,0,1))</f>
        <v>46136</v>
      </c>
      <c r="AW10" s="1">
        <f t="shared" ref="AW10:AW61" si="38">$AU$3</f>
        <v>0</v>
      </c>
      <c r="AX10" s="72">
        <f ca="1">IF(AV10="",TODAY()-AU10,AV10-AU10)</f>
        <v>6</v>
      </c>
      <c r="AY10" s="184">
        <f t="shared" ca="1" si="22"/>
        <v>6</v>
      </c>
      <c r="AZ10" s="71">
        <f>BE10-$BE$4</f>
        <v>46130</v>
      </c>
      <c r="BA10" s="2">
        <f>IF(_xlfn.XLOOKUP($D10,'[1]Import Eletra'!$B:$B,'[1]Import Eletra'!$AV:$AV,,0,1)=0,"",_xlfn.XLOOKUP($D10,'[1]Import Eletra'!$B:$B,'[1]Import Eletra'!$AV:$AV,,0,1))</f>
        <v>46135</v>
      </c>
      <c r="BB10" s="1">
        <f t="shared" ref="BB10:BB61" si="39">$AZ$3</f>
        <v>0</v>
      </c>
      <c r="BC10" s="1">
        <f ca="1">IF(BA10="",TODAY()-AZ10,BA10-AZ10)</f>
        <v>5</v>
      </c>
      <c r="BD10" s="184">
        <f t="shared" ca="1" si="23"/>
        <v>5</v>
      </c>
      <c r="BE10" s="19">
        <f>BJ10-$BJ$4</f>
        <v>46130</v>
      </c>
      <c r="BF10" s="2">
        <f>IF(_xlfn.XLOOKUP($D10,'[1]Import Eletra'!$B:$B,'[1]Import Eletra'!$AW:$AW,,0,1)=0,"",_xlfn.XLOOKUP($D10,'[1]Import Eletra'!$B:$B,'[1]Import Eletra'!$AW:$AW,,0,1))</f>
        <v>46136</v>
      </c>
      <c r="BG10" s="1">
        <f t="shared" ref="BG10:BG61" si="40">$BE$3</f>
        <v>0</v>
      </c>
      <c r="BH10" s="1">
        <f ca="1">IF(BF10="",TODAY()-BE10,BF10-BE10)</f>
        <v>6</v>
      </c>
      <c r="BI10" s="184">
        <f t="shared" ca="1" si="24"/>
        <v>6</v>
      </c>
      <c r="BJ10" s="18">
        <f>BO10-$BO$4</f>
        <v>46130</v>
      </c>
      <c r="BK10" s="2">
        <f>IF(_xlfn.XLOOKUP($D10,'[1]Import Eletra'!$B:$B,'[1]Import Eletra'!$AX:$AX,,0,1)=0,"",_xlfn.XLOOKUP($D10,'[1]Import Eletra'!$B:$B,'[1]Import Eletra'!$AX:$AX,,0,1))</f>
        <v>46136</v>
      </c>
      <c r="BL10" s="1">
        <f t="shared" si="7"/>
        <v>0</v>
      </c>
      <c r="BM10" s="1">
        <f ca="1">IF(BK10="",TODAY()-BJ10,BK10-BJ10)</f>
        <v>6</v>
      </c>
      <c r="BN10" s="184">
        <f t="shared" ca="1" si="25"/>
        <v>6</v>
      </c>
      <c r="BO10" s="19">
        <f>BT10-$BT$4</f>
        <v>46130</v>
      </c>
      <c r="BP10" s="2">
        <f>IF(_xlfn.XLOOKUP($D10,'[1]Import Eletra'!$B:$B,'[1]Import Eletra'!$AY:$AY,,0,1)=0,"",_xlfn.XLOOKUP($D10,'[1]Import Eletra'!$B:$B,'[1]Import Eletra'!$AY:$AY,,0,1))</f>
        <v>46136</v>
      </c>
      <c r="BQ10" s="1">
        <f t="shared" si="8"/>
        <v>0</v>
      </c>
      <c r="BR10" s="1">
        <f ca="1">IF(BP10="",TODAY()-BO10,BP10-BO10)</f>
        <v>6</v>
      </c>
      <c r="BS10" s="184">
        <f t="shared" ca="1" si="26"/>
        <v>6</v>
      </c>
      <c r="BT10" s="18">
        <f>BY10-$BY$4</f>
        <v>46132</v>
      </c>
      <c r="BU10" s="2">
        <f>IF(_xlfn.XLOOKUP($D10,'[1]Import Eletra'!$B:$B,'[1]Import Eletra'!$AZ:$AZ,,0,1)=0,"",_xlfn.XLOOKUP($D10,'[1]Import Eletra'!$B:$B,'[1]Import Eletra'!$AZ:$AZ,,0,1))</f>
        <v>46136</v>
      </c>
      <c r="BV10" s="1">
        <f t="shared" si="9"/>
        <v>2</v>
      </c>
      <c r="BW10" s="1">
        <f ca="1">IF(BU10="",TODAY()-BT10,BU10-BT10)</f>
        <v>4</v>
      </c>
      <c r="BX10" s="184">
        <f t="shared" ca="1" si="27"/>
        <v>2</v>
      </c>
      <c r="BY10" s="19">
        <f>CD10-$CD$4</f>
        <v>46132</v>
      </c>
      <c r="BZ10" s="2">
        <f>IF(_xlfn.XLOOKUP($D10,'[1]Import Eletra'!$B:$B,'[1]Import Eletra'!$BA:$BA,,0,1)=0,"",_xlfn.XLOOKUP($D10,'[1]Import Eletra'!$B:$B,'[1]Import Eletra'!$BA:$BA,,0,1))</f>
        <v>46139</v>
      </c>
      <c r="CA10" s="1">
        <f t="shared" si="10"/>
        <v>0</v>
      </c>
      <c r="CB10" s="1">
        <f ca="1">IF(BZ10="",TODAY()-BY10,BZ10-BY10)</f>
        <v>7</v>
      </c>
      <c r="CC10" s="184">
        <f t="shared" ca="1" si="28"/>
        <v>7</v>
      </c>
      <c r="CD10" s="18">
        <f>CI10-$CI$4</f>
        <v>46132</v>
      </c>
      <c r="CE10" s="2">
        <f>IF(_xlfn.XLOOKUP($D10,'[1]Import Eletra'!$B:$B,'[1]Import Eletra'!$BB:$BB,,0,1)=0,"",_xlfn.XLOOKUP($D10,'[1]Import Eletra'!$B:$B,'[1]Import Eletra'!$BB:$BB,,0,1))</f>
        <v>46139</v>
      </c>
      <c r="CF10" s="1">
        <f t="shared" si="11"/>
        <v>0</v>
      </c>
      <c r="CG10" s="1">
        <f ca="1">IF(CE10="",TODAY()-CD10,CE10-CD10)</f>
        <v>7</v>
      </c>
      <c r="CH10" s="184">
        <f t="shared" ca="1" si="29"/>
        <v>7</v>
      </c>
      <c r="CI10" s="19">
        <f>CN10-$CN$4</f>
        <v>46132</v>
      </c>
      <c r="CJ10" s="2">
        <f>IF(_xlfn.XLOOKUP($D10,'[1]Import Eletra'!$B:$B,'[1]Import Eletra'!$BC:$BC,,0,1)=0,"",_xlfn.XLOOKUP($D10,'[1]Import Eletra'!$B:$B,'[1]Import Eletra'!$BC:$BC,,0,1))</f>
        <v>46139</v>
      </c>
      <c r="CK10" s="1"/>
      <c r="CL10" s="1">
        <f ca="1">IF(CJ10="",TODAY()-CI10,CJ10-CI10)</f>
        <v>7</v>
      </c>
      <c r="CM10" s="184">
        <f t="shared" ca="1" si="30"/>
        <v>7</v>
      </c>
      <c r="CN10" s="18">
        <f>CS10-$CS$4</f>
        <v>46133</v>
      </c>
      <c r="CO10" s="2">
        <f>IF(_xlfn.XLOOKUP($D10,'[1]Import Eletra'!$B:$B,'[1]Import Eletra'!$BD:$BD,,0,1)=0,"",_xlfn.XLOOKUP($D10,'[1]Import Eletra'!$B:$B,'[1]Import Eletra'!$BD:$BD,,0,1))</f>
        <v>46139</v>
      </c>
      <c r="CP10" s="1">
        <f t="shared" si="12"/>
        <v>0</v>
      </c>
      <c r="CQ10" s="1">
        <f ca="1">IF(CO10="",TODAY()-CN10,CO10-CN10)</f>
        <v>6</v>
      </c>
      <c r="CR10" s="184">
        <f t="shared" ca="1" si="31"/>
        <v>6</v>
      </c>
      <c r="CS10" s="19">
        <f>CX10-$CX$4</f>
        <v>46133</v>
      </c>
      <c r="CT10" s="2">
        <f>IF(_xlfn.XLOOKUP($D10,'[1]Import Eletra'!$B:$B,'[1]Import Eletra'!$BE:$BE,,0,1)=0,"",_xlfn.XLOOKUP($D10,'[1]Import Eletra'!$B:$B,'[1]Import Eletra'!$BE:$BE,,0,1))</f>
        <v>46139</v>
      </c>
      <c r="CU10" s="1">
        <f t="shared" si="13"/>
        <v>0</v>
      </c>
      <c r="CV10" s="1">
        <f ca="1">IF(CT10="",TODAY()-CS10,CT10-CS10)</f>
        <v>6</v>
      </c>
      <c r="CW10" s="184">
        <f t="shared" ca="1" si="32"/>
        <v>6</v>
      </c>
      <c r="CX10" s="19">
        <f>DC10-$DC$4</f>
        <v>46133</v>
      </c>
      <c r="CY10" s="2">
        <f>IF(_xlfn.XLOOKUP($D10,'[1]Import Eletra'!$B:$B,'[1]Import Eletra'!$BE:$BE,,0,1)=0,"",_xlfn.XLOOKUP($D10,'[1]Import Eletra'!$B:$B,'[1]Import Eletra'!$BE:$BE,,0,1))</f>
        <v>46139</v>
      </c>
      <c r="CZ10" s="40">
        <f t="shared" si="14"/>
        <v>0</v>
      </c>
      <c r="DA10" s="1">
        <f ca="1">IF(CY10="",TODAY()-CX10,CY10-CX10)</f>
        <v>6</v>
      </c>
      <c r="DB10" s="184">
        <f t="shared" ca="1" si="33"/>
        <v>6</v>
      </c>
      <c r="DC10" s="19">
        <f>DH10-$DH$4</f>
        <v>46135</v>
      </c>
      <c r="DD10" s="2">
        <f>IF(_xlfn.XLOOKUP($D10,'[1]Import Eletra'!$B:$B,'[1]Import Eletra'!$BF:$BF,,0,1)=0,"",_xlfn.XLOOKUP($D10,'[1]Import Eletra'!$B:$B,'[1]Import Eletra'!$BF:$BF,0,1))</f>
        <v>46139</v>
      </c>
      <c r="DE10" s="1">
        <f t="shared" si="15"/>
        <v>2</v>
      </c>
      <c r="DF10" s="1">
        <f ca="1">IF(DD10="",TODAY()-DC10,DD10-DC10)</f>
        <v>4</v>
      </c>
      <c r="DG10" s="184">
        <f t="shared" ca="1" si="34"/>
        <v>2</v>
      </c>
      <c r="DH10" s="19">
        <f>DN10-$DM$4</f>
        <v>46136</v>
      </c>
      <c r="DI10" s="2">
        <f>IF(_xlfn.XLOOKUP($D10,'[1]Import Eletra'!$B:$B,'[1]Import Eletra'!$BG:$BG,,0,1)=0,"",_xlfn.XLOOKUP($D10,'[1]Import Eletra'!$B:$B,'[1]Import Eletra'!$BG:$BG,0,1))</f>
        <v>46140</v>
      </c>
      <c r="DJ10" s="1">
        <f t="shared" si="16"/>
        <v>1</v>
      </c>
      <c r="DK10" s="1">
        <f ca="1">IF(DI10="",TODAY()-DH10,DI10-DH10)</f>
        <v>4</v>
      </c>
      <c r="DL10" s="184">
        <f t="shared" ca="1" si="35"/>
        <v>3</v>
      </c>
      <c r="DM10" s="64"/>
      <c r="DN10" s="202">
        <f>IF(U10="",M10+DS10,U10+DS10)</f>
        <v>46137</v>
      </c>
      <c r="DO10" s="165">
        <v>46141</v>
      </c>
      <c r="DP10" s="1">
        <f>$DM$3</f>
        <v>1</v>
      </c>
      <c r="DQ10" s="1">
        <f ca="1">IF(DO10="",TODAY()-DN10,DO10-DN10)</f>
        <v>4</v>
      </c>
      <c r="DR10" s="184">
        <f t="shared" ca="1" si="36"/>
        <v>3</v>
      </c>
      <c r="DS10" s="139">
        <v>10</v>
      </c>
      <c r="DT10" s="140">
        <f ca="1">IF(DO10="",TODAY()-U10,DO10-U10)</f>
        <v>14</v>
      </c>
      <c r="DU10" s="184">
        <f t="shared" ca="1" si="37"/>
        <v>4</v>
      </c>
      <c r="DW10" s="185" t="s">
        <v>245</v>
      </c>
      <c r="DZ10" s="230"/>
    </row>
    <row r="11" spans="1:181" ht="30" hidden="1" customHeight="1">
      <c r="B11" s="103">
        <v>1</v>
      </c>
      <c r="C11" s="104" t="s">
        <v>247</v>
      </c>
      <c r="D11" s="144" t="s">
        <v>249</v>
      </c>
      <c r="E11" s="171">
        <f>IF(_xlfn.XLOOKUP($D11,'[1]Import Eletra'!$B:$B,'[1]Import Eletra'!$U:$U,,0,1)=0,"",_xlfn.XLOOKUP($D11,'[1]Import Eletra'!$B:$B,'[1]Import Eletra'!$U:$U,,0,1))</f>
        <v>3</v>
      </c>
      <c r="F11" s="104" t="s">
        <v>244</v>
      </c>
      <c r="G11" s="2" t="str">
        <f>_xlfn.XLOOKUP($D11,'[1]Import Eletra'!$B:$B,'[1]Import Eletra'!$F:$F,,0,1)</f>
        <v>DELIVERED</v>
      </c>
      <c r="H11" s="108" t="str">
        <f>_xlfn.XLOOKUP($D11,'[1]Import Eletra'!$B:$B,'[1]Import Eletra'!$G:$G,,0,1)</f>
        <v>SEA</v>
      </c>
      <c r="I11" s="108">
        <v>46029</v>
      </c>
      <c r="J11" s="109">
        <v>30</v>
      </c>
      <c r="K11" s="109">
        <f>L11-I11</f>
        <v>36</v>
      </c>
      <c r="L11" s="108">
        <f>IF(_xlfn.XLOOKUP($D11,'[1]Import Eletra'!$B:$B,'[1]Import Eletra'!$J:$J,,0,1)=0,"",_xlfn.XLOOKUP($D11,'[1]Import Eletra'!$B:$B,'[1]Import Eletra'!$J:$J,,0,1))</f>
        <v>46065</v>
      </c>
      <c r="M11" s="104">
        <f>IF(_xlfn.XLOOKUP($D11,'[1]Import Eletra'!$B:$B,'[1]Import Eletra'!$L:$L,,0,1)=0,"",_xlfn.XLOOKUP($D11,'[1]Import Eletra'!$B:$B,'[1]Import Eletra'!$L:$L,,0,1))</f>
        <v>46126</v>
      </c>
      <c r="N11" s="110">
        <f>IF(_xlfn.XLOOKUP($D11,'[1]Import Eletra'!$B:$B,'[1]Import Eletra'!$AJ:$AJ,,0,1)=0,"",_xlfn.XLOOKUP($D11,'[1]Import Eletra'!$B:$B,'[1]Import Eletra'!$AJ:$AJ,,0,1))</f>
        <v>5571587.1100000003</v>
      </c>
      <c r="O11" s="108">
        <f>IF(_xlfn.XLOOKUP($D11,'[1]Import Eletra'!$B:$B,'[1]Import Eletra'!$AK:$AK,,0,1)=0,"",_xlfn.XLOOKUP($D11,'[1]Import Eletra'!$B:$B,'[1]Import Eletra'!$AK:$AK,,0,1))</f>
        <v>46084</v>
      </c>
      <c r="P11" s="108">
        <f>IF(_xlfn.XLOOKUP($D11,'[1]Import Eletra'!$B:$B,'[1]Import Eletra'!$AL:$AL,,0,1)=0,"",_xlfn.XLOOKUP($D11,'[1]Import Eletra'!$B:$B,'[1]Import Eletra'!$AL:$AL,,0,1))</f>
        <v>46092</v>
      </c>
      <c r="Q11" s="108">
        <f>IF(_xlfn.XLOOKUP($D11,'[1]Import Eletra'!$B:$B,'[1]Import Eletra'!$AM:$AM,,0,1)=0,"",_xlfn.XLOOKUP($D11,'[1]Import Eletra'!$B:$B,'[1]Import Eletra'!$AM:$AM,,0,1))</f>
        <v>46119</v>
      </c>
      <c r="R11" s="108">
        <f>IF(_xlfn.XLOOKUP($D11,'[1]Import Eletra'!$B:$B,'[1]Import Eletra'!$AN:$AN,,0,1)=0,"",_xlfn.XLOOKUP($D11,'[1]Import Eletra'!$B:$B,'[1]Import Eletra'!$AN:$AN,,0,1))</f>
        <v>46119</v>
      </c>
      <c r="S11" s="108">
        <f>IF(_xlfn.XLOOKUP($D11,'[1]Import Eletra'!$B:$B,'[1]Import Eletra'!$AO:$AO,,0,1)=0,"",_xlfn.XLOOKUP($D11,'[1]Import Eletra'!$B:$B,'[1]Import Eletra'!$AO:$AO,,0,1))</f>
        <v>46120</v>
      </c>
      <c r="T11" s="108">
        <f>IF(_xlfn.XLOOKUP($D11,'[1]Import Eletra'!$B:$B,'[1]Import Eletra'!$AP:$AP,,0,1)=0,"",_xlfn.XLOOKUP($D11,'[1]Import Eletra'!$B:$B,'[1]Import Eletra'!$AP:$AP,,0,1))</f>
        <v>46126</v>
      </c>
      <c r="U11" s="111">
        <f>IF(_xlfn.XLOOKUP($D11,'[1]Import Eletra'!$B:$B,'[1]Import Eletra'!$AQ:$AQ,,0,1)=0,"",_xlfn.XLOOKUP($D11,'[1]Import Eletra'!$B:$B,'[1]Import Eletra'!$AQ:$AQ,,0,1))</f>
        <v>46127</v>
      </c>
      <c r="V11" s="110">
        <f t="shared" ref="V11:V25" si="41">AA11-$AA$3</f>
        <v>46127</v>
      </c>
      <c r="W11" s="104">
        <f>IF(_xlfn.XLOOKUP($D11,'[1]Import Eletra'!$B:$B,'[1]Import Eletra'!$AR:$AR,,0,1)=0,"",_xlfn.XLOOKUP($D11,'[1]Import Eletra'!$B:$B,'[1]Import Eletra'!$AR:$AR,,0,1))</f>
        <v>46127</v>
      </c>
      <c r="X11" s="112">
        <f t="shared" si="1"/>
        <v>0</v>
      </c>
      <c r="Y11" s="113">
        <f t="shared" ca="1" si="2"/>
        <v>0</v>
      </c>
      <c r="Z11" s="184">
        <f t="shared" ca="1" si="17"/>
        <v>0</v>
      </c>
      <c r="AA11" s="114">
        <f t="shared" ref="AA11:AA25" si="42">AF11-$AA$3</f>
        <v>46127</v>
      </c>
      <c r="AB11" s="104" t="str">
        <f>IF(_xlfn.XLOOKUP($D11,'[1]Import Eletra'!$B:$B,'[1]Import Eletra'!$AC:$AC,,0,1)=0,"",_xlfn.XLOOKUP($D11,'[1]Import Eletra'!$B:$B,'[1]Import Eletra'!$AC:$AC,,0,1))</f>
        <v/>
      </c>
      <c r="AC11" s="112">
        <f t="shared" si="3"/>
        <v>0</v>
      </c>
      <c r="AD11" s="112">
        <f t="shared" ref="AD11:AD25" ca="1" si="43">IF(AB11="",TODAY()-AA11,AB11-AA11)</f>
        <v>84</v>
      </c>
      <c r="AE11" s="184">
        <f t="shared" ca="1" si="18"/>
        <v>84</v>
      </c>
      <c r="AF11" s="116">
        <f t="shared" ref="AF11:AF25" si="44">AK11-$AK$3</f>
        <v>46127</v>
      </c>
      <c r="AG11" s="104">
        <f>IF(_xlfn.XLOOKUP($D11,'[1]Import Eletra'!$B:$B,'[1]Import Eletra'!$AD:$AD,,0,1)=0,"",_xlfn.XLOOKUP($D11,'[1]Import Eletra'!$B:$B,'[1]Import Eletra'!$AD:$AD,,0,1))</f>
        <v>46127</v>
      </c>
      <c r="AH11" s="112">
        <f t="shared" si="4"/>
        <v>0</v>
      </c>
      <c r="AI11" s="112">
        <f t="shared" ref="AI11:AI25" ca="1" si="45">IF(AG11="",TODAY()-AF11,AG11-AF11)</f>
        <v>0</v>
      </c>
      <c r="AJ11" s="184">
        <f t="shared" ca="1" si="19"/>
        <v>0</v>
      </c>
      <c r="AK11" s="116">
        <f t="shared" ref="AK11:AK25" si="46">AP11-$AP$3</f>
        <v>46127</v>
      </c>
      <c r="AL11" s="104">
        <f>IF(_xlfn.XLOOKUP($D11,'[1]Import Eletra'!$B:$B,'[1]Import Eletra'!$AS:$AS,,0,1)=0,"",_xlfn.XLOOKUP($D11,'[1]Import Eletra'!$B:$B,'[1]Import Eletra'!$AS:$AS,,0,1))</f>
        <v>46127</v>
      </c>
      <c r="AM11" s="112">
        <f t="shared" si="5"/>
        <v>0</v>
      </c>
      <c r="AN11" s="112">
        <f t="shared" ref="AN11:AN25" ca="1" si="47">IF(AL11="",TODAY()-AK11,AL11-AK11)</f>
        <v>0</v>
      </c>
      <c r="AO11" s="184">
        <f t="shared" ca="1" si="20"/>
        <v>0</v>
      </c>
      <c r="AP11" s="166">
        <f t="shared" ref="AP11:AP25" si="48">AU11-$AU$3</f>
        <v>46128</v>
      </c>
      <c r="AQ11" s="104">
        <f>IF(_xlfn.XLOOKUP($D11,'[1]Import Eletra'!$B:$B,'[1]Import Eletra'!$AT:$AT,,0,1)=0,"",_xlfn.XLOOKUP($D11,'[1]Import Eletra'!$B:$B,'[1]Import Eletra'!$AT:$AT,,0,1))</f>
        <v>46128</v>
      </c>
      <c r="AR11" s="112">
        <f t="shared" si="6"/>
        <v>1</v>
      </c>
      <c r="AS11" s="112">
        <f t="shared" ref="AS11:AS25" ca="1" si="49">IF(AQ11="",TODAY()-AP11,AQ11-AP11)</f>
        <v>0</v>
      </c>
      <c r="AT11" s="184">
        <f t="shared" ca="1" si="21"/>
        <v>-1</v>
      </c>
      <c r="AU11" s="116">
        <f t="shared" ref="AU11:AU25" si="50">AZ11-$AZ$3</f>
        <v>46128</v>
      </c>
      <c r="AV11" s="104">
        <f>IF(_xlfn.XLOOKUP($D11,'[1]Import Eletra'!$B:$B,'[1]Import Eletra'!$AU:$AU,,0,1)=0,"",_xlfn.XLOOKUP($D11,'[1]Import Eletra'!$B:$B,'[1]Import Eletra'!$AU:$AU,,0,1))</f>
        <v>46129</v>
      </c>
      <c r="AW11" s="112"/>
      <c r="AX11" s="112"/>
      <c r="AY11" s="184">
        <f t="shared" si="22"/>
        <v>0</v>
      </c>
      <c r="AZ11" s="166">
        <f t="shared" ref="AZ11:AZ25" si="51">BE11-$BE$3</f>
        <v>46128</v>
      </c>
      <c r="BA11" s="104" t="str">
        <f>IF(_xlfn.XLOOKUP($D11,'[1]Import Eletra'!$B:$B,'[1]Import Eletra'!$AV:$AV,,0,1)=0,"",_xlfn.XLOOKUP($D11,'[1]Import Eletra'!$B:$B,'[1]Import Eletra'!$AV:$AV,,0,1))</f>
        <v/>
      </c>
      <c r="BB11" s="112"/>
      <c r="BC11" s="112"/>
      <c r="BD11" s="184">
        <f t="shared" si="23"/>
        <v>0</v>
      </c>
      <c r="BE11" s="110">
        <f t="shared" ref="BE11:BE25" si="52">BJ11-$BJ$3</f>
        <v>46128</v>
      </c>
      <c r="BF11" s="104" t="str">
        <f>IF(_xlfn.XLOOKUP($D11,'[1]Import Eletra'!$B:$B,'[1]Import Eletra'!$AW:$AW,,0,1)=0,"",_xlfn.XLOOKUP($D11,'[1]Import Eletra'!$B:$B,'[1]Import Eletra'!$AW:$AW,,0,1))</f>
        <v/>
      </c>
      <c r="BG11" s="112"/>
      <c r="BH11" s="113"/>
      <c r="BI11" s="184">
        <f t="shared" si="24"/>
        <v>0</v>
      </c>
      <c r="BJ11" s="120">
        <f t="shared" ref="BJ11:BJ25" si="53">BO11-$BO$3</f>
        <v>46128</v>
      </c>
      <c r="BK11" s="104" t="str">
        <f>IF(_xlfn.XLOOKUP($D11,'[1]Import Eletra'!$B:$B,'[1]Import Eletra'!$AX:$AX,,0,1)=0,"",_xlfn.XLOOKUP($D11,'[1]Import Eletra'!$B:$B,'[1]Import Eletra'!$AX:$AX,,0,1))</f>
        <v/>
      </c>
      <c r="BL11" s="112">
        <f t="shared" si="7"/>
        <v>0</v>
      </c>
      <c r="BM11" s="113">
        <v>0</v>
      </c>
      <c r="BN11" s="184">
        <f t="shared" si="25"/>
        <v>0</v>
      </c>
      <c r="BO11" s="110">
        <f t="shared" ref="BO11:BO25" si="54">BT11-$BT$3</f>
        <v>46128</v>
      </c>
      <c r="BP11" s="104">
        <f>IF(_xlfn.XLOOKUP($D11,'[1]Import Eletra'!$B:$B,'[1]Import Eletra'!$AY:$AY,,0,1)=0,"",_xlfn.XLOOKUP($D11,'[1]Import Eletra'!$B:$B,'[1]Import Eletra'!$AY:$AY,,0,1))</f>
        <v>46128</v>
      </c>
      <c r="BQ11" s="112">
        <f t="shared" si="8"/>
        <v>0</v>
      </c>
      <c r="BR11" s="112">
        <f t="shared" ref="BR11:BR25" ca="1" si="55">IF(BP11="",TODAY()-BO11,BP11-BO11)</f>
        <v>0</v>
      </c>
      <c r="BS11" s="184">
        <f t="shared" ca="1" si="26"/>
        <v>0</v>
      </c>
      <c r="BT11" s="120">
        <f t="shared" ref="BT11:BT25" si="56">BY11-$BY$3</f>
        <v>46130</v>
      </c>
      <c r="BU11" s="104">
        <f>IF(_xlfn.XLOOKUP($D11,'[1]Import Eletra'!$B:$B,'[1]Import Eletra'!$AZ:$AZ,,0,1)=0,"",_xlfn.XLOOKUP($D11,'[1]Import Eletra'!$B:$B,'[1]Import Eletra'!$AZ:$AZ,,0,1))</f>
        <v>46129</v>
      </c>
      <c r="BV11" s="112">
        <f t="shared" si="9"/>
        <v>2</v>
      </c>
      <c r="BW11" s="112">
        <f t="shared" ref="BW11:BW25" ca="1" si="57">IF(BU11="",TODAY()-BT11,BU11-BT11)</f>
        <v>-1</v>
      </c>
      <c r="BX11" s="184">
        <f t="shared" ca="1" si="27"/>
        <v>-3</v>
      </c>
      <c r="BY11" s="110">
        <f t="shared" ref="BY11:BY25" si="58">CD11-$CD$3</f>
        <v>46130</v>
      </c>
      <c r="BZ11" s="104">
        <f>IF(_xlfn.XLOOKUP($D11,'[1]Import Eletra'!$B:$B,'[1]Import Eletra'!$BA:$BA,,0,1)=0,"",_xlfn.XLOOKUP($D11,'[1]Import Eletra'!$B:$B,'[1]Import Eletra'!$BA:$BA,,0,1))</f>
        <v>46132</v>
      </c>
      <c r="CA11" s="112">
        <f>$BY$3</f>
        <v>0</v>
      </c>
      <c r="CB11" s="112">
        <f t="shared" ref="CB11:CB25" ca="1" si="59">IF(BZ11="",TODAY()-BY11,BZ11-BY11)</f>
        <v>2</v>
      </c>
      <c r="CC11" s="184">
        <f t="shared" ca="1" si="28"/>
        <v>2</v>
      </c>
      <c r="CD11" s="120">
        <f t="shared" ref="CD11:CD25" si="60">CI11-$CI$3</f>
        <v>46130</v>
      </c>
      <c r="CE11" s="104">
        <f>IF(_xlfn.XLOOKUP($D11,'[1]Import Eletra'!$B:$B,'[1]Import Eletra'!$BB:$BB,,0,1)=0,"",_xlfn.XLOOKUP($D11,'[1]Import Eletra'!$B:$B,'[1]Import Eletra'!$BB:$BB,,0,1))</f>
        <v>46132</v>
      </c>
      <c r="CF11" s="112">
        <f t="shared" si="11"/>
        <v>0</v>
      </c>
      <c r="CG11" s="112">
        <f t="shared" ref="CG11:CG25" ca="1" si="61">IF(CE11="",TODAY()-CD11,CE11-CD11)</f>
        <v>2</v>
      </c>
      <c r="CH11" s="184">
        <f t="shared" ca="1" si="29"/>
        <v>2</v>
      </c>
      <c r="CI11" s="110">
        <f t="shared" ref="CI11:CI25" si="62">CN11-$CN$3</f>
        <v>46130</v>
      </c>
      <c r="CJ11" s="104">
        <f>IF(_xlfn.XLOOKUP($D11,'[1]Import Eletra'!$B:$B,'[1]Import Eletra'!$BC:$BC,,0,1)=0,"",_xlfn.XLOOKUP($D11,'[1]Import Eletra'!$B:$B,'[1]Import Eletra'!$BC:$BC,,0,1))</f>
        <v>46132</v>
      </c>
      <c r="CK11" s="112">
        <f t="shared" ref="CK11" si="63">$CI$3</f>
        <v>0</v>
      </c>
      <c r="CL11" s="112">
        <f t="shared" ref="CL11:CL25" ca="1" si="64">IF(CJ11="",TODAY()-CI11,CJ11-CI11)</f>
        <v>2</v>
      </c>
      <c r="CM11" s="184">
        <f t="shared" ca="1" si="30"/>
        <v>2</v>
      </c>
      <c r="CN11" s="110">
        <f t="shared" ref="CN11:CN25" si="65">CS11-$CS$3</f>
        <v>46130</v>
      </c>
      <c r="CO11" s="104">
        <f>IF(_xlfn.XLOOKUP($D11,'[1]Import Eletra'!$B:$B,'[1]Import Eletra'!$BD:$BD,,0,1)=0,"",_xlfn.XLOOKUP($D11,'[1]Import Eletra'!$B:$B,'[1]Import Eletra'!$BD:$BD,,0,1))</f>
        <v>46132</v>
      </c>
      <c r="CP11" s="112">
        <f t="shared" si="12"/>
        <v>0</v>
      </c>
      <c r="CQ11" s="119">
        <f t="shared" ref="CQ11:CQ25" ca="1" si="66">IF(CO11="",TODAY()-CN11,CO11-CN11)</f>
        <v>2</v>
      </c>
      <c r="CR11" s="184">
        <f t="shared" ca="1" si="31"/>
        <v>2</v>
      </c>
      <c r="CS11" s="120">
        <f t="shared" ref="CS11:CS25" si="67">CX11-$CX$3</f>
        <v>46130</v>
      </c>
      <c r="CT11" s="104">
        <f>IF(_xlfn.XLOOKUP($D11,'[1]Import Eletra'!$B:$B,'[1]Import Eletra'!$BE:$BE,,0,1)=0,"",_xlfn.XLOOKUP($D11,'[1]Import Eletra'!$B:$B,'[1]Import Eletra'!$BE:$BE,,0,1))</f>
        <v>46132</v>
      </c>
      <c r="CU11" s="113">
        <f t="shared" si="13"/>
        <v>0</v>
      </c>
      <c r="CV11" s="119">
        <f t="shared" ref="CV11:CV25" ca="1" si="68">IF(CT11="",TODAY()-CS11,CT11-CS11)</f>
        <v>2</v>
      </c>
      <c r="CW11" s="184">
        <f t="shared" ca="1" si="32"/>
        <v>2</v>
      </c>
      <c r="CX11" s="120">
        <f t="shared" ref="CX11:CX25" si="69">DC11-$DC$3</f>
        <v>46130</v>
      </c>
      <c r="CY11" s="104">
        <f>IF(_xlfn.XLOOKUP($D11,'[1]Import Eletra'!$B:$B,'[1]Import Eletra'!$BE:$BE,,0,1)=0,"",_xlfn.XLOOKUP($D11,'[1]Import Eletra'!$B:$B,'[1]Import Eletra'!$BE:$BE,,0,1))</f>
        <v>46132</v>
      </c>
      <c r="CZ11" s="113">
        <f>$CX$3</f>
        <v>0</v>
      </c>
      <c r="DA11" s="113">
        <f t="shared" ref="DA11:DA25" ca="1" si="70">IF(CY11="",TODAY()-CX11,CY11-CX11)</f>
        <v>2</v>
      </c>
      <c r="DB11" s="184">
        <f t="shared" ca="1" si="33"/>
        <v>2</v>
      </c>
      <c r="DC11" s="110">
        <f t="shared" ref="DC11:DC25" si="71">DH11-$DH$3</f>
        <v>46132</v>
      </c>
      <c r="DD11" s="104">
        <f>IF(_xlfn.XLOOKUP($D11,'[1]Import Eletra'!$B:$B,'[1]Import Eletra'!$BF:$BF,,0,1)=0,"",_xlfn.XLOOKUP($D11,'[1]Import Eletra'!$B:$B,'[1]Import Eletra'!$BF:$BF,0,1))</f>
        <v>46132</v>
      </c>
      <c r="DE11" s="112">
        <f t="shared" si="15"/>
        <v>2</v>
      </c>
      <c r="DF11" s="113">
        <f>DD11-DC11</f>
        <v>0</v>
      </c>
      <c r="DG11" s="184">
        <f t="shared" si="34"/>
        <v>-2</v>
      </c>
      <c r="DH11" s="110">
        <f>DN11-$DM$3</f>
        <v>46133</v>
      </c>
      <c r="DI11" s="104">
        <f>IF(_xlfn.XLOOKUP($D11,'[1]Import Eletra'!$B:$B,'[1]Import Eletra'!$BG:$BG,,0,1)=0,"",_xlfn.XLOOKUP($D11,'[1]Import Eletra'!$B:$B,'[1]Import Eletra'!$BG:$BG,0,1))</f>
        <v>46135</v>
      </c>
      <c r="DJ11" s="112">
        <f t="shared" si="16"/>
        <v>1</v>
      </c>
      <c r="DK11" s="113">
        <f t="shared" ref="DK11:DK33" ca="1" si="72">IF(DI11="",TODAY()-DH11,DI11-DH11)</f>
        <v>2</v>
      </c>
      <c r="DL11" s="184">
        <f t="shared" ca="1" si="35"/>
        <v>1</v>
      </c>
      <c r="DM11" s="64">
        <v>46136</v>
      </c>
      <c r="DN11" s="202">
        <f t="shared" ref="DN11:DN16" si="73">IF(U11="",M11+DS11,U11+DS11)</f>
        <v>46134</v>
      </c>
      <c r="DO11" s="165">
        <v>46135</v>
      </c>
      <c r="DP11" s="112">
        <f>$DM$3</f>
        <v>1</v>
      </c>
      <c r="DQ11" s="112">
        <f t="shared" ref="DQ11:DQ33" ca="1" si="74">IF(DO11="",TODAY()-DN11,DO11-DN11)</f>
        <v>1</v>
      </c>
      <c r="DR11" s="184">
        <f t="shared" ca="1" si="36"/>
        <v>0</v>
      </c>
      <c r="DS11" s="143">
        <f t="shared" ref="DS11:DS25" si="75">_xlfn.AGGREGATE(9,6,X11,AC11,AH11,AM11,AR11,AW11,BB11,BG11,BL11,BQ11,BV11,CA11,CF11,CK11,CP11,CU11,DE11,DJ11,DP11)</f>
        <v>7</v>
      </c>
      <c r="DT11" s="140">
        <f ca="1">IF(DO11="",TODAY()-U11,DO11-U11)</f>
        <v>8</v>
      </c>
      <c r="DU11" s="184">
        <f t="shared" ca="1" si="37"/>
        <v>1</v>
      </c>
      <c r="DW11" s="185" t="s">
        <v>245</v>
      </c>
      <c r="DZ11" s="230"/>
    </row>
    <row r="12" spans="1:181" ht="30" customHeight="1">
      <c r="B12" s="91">
        <v>1</v>
      </c>
      <c r="C12" s="2" t="s">
        <v>247</v>
      </c>
      <c r="D12" s="144" t="s">
        <v>250</v>
      </c>
      <c r="E12" s="97">
        <f>IF(_xlfn.XLOOKUP($D12,'[1]Import Eletra'!$B:$B,'[1]Import Eletra'!$U:$U,,0,1)=0,"",_xlfn.XLOOKUP($D12,'[1]Import Eletra'!$B:$B,'[1]Import Eletra'!$U:$U,,0,1))</f>
        <v>2</v>
      </c>
      <c r="F12" s="2" t="s">
        <v>244</v>
      </c>
      <c r="G12" s="2" t="str">
        <f>_xlfn.XLOOKUP($D12,'[1]Import Eletra'!$B:$B,'[1]Import Eletra'!$F:$F,,0,1)</f>
        <v>DELIVERED</v>
      </c>
      <c r="H12" s="3" t="str">
        <f>_xlfn.XLOOKUP($D12,'[1]Import Eletra'!$B:$B,'[1]Import Eletra'!$G:$G,,0,1)</f>
        <v>SEA</v>
      </c>
      <c r="I12" s="3">
        <v>46029</v>
      </c>
      <c r="J12" s="58">
        <v>30</v>
      </c>
      <c r="K12" s="58">
        <f>L12-I12</f>
        <v>58</v>
      </c>
      <c r="L12" s="3">
        <f>IF(_xlfn.XLOOKUP($D12,'[1]Import Eletra'!$B:$B,'[1]Import Eletra'!$J:$J,,0,1)=0,"",_xlfn.XLOOKUP($D12,'[1]Import Eletra'!$B:$B,'[1]Import Eletra'!$J:$J,,0,1))</f>
        <v>46087</v>
      </c>
      <c r="M12" s="2">
        <f>IF(_xlfn.XLOOKUP($D12,'[1]Import Eletra'!$B:$B,'[1]Import Eletra'!$L:$L,,0,1)=0,"",_xlfn.XLOOKUP($D12,'[1]Import Eletra'!$B:$B,'[1]Import Eletra'!$L:$L,,0,1))</f>
        <v>46133</v>
      </c>
      <c r="N12" s="19">
        <f>IF(_xlfn.XLOOKUP($D12,'[1]Import Eletra'!$B:$B,'[1]Import Eletra'!$AJ:$AJ,,0,1)=0,"",_xlfn.XLOOKUP($D12,'[1]Import Eletra'!$B:$B,'[1]Import Eletra'!$AJ:$AJ,,0,1))</f>
        <v>687959.32</v>
      </c>
      <c r="O12" s="3">
        <f>IF(_xlfn.XLOOKUP($D12,'[1]Import Eletra'!$B:$B,'[1]Import Eletra'!$AK:$AK,,0,1)=0,"",_xlfn.XLOOKUP($D12,'[1]Import Eletra'!$B:$B,'[1]Import Eletra'!$AK:$AK,,0,1))</f>
        <v>46092</v>
      </c>
      <c r="P12" s="3">
        <f>IF(_xlfn.XLOOKUP($D12,'[1]Import Eletra'!$B:$B,'[1]Import Eletra'!$AL:$AL,,0,1)=0,"",_xlfn.XLOOKUP($D12,'[1]Import Eletra'!$B:$B,'[1]Import Eletra'!$AL:$AL,,0,1))</f>
        <v>46092</v>
      </c>
      <c r="Q12" s="3">
        <f>IF(_xlfn.XLOOKUP($D12,'[1]Import Eletra'!$B:$B,'[1]Import Eletra'!$AM:$AM,,0,1)=0,"",_xlfn.XLOOKUP($D12,'[1]Import Eletra'!$B:$B,'[1]Import Eletra'!$AM:$AM,,0,1))</f>
        <v>46092</v>
      </c>
      <c r="R12" s="3">
        <f>IF(_xlfn.XLOOKUP($D12,'[1]Import Eletra'!$B:$B,'[1]Import Eletra'!$AN:$AN,,0,1)=0,"",_xlfn.XLOOKUP($D12,'[1]Import Eletra'!$B:$B,'[1]Import Eletra'!$AN:$AN,,0,1))</f>
        <v>46119</v>
      </c>
      <c r="S12" s="3">
        <f>IF(_xlfn.XLOOKUP($D12,'[1]Import Eletra'!$B:$B,'[1]Import Eletra'!$AO:$AO,,0,1)=0,"",_xlfn.XLOOKUP($D12,'[1]Import Eletra'!$B:$B,'[1]Import Eletra'!$AO:$AO,,0,1))</f>
        <v>46119</v>
      </c>
      <c r="T12" s="3">
        <f>IF(_xlfn.XLOOKUP($D12,'[1]Import Eletra'!$B:$B,'[1]Import Eletra'!$AP:$AP,,0,1)=0,"",_xlfn.XLOOKUP($D12,'[1]Import Eletra'!$B:$B,'[1]Import Eletra'!$AP:$AP,,0,1))</f>
        <v>46119</v>
      </c>
      <c r="U12" s="82">
        <f>IF(_xlfn.XLOOKUP($D12,'[1]Import Eletra'!$B:$B,'[1]Import Eletra'!$AQ:$AQ,,0,1)=0,"",_xlfn.XLOOKUP($D12,'[1]Import Eletra'!$B:$B,'[1]Import Eletra'!$AQ:$AQ,,0,1))</f>
        <v>46126</v>
      </c>
      <c r="V12" s="19">
        <f t="shared" si="41"/>
        <v>46126</v>
      </c>
      <c r="W12" s="2">
        <f>IF(_xlfn.XLOOKUP($D12,'[1]Import Eletra'!$B:$B,'[1]Import Eletra'!$AR:$AR,,0,1)=0,"",_xlfn.XLOOKUP($D12,'[1]Import Eletra'!$B:$B,'[1]Import Eletra'!$AR:$AR,,0,1))</f>
        <v>46134</v>
      </c>
      <c r="X12" s="1">
        <f t="shared" si="1"/>
        <v>0</v>
      </c>
      <c r="Y12" s="72">
        <f t="shared" ca="1" si="2"/>
        <v>8</v>
      </c>
      <c r="Z12" s="184">
        <f t="shared" ca="1" si="17"/>
        <v>8</v>
      </c>
      <c r="AA12" s="33">
        <f t="shared" si="42"/>
        <v>46126</v>
      </c>
      <c r="AB12" s="2" t="str">
        <f>IF(_xlfn.XLOOKUP($D12,'[1]Import Eletra'!$B:$B,'[1]Import Eletra'!$AC:$AC,,0,1)=0,"",_xlfn.XLOOKUP($D12,'[1]Import Eletra'!$B:$B,'[1]Import Eletra'!$AC:$AC,,0,1))</f>
        <v/>
      </c>
      <c r="AC12" s="1">
        <f t="shared" si="3"/>
        <v>0</v>
      </c>
      <c r="AD12" s="1">
        <f t="shared" ca="1" si="43"/>
        <v>85</v>
      </c>
      <c r="AE12" s="184">
        <f t="shared" ca="1" si="18"/>
        <v>85</v>
      </c>
      <c r="AF12" s="35">
        <f t="shared" si="44"/>
        <v>46126</v>
      </c>
      <c r="AG12" s="2">
        <f>IF(_xlfn.XLOOKUP($D12,'[1]Import Eletra'!$B:$B,'[1]Import Eletra'!$AD:$AD,,0,1)=0,"",_xlfn.XLOOKUP($D12,'[1]Import Eletra'!$B:$B,'[1]Import Eletra'!$AD:$AD,,0,1))</f>
        <v>46135</v>
      </c>
      <c r="AH12" s="1">
        <f t="shared" si="4"/>
        <v>0</v>
      </c>
      <c r="AI12" s="1">
        <f t="shared" ca="1" si="45"/>
        <v>9</v>
      </c>
      <c r="AJ12" s="184">
        <f t="shared" ca="1" si="19"/>
        <v>9</v>
      </c>
      <c r="AK12" s="35">
        <f t="shared" si="46"/>
        <v>46126</v>
      </c>
      <c r="AL12" s="2">
        <f>IF(_xlfn.XLOOKUP($D12,'[1]Import Eletra'!$B:$B,'[1]Import Eletra'!$AS:$AS,,0,1)=0,"",_xlfn.XLOOKUP($D12,'[1]Import Eletra'!$B:$B,'[1]Import Eletra'!$AS:$AS,,0,1))</f>
        <v>46134</v>
      </c>
      <c r="AM12" s="1">
        <f t="shared" si="5"/>
        <v>0</v>
      </c>
      <c r="AN12" s="1">
        <f t="shared" ca="1" si="47"/>
        <v>8</v>
      </c>
      <c r="AO12" s="184">
        <f t="shared" ca="1" si="20"/>
        <v>8</v>
      </c>
      <c r="AP12" s="34">
        <f t="shared" si="48"/>
        <v>46127</v>
      </c>
      <c r="AQ12" s="2">
        <f>IF(_xlfn.XLOOKUP($D12,'[1]Import Eletra'!$B:$B,'[1]Import Eletra'!$AT:$AT,,0,1)=0,"",_xlfn.XLOOKUP($D12,'[1]Import Eletra'!$B:$B,'[1]Import Eletra'!$AT:$AT,,0,1))</f>
        <v>46135</v>
      </c>
      <c r="AR12" s="1">
        <f>$AP$3</f>
        <v>1</v>
      </c>
      <c r="AS12" s="1">
        <f ca="1">IF(AQ12="",TODAY()-AP12,AQ12-AP12)</f>
        <v>8</v>
      </c>
      <c r="AT12" s="184">
        <f t="shared" ca="1" si="21"/>
        <v>7</v>
      </c>
      <c r="AU12" s="35">
        <f t="shared" si="50"/>
        <v>46127</v>
      </c>
      <c r="AV12" s="2">
        <f>IF(_xlfn.XLOOKUP($D12,'[1]Import Eletra'!$B:$B,'[1]Import Eletra'!$AU:$AU,,0,1)=0,"",_xlfn.XLOOKUP($D12,'[1]Import Eletra'!$B:$B,'[1]Import Eletra'!$AU:$AU,,0,1))</f>
        <v>46135</v>
      </c>
      <c r="AW12" s="1"/>
      <c r="AX12" s="1"/>
      <c r="AY12" s="184">
        <f t="shared" si="22"/>
        <v>0</v>
      </c>
      <c r="AZ12" s="34">
        <f t="shared" si="51"/>
        <v>46127</v>
      </c>
      <c r="BA12" s="2" t="str">
        <f>IF(_xlfn.XLOOKUP($D12,'[1]Import Eletra'!$B:$B,'[1]Import Eletra'!$AV:$AV,,0,1)=0,"",_xlfn.XLOOKUP($D12,'[1]Import Eletra'!$B:$B,'[1]Import Eletra'!$AV:$AV,,0,1))</f>
        <v/>
      </c>
      <c r="BB12" s="1"/>
      <c r="BC12" s="1"/>
      <c r="BD12" s="184">
        <f t="shared" si="23"/>
        <v>0</v>
      </c>
      <c r="BE12" s="19">
        <f t="shared" si="52"/>
        <v>46127</v>
      </c>
      <c r="BF12" s="2" t="str">
        <f>IF(_xlfn.XLOOKUP($D12,'[1]Import Eletra'!$B:$B,'[1]Import Eletra'!$AW:$AW,,0,1)=0,"",_xlfn.XLOOKUP($D12,'[1]Import Eletra'!$B:$B,'[1]Import Eletra'!$AW:$AW,,0,1))</f>
        <v/>
      </c>
      <c r="BG12" s="1"/>
      <c r="BH12" s="1"/>
      <c r="BI12" s="184">
        <f t="shared" si="24"/>
        <v>0</v>
      </c>
      <c r="BJ12" s="18">
        <f t="shared" si="53"/>
        <v>46127</v>
      </c>
      <c r="BK12" s="2" t="str">
        <f>IF(_xlfn.XLOOKUP($D12,'[1]Import Eletra'!$B:$B,'[1]Import Eletra'!$AX:$AX,,0,1)=0,"",_xlfn.XLOOKUP($D12,'[1]Import Eletra'!$B:$B,'[1]Import Eletra'!$AX:$AX,,0,1))</f>
        <v/>
      </c>
      <c r="BL12" s="1">
        <f t="shared" si="7"/>
        <v>0</v>
      </c>
      <c r="BM12" s="1">
        <f t="shared" ref="BM12:BM25" ca="1" si="76">IF(BK12="",TODAY()-BJ12,BK12-BJ12)</f>
        <v>84</v>
      </c>
      <c r="BN12" s="184">
        <f t="shared" ca="1" si="25"/>
        <v>84</v>
      </c>
      <c r="BO12" s="19">
        <f t="shared" si="54"/>
        <v>46127</v>
      </c>
      <c r="BP12" s="2">
        <f>IF(_xlfn.XLOOKUP($D12,'[1]Import Eletra'!$B:$B,'[1]Import Eletra'!$AY:$AY,,0,1)=0,"",_xlfn.XLOOKUP($D12,'[1]Import Eletra'!$B:$B,'[1]Import Eletra'!$AY:$AY,,0,1))</f>
        <v>46135</v>
      </c>
      <c r="BQ12" s="1">
        <f t="shared" si="8"/>
        <v>0</v>
      </c>
      <c r="BR12" s="1">
        <f t="shared" ca="1" si="55"/>
        <v>8</v>
      </c>
      <c r="BS12" s="184">
        <f t="shared" ca="1" si="26"/>
        <v>8</v>
      </c>
      <c r="BT12" s="18">
        <f t="shared" si="56"/>
        <v>46129</v>
      </c>
      <c r="BU12" s="2">
        <f>IF(_xlfn.XLOOKUP($D12,'[1]Import Eletra'!$B:$B,'[1]Import Eletra'!$AZ:$AZ,,0,1)=0,"",_xlfn.XLOOKUP($D12,'[1]Import Eletra'!$B:$B,'[1]Import Eletra'!$AZ:$AZ,,0,1))</f>
        <v>46135</v>
      </c>
      <c r="BV12" s="1">
        <f t="shared" si="9"/>
        <v>2</v>
      </c>
      <c r="BW12" s="1">
        <f t="shared" ca="1" si="57"/>
        <v>6</v>
      </c>
      <c r="BX12" s="184">
        <f t="shared" ca="1" si="27"/>
        <v>4</v>
      </c>
      <c r="BY12" s="19">
        <f t="shared" si="58"/>
        <v>46129</v>
      </c>
      <c r="BZ12" s="2">
        <v>46136</v>
      </c>
      <c r="CA12" s="1">
        <f t="shared" si="10"/>
        <v>0</v>
      </c>
      <c r="CB12" s="1">
        <f t="shared" ca="1" si="59"/>
        <v>7</v>
      </c>
      <c r="CC12" s="184">
        <f t="shared" ca="1" si="28"/>
        <v>7</v>
      </c>
      <c r="CD12" s="18">
        <f t="shared" si="60"/>
        <v>46129</v>
      </c>
      <c r="CE12" s="2">
        <f>IF(_xlfn.XLOOKUP($D12,'[1]Import Eletra'!$B:$B,'[1]Import Eletra'!$BB:$BB,,0,1)=0,"",_xlfn.XLOOKUP($D12,'[1]Import Eletra'!$B:$B,'[1]Import Eletra'!$BB:$BB,,0,1))</f>
        <v>46136</v>
      </c>
      <c r="CF12" s="1">
        <f t="shared" si="11"/>
        <v>0</v>
      </c>
      <c r="CG12" s="1">
        <f t="shared" ca="1" si="61"/>
        <v>7</v>
      </c>
      <c r="CH12" s="184">
        <f t="shared" ca="1" si="29"/>
        <v>7</v>
      </c>
      <c r="CI12" s="19">
        <f t="shared" si="62"/>
        <v>46129</v>
      </c>
      <c r="CJ12" s="2">
        <v>46136</v>
      </c>
      <c r="CK12" s="1"/>
      <c r="CL12" s="1">
        <f t="shared" ca="1" si="64"/>
        <v>7</v>
      </c>
      <c r="CM12" s="184">
        <f t="shared" ca="1" si="30"/>
        <v>7</v>
      </c>
      <c r="CN12" s="19">
        <f t="shared" si="65"/>
        <v>46129</v>
      </c>
      <c r="CO12" s="2">
        <f>IF(_xlfn.XLOOKUP($D12,'[1]Import Eletra'!$B:$B,'[1]Import Eletra'!$BD:$BD,,0,1)=0,"",_xlfn.XLOOKUP($D12,'[1]Import Eletra'!$B:$B,'[1]Import Eletra'!$BD:$BD,,0,1))</f>
        <v>46136</v>
      </c>
      <c r="CP12" s="1">
        <f t="shared" si="12"/>
        <v>0</v>
      </c>
      <c r="CQ12" s="69">
        <f t="shared" ca="1" si="66"/>
        <v>7</v>
      </c>
      <c r="CR12" s="184">
        <f t="shared" ca="1" si="31"/>
        <v>7</v>
      </c>
      <c r="CS12" s="18">
        <f t="shared" si="67"/>
        <v>46129</v>
      </c>
      <c r="CT12" s="2">
        <f>IF(_xlfn.XLOOKUP($D12,'[1]Import Eletra'!$B:$B,'[1]Import Eletra'!$BE:$BE,,0,1)=0,"",_xlfn.XLOOKUP($D12,'[1]Import Eletra'!$B:$B,'[1]Import Eletra'!$BE:$BE,,0,1))</f>
        <v>46139</v>
      </c>
      <c r="CU12" s="72">
        <f t="shared" si="13"/>
        <v>0</v>
      </c>
      <c r="CV12" s="69">
        <f t="shared" ca="1" si="68"/>
        <v>10</v>
      </c>
      <c r="CW12" s="184">
        <f t="shared" ca="1" si="32"/>
        <v>10</v>
      </c>
      <c r="CX12" s="18">
        <f t="shared" si="69"/>
        <v>46129</v>
      </c>
      <c r="CY12" s="2">
        <f>IF(_xlfn.XLOOKUP($D12,'[1]Import Eletra'!$B:$B,'[1]Import Eletra'!$BE:$BE,,0,1)=0,"",_xlfn.XLOOKUP($D12,'[1]Import Eletra'!$B:$B,'[1]Import Eletra'!$BE:$BE,,0,1))</f>
        <v>46139</v>
      </c>
      <c r="CZ12" s="72">
        <f t="shared" si="14"/>
        <v>0</v>
      </c>
      <c r="DA12" s="72">
        <f t="shared" ca="1" si="70"/>
        <v>10</v>
      </c>
      <c r="DB12" s="184">
        <f t="shared" ca="1" si="33"/>
        <v>10</v>
      </c>
      <c r="DC12" s="19">
        <f t="shared" si="71"/>
        <v>46131</v>
      </c>
      <c r="DD12" s="2">
        <f>IF(_xlfn.XLOOKUP($D12,'[1]Import Eletra'!$B:$B,'[1]Import Eletra'!$BF:$BF,,0,1)=0,"",_xlfn.XLOOKUP($D12,'[1]Import Eletra'!$B:$B,'[1]Import Eletra'!$BF:$BF,0,1))</f>
        <v>46139</v>
      </c>
      <c r="DE12" s="1">
        <f t="shared" si="15"/>
        <v>2</v>
      </c>
      <c r="DF12" s="1">
        <f t="shared" ref="DF12:DF25" ca="1" si="77">IF(DD12="",TODAY()-DC12,DD12-DC12)</f>
        <v>8</v>
      </c>
      <c r="DG12" s="184">
        <f t="shared" ca="1" si="34"/>
        <v>6</v>
      </c>
      <c r="DH12" s="19">
        <f>DN12-$DM$3</f>
        <v>46132</v>
      </c>
      <c r="DI12" s="2">
        <f>IF(_xlfn.XLOOKUP($D12,'[1]Import Eletra'!$B:$B,'[1]Import Eletra'!$BG:$BG,,0,1)=0,"",_xlfn.XLOOKUP($D12,'[1]Import Eletra'!$B:$B,'[1]Import Eletra'!$BG:$BG,0,1))</f>
        <v>46141</v>
      </c>
      <c r="DJ12" s="1">
        <f t="shared" si="16"/>
        <v>1</v>
      </c>
      <c r="DK12" s="1">
        <f t="shared" ca="1" si="72"/>
        <v>9</v>
      </c>
      <c r="DL12" s="184">
        <f t="shared" ca="1" si="35"/>
        <v>8</v>
      </c>
      <c r="DM12" s="64">
        <v>46136</v>
      </c>
      <c r="DN12" s="202">
        <f t="shared" si="73"/>
        <v>46133</v>
      </c>
      <c r="DO12" s="165">
        <v>46142</v>
      </c>
      <c r="DP12" s="1">
        <f>$DM$3</f>
        <v>1</v>
      </c>
      <c r="DQ12" s="1">
        <f t="shared" ca="1" si="74"/>
        <v>9</v>
      </c>
      <c r="DR12" s="184">
        <f t="shared" ca="1" si="36"/>
        <v>8</v>
      </c>
      <c r="DS12" s="139">
        <f>_xlfn.AGGREGATE(9,6,X12,AC12,AH12,AM12,AR12,AW12,BB12,BG12,BL12,BQ12,BV12,CA12,CF12,CK12,CP12,CU12,DE12,DJ12,DP12)</f>
        <v>7</v>
      </c>
      <c r="DT12" s="140">
        <f ca="1">IF(DO12="",TODAY()-U12,DO12-U12)</f>
        <v>16</v>
      </c>
      <c r="DU12" s="184">
        <f t="shared" ca="1" si="37"/>
        <v>9</v>
      </c>
      <c r="DW12" s="185" t="s">
        <v>245</v>
      </c>
      <c r="DZ12" s="230"/>
    </row>
    <row r="13" spans="1:181" ht="30" customHeight="1">
      <c r="B13" s="103">
        <v>1</v>
      </c>
      <c r="C13" s="104" t="s">
        <v>251</v>
      </c>
      <c r="D13" s="144" t="s">
        <v>252</v>
      </c>
      <c r="E13" s="106">
        <f>IF(_xlfn.XLOOKUP($D13,'[1]Import Eletra'!$B:$B,'[1]Import Eletra'!$U:$U,,0,1)=0,"",_xlfn.XLOOKUP($D13,'[1]Import Eletra'!$B:$B,'[1]Import Eletra'!$U:$U,,0,1))</f>
        <v>3</v>
      </c>
      <c r="F13" s="104" t="s">
        <v>244</v>
      </c>
      <c r="G13" s="2" t="str">
        <f>_xlfn.XLOOKUP($D13,'[1]Import Eletra'!$B:$B,'[1]Import Eletra'!$F:$F,,0,1)</f>
        <v>DELIVERED</v>
      </c>
      <c r="H13" s="108" t="str">
        <f>_xlfn.XLOOKUP($D13,'[1]Import Eletra'!$B:$B,'[1]Import Eletra'!$G:$G,,0,1)</f>
        <v>SEA</v>
      </c>
      <c r="I13" s="108">
        <v>46054</v>
      </c>
      <c r="J13" s="109">
        <v>30</v>
      </c>
      <c r="K13" s="109">
        <f t="shared" ref="K13:K15" si="78">L13-I13</f>
        <v>24</v>
      </c>
      <c r="L13" s="108">
        <f>IF(_xlfn.XLOOKUP($D13,'[1]Import Eletra'!$B:$B,'[1]Import Eletra'!$J:$J,,0,1)=0,"",_xlfn.XLOOKUP($D13,'[1]Import Eletra'!$B:$B,'[1]Import Eletra'!$J:$J,,0,1))</f>
        <v>46078</v>
      </c>
      <c r="M13" s="104">
        <f>IF(_xlfn.XLOOKUP($D13,'[1]Import Eletra'!$B:$B,'[1]Import Eletra'!$L:$L,,0,1)=0,"",_xlfn.XLOOKUP($D13,'[1]Import Eletra'!$B:$B,'[1]Import Eletra'!$L:$L,,0,1))</f>
        <v>46133</v>
      </c>
      <c r="N13" s="110" t="str">
        <f>IF(_xlfn.XLOOKUP($D13,'[1]Import Eletra'!$B:$B,'[1]Import Eletra'!$AJ:$AJ,,0,1)=0,"",_xlfn.XLOOKUP($D13,'[1]Import Eletra'!$B:$B,'[1]Import Eletra'!$AJ:$AJ,,0,1))</f>
        <v/>
      </c>
      <c r="O13" s="108">
        <f>IF(_xlfn.XLOOKUP($D13,'[1]Import Eletra'!$B:$B,'[1]Import Eletra'!$AK:$AK,,0,1)=0,"",_xlfn.XLOOKUP($D13,'[1]Import Eletra'!$B:$B,'[1]Import Eletra'!$AK:$AK,,0,1))</f>
        <v>46120</v>
      </c>
      <c r="P13" s="108">
        <f>IF(_xlfn.XLOOKUP($D13,'[1]Import Eletra'!$B:$B,'[1]Import Eletra'!$AL:$AL,,0,1)=0,"",_xlfn.XLOOKUP($D13,'[1]Import Eletra'!$B:$B,'[1]Import Eletra'!$AL:$AL,,0,1))</f>
        <v>46121</v>
      </c>
      <c r="Q13" s="108">
        <f>IF(_xlfn.XLOOKUP($D13,'[1]Import Eletra'!$B:$B,'[1]Import Eletra'!$AM:$AM,,0,1)=0,"",_xlfn.XLOOKUP($D13,'[1]Import Eletra'!$B:$B,'[1]Import Eletra'!$AM:$AM,,0,1))</f>
        <v>46126</v>
      </c>
      <c r="R13" s="108">
        <f>IF(_xlfn.XLOOKUP($D13,'[1]Import Eletra'!$B:$B,'[1]Import Eletra'!$AN:$AN,,0,1)=0,"",_xlfn.XLOOKUP($D13,'[1]Import Eletra'!$B:$B,'[1]Import Eletra'!$AN:$AN,,0,1))</f>
        <v>46126</v>
      </c>
      <c r="S13" s="108">
        <f>IF(_xlfn.XLOOKUP($D13,'[1]Import Eletra'!$B:$B,'[1]Import Eletra'!$AO:$AO,,0,1)=0,"",_xlfn.XLOOKUP($D13,'[1]Import Eletra'!$B:$B,'[1]Import Eletra'!$AO:$AO,,0,1))</f>
        <v>46128</v>
      </c>
      <c r="T13" s="108">
        <f>IF(_xlfn.XLOOKUP($D13,'[1]Import Eletra'!$B:$B,'[1]Import Eletra'!$AP:$AP,,0,1)=0,"",_xlfn.XLOOKUP($D13,'[1]Import Eletra'!$B:$B,'[1]Import Eletra'!$AP:$AP,,0,1))</f>
        <v>46128</v>
      </c>
      <c r="U13" s="111">
        <f>IF(_xlfn.XLOOKUP($D13,'[1]Import Eletra'!$B:$B,'[1]Import Eletra'!$AQ:$AQ,,0,1)=0,"",_xlfn.XLOOKUP($D13,'[1]Import Eletra'!$B:$B,'[1]Import Eletra'!$AQ:$AQ,,0,1))</f>
        <v>46129</v>
      </c>
      <c r="V13" s="110">
        <f t="shared" si="41"/>
        <v>46129</v>
      </c>
      <c r="W13" s="104">
        <v>46136</v>
      </c>
      <c r="X13" s="112">
        <f t="shared" si="1"/>
        <v>0</v>
      </c>
      <c r="Y13" s="115">
        <f t="shared" ca="1" si="2"/>
        <v>7</v>
      </c>
      <c r="Z13" s="184">
        <f t="shared" ca="1" si="17"/>
        <v>7</v>
      </c>
      <c r="AA13" s="167">
        <f t="shared" si="42"/>
        <v>46129</v>
      </c>
      <c r="AB13" s="104" t="str">
        <f>IF(_xlfn.XLOOKUP($D13,'[1]Import Eletra'!$B:$B,'[1]Import Eletra'!$AC:$AC,,0,1)=0,"",_xlfn.XLOOKUP($D13,'[1]Import Eletra'!$B:$B,'[1]Import Eletra'!$AC:$AC,,0,1))</f>
        <v/>
      </c>
      <c r="AC13" s="112">
        <f t="shared" si="3"/>
        <v>0</v>
      </c>
      <c r="AD13" s="112">
        <f t="shared" ca="1" si="43"/>
        <v>82</v>
      </c>
      <c r="AE13" s="184">
        <f t="shared" ca="1" si="18"/>
        <v>82</v>
      </c>
      <c r="AF13" s="116">
        <f>AK13-$AK$3</f>
        <v>46129</v>
      </c>
      <c r="AG13" s="104">
        <f>IF(_xlfn.XLOOKUP($D13,'[1]Import Eletra'!$B:$B,'[1]Import Eletra'!$AD:$AD,,0,1)=0,"",_xlfn.XLOOKUP($D13,'[1]Import Eletra'!$B:$B,'[1]Import Eletra'!$AD:$AD,,0,1))</f>
        <v>46136</v>
      </c>
      <c r="AH13" s="112">
        <f t="shared" si="4"/>
        <v>0</v>
      </c>
      <c r="AI13" s="112">
        <f t="shared" ca="1" si="45"/>
        <v>7</v>
      </c>
      <c r="AJ13" s="184">
        <f t="shared" ca="1" si="19"/>
        <v>7</v>
      </c>
      <c r="AK13" s="116">
        <f t="shared" si="46"/>
        <v>46129</v>
      </c>
      <c r="AL13" s="104">
        <f>IF(_xlfn.XLOOKUP($D13,'[1]Import Eletra'!$B:$B,'[1]Import Eletra'!$AS:$AS,,0,1)=0,"",_xlfn.XLOOKUP($D13,'[1]Import Eletra'!$B:$B,'[1]Import Eletra'!$AS:$AS,,0,1))</f>
        <v>46136</v>
      </c>
      <c r="AM13" s="112">
        <f t="shared" si="5"/>
        <v>0</v>
      </c>
      <c r="AN13" s="112">
        <f t="shared" ca="1" si="47"/>
        <v>7</v>
      </c>
      <c r="AO13" s="184">
        <f t="shared" ca="1" si="20"/>
        <v>7</v>
      </c>
      <c r="AP13" s="166">
        <f t="shared" si="48"/>
        <v>46130</v>
      </c>
      <c r="AQ13" s="104">
        <f>IF(_xlfn.XLOOKUP($D13,'[1]Import Eletra'!$B:$B,'[1]Import Eletra'!$AT:$AT,,0,1)=0,"",_xlfn.XLOOKUP($D13,'[1]Import Eletra'!$B:$B,'[1]Import Eletra'!$AT:$AT,,0,1))</f>
        <v>46136</v>
      </c>
      <c r="AR13" s="112">
        <f t="shared" si="6"/>
        <v>1</v>
      </c>
      <c r="AS13" s="112">
        <f t="shared" ca="1" si="49"/>
        <v>6</v>
      </c>
      <c r="AT13" s="184">
        <f t="shared" ca="1" si="21"/>
        <v>5</v>
      </c>
      <c r="AU13" s="116">
        <f t="shared" si="50"/>
        <v>46130</v>
      </c>
      <c r="AV13" s="104">
        <f>IF(_xlfn.XLOOKUP($D13,'[1]Import Eletra'!$B:$B,'[1]Import Eletra'!$AU:$AU,,0,1)=0,"",_xlfn.XLOOKUP($D13,'[1]Import Eletra'!$B:$B,'[1]Import Eletra'!$AU:$AU,,0,1))</f>
        <v>46136</v>
      </c>
      <c r="AW13" s="112"/>
      <c r="AX13" s="112"/>
      <c r="AY13" s="184">
        <f t="shared" si="22"/>
        <v>0</v>
      </c>
      <c r="AZ13" s="166">
        <f t="shared" si="51"/>
        <v>46130</v>
      </c>
      <c r="BA13" s="104" t="str">
        <f>IF(_xlfn.XLOOKUP($D13,'[1]Import Eletra'!$B:$B,'[1]Import Eletra'!$AV:$AV,,0,1)=0,"",_xlfn.XLOOKUP($D13,'[1]Import Eletra'!$B:$B,'[1]Import Eletra'!$AV:$AV,,0,1))</f>
        <v/>
      </c>
      <c r="BB13" s="112"/>
      <c r="BC13" s="112"/>
      <c r="BD13" s="184">
        <f t="shared" si="23"/>
        <v>0</v>
      </c>
      <c r="BE13" s="110">
        <f t="shared" si="52"/>
        <v>46130</v>
      </c>
      <c r="BF13" s="104" t="str">
        <f>IF(_xlfn.XLOOKUP($D13,'[1]Import Eletra'!$B:$B,'[1]Import Eletra'!$AW:$AW,,0,1)=0,"",_xlfn.XLOOKUP($D13,'[1]Import Eletra'!$B:$B,'[1]Import Eletra'!$AW:$AW,,0,1))</f>
        <v/>
      </c>
      <c r="BG13" s="112"/>
      <c r="BH13" s="112"/>
      <c r="BI13" s="184">
        <f t="shared" si="24"/>
        <v>0</v>
      </c>
      <c r="BJ13" s="120">
        <f t="shared" si="53"/>
        <v>46130</v>
      </c>
      <c r="BK13" s="104" t="str">
        <f>IF(_xlfn.XLOOKUP($D13,'[1]Import Eletra'!$B:$B,'[1]Import Eletra'!$AX:$AX,,0,1)=0,"",_xlfn.XLOOKUP($D13,'[1]Import Eletra'!$B:$B,'[1]Import Eletra'!$AX:$AX,,0,1))</f>
        <v/>
      </c>
      <c r="BL13" s="112">
        <f t="shared" si="7"/>
        <v>0</v>
      </c>
      <c r="BM13" s="112">
        <f t="shared" ca="1" si="76"/>
        <v>81</v>
      </c>
      <c r="BN13" s="184">
        <f t="shared" ca="1" si="25"/>
        <v>81</v>
      </c>
      <c r="BO13" s="110">
        <f t="shared" si="54"/>
        <v>46130</v>
      </c>
      <c r="BP13" s="104">
        <f>IF(_xlfn.XLOOKUP($D13,'[1]Import Eletra'!$B:$B,'[1]Import Eletra'!$AY:$AY,,0,1)=0,"",_xlfn.XLOOKUP($D13,'[1]Import Eletra'!$B:$B,'[1]Import Eletra'!$AY:$AY,,0,1))</f>
        <v>46136</v>
      </c>
      <c r="BQ13" s="112">
        <f t="shared" si="8"/>
        <v>0</v>
      </c>
      <c r="BR13" s="112">
        <f t="shared" ca="1" si="55"/>
        <v>6</v>
      </c>
      <c r="BS13" s="184">
        <f t="shared" ca="1" si="26"/>
        <v>6</v>
      </c>
      <c r="BT13" s="120">
        <f>BY13-$BY$3</f>
        <v>46132</v>
      </c>
      <c r="BU13" s="104">
        <f>IF(_xlfn.XLOOKUP($D13,'[1]Import Eletra'!$B:$B,'[1]Import Eletra'!$AZ:$AZ,,0,1)=0,"",_xlfn.XLOOKUP($D13,'[1]Import Eletra'!$B:$B,'[1]Import Eletra'!$AZ:$AZ,,0,1))</f>
        <v>46136</v>
      </c>
      <c r="BV13" s="112">
        <f t="shared" si="9"/>
        <v>2</v>
      </c>
      <c r="BW13" s="112">
        <f t="shared" ca="1" si="57"/>
        <v>4</v>
      </c>
      <c r="BX13" s="184">
        <f t="shared" ca="1" si="27"/>
        <v>2</v>
      </c>
      <c r="BY13" s="110">
        <f t="shared" si="58"/>
        <v>46132</v>
      </c>
      <c r="BZ13" s="104">
        <f>IF(_xlfn.XLOOKUP($D13,'[1]Import Eletra'!$B:$B,'[1]Import Eletra'!$BA:$BA,,0,1)=0,"",_xlfn.XLOOKUP($D13,'[1]Import Eletra'!$B:$B,'[1]Import Eletra'!$BA:$BA,,0,1))</f>
        <v>46139</v>
      </c>
      <c r="CA13" s="112">
        <f t="shared" si="10"/>
        <v>0</v>
      </c>
      <c r="CB13" s="112">
        <f t="shared" ca="1" si="59"/>
        <v>7</v>
      </c>
      <c r="CC13" s="184">
        <f t="shared" ca="1" si="28"/>
        <v>7</v>
      </c>
      <c r="CD13" s="120">
        <f t="shared" si="60"/>
        <v>46132</v>
      </c>
      <c r="CE13" s="104">
        <f>IF(_xlfn.XLOOKUP($D13,'[1]Import Eletra'!$B:$B,'[1]Import Eletra'!$BB:$BB,,0,1)=0,"",_xlfn.XLOOKUP($D13,'[1]Import Eletra'!$B:$B,'[1]Import Eletra'!$BB:$BB,,0,1))</f>
        <v>46139</v>
      </c>
      <c r="CF13" s="112">
        <f t="shared" si="11"/>
        <v>0</v>
      </c>
      <c r="CG13" s="112">
        <f t="shared" ca="1" si="61"/>
        <v>7</v>
      </c>
      <c r="CH13" s="184">
        <f t="shared" ca="1" si="29"/>
        <v>7</v>
      </c>
      <c r="CI13" s="110">
        <f t="shared" si="62"/>
        <v>46132</v>
      </c>
      <c r="CJ13" s="104">
        <f>IF(_xlfn.XLOOKUP($D13,'[1]Import Eletra'!$B:$B,'[1]Import Eletra'!$BC:$BC,,0,1)=0,"",_xlfn.XLOOKUP($D13,'[1]Import Eletra'!$B:$B,'[1]Import Eletra'!$BC:$BC,,0,1))</f>
        <v>46139</v>
      </c>
      <c r="CK13" s="112"/>
      <c r="CL13" s="112">
        <f t="shared" ca="1" si="64"/>
        <v>7</v>
      </c>
      <c r="CM13" s="184">
        <f t="shared" ca="1" si="30"/>
        <v>7</v>
      </c>
      <c r="CN13" s="110">
        <f t="shared" si="65"/>
        <v>46132</v>
      </c>
      <c r="CO13" s="104">
        <f>IF(_xlfn.XLOOKUP($D13,'[1]Import Eletra'!$B:$B,'[1]Import Eletra'!$BD:$BD,,0,1)=0,"",_xlfn.XLOOKUP($D13,'[1]Import Eletra'!$B:$B,'[1]Import Eletra'!$BD:$BD,,0,1))</f>
        <v>46139</v>
      </c>
      <c r="CP13" s="112">
        <f t="shared" si="12"/>
        <v>0</v>
      </c>
      <c r="CQ13" s="119">
        <f t="shared" ca="1" si="66"/>
        <v>7</v>
      </c>
      <c r="CR13" s="184">
        <f t="shared" ca="1" si="31"/>
        <v>7</v>
      </c>
      <c r="CS13" s="120">
        <f t="shared" si="67"/>
        <v>46132</v>
      </c>
      <c r="CT13" s="104">
        <f>IF(_xlfn.XLOOKUP($D13,'[1]Import Eletra'!$B:$B,'[1]Import Eletra'!$BE:$BE,,0,1)=0,"",_xlfn.XLOOKUP($D13,'[1]Import Eletra'!$B:$B,'[1]Import Eletra'!$BE:$BE,,0,1))</f>
        <v>46141</v>
      </c>
      <c r="CU13" s="113">
        <f t="shared" si="13"/>
        <v>0</v>
      </c>
      <c r="CV13" s="119">
        <f t="shared" ca="1" si="68"/>
        <v>9</v>
      </c>
      <c r="CW13" s="184">
        <f t="shared" ca="1" si="32"/>
        <v>9</v>
      </c>
      <c r="CX13" s="120">
        <f t="shared" si="69"/>
        <v>46132</v>
      </c>
      <c r="CY13" s="104">
        <f>IF(_xlfn.XLOOKUP($D13,'[1]Import Eletra'!$B:$B,'[1]Import Eletra'!$BE:$BE,,0,1)=0,"",_xlfn.XLOOKUP($D13,'[1]Import Eletra'!$B:$B,'[1]Import Eletra'!$BE:$BE,,0,1))</f>
        <v>46141</v>
      </c>
      <c r="CZ13" s="113">
        <f t="shared" si="14"/>
        <v>0</v>
      </c>
      <c r="DA13" s="113">
        <f t="shared" ca="1" si="70"/>
        <v>9</v>
      </c>
      <c r="DB13" s="184">
        <f t="shared" ca="1" si="33"/>
        <v>9</v>
      </c>
      <c r="DC13" s="110">
        <f t="shared" si="71"/>
        <v>46134</v>
      </c>
      <c r="DD13" s="104">
        <f>IF(_xlfn.XLOOKUP($D13,'[1]Import Eletra'!$B:$B,'[1]Import Eletra'!$BF:$BF,,0,1)=0,"",_xlfn.XLOOKUP($D13,'[1]Import Eletra'!$B:$B,'[1]Import Eletra'!$BF:$BF,0,1))</f>
        <v>46141</v>
      </c>
      <c r="DE13" s="112">
        <f t="shared" si="15"/>
        <v>2</v>
      </c>
      <c r="DF13" s="112">
        <f t="shared" ca="1" si="77"/>
        <v>7</v>
      </c>
      <c r="DG13" s="184">
        <f t="shared" ca="1" si="34"/>
        <v>5</v>
      </c>
      <c r="DH13" s="110">
        <f>DN13-$DM$3</f>
        <v>46135</v>
      </c>
      <c r="DI13" s="104">
        <f>IF(_xlfn.XLOOKUP($D13,'[1]Import Eletra'!$B:$B,'[1]Import Eletra'!$BG:$BG,,0,1)=0,"",_xlfn.XLOOKUP($D13,'[1]Import Eletra'!$B:$B,'[1]Import Eletra'!$BG:$BG,0,1))</f>
        <v>46141</v>
      </c>
      <c r="DJ13" s="112">
        <f t="shared" si="16"/>
        <v>1</v>
      </c>
      <c r="DK13" s="112">
        <f t="shared" ca="1" si="72"/>
        <v>6</v>
      </c>
      <c r="DL13" s="184">
        <f t="shared" ca="1" si="35"/>
        <v>5</v>
      </c>
      <c r="DM13" s="64">
        <v>46140</v>
      </c>
      <c r="DN13" s="202">
        <f t="shared" si="73"/>
        <v>46136</v>
      </c>
      <c r="DO13" s="165">
        <v>46142</v>
      </c>
      <c r="DP13" s="112">
        <f>$DM$3</f>
        <v>1</v>
      </c>
      <c r="DQ13" s="112">
        <f t="shared" ca="1" si="74"/>
        <v>6</v>
      </c>
      <c r="DR13" s="184">
        <f ca="1">DQ13-DP13</f>
        <v>5</v>
      </c>
      <c r="DS13" s="143">
        <f t="shared" si="75"/>
        <v>7</v>
      </c>
      <c r="DT13" s="140">
        <f ca="1">IF(DO13="",TODAY()-U13,DO13-U13)</f>
        <v>13</v>
      </c>
      <c r="DU13" s="184">
        <f t="shared" ca="1" si="37"/>
        <v>6</v>
      </c>
      <c r="DW13" s="185" t="s">
        <v>245</v>
      </c>
      <c r="DX13" s="141" t="s">
        <v>253</v>
      </c>
      <c r="DZ13" s="230"/>
    </row>
    <row r="14" spans="1:181" ht="30" hidden="1" customHeight="1">
      <c r="B14" s="91">
        <v>1</v>
      </c>
      <c r="C14" s="2" t="s">
        <v>251</v>
      </c>
      <c r="D14" s="144" t="s">
        <v>254</v>
      </c>
      <c r="E14" s="96">
        <f>IF(_xlfn.XLOOKUP($D14,'[1]Import Eletra'!$B:$B,'[1]Import Eletra'!$U:$U,,0,1)=0,"",_xlfn.XLOOKUP($D14,'[1]Import Eletra'!$B:$B,'[1]Import Eletra'!$U:$U,,0,1))</f>
        <v>3</v>
      </c>
      <c r="F14" s="2" t="s">
        <v>244</v>
      </c>
      <c r="G14" s="2" t="str">
        <f>_xlfn.XLOOKUP($D14,'[1]Import Eletra'!$B:$B,'[1]Import Eletra'!$F:$F,,0,1)</f>
        <v>DELIVERED</v>
      </c>
      <c r="H14" s="108" t="str">
        <f>_xlfn.XLOOKUP($D14,'[1]Import Eletra'!$B:$B,'[1]Import Eletra'!$G:$G,,0,1)</f>
        <v>SEA</v>
      </c>
      <c r="I14" s="3">
        <v>46054</v>
      </c>
      <c r="J14" s="58">
        <v>30</v>
      </c>
      <c r="K14" s="58">
        <f>L14-I14</f>
        <v>24</v>
      </c>
      <c r="L14" s="3">
        <f>IF(_xlfn.XLOOKUP($D14,'[1]Import Eletra'!$B:$B,'[1]Import Eletra'!$J:$J,,0,1)=0,"",_xlfn.XLOOKUP($D14,'[1]Import Eletra'!$B:$B,'[1]Import Eletra'!$J:$J,,0,1))</f>
        <v>46078</v>
      </c>
      <c r="M14" s="2">
        <f>IF(_xlfn.XLOOKUP($D14,'[1]Import Eletra'!$B:$B,'[1]Import Eletra'!$L:$L,,0,1)=0,"",_xlfn.XLOOKUP($D14,'[1]Import Eletra'!$B:$B,'[1]Import Eletra'!$L:$L,,0,1))</f>
        <v>46133</v>
      </c>
      <c r="N14" s="19">
        <f>IF(_xlfn.XLOOKUP($D14,'[1]Import Eletra'!$B:$B,'[1]Import Eletra'!$AJ:$AJ,,0,1)=0,"",_xlfn.XLOOKUP($D14,'[1]Import Eletra'!$B:$B,'[1]Import Eletra'!$AJ:$AJ,,0,1))</f>
        <v>935880.14</v>
      </c>
      <c r="O14" s="3">
        <f>IF(_xlfn.XLOOKUP($D14,'[1]Import Eletra'!$B:$B,'[1]Import Eletra'!$AK:$AK,,0,1)=0,"",_xlfn.XLOOKUP($D14,'[1]Import Eletra'!$B:$B,'[1]Import Eletra'!$AK:$AK,,0,1))</f>
        <v>46118</v>
      </c>
      <c r="P14" s="3">
        <f>IF(_xlfn.XLOOKUP($D14,'[1]Import Eletra'!$B:$B,'[1]Import Eletra'!$AL:$AL,,0,1)=0,"",_xlfn.XLOOKUP($D14,'[1]Import Eletra'!$B:$B,'[1]Import Eletra'!$AL:$AL,,0,1))</f>
        <v>46119</v>
      </c>
      <c r="Q14" s="3">
        <f>IF(_xlfn.XLOOKUP($D14,'[1]Import Eletra'!$B:$B,'[1]Import Eletra'!$AM:$AM,,0,1)=0,"",_xlfn.XLOOKUP($D14,'[1]Import Eletra'!$B:$B,'[1]Import Eletra'!$AM:$AM,,0,1))</f>
        <v>46128</v>
      </c>
      <c r="R14" s="3">
        <f>IF(_xlfn.XLOOKUP($D14,'[1]Import Eletra'!$B:$B,'[1]Import Eletra'!$AN:$AN,,0,1)=0,"",_xlfn.XLOOKUP($D14,'[1]Import Eletra'!$B:$B,'[1]Import Eletra'!$AN:$AN,,0,1))</f>
        <v>46129</v>
      </c>
      <c r="S14" s="3">
        <f>IF(_xlfn.XLOOKUP($D14,'[1]Import Eletra'!$B:$B,'[1]Import Eletra'!$AO:$AO,,0,1)=0,"",_xlfn.XLOOKUP($D14,'[1]Import Eletra'!$B:$B,'[1]Import Eletra'!$AO:$AO,,0,1))</f>
        <v>46132</v>
      </c>
      <c r="T14" s="3">
        <f>IF(_xlfn.XLOOKUP($D14,'[1]Import Eletra'!$B:$B,'[1]Import Eletra'!$AP:$AP,,0,1)=0,"",_xlfn.XLOOKUP($D14,'[1]Import Eletra'!$B:$B,'[1]Import Eletra'!$AP:$AP,,0,1))</f>
        <v>46132</v>
      </c>
      <c r="U14" s="82">
        <f>IF(_xlfn.XLOOKUP($D14,'[1]Import Eletra'!$B:$B,'[1]Import Eletra'!$AQ:$AQ,,0,1)=0,"",_xlfn.XLOOKUP($D14,'[1]Import Eletra'!$B:$B,'[1]Import Eletra'!$AQ:$AQ,,0,1))</f>
        <v>46134</v>
      </c>
      <c r="V14" s="19">
        <f>AA14-$AA$3</f>
        <v>46134</v>
      </c>
      <c r="W14" s="2">
        <f>IF(_xlfn.XLOOKUP($D14,'[1]Import Eletra'!$B:$B,'[1]Import Eletra'!$AR:$AR,,0,1)=0,"",_xlfn.XLOOKUP($D14,'[1]Import Eletra'!$B:$B,'[1]Import Eletra'!$AR:$AR,,0,1))</f>
        <v>46134</v>
      </c>
      <c r="X14" s="1">
        <f t="shared" si="1"/>
        <v>0</v>
      </c>
      <c r="Y14" s="72">
        <f t="shared" ca="1" si="2"/>
        <v>0</v>
      </c>
      <c r="Z14" s="184">
        <f t="shared" ca="1" si="17"/>
        <v>0</v>
      </c>
      <c r="AA14" s="33">
        <f t="shared" si="42"/>
        <v>46134</v>
      </c>
      <c r="AB14" s="2" t="str">
        <f>IF(_xlfn.XLOOKUP($D14,'[1]Import Eletra'!$B:$B,'[1]Import Eletra'!$AC:$AC,,0,1)=0,"",_xlfn.XLOOKUP($D14,'[1]Import Eletra'!$B:$B,'[1]Import Eletra'!$AC:$AC,,0,1))</f>
        <v/>
      </c>
      <c r="AC14" s="1">
        <f t="shared" si="3"/>
        <v>0</v>
      </c>
      <c r="AD14" s="72">
        <f t="shared" ca="1" si="43"/>
        <v>77</v>
      </c>
      <c r="AE14" s="184">
        <f t="shared" ca="1" si="18"/>
        <v>77</v>
      </c>
      <c r="AF14" s="35">
        <f t="shared" si="44"/>
        <v>46134</v>
      </c>
      <c r="AG14" s="2">
        <f>IF(_xlfn.XLOOKUP($D14,'[1]Import Eletra'!$B:$B,'[1]Import Eletra'!$AD:$AD,,0,1)=0,"",_xlfn.XLOOKUP($D14,'[1]Import Eletra'!$B:$B,'[1]Import Eletra'!$AD:$AD,,0,1))</f>
        <v>46134</v>
      </c>
      <c r="AH14" s="1">
        <f t="shared" si="4"/>
        <v>0</v>
      </c>
      <c r="AI14" s="72">
        <f t="shared" ca="1" si="45"/>
        <v>0</v>
      </c>
      <c r="AJ14" s="184">
        <f t="shared" ca="1" si="19"/>
        <v>0</v>
      </c>
      <c r="AK14" s="35">
        <f>AP14-$AP$3</f>
        <v>46134</v>
      </c>
      <c r="AL14" s="2">
        <f>IF(_xlfn.XLOOKUP($D14,'[1]Import Eletra'!$B:$B,'[1]Import Eletra'!$AS:$AS,,0,1)=0,"",_xlfn.XLOOKUP($D14,'[1]Import Eletra'!$B:$B,'[1]Import Eletra'!$AS:$AS,,0,1))</f>
        <v>46134</v>
      </c>
      <c r="AM14" s="72">
        <f>$AK$3</f>
        <v>0</v>
      </c>
      <c r="AN14" s="72">
        <f ca="1">IF(AL14="",TODAY()-AK14,AL14-AK14)</f>
        <v>0</v>
      </c>
      <c r="AO14" s="184">
        <f t="shared" ca="1" si="20"/>
        <v>0</v>
      </c>
      <c r="AP14" s="34">
        <f t="shared" si="48"/>
        <v>46135</v>
      </c>
      <c r="AQ14" s="2">
        <f>IF(_xlfn.XLOOKUP($D14,'[1]Import Eletra'!$B:$B,'[1]Import Eletra'!$AT:$AT,,0,1)=0,"",_xlfn.XLOOKUP($D14,'[1]Import Eletra'!$B:$B,'[1]Import Eletra'!$AT:$AT,,0,1))</f>
        <v>46134</v>
      </c>
      <c r="AR14" s="1">
        <f t="shared" si="6"/>
        <v>1</v>
      </c>
      <c r="AS14" s="72">
        <f t="shared" ca="1" si="49"/>
        <v>-1</v>
      </c>
      <c r="AT14" s="184">
        <f t="shared" ca="1" si="21"/>
        <v>-2</v>
      </c>
      <c r="AU14" s="35">
        <f t="shared" si="50"/>
        <v>46135</v>
      </c>
      <c r="AV14" s="2">
        <f>IF(_xlfn.XLOOKUP($D14,'[1]Import Eletra'!$B:$B,'[1]Import Eletra'!$AU:$AU,,0,1)=0,"",_xlfn.XLOOKUP($D14,'[1]Import Eletra'!$B:$B,'[1]Import Eletra'!$AU:$AU,,0,1))</f>
        <v>46134</v>
      </c>
      <c r="AW14" s="1"/>
      <c r="AX14" s="1"/>
      <c r="AY14" s="184">
        <f t="shared" si="22"/>
        <v>0</v>
      </c>
      <c r="AZ14" s="34">
        <f t="shared" si="51"/>
        <v>46135</v>
      </c>
      <c r="BA14" s="2" t="str">
        <f>IF(_xlfn.XLOOKUP($D14,'[1]Import Eletra'!$B:$B,'[1]Import Eletra'!$AV:$AV,,0,1)=0,"",_xlfn.XLOOKUP($D14,'[1]Import Eletra'!$B:$B,'[1]Import Eletra'!$AV:$AV,,0,1))</f>
        <v/>
      </c>
      <c r="BB14" s="1"/>
      <c r="BC14" s="1"/>
      <c r="BD14" s="184">
        <f t="shared" si="23"/>
        <v>0</v>
      </c>
      <c r="BE14" s="19">
        <f t="shared" si="52"/>
        <v>46135</v>
      </c>
      <c r="BF14" s="2" t="str">
        <f>IF(_xlfn.XLOOKUP($D14,'[1]Import Eletra'!$B:$B,'[1]Import Eletra'!$AW:$AW,,0,1)=0,"",_xlfn.XLOOKUP($D14,'[1]Import Eletra'!$B:$B,'[1]Import Eletra'!$AW:$AW,,0,1))</f>
        <v/>
      </c>
      <c r="BG14" s="1"/>
      <c r="BH14" s="1"/>
      <c r="BI14" s="184">
        <f t="shared" si="24"/>
        <v>0</v>
      </c>
      <c r="BJ14" s="18">
        <f t="shared" si="53"/>
        <v>46135</v>
      </c>
      <c r="BK14" s="2">
        <v>46134</v>
      </c>
      <c r="BL14" s="1">
        <f t="shared" si="7"/>
        <v>0</v>
      </c>
      <c r="BM14" s="72">
        <f t="shared" ca="1" si="76"/>
        <v>-1</v>
      </c>
      <c r="BN14" s="184">
        <f t="shared" ca="1" si="25"/>
        <v>-1</v>
      </c>
      <c r="BO14" s="19">
        <f t="shared" si="54"/>
        <v>46135</v>
      </c>
      <c r="BP14" s="2">
        <v>46134</v>
      </c>
      <c r="BQ14" s="1">
        <f t="shared" si="8"/>
        <v>0</v>
      </c>
      <c r="BR14" s="72">
        <f t="shared" ca="1" si="55"/>
        <v>-1</v>
      </c>
      <c r="BS14" s="184">
        <f t="shared" ca="1" si="26"/>
        <v>-1</v>
      </c>
      <c r="BT14" s="18">
        <f t="shared" si="56"/>
        <v>46137</v>
      </c>
      <c r="BU14" s="2">
        <f>IF(_xlfn.XLOOKUP($D14,'[1]Import Eletra'!$B:$B,'[1]Import Eletra'!$AZ:$AZ,,0,1)=0,"",_xlfn.XLOOKUP($D14,'[1]Import Eletra'!$B:$B,'[1]Import Eletra'!$AZ:$AZ,,0,1))</f>
        <v>46134</v>
      </c>
      <c r="BV14" s="1">
        <f t="shared" si="9"/>
        <v>2</v>
      </c>
      <c r="BW14" s="72">
        <f t="shared" ca="1" si="57"/>
        <v>-3</v>
      </c>
      <c r="BX14" s="184">
        <f t="shared" ca="1" si="27"/>
        <v>-5</v>
      </c>
      <c r="BY14" s="19">
        <f t="shared" si="58"/>
        <v>46137</v>
      </c>
      <c r="BZ14" s="2">
        <f>IF(_xlfn.XLOOKUP($D14,'[1]Import Eletra'!$B:$B,'[1]Import Eletra'!$BA:$BA,,0,1)=0,"",_xlfn.XLOOKUP($D14,'[1]Import Eletra'!$B:$B,'[1]Import Eletra'!$BA:$BA,,0,1))</f>
        <v>46135</v>
      </c>
      <c r="CA14" s="112">
        <f t="shared" si="10"/>
        <v>0</v>
      </c>
      <c r="CB14" s="72">
        <f t="shared" ca="1" si="59"/>
        <v>-2</v>
      </c>
      <c r="CC14" s="184">
        <f t="shared" ca="1" si="28"/>
        <v>-2</v>
      </c>
      <c r="CD14" s="18">
        <f t="shared" si="60"/>
        <v>46137</v>
      </c>
      <c r="CE14" s="2">
        <f>IF(_xlfn.XLOOKUP($D14,'[1]Import Eletra'!$B:$B,'[1]Import Eletra'!$BB:$BB,,0,1)=0,"",_xlfn.XLOOKUP($D14,'[1]Import Eletra'!$B:$B,'[1]Import Eletra'!$BB:$BB,,0,1))</f>
        <v>46135</v>
      </c>
      <c r="CF14" s="1">
        <f t="shared" si="11"/>
        <v>0</v>
      </c>
      <c r="CG14" s="72">
        <f t="shared" ca="1" si="61"/>
        <v>-2</v>
      </c>
      <c r="CH14" s="184">
        <f t="shared" ca="1" si="29"/>
        <v>-2</v>
      </c>
      <c r="CI14" s="19">
        <f t="shared" si="62"/>
        <v>46137</v>
      </c>
      <c r="CJ14" s="2">
        <f>IF(_xlfn.XLOOKUP($D14,'[1]Import Eletra'!$B:$B,'[1]Import Eletra'!$BC:$BC,,0,1)=0,"",_xlfn.XLOOKUP($D14,'[1]Import Eletra'!$B:$B,'[1]Import Eletra'!$BC:$BC,,0,1))</f>
        <v>46135</v>
      </c>
      <c r="CK14" s="1"/>
      <c r="CL14" s="72">
        <f t="shared" ca="1" si="64"/>
        <v>-2</v>
      </c>
      <c r="CM14" s="184">
        <f t="shared" ca="1" si="30"/>
        <v>-2</v>
      </c>
      <c r="CN14" s="19">
        <f t="shared" si="65"/>
        <v>46137</v>
      </c>
      <c r="CO14" s="2">
        <f>IF(_xlfn.XLOOKUP($D14,'[1]Import Eletra'!$B:$B,'[1]Import Eletra'!$BD:$BD,,0,1)=0,"",_xlfn.XLOOKUP($D14,'[1]Import Eletra'!$B:$B,'[1]Import Eletra'!$BD:$BD,,0,1))</f>
        <v>46135</v>
      </c>
      <c r="CP14" s="1">
        <f t="shared" si="12"/>
        <v>0</v>
      </c>
      <c r="CQ14" s="69">
        <f t="shared" ca="1" si="66"/>
        <v>-2</v>
      </c>
      <c r="CR14" s="184">
        <f t="shared" ca="1" si="31"/>
        <v>-2</v>
      </c>
      <c r="CS14" s="18">
        <f t="shared" si="67"/>
        <v>46137</v>
      </c>
      <c r="CT14" s="2">
        <f>IF(_xlfn.XLOOKUP($D14,'[1]Import Eletra'!$B:$B,'[1]Import Eletra'!$BE:$BE,,0,1)=0,"",_xlfn.XLOOKUP($D14,'[1]Import Eletra'!$B:$B,'[1]Import Eletra'!$BE:$BE,,0,1))</f>
        <v>46135</v>
      </c>
      <c r="CU14" s="72">
        <f t="shared" si="13"/>
        <v>0</v>
      </c>
      <c r="CV14" s="69">
        <f t="shared" ca="1" si="68"/>
        <v>-2</v>
      </c>
      <c r="CW14" s="184">
        <f t="shared" ca="1" si="32"/>
        <v>-2</v>
      </c>
      <c r="CX14" s="18">
        <f t="shared" si="69"/>
        <v>46137</v>
      </c>
      <c r="CY14" s="2">
        <f>IF(_xlfn.XLOOKUP($D14,'[1]Import Eletra'!$B:$B,'[1]Import Eletra'!$BE:$BE,,0,1)=0,"",_xlfn.XLOOKUP($D14,'[1]Import Eletra'!$B:$B,'[1]Import Eletra'!$BE:$BE,,0,1))</f>
        <v>46135</v>
      </c>
      <c r="CZ14" s="72">
        <f t="shared" si="14"/>
        <v>0</v>
      </c>
      <c r="DA14" s="72">
        <f t="shared" ca="1" si="70"/>
        <v>-2</v>
      </c>
      <c r="DB14" s="184">
        <f t="shared" ca="1" si="33"/>
        <v>-2</v>
      </c>
      <c r="DC14" s="19">
        <f t="shared" si="71"/>
        <v>46139</v>
      </c>
      <c r="DD14" s="2">
        <f>IF(_xlfn.XLOOKUP($D14,'[1]Import Eletra'!$B:$B,'[1]Import Eletra'!$BF:$BF,,0,1)=0,"",_xlfn.XLOOKUP($D14,'[1]Import Eletra'!$B:$B,'[1]Import Eletra'!$BF:$BF,0,1))</f>
        <v>46135</v>
      </c>
      <c r="DE14" s="1">
        <f t="shared" si="15"/>
        <v>2</v>
      </c>
      <c r="DF14" s="1">
        <f t="shared" ca="1" si="77"/>
        <v>-4</v>
      </c>
      <c r="DG14" s="184">
        <f t="shared" ca="1" si="34"/>
        <v>-6</v>
      </c>
      <c r="DH14" s="19">
        <f>DN14-$DM$3</f>
        <v>46140</v>
      </c>
      <c r="DI14" s="2">
        <f>IF(_xlfn.XLOOKUP($D14,'[1]Import Eletra'!$B:$B,'[1]Import Eletra'!$BG:$BG,,0,1)=0,"",_xlfn.XLOOKUP($D14,'[1]Import Eletra'!$B:$B,'[1]Import Eletra'!$BG:$BG,0,1))</f>
        <v>46136</v>
      </c>
      <c r="DJ14" s="1">
        <f t="shared" si="16"/>
        <v>1</v>
      </c>
      <c r="DK14" s="112">
        <f ca="1">IF(DI14="",TODAY()-DH14,DI14-DH14)</f>
        <v>-4</v>
      </c>
      <c r="DL14" s="184">
        <f ca="1">DK14-DJ14</f>
        <v>-5</v>
      </c>
      <c r="DM14" s="64">
        <v>46140</v>
      </c>
      <c r="DN14" s="202">
        <f>IF(U14="",M14+DS14,U14+DS14)</f>
        <v>46141</v>
      </c>
      <c r="DO14" s="165">
        <v>46137</v>
      </c>
      <c r="DP14" s="1">
        <f>$DM$3</f>
        <v>1</v>
      </c>
      <c r="DQ14" s="112">
        <f t="shared" ca="1" si="74"/>
        <v>-4</v>
      </c>
      <c r="DR14" s="184">
        <f t="shared" ca="1" si="36"/>
        <v>-5</v>
      </c>
      <c r="DS14" s="139">
        <f>_xlfn.AGGREGATE(9,6,X14,AC14,AH14,AM14,AR14,AW14,BB14,BG14,BL14,BQ14,BV14,CA14,CF14,CK14,CP14,CU14,DE14,DJ14,DP14)</f>
        <v>7</v>
      </c>
      <c r="DT14" s="140">
        <f ca="1">IF(DO14="",TODAY()-U14,DO14-U14)</f>
        <v>3</v>
      </c>
      <c r="DU14" s="184">
        <f t="shared" ca="1" si="37"/>
        <v>-4</v>
      </c>
      <c r="DW14" s="185" t="s">
        <v>245</v>
      </c>
      <c r="DZ14" s="230"/>
    </row>
    <row r="15" spans="1:181" ht="30" customHeight="1">
      <c r="B15" s="103">
        <v>1</v>
      </c>
      <c r="C15" s="104" t="s">
        <v>251</v>
      </c>
      <c r="D15" s="144" t="s">
        <v>255</v>
      </c>
      <c r="E15" s="106">
        <f>IF(_xlfn.XLOOKUP($D15,'[1]Import Eletra'!$B:$B,'[1]Import Eletra'!$U:$U,,0,1)=0,"",_xlfn.XLOOKUP($D15,'[1]Import Eletra'!$B:$B,'[1]Import Eletra'!$U:$U,,0,1))</f>
        <v>3</v>
      </c>
      <c r="F15" s="104" t="s">
        <v>244</v>
      </c>
      <c r="G15" s="2" t="str">
        <f>_xlfn.XLOOKUP($D15,'[1]Import Eletra'!$B:$B,'[1]Import Eletra'!$F:$F,,0,1)</f>
        <v>DELIVERED</v>
      </c>
      <c r="H15" s="108" t="str">
        <f>_xlfn.XLOOKUP($D15,'[1]Import Eletra'!$B:$B,'[1]Import Eletra'!$G:$G,,0,1)</f>
        <v>SEA</v>
      </c>
      <c r="I15" s="108">
        <v>46054</v>
      </c>
      <c r="J15" s="109">
        <v>30</v>
      </c>
      <c r="K15" s="109">
        <f t="shared" si="78"/>
        <v>24</v>
      </c>
      <c r="L15" s="108">
        <f>IF(_xlfn.XLOOKUP($D15,'[1]Import Eletra'!$B:$B,'[1]Import Eletra'!$J:$J,,0,1)=0,"",_xlfn.XLOOKUP($D15,'[1]Import Eletra'!$B:$B,'[1]Import Eletra'!$J:$J,,0,1))</f>
        <v>46078</v>
      </c>
      <c r="M15" s="104">
        <f>IF(_xlfn.XLOOKUP($D15,'[1]Import Eletra'!$B:$B,'[1]Import Eletra'!$L:$L,,0,1)=0,"",_xlfn.XLOOKUP($D15,'[1]Import Eletra'!$B:$B,'[1]Import Eletra'!$L:$L,,0,1))</f>
        <v>46133</v>
      </c>
      <c r="N15" s="110">
        <f>IF(_xlfn.XLOOKUP($D15,'[1]Import Eletra'!$B:$B,'[1]Import Eletra'!$AJ:$AJ,,0,1)=0,"",_xlfn.XLOOKUP($D15,'[1]Import Eletra'!$B:$B,'[1]Import Eletra'!$AJ:$AJ,,0,1))</f>
        <v>2391870.25</v>
      </c>
      <c r="O15" s="108">
        <f>IF(_xlfn.XLOOKUP($D15,'[1]Import Eletra'!$B:$B,'[1]Import Eletra'!$AK:$AK,,0,1)=0,"",_xlfn.XLOOKUP($D15,'[1]Import Eletra'!$B:$B,'[1]Import Eletra'!$AK:$AK,,0,1))</f>
        <v>46120</v>
      </c>
      <c r="P15" s="108">
        <f>IF(_xlfn.XLOOKUP($D15,'[1]Import Eletra'!$B:$B,'[1]Import Eletra'!$AL:$AL,,0,1)=0,"",_xlfn.XLOOKUP($D15,'[1]Import Eletra'!$B:$B,'[1]Import Eletra'!$AL:$AL,,0,1))</f>
        <v>46120</v>
      </c>
      <c r="Q15" s="108">
        <f>IF(_xlfn.XLOOKUP($D15,'[1]Import Eletra'!$B:$B,'[1]Import Eletra'!$AM:$AM,,0,1)=0,"",_xlfn.XLOOKUP($D15,'[1]Import Eletra'!$B:$B,'[1]Import Eletra'!$AM:$AM,,0,1))</f>
        <v>46122</v>
      </c>
      <c r="R15" s="108">
        <f>IF(_xlfn.XLOOKUP($D15,'[1]Import Eletra'!$B:$B,'[1]Import Eletra'!$AN:$AN,,0,1)=0,"",_xlfn.XLOOKUP($D15,'[1]Import Eletra'!$B:$B,'[1]Import Eletra'!$AN:$AN,,0,1))</f>
        <v>46126</v>
      </c>
      <c r="S15" s="108">
        <f>IF(_xlfn.XLOOKUP($D15,'[1]Import Eletra'!$B:$B,'[1]Import Eletra'!$AO:$AO,,0,1)=0,"",_xlfn.XLOOKUP($D15,'[1]Import Eletra'!$B:$B,'[1]Import Eletra'!$AO:$AO,,0,1))</f>
        <v>46129</v>
      </c>
      <c r="T15" s="108">
        <f>IF(_xlfn.XLOOKUP($D15,'[1]Import Eletra'!$B:$B,'[1]Import Eletra'!$AP:$AP,,0,1)=0,"",_xlfn.XLOOKUP($D15,'[1]Import Eletra'!$B:$B,'[1]Import Eletra'!$AP:$AP,,0,1))</f>
        <v>46129</v>
      </c>
      <c r="U15" s="111">
        <f>IF(_xlfn.XLOOKUP($D15,'[1]Import Eletra'!$B:$B,'[1]Import Eletra'!$AQ:$AQ,,0,1)=0,"",_xlfn.XLOOKUP($D15,'[1]Import Eletra'!$B:$B,'[1]Import Eletra'!$AQ:$AQ,,0,1))</f>
        <v>46130</v>
      </c>
      <c r="V15" s="110">
        <f t="shared" si="41"/>
        <v>46130</v>
      </c>
      <c r="W15" s="104">
        <f>IF(_xlfn.XLOOKUP($D15,'[1]Import Eletra'!$B:$B,'[1]Import Eletra'!$AR:$AR,,0,1)=0,"",_xlfn.XLOOKUP($D15,'[1]Import Eletra'!$B:$B,'[1]Import Eletra'!$AR:$AR,,0,1))</f>
        <v>46134</v>
      </c>
      <c r="X15" s="112">
        <f t="shared" si="1"/>
        <v>0</v>
      </c>
      <c r="Y15" s="113">
        <f t="shared" ca="1" si="2"/>
        <v>4</v>
      </c>
      <c r="Z15" s="184">
        <f t="shared" ca="1" si="17"/>
        <v>4</v>
      </c>
      <c r="AA15" s="114">
        <f t="shared" si="42"/>
        <v>46130</v>
      </c>
      <c r="AB15" s="104" t="str">
        <f>IF(_xlfn.XLOOKUP($D15,'[1]Import Eletra'!$B:$B,'[1]Import Eletra'!$AC:$AC,,0,1)=0,"",_xlfn.XLOOKUP($D15,'[1]Import Eletra'!$B:$B,'[1]Import Eletra'!$AC:$AC,,0,1))</f>
        <v/>
      </c>
      <c r="AC15" s="112">
        <f t="shared" si="3"/>
        <v>0</v>
      </c>
      <c r="AD15" s="112">
        <f t="shared" ca="1" si="43"/>
        <v>81</v>
      </c>
      <c r="AE15" s="184">
        <f t="shared" ca="1" si="18"/>
        <v>81</v>
      </c>
      <c r="AF15" s="116">
        <f t="shared" si="44"/>
        <v>46130</v>
      </c>
      <c r="AG15" s="104">
        <v>46135</v>
      </c>
      <c r="AH15" s="112">
        <f t="shared" si="4"/>
        <v>0</v>
      </c>
      <c r="AI15" s="112">
        <f t="shared" ca="1" si="45"/>
        <v>5</v>
      </c>
      <c r="AJ15" s="184">
        <f t="shared" ca="1" si="19"/>
        <v>5</v>
      </c>
      <c r="AK15" s="116">
        <f t="shared" si="46"/>
        <v>46130</v>
      </c>
      <c r="AL15" s="104">
        <f>IF(_xlfn.XLOOKUP($D15,'[1]Import Eletra'!$B:$B,'[1]Import Eletra'!$AS:$AS,,0,1)=0,"",_xlfn.XLOOKUP($D15,'[1]Import Eletra'!$B:$B,'[1]Import Eletra'!$AS:$AS,,0,1))</f>
        <v>46134</v>
      </c>
      <c r="AM15" s="112">
        <f t="shared" si="5"/>
        <v>0</v>
      </c>
      <c r="AN15" s="112">
        <f t="shared" ca="1" si="47"/>
        <v>4</v>
      </c>
      <c r="AO15" s="184">
        <f t="shared" ca="1" si="20"/>
        <v>4</v>
      </c>
      <c r="AP15" s="166">
        <f t="shared" si="48"/>
        <v>46131</v>
      </c>
      <c r="AQ15" s="104">
        <v>46136</v>
      </c>
      <c r="AR15" s="112">
        <f t="shared" si="6"/>
        <v>1</v>
      </c>
      <c r="AS15" s="112">
        <f t="shared" ca="1" si="49"/>
        <v>5</v>
      </c>
      <c r="AT15" s="184">
        <f t="shared" ca="1" si="21"/>
        <v>4</v>
      </c>
      <c r="AU15" s="116">
        <f t="shared" si="50"/>
        <v>46131</v>
      </c>
      <c r="AV15" s="104">
        <f>IF(_xlfn.XLOOKUP($D15,'[1]Import Eletra'!$B:$B,'[1]Import Eletra'!$AU:$AU,,0,1)=0,"",_xlfn.XLOOKUP($D15,'[1]Import Eletra'!$B:$B,'[1]Import Eletra'!$AU:$AU,,0,1))</f>
        <v>46136</v>
      </c>
      <c r="AW15" s="112">
        <f t="shared" si="38"/>
        <v>0</v>
      </c>
      <c r="AX15" s="112">
        <f t="shared" ref="AX15:AX28" ca="1" si="79">IF(AV15="",TODAY()-AU15,AV15-AU15)</f>
        <v>5</v>
      </c>
      <c r="AY15" s="184">
        <f t="shared" ca="1" si="22"/>
        <v>5</v>
      </c>
      <c r="AZ15" s="166">
        <f t="shared" si="51"/>
        <v>46131</v>
      </c>
      <c r="BA15" s="104">
        <f>IF(_xlfn.XLOOKUP($D15,'[1]Import Eletra'!$B:$B,'[1]Import Eletra'!$AV:$AV,,0,1)=0,"",_xlfn.XLOOKUP($D15,'[1]Import Eletra'!$B:$B,'[1]Import Eletra'!$AV:$AV,,0,1))</f>
        <v>46135</v>
      </c>
      <c r="BB15" s="112">
        <f t="shared" si="39"/>
        <v>0</v>
      </c>
      <c r="BC15" s="112">
        <f t="shared" ref="BC15:BC28" ca="1" si="80">IF(BA15="",TODAY()-AZ15,BA15-AZ15)</f>
        <v>4</v>
      </c>
      <c r="BD15" s="184">
        <f t="shared" ca="1" si="23"/>
        <v>4</v>
      </c>
      <c r="BE15" s="110">
        <f t="shared" si="52"/>
        <v>46131</v>
      </c>
      <c r="BF15" s="104">
        <f>IF(_xlfn.XLOOKUP($D15,'[1]Import Eletra'!$B:$B,'[1]Import Eletra'!$AW:$AW,,0,1)=0,"",_xlfn.XLOOKUP($D15,'[1]Import Eletra'!$B:$B,'[1]Import Eletra'!$AW:$AW,,0,1))</f>
        <v>46135</v>
      </c>
      <c r="BG15" s="112">
        <f t="shared" si="40"/>
        <v>0</v>
      </c>
      <c r="BH15" s="112">
        <f t="shared" ref="BH15:BH28" ca="1" si="81">IF(BF15="",TODAY()-BE15,BF15-BE15)</f>
        <v>4</v>
      </c>
      <c r="BI15" s="184">
        <f t="shared" ca="1" si="24"/>
        <v>4</v>
      </c>
      <c r="BJ15" s="120">
        <f t="shared" si="53"/>
        <v>46131</v>
      </c>
      <c r="BK15" s="104">
        <f>IF(_xlfn.XLOOKUP($D15,'[1]Import Eletra'!$B:$B,'[1]Import Eletra'!$AX:$AX,,0,1)=0,"",_xlfn.XLOOKUP($D15,'[1]Import Eletra'!$B:$B,'[1]Import Eletra'!$AX:$AX,,0,1))</f>
        <v>46136</v>
      </c>
      <c r="BL15" s="112">
        <f t="shared" si="7"/>
        <v>0</v>
      </c>
      <c r="BM15" s="112">
        <f t="shared" ca="1" si="76"/>
        <v>5</v>
      </c>
      <c r="BN15" s="184">
        <f t="shared" ca="1" si="25"/>
        <v>5</v>
      </c>
      <c r="BO15" s="110">
        <f t="shared" si="54"/>
        <v>46131</v>
      </c>
      <c r="BP15" s="104">
        <f>IF(_xlfn.XLOOKUP($D15,'[1]Import Eletra'!$B:$B,'[1]Import Eletra'!$AY:$AY,,0,1)=0,"",_xlfn.XLOOKUP($D15,'[1]Import Eletra'!$B:$B,'[1]Import Eletra'!$AY:$AY,,0,1))</f>
        <v>46135</v>
      </c>
      <c r="BQ15" s="112">
        <f t="shared" si="8"/>
        <v>0</v>
      </c>
      <c r="BR15" s="112">
        <f t="shared" ca="1" si="55"/>
        <v>4</v>
      </c>
      <c r="BS15" s="184">
        <f t="shared" ca="1" si="26"/>
        <v>4</v>
      </c>
      <c r="BT15" s="120">
        <f t="shared" si="56"/>
        <v>46133</v>
      </c>
      <c r="BU15" s="104">
        <f>IF(_xlfn.XLOOKUP($D15,'[1]Import Eletra'!$B:$B,'[1]Import Eletra'!$AZ:$AZ,,0,1)=0,"",_xlfn.XLOOKUP($D15,'[1]Import Eletra'!$B:$B,'[1]Import Eletra'!$AZ:$AZ,,0,1))</f>
        <v>46135</v>
      </c>
      <c r="BV15" s="112">
        <f t="shared" si="9"/>
        <v>2</v>
      </c>
      <c r="BW15" s="112">
        <f t="shared" ca="1" si="57"/>
        <v>2</v>
      </c>
      <c r="BX15" s="184">
        <f t="shared" ca="1" si="27"/>
        <v>0</v>
      </c>
      <c r="BY15" s="110">
        <f t="shared" si="58"/>
        <v>46133</v>
      </c>
      <c r="BZ15" s="104">
        <f>IF(_xlfn.XLOOKUP($D15,'[1]Import Eletra'!$B:$B,'[1]Import Eletra'!$BA:$BA,,0,1)=0,"",_xlfn.XLOOKUP($D15,'[1]Import Eletra'!$B:$B,'[1]Import Eletra'!$BA:$BA,,0,1))</f>
        <v>46136</v>
      </c>
      <c r="CA15" s="112">
        <f t="shared" si="10"/>
        <v>0</v>
      </c>
      <c r="CB15" s="112">
        <f t="shared" ca="1" si="59"/>
        <v>3</v>
      </c>
      <c r="CC15" s="184">
        <f t="shared" ca="1" si="28"/>
        <v>3</v>
      </c>
      <c r="CD15" s="120">
        <f t="shared" si="60"/>
        <v>46133</v>
      </c>
      <c r="CE15" s="104">
        <f>IF(_xlfn.XLOOKUP($D15,'[1]Import Eletra'!$B:$B,'[1]Import Eletra'!$BB:$BB,,0,1)=0,"",_xlfn.XLOOKUP($D15,'[1]Import Eletra'!$B:$B,'[1]Import Eletra'!$BB:$BB,,0,1))</f>
        <v>46136</v>
      </c>
      <c r="CF15" s="112">
        <f t="shared" si="11"/>
        <v>0</v>
      </c>
      <c r="CG15" s="112">
        <f t="shared" ca="1" si="61"/>
        <v>3</v>
      </c>
      <c r="CH15" s="184">
        <f t="shared" ca="1" si="29"/>
        <v>3</v>
      </c>
      <c r="CI15" s="110">
        <f t="shared" si="62"/>
        <v>46133</v>
      </c>
      <c r="CJ15" s="104">
        <f>IF(_xlfn.XLOOKUP($D15,'[1]Import Eletra'!$B:$B,'[1]Import Eletra'!$BC:$BC,,0,1)=0,"",_xlfn.XLOOKUP($D15,'[1]Import Eletra'!$B:$B,'[1]Import Eletra'!$BC:$BC,,0,1))</f>
        <v>46136</v>
      </c>
      <c r="CK15" s="112"/>
      <c r="CL15" s="112">
        <f t="shared" ca="1" si="64"/>
        <v>3</v>
      </c>
      <c r="CM15" s="184">
        <f t="shared" ca="1" si="30"/>
        <v>3</v>
      </c>
      <c r="CN15" s="110">
        <f t="shared" si="65"/>
        <v>46133</v>
      </c>
      <c r="CO15" s="104">
        <f>IF(_xlfn.XLOOKUP($D15,'[1]Import Eletra'!$B:$B,'[1]Import Eletra'!$BD:$BD,,0,1)=0,"",_xlfn.XLOOKUP($D15,'[1]Import Eletra'!$B:$B,'[1]Import Eletra'!$BD:$BD,,0,1))</f>
        <v>46136</v>
      </c>
      <c r="CP15" s="112">
        <f t="shared" si="12"/>
        <v>0</v>
      </c>
      <c r="CQ15" s="119">
        <f t="shared" ca="1" si="66"/>
        <v>3</v>
      </c>
      <c r="CR15" s="184">
        <f t="shared" ca="1" si="31"/>
        <v>3</v>
      </c>
      <c r="CS15" s="120">
        <f t="shared" si="67"/>
        <v>46133</v>
      </c>
      <c r="CT15" s="104">
        <f>IF(_xlfn.XLOOKUP($D15,'[1]Import Eletra'!$B:$B,'[1]Import Eletra'!$BE:$BE,,0,1)=0,"",_xlfn.XLOOKUP($D15,'[1]Import Eletra'!$B:$B,'[1]Import Eletra'!$BE:$BE,,0,1))</f>
        <v>46139</v>
      </c>
      <c r="CU15" s="113">
        <f t="shared" si="13"/>
        <v>0</v>
      </c>
      <c r="CV15" s="119">
        <f t="shared" ca="1" si="68"/>
        <v>6</v>
      </c>
      <c r="CW15" s="184">
        <f t="shared" ca="1" si="32"/>
        <v>6</v>
      </c>
      <c r="CX15" s="120">
        <f t="shared" si="69"/>
        <v>46133</v>
      </c>
      <c r="CY15" s="104">
        <f>IF(_xlfn.XLOOKUP($D15,'[1]Import Eletra'!$B:$B,'[1]Import Eletra'!$BE:$BE,,0,1)=0,"",_xlfn.XLOOKUP($D15,'[1]Import Eletra'!$B:$B,'[1]Import Eletra'!$BE:$BE,,0,1))</f>
        <v>46139</v>
      </c>
      <c r="CZ15" s="113">
        <f t="shared" si="14"/>
        <v>0</v>
      </c>
      <c r="DA15" s="113">
        <f t="shared" ca="1" si="70"/>
        <v>6</v>
      </c>
      <c r="DB15" s="184">
        <f t="shared" ca="1" si="33"/>
        <v>6</v>
      </c>
      <c r="DC15" s="110">
        <f t="shared" si="71"/>
        <v>46135</v>
      </c>
      <c r="DD15" s="104">
        <f>IF(_xlfn.XLOOKUP($D15,'[1]Import Eletra'!$B:$B,'[1]Import Eletra'!$BF:$BF,,0,1)=0,"",_xlfn.XLOOKUP($D15,'[1]Import Eletra'!$B:$B,'[1]Import Eletra'!$BF:$BF,0,1))</f>
        <v>46139</v>
      </c>
      <c r="DE15" s="112">
        <f t="shared" si="15"/>
        <v>2</v>
      </c>
      <c r="DF15" s="112">
        <f t="shared" ca="1" si="77"/>
        <v>4</v>
      </c>
      <c r="DG15" s="184">
        <f t="shared" ca="1" si="34"/>
        <v>2</v>
      </c>
      <c r="DH15" s="110">
        <f>DN15-$DM$3</f>
        <v>46136</v>
      </c>
      <c r="DI15" s="104">
        <f>IF(_xlfn.XLOOKUP($D15,'[1]Import Eletra'!$B:$B,'[1]Import Eletra'!$BG:$BG,,0,1)=0,"",_xlfn.XLOOKUP($D15,'[1]Import Eletra'!$B:$B,'[1]Import Eletra'!$BG:$BG,0,1))</f>
        <v>46140</v>
      </c>
      <c r="DJ15" s="112">
        <f t="shared" si="16"/>
        <v>1</v>
      </c>
      <c r="DK15" s="112">
        <f t="shared" ca="1" si="72"/>
        <v>4</v>
      </c>
      <c r="DL15" s="184">
        <f t="shared" ca="1" si="35"/>
        <v>3</v>
      </c>
      <c r="DM15" s="64">
        <v>46140</v>
      </c>
      <c r="DN15" s="202">
        <f t="shared" ref="DN15:DN33" si="82">IF(U15="",M15+DS15,U15+DS15)</f>
        <v>46137</v>
      </c>
      <c r="DO15" s="165">
        <v>46141</v>
      </c>
      <c r="DP15" s="112">
        <f>$DM$3</f>
        <v>1</v>
      </c>
      <c r="DQ15" s="112">
        <f t="shared" ca="1" si="74"/>
        <v>4</v>
      </c>
      <c r="DR15" s="184">
        <f t="shared" ca="1" si="36"/>
        <v>3</v>
      </c>
      <c r="DS15" s="143">
        <f t="shared" si="75"/>
        <v>7</v>
      </c>
      <c r="DT15" s="140">
        <f ca="1">IF(DO15="",TODAY()-U15,DO15-U15)</f>
        <v>11</v>
      </c>
      <c r="DU15" s="184">
        <f t="shared" ca="1" si="37"/>
        <v>4</v>
      </c>
      <c r="DW15" s="185" t="s">
        <v>245</v>
      </c>
      <c r="DZ15" s="230"/>
    </row>
    <row r="16" spans="1:181" ht="30" customHeight="1">
      <c r="A16" s="229"/>
      <c r="B16" s="91">
        <v>1</v>
      </c>
      <c r="C16" s="2" t="s">
        <v>251</v>
      </c>
      <c r="D16" s="144" t="s">
        <v>256</v>
      </c>
      <c r="E16" s="96">
        <f>IF(_xlfn.XLOOKUP($D16,'[1]Import Eletra'!$B:$B,'[1]Import Eletra'!$U:$U,,0,1)=0,"",_xlfn.XLOOKUP($D16,'[1]Import Eletra'!$B:$B,'[1]Import Eletra'!$U:$U,,0,1))</f>
        <v>0.5</v>
      </c>
      <c r="F16" s="86" t="s">
        <v>244</v>
      </c>
      <c r="G16" s="2" t="str">
        <f>_xlfn.XLOOKUP($D16,'[1]Import Eletra'!$B:$B,'[1]Import Eletra'!$F:$F,,0,1)</f>
        <v>DELIVERED</v>
      </c>
      <c r="H16" s="3" t="str">
        <f>_xlfn.XLOOKUP($D16,'[1]Import Eletra'!$B:$B,'[1]Import Eletra'!$G:$G,,0,1)</f>
        <v>SEA</v>
      </c>
      <c r="I16" s="3">
        <v>46054</v>
      </c>
      <c r="J16" s="58">
        <v>30</v>
      </c>
      <c r="K16" s="58">
        <f>L16-I16</f>
        <v>40</v>
      </c>
      <c r="L16" s="3">
        <f>IF(_xlfn.XLOOKUP($D16,'[1]Import Eletra'!$B:$B,'[1]Import Eletra'!$J:$J,,0,1)=0,"",_xlfn.XLOOKUP($D16,'[1]Import Eletra'!$B:$B,'[1]Import Eletra'!$J:$J,,0,1))</f>
        <v>46094</v>
      </c>
      <c r="M16" s="84">
        <f>IF(_xlfn.XLOOKUP($D16,'[1]Import Eletra'!$B:$B,'[1]Import Eletra'!$L:$L,,0,1)=0,"",_xlfn.XLOOKUP($D16,'[1]Import Eletra'!$B:$B,'[1]Import Eletra'!$L:$L,,0,1))</f>
        <v>46147</v>
      </c>
      <c r="N16" s="19">
        <f>IF(_xlfn.XLOOKUP($D16,'[1]Import Eletra'!$B:$B,'[1]Import Eletra'!$AJ:$AJ,,0,1)=0,"",_xlfn.XLOOKUP($D16,'[1]Import Eletra'!$B:$B,'[1]Import Eletra'!$AJ:$AJ,,0,1))</f>
        <v>368154.58</v>
      </c>
      <c r="O16" s="3">
        <f>IF(_xlfn.XLOOKUP($D16,'[1]Import Eletra'!$B:$B,'[1]Import Eletra'!$AK:$AK,,0,1)=0,"",_xlfn.XLOOKUP($D16,'[1]Import Eletra'!$B:$B,'[1]Import Eletra'!$AK:$AK,,0,1))</f>
        <v>46128</v>
      </c>
      <c r="P16" s="3">
        <f>IF(_xlfn.XLOOKUP($D16,'[1]Import Eletra'!$B:$B,'[1]Import Eletra'!$AL:$AL,,0,1)=0,"",_xlfn.XLOOKUP($D16,'[1]Import Eletra'!$B:$B,'[1]Import Eletra'!$AL:$AL,,0,1))</f>
        <v>46128</v>
      </c>
      <c r="Q16" s="3">
        <f>IF(_xlfn.XLOOKUP($D16,'[1]Import Eletra'!$B:$B,'[1]Import Eletra'!$AM:$AM,,0,1)=0,"",_xlfn.XLOOKUP($D16,'[1]Import Eletra'!$B:$B,'[1]Import Eletra'!$AM:$AM,,0,1))</f>
        <v>46129</v>
      </c>
      <c r="R16" s="3">
        <f>IF(_xlfn.XLOOKUP($D16,'[1]Import Eletra'!$B:$B,'[1]Import Eletra'!$AN:$AN,,0,1)=0,"",_xlfn.XLOOKUP($D16,'[1]Import Eletra'!$B:$B,'[1]Import Eletra'!$AN:$AN,,0,1))</f>
        <v>46129</v>
      </c>
      <c r="S16" s="3">
        <f>IF(_xlfn.XLOOKUP($D16,'[1]Import Eletra'!$B:$B,'[1]Import Eletra'!$AO:$AO,,0,1)=0,"",_xlfn.XLOOKUP($D16,'[1]Import Eletra'!$B:$B,'[1]Import Eletra'!$AO:$AO,,0,1))</f>
        <v>46129</v>
      </c>
      <c r="T16" s="3">
        <f>IF(_xlfn.XLOOKUP($D16,'[1]Import Eletra'!$B:$B,'[1]Import Eletra'!$AP:$AP,,0,1)=0,"",_xlfn.XLOOKUP($D16,'[1]Import Eletra'!$B:$B,'[1]Import Eletra'!$AP:$AP,,0,1))</f>
        <v>46129</v>
      </c>
      <c r="U16" s="208">
        <f>IF(_xlfn.XLOOKUP($D16,'[1]Import Eletra'!$B:$B,'[1]Import Eletra'!$AQ:$AQ,,0,1)=0,"",_xlfn.XLOOKUP($D16,'[1]Import Eletra'!$B:$B,'[1]Import Eletra'!$AQ:$AQ,,0,1))</f>
        <v>46130</v>
      </c>
      <c r="V16" s="19">
        <f t="shared" si="41"/>
        <v>46130</v>
      </c>
      <c r="W16" s="2">
        <f>IF(_xlfn.XLOOKUP($D16,'[1]Import Eletra'!$B:$B,'[1]Import Eletra'!$AR:$AR,,0,1)=0,"",_xlfn.XLOOKUP($D16,'[1]Import Eletra'!$B:$B,'[1]Import Eletra'!$AR:$AR,,0,1))</f>
        <v>46150</v>
      </c>
      <c r="X16" s="1">
        <f t="shared" si="1"/>
        <v>0</v>
      </c>
      <c r="Y16" s="1">
        <f t="shared" ca="1" si="2"/>
        <v>20</v>
      </c>
      <c r="Z16" s="184">
        <f t="shared" ca="1" si="17"/>
        <v>20</v>
      </c>
      <c r="AA16" s="33">
        <f t="shared" si="42"/>
        <v>46130</v>
      </c>
      <c r="AB16" s="2" t="str">
        <f>IF(_xlfn.XLOOKUP($D16,'[1]Import Eletra'!$B:$B,'[1]Import Eletra'!$AC:$AC,,0,1)=0,"",_xlfn.XLOOKUP($D16,'[1]Import Eletra'!$B:$B,'[1]Import Eletra'!$AC:$AC,,0,1))</f>
        <v/>
      </c>
      <c r="AC16" s="1">
        <f t="shared" si="3"/>
        <v>0</v>
      </c>
      <c r="AD16" s="1">
        <f t="shared" ca="1" si="43"/>
        <v>81</v>
      </c>
      <c r="AE16" s="184">
        <f t="shared" ca="1" si="18"/>
        <v>81</v>
      </c>
      <c r="AF16" s="35">
        <f t="shared" si="44"/>
        <v>46130</v>
      </c>
      <c r="AG16" s="2">
        <f>IF(_xlfn.XLOOKUP($D16,'[1]Import Eletra'!$B:$B,'[1]Import Eletra'!$AD:$AD,,0,1)=0,"",_xlfn.XLOOKUP($D16,'[1]Import Eletra'!$B:$B,'[1]Import Eletra'!$AD:$AD,,0,1))</f>
        <v>46150</v>
      </c>
      <c r="AH16" s="1">
        <f t="shared" si="4"/>
        <v>0</v>
      </c>
      <c r="AI16" s="1">
        <f t="shared" ca="1" si="45"/>
        <v>20</v>
      </c>
      <c r="AJ16" s="184">
        <f t="shared" ca="1" si="19"/>
        <v>20</v>
      </c>
      <c r="AK16" s="35">
        <f t="shared" si="46"/>
        <v>46130</v>
      </c>
      <c r="AL16" s="2">
        <f>IF(_xlfn.XLOOKUP($D16,'[1]Import Eletra'!$B:$B,'[1]Import Eletra'!$AS:$AS,,0,1)=0,"",_xlfn.XLOOKUP($D16,'[1]Import Eletra'!$B:$B,'[1]Import Eletra'!$AS:$AS,,0,1))</f>
        <v>46150</v>
      </c>
      <c r="AM16" s="1">
        <f t="shared" si="5"/>
        <v>0</v>
      </c>
      <c r="AN16" s="1">
        <f t="shared" ca="1" si="47"/>
        <v>20</v>
      </c>
      <c r="AO16" s="184">
        <f t="shared" ca="1" si="20"/>
        <v>20</v>
      </c>
      <c r="AP16" s="34">
        <f t="shared" si="48"/>
        <v>46131</v>
      </c>
      <c r="AQ16" s="2">
        <f>IF(_xlfn.XLOOKUP($D16,'[1]Import Eletra'!$B:$B,'[1]Import Eletra'!$AT:$AT,,0,1)=0,"",_xlfn.XLOOKUP($D16,'[1]Import Eletra'!$B:$B,'[1]Import Eletra'!$AT:$AT,,0,1))</f>
        <v>46153</v>
      </c>
      <c r="AR16" s="1">
        <f t="shared" si="6"/>
        <v>1</v>
      </c>
      <c r="AS16" s="1">
        <f t="shared" ca="1" si="49"/>
        <v>22</v>
      </c>
      <c r="AT16" s="184">
        <f t="shared" ca="1" si="21"/>
        <v>21</v>
      </c>
      <c r="AU16" s="35">
        <f t="shared" si="50"/>
        <v>46131</v>
      </c>
      <c r="AV16" s="2">
        <f>IF(_xlfn.XLOOKUP($D16,'[1]Import Eletra'!$B:$B,'[1]Import Eletra'!$AU:$AU,,0,1)=0,"",_xlfn.XLOOKUP($D16,'[1]Import Eletra'!$B:$B,'[1]Import Eletra'!$AU:$AU,,0,1))</f>
        <v>46153</v>
      </c>
      <c r="AW16" s="1">
        <f t="shared" si="38"/>
        <v>0</v>
      </c>
      <c r="AX16" s="1">
        <f t="shared" ca="1" si="79"/>
        <v>22</v>
      </c>
      <c r="AY16" s="184">
        <f t="shared" ca="1" si="22"/>
        <v>22</v>
      </c>
      <c r="AZ16" s="34">
        <f t="shared" si="51"/>
        <v>46131</v>
      </c>
      <c r="BA16" s="2" t="str">
        <f>IF(_xlfn.XLOOKUP($D16,'[1]Import Eletra'!$B:$B,'[1]Import Eletra'!$AV:$AV,,0,1)=0,"",_xlfn.XLOOKUP($D16,'[1]Import Eletra'!$B:$B,'[1]Import Eletra'!$AV:$AV,,0,1))</f>
        <v/>
      </c>
      <c r="BB16" s="1">
        <f t="shared" si="39"/>
        <v>0</v>
      </c>
      <c r="BC16" s="1">
        <f t="shared" ca="1" si="80"/>
        <v>80</v>
      </c>
      <c r="BD16" s="184">
        <f t="shared" ca="1" si="23"/>
        <v>80</v>
      </c>
      <c r="BE16" s="19">
        <f t="shared" si="52"/>
        <v>46131</v>
      </c>
      <c r="BF16" s="2" t="str">
        <f>IF(_xlfn.XLOOKUP($D16,'[1]Import Eletra'!$B:$B,'[1]Import Eletra'!$AW:$AW,,0,1)=0,"",_xlfn.XLOOKUP($D16,'[1]Import Eletra'!$B:$B,'[1]Import Eletra'!$AW:$AW,,0,1))</f>
        <v/>
      </c>
      <c r="BG16" s="1">
        <f t="shared" si="40"/>
        <v>0</v>
      </c>
      <c r="BH16" s="1">
        <f t="shared" ca="1" si="81"/>
        <v>80</v>
      </c>
      <c r="BI16" s="184">
        <f t="shared" ca="1" si="24"/>
        <v>80</v>
      </c>
      <c r="BJ16" s="18">
        <f t="shared" si="53"/>
        <v>46131</v>
      </c>
      <c r="BK16" s="2" t="str">
        <f>IF(_xlfn.XLOOKUP($D16,'[1]Import Eletra'!$B:$B,'[1]Import Eletra'!$AX:$AX,,0,1)=0,"",_xlfn.XLOOKUP($D16,'[1]Import Eletra'!$B:$B,'[1]Import Eletra'!$AX:$AX,,0,1))</f>
        <v/>
      </c>
      <c r="BL16" s="1">
        <f t="shared" si="7"/>
        <v>0</v>
      </c>
      <c r="BM16" s="1">
        <f t="shared" ca="1" si="76"/>
        <v>80</v>
      </c>
      <c r="BN16" s="184">
        <f t="shared" ca="1" si="25"/>
        <v>80</v>
      </c>
      <c r="BO16" s="19">
        <f t="shared" si="54"/>
        <v>46131</v>
      </c>
      <c r="BP16" s="2">
        <f>IF(_xlfn.XLOOKUP($D16,'[1]Import Eletra'!$B:$B,'[1]Import Eletra'!$AY:$AY,,0,1)=0,"",_xlfn.XLOOKUP($D16,'[1]Import Eletra'!$B:$B,'[1]Import Eletra'!$AY:$AY,,0,1))</f>
        <v>46153</v>
      </c>
      <c r="BQ16" s="1">
        <f t="shared" si="8"/>
        <v>0</v>
      </c>
      <c r="BR16" s="1">
        <f t="shared" ca="1" si="55"/>
        <v>22</v>
      </c>
      <c r="BS16" s="184">
        <f t="shared" ca="1" si="26"/>
        <v>22</v>
      </c>
      <c r="BT16" s="18">
        <f t="shared" si="56"/>
        <v>46133</v>
      </c>
      <c r="BU16" s="2">
        <f>IF(_xlfn.XLOOKUP($D16,'[1]Import Eletra'!$B:$B,'[1]Import Eletra'!$AZ:$AZ,,0,1)=0,"",_xlfn.XLOOKUP($D16,'[1]Import Eletra'!$B:$B,'[1]Import Eletra'!$AZ:$AZ,,0,1))</f>
        <v>46153</v>
      </c>
      <c r="BV16" s="1">
        <f t="shared" si="9"/>
        <v>2</v>
      </c>
      <c r="BW16" s="1">
        <f t="shared" ca="1" si="57"/>
        <v>20</v>
      </c>
      <c r="BX16" s="184">
        <f t="shared" ca="1" si="27"/>
        <v>18</v>
      </c>
      <c r="BY16" s="19">
        <f t="shared" si="58"/>
        <v>46133</v>
      </c>
      <c r="BZ16" s="2">
        <f>IF(_xlfn.XLOOKUP($D16,'[1]Import Eletra'!$B:$B,'[1]Import Eletra'!$BA:$BA,,0,1)=0,"",_xlfn.XLOOKUP($D16,'[1]Import Eletra'!$B:$B,'[1]Import Eletra'!$BA:$BA,,0,1))</f>
        <v>46154</v>
      </c>
      <c r="CA16" s="1">
        <f t="shared" si="10"/>
        <v>0</v>
      </c>
      <c r="CB16" s="1">
        <f t="shared" ca="1" si="59"/>
        <v>21</v>
      </c>
      <c r="CC16" s="184">
        <f t="shared" ca="1" si="28"/>
        <v>21</v>
      </c>
      <c r="CD16" s="18">
        <f t="shared" si="60"/>
        <v>46133</v>
      </c>
      <c r="CE16" s="2">
        <f>IF(_xlfn.XLOOKUP($D16,'[1]Import Eletra'!$B:$B,'[1]Import Eletra'!$BB:$BB,,0,1)=0,"",_xlfn.XLOOKUP($D16,'[1]Import Eletra'!$B:$B,'[1]Import Eletra'!$BB:$BB,,0,1))</f>
        <v>46154</v>
      </c>
      <c r="CF16" s="1">
        <f t="shared" si="11"/>
        <v>0</v>
      </c>
      <c r="CG16" s="1">
        <f t="shared" ca="1" si="61"/>
        <v>21</v>
      </c>
      <c r="CH16" s="184">
        <f t="shared" ca="1" si="29"/>
        <v>21</v>
      </c>
      <c r="CI16" s="19">
        <f t="shared" si="62"/>
        <v>46133</v>
      </c>
      <c r="CJ16" s="2">
        <f>IF(_xlfn.XLOOKUP($D16,'[1]Import Eletra'!$B:$B,'[1]Import Eletra'!$BC:$BC,,0,1)=0,"",_xlfn.XLOOKUP($D16,'[1]Import Eletra'!$B:$B,'[1]Import Eletra'!$BC:$BC,,0,1))</f>
        <v>46154</v>
      </c>
      <c r="CK16" s="1"/>
      <c r="CL16" s="1">
        <f t="shared" ca="1" si="64"/>
        <v>21</v>
      </c>
      <c r="CM16" s="184">
        <f t="shared" ca="1" si="30"/>
        <v>21</v>
      </c>
      <c r="CN16" s="19">
        <f t="shared" si="65"/>
        <v>46133</v>
      </c>
      <c r="CO16" s="2">
        <f>IF(_xlfn.XLOOKUP($D16,'[1]Import Eletra'!$B:$B,'[1]Import Eletra'!$BD:$BD,,0,1)=0,"",_xlfn.XLOOKUP($D16,'[1]Import Eletra'!$B:$B,'[1]Import Eletra'!$BD:$BD,,0,1))</f>
        <v>46154</v>
      </c>
      <c r="CP16" s="1">
        <f t="shared" si="12"/>
        <v>0</v>
      </c>
      <c r="CQ16" s="24">
        <f t="shared" ca="1" si="66"/>
        <v>21</v>
      </c>
      <c r="CR16" s="184">
        <f t="shared" ca="1" si="31"/>
        <v>21</v>
      </c>
      <c r="CS16" s="18">
        <f t="shared" si="67"/>
        <v>46133</v>
      </c>
      <c r="CT16" s="2">
        <f>IF(_xlfn.XLOOKUP($D16,'[1]Import Eletra'!$B:$B,'[1]Import Eletra'!$BE:$BE,,0,1)=0,"",_xlfn.XLOOKUP($D16,'[1]Import Eletra'!$B:$B,'[1]Import Eletra'!$BE:$BE,,0,1))</f>
        <v>46154</v>
      </c>
      <c r="CU16" s="1">
        <f t="shared" si="13"/>
        <v>0</v>
      </c>
      <c r="CV16" s="1">
        <f t="shared" ca="1" si="68"/>
        <v>21</v>
      </c>
      <c r="CW16" s="184">
        <f t="shared" ca="1" si="32"/>
        <v>21</v>
      </c>
      <c r="CX16" s="19">
        <f t="shared" si="69"/>
        <v>46133</v>
      </c>
      <c r="CY16" s="2">
        <f>IF(_xlfn.XLOOKUP($D16,'[1]Import Eletra'!$B:$B,'[1]Import Eletra'!$BE:$BE,,0,1)=0,"",_xlfn.XLOOKUP($D16,'[1]Import Eletra'!$B:$B,'[1]Import Eletra'!$BE:$BE,,0,1))</f>
        <v>46154</v>
      </c>
      <c r="CZ16" s="40">
        <f t="shared" si="14"/>
        <v>0</v>
      </c>
      <c r="DA16" s="1">
        <f t="shared" ca="1" si="70"/>
        <v>21</v>
      </c>
      <c r="DB16" s="184">
        <f t="shared" ca="1" si="33"/>
        <v>21</v>
      </c>
      <c r="DC16" s="19">
        <f t="shared" si="71"/>
        <v>46135</v>
      </c>
      <c r="DD16" s="2">
        <f>IF(_xlfn.XLOOKUP($D16,'[1]Import Eletra'!$B:$B,'[1]Import Eletra'!$BF:$BF,,0,1)=0,"",_xlfn.XLOOKUP($D16,'[1]Import Eletra'!$B:$B,'[1]Import Eletra'!$BF:$BF,0,1))</f>
        <v>46154</v>
      </c>
      <c r="DE16" s="1">
        <f t="shared" si="15"/>
        <v>2</v>
      </c>
      <c r="DF16" s="1">
        <f t="shared" ca="1" si="77"/>
        <v>19</v>
      </c>
      <c r="DG16" s="184">
        <f t="shared" ca="1" si="34"/>
        <v>17</v>
      </c>
      <c r="DH16" s="19">
        <f>DN16-$DM$3</f>
        <v>46136</v>
      </c>
      <c r="DI16" s="2">
        <f>IF(_xlfn.XLOOKUP($D16,'[1]Import Eletra'!$B:$B,'[1]Import Eletra'!$BG:$BG,,0,1)=0,"",_xlfn.XLOOKUP($D16,'[1]Import Eletra'!$B:$B,'[1]Import Eletra'!$BG:$BG,0,1))</f>
        <v>46156</v>
      </c>
      <c r="DJ16" s="1">
        <f t="shared" si="16"/>
        <v>1</v>
      </c>
      <c r="DK16" s="1">
        <f t="shared" ca="1" si="72"/>
        <v>20</v>
      </c>
      <c r="DL16" s="184">
        <f t="shared" ca="1" si="35"/>
        <v>19</v>
      </c>
      <c r="DM16" s="64">
        <v>46154</v>
      </c>
      <c r="DN16" s="202">
        <f t="shared" si="82"/>
        <v>46137</v>
      </c>
      <c r="DO16" s="2"/>
      <c r="DP16" s="1">
        <f>$DM$3</f>
        <v>1</v>
      </c>
      <c r="DQ16" s="1">
        <f t="shared" ca="1" si="74"/>
        <v>74</v>
      </c>
      <c r="DR16" s="184">
        <f t="shared" ca="1" si="36"/>
        <v>73</v>
      </c>
      <c r="DS16" s="139">
        <f t="shared" si="75"/>
        <v>7</v>
      </c>
      <c r="DT16" s="140"/>
      <c r="DU16" s="184">
        <f t="shared" si="37"/>
        <v>-7</v>
      </c>
      <c r="DW16" s="142" t="s">
        <v>257</v>
      </c>
      <c r="DZ16" s="231" t="s">
        <v>258</v>
      </c>
    </row>
    <row r="17" spans="1:130" ht="30" customHeight="1">
      <c r="B17" s="103">
        <v>1</v>
      </c>
      <c r="C17" s="104" t="s">
        <v>259</v>
      </c>
      <c r="D17" s="144" t="s">
        <v>260</v>
      </c>
      <c r="E17" s="106">
        <f>IF(_xlfn.XLOOKUP($D17,'[1]Import Eletra'!$B:$B,'[1]Import Eletra'!$U:$U,,0,1)=0,"",_xlfn.XLOOKUP($D17,'[1]Import Eletra'!$B:$B,'[1]Import Eletra'!$U:$U,,0,1))</f>
        <v>0.5</v>
      </c>
      <c r="F17" s="104" t="s">
        <v>244</v>
      </c>
      <c r="G17" s="2" t="str">
        <f>_xlfn.XLOOKUP($D17,'[1]Import Eletra'!$B:$B,'[1]Import Eletra'!$F:$F,,0,1)</f>
        <v>DELIVERED</v>
      </c>
      <c r="H17" s="108" t="str">
        <f>_xlfn.XLOOKUP($D17,'[1]Import Eletra'!$B:$B,'[1]Import Eletra'!$G:$G,,0,1)</f>
        <v>SEA</v>
      </c>
      <c r="I17" s="108">
        <v>46052</v>
      </c>
      <c r="J17" s="109">
        <v>30</v>
      </c>
      <c r="K17" s="109">
        <f>L17-I17</f>
        <v>41</v>
      </c>
      <c r="L17" s="108">
        <f>IF(_xlfn.XLOOKUP($D17,'[1]Import Eletra'!$B:$B,'[1]Import Eletra'!$J:$J,,0,1)=0,"",_xlfn.XLOOKUP($D17,'[1]Import Eletra'!$B:$B,'[1]Import Eletra'!$J:$J,,0,1))</f>
        <v>46093</v>
      </c>
      <c r="M17" s="168">
        <f>IF(_xlfn.XLOOKUP($D17,'[1]Import Eletra'!$B:$B,'[1]Import Eletra'!$L:$L,,0,1)=0,"",_xlfn.XLOOKUP($D17,'[1]Import Eletra'!$B:$B,'[1]Import Eletra'!$L:$L,,0,1))</f>
        <v>46147</v>
      </c>
      <c r="N17" s="110">
        <f>IF(_xlfn.XLOOKUP($D17,'[1]Import Eletra'!$B:$B,'[1]Import Eletra'!$AJ:$AJ,,0,1)=0,"",_xlfn.XLOOKUP($D17,'[1]Import Eletra'!$B:$B,'[1]Import Eletra'!$AJ:$AJ,,0,1))</f>
        <v>397470.01</v>
      </c>
      <c r="O17" s="108">
        <f>IF(_xlfn.XLOOKUP($D17,'[1]Import Eletra'!$B:$B,'[1]Import Eletra'!$AK:$AK,,0,1)=0,"",_xlfn.XLOOKUP($D17,'[1]Import Eletra'!$B:$B,'[1]Import Eletra'!$AK:$AK,,0,1))</f>
        <v>46129</v>
      </c>
      <c r="P17" s="108">
        <f>IF(_xlfn.XLOOKUP($D17,'[1]Import Eletra'!$B:$B,'[1]Import Eletra'!$AL:$AL,,0,1)=0,"",_xlfn.XLOOKUP($D17,'[1]Import Eletra'!$B:$B,'[1]Import Eletra'!$AL:$AL,,0,1))</f>
        <v>46129</v>
      </c>
      <c r="Q17" s="108">
        <f>IF(_xlfn.XLOOKUP($D17,'[1]Import Eletra'!$B:$B,'[1]Import Eletra'!$AM:$AM,,0,1)=0,"",_xlfn.XLOOKUP($D17,'[1]Import Eletra'!$B:$B,'[1]Import Eletra'!$AM:$AM,,0,1))</f>
        <v>46134</v>
      </c>
      <c r="R17" s="108">
        <f>IF(_xlfn.XLOOKUP($D17,'[1]Import Eletra'!$B:$B,'[1]Import Eletra'!$AN:$AN,,0,1)=0,"",_xlfn.XLOOKUP($D17,'[1]Import Eletra'!$B:$B,'[1]Import Eletra'!$AN:$AN,,0,1))</f>
        <v>46139</v>
      </c>
      <c r="S17" s="108">
        <f>IF(_xlfn.XLOOKUP($D17,'[1]Import Eletra'!$B:$B,'[1]Import Eletra'!$AO:$AO,,0,1)=0,"",_xlfn.XLOOKUP($D17,'[1]Import Eletra'!$B:$B,'[1]Import Eletra'!$AO:$AO,,0,1))</f>
        <v>46141</v>
      </c>
      <c r="T17" s="4">
        <f>IF(_xlfn.XLOOKUP($D17,'[1]Import Eletra'!$B:$B,'[1]Import Eletra'!$AP:$AP,,0,1)=0,"",_xlfn.XLOOKUP($D17,'[1]Import Eletra'!$B:$B,'[1]Import Eletra'!$AP:$AP,,0,1))</f>
        <v>46142</v>
      </c>
      <c r="U17" s="111">
        <f>IF(_xlfn.XLOOKUP($D17,'[1]Import Eletra'!$B:$B,'[1]Import Eletra'!$AQ:$AQ,,0,1)=0,"",_xlfn.XLOOKUP($D17,'[1]Import Eletra'!$B:$B,'[1]Import Eletra'!$AQ:$AQ,,0,1))</f>
        <v>46142</v>
      </c>
      <c r="V17" s="110">
        <f t="shared" si="41"/>
        <v>46142</v>
      </c>
      <c r="W17" s="104">
        <f>IF(_xlfn.XLOOKUP($D17,'[1]Import Eletra'!$B:$B,'[1]Import Eletra'!$AR:$AR,,0,1)=0,"",_xlfn.XLOOKUP($D17,'[1]Import Eletra'!$B:$B,'[1]Import Eletra'!$AR:$AR,,0,1))</f>
        <v>46150</v>
      </c>
      <c r="X17" s="112">
        <f t="shared" si="1"/>
        <v>0</v>
      </c>
      <c r="Y17" s="112">
        <f t="shared" ca="1" si="2"/>
        <v>8</v>
      </c>
      <c r="Z17" s="184">
        <f t="shared" ca="1" si="17"/>
        <v>8</v>
      </c>
      <c r="AA17" s="114">
        <f t="shared" si="42"/>
        <v>46142</v>
      </c>
      <c r="AB17" s="104" t="str">
        <f>IF(_xlfn.XLOOKUP($D17,'[1]Import Eletra'!$B:$B,'[1]Import Eletra'!$AC:$AC,,0,1)=0,"",_xlfn.XLOOKUP($D17,'[1]Import Eletra'!$B:$B,'[1]Import Eletra'!$AC:$AC,,0,1))</f>
        <v/>
      </c>
      <c r="AC17" s="112">
        <f t="shared" si="3"/>
        <v>0</v>
      </c>
      <c r="AD17" s="112">
        <f t="shared" ca="1" si="43"/>
        <v>69</v>
      </c>
      <c r="AE17" s="184">
        <f t="shared" ca="1" si="18"/>
        <v>69</v>
      </c>
      <c r="AF17" s="116">
        <f t="shared" si="44"/>
        <v>46142</v>
      </c>
      <c r="AG17" s="104">
        <f>IF(_xlfn.XLOOKUP($D17,'[1]Import Eletra'!$B:$B,'[1]Import Eletra'!$AD:$AD,,0,1)=0,"",_xlfn.XLOOKUP($D17,'[1]Import Eletra'!$B:$B,'[1]Import Eletra'!$AD:$AD,,0,1))</f>
        <v>46154</v>
      </c>
      <c r="AH17" s="112">
        <f t="shared" si="4"/>
        <v>0</v>
      </c>
      <c r="AI17" s="112">
        <f t="shared" ca="1" si="45"/>
        <v>12</v>
      </c>
      <c r="AJ17" s="184">
        <f t="shared" ca="1" si="19"/>
        <v>12</v>
      </c>
      <c r="AK17" s="116">
        <f t="shared" si="46"/>
        <v>46142</v>
      </c>
      <c r="AL17" s="104">
        <f>IF(_xlfn.XLOOKUP($D17,'[1]Import Eletra'!$B:$B,'[1]Import Eletra'!$AS:$AS,,0,1)=0,"",_xlfn.XLOOKUP($D17,'[1]Import Eletra'!$B:$B,'[1]Import Eletra'!$AS:$AS,,0,1))</f>
        <v>46150</v>
      </c>
      <c r="AM17" s="112">
        <f t="shared" si="5"/>
        <v>0</v>
      </c>
      <c r="AN17" s="112">
        <f t="shared" ca="1" si="47"/>
        <v>8</v>
      </c>
      <c r="AO17" s="184">
        <f t="shared" ca="1" si="20"/>
        <v>8</v>
      </c>
      <c r="AP17" s="166">
        <f t="shared" si="48"/>
        <v>46143</v>
      </c>
      <c r="AQ17" s="104">
        <f>IF(_xlfn.XLOOKUP($D17,'[1]Import Eletra'!$B:$B,'[1]Import Eletra'!$AT:$AT,,0,1)=0,"",_xlfn.XLOOKUP($D17,'[1]Import Eletra'!$B:$B,'[1]Import Eletra'!$AT:$AT,,0,1))</f>
        <v>46155</v>
      </c>
      <c r="AR17" s="112">
        <f t="shared" si="6"/>
        <v>1</v>
      </c>
      <c r="AS17" s="112">
        <f t="shared" ca="1" si="49"/>
        <v>12</v>
      </c>
      <c r="AT17" s="184">
        <f t="shared" ca="1" si="21"/>
        <v>11</v>
      </c>
      <c r="AU17" s="116">
        <f t="shared" si="50"/>
        <v>46143</v>
      </c>
      <c r="AV17" s="104" t="str">
        <f>IF(_xlfn.XLOOKUP($D17,'[1]Import Eletra'!$B:$B,'[1]Import Eletra'!$AU:$AU,,0,1)=0,"",_xlfn.XLOOKUP($D17,'[1]Import Eletra'!$B:$B,'[1]Import Eletra'!$AU:$AU,,0,1))</f>
        <v>13/05/2026</v>
      </c>
      <c r="AW17" s="112">
        <f t="shared" si="38"/>
        <v>0</v>
      </c>
      <c r="AX17" s="112">
        <f t="shared" ca="1" si="79"/>
        <v>12</v>
      </c>
      <c r="AY17" s="184">
        <f t="shared" ca="1" si="22"/>
        <v>12</v>
      </c>
      <c r="AZ17" s="166">
        <f t="shared" si="51"/>
        <v>46143</v>
      </c>
      <c r="BA17" s="104" t="str">
        <f>IF(_xlfn.XLOOKUP($D17,'[1]Import Eletra'!$B:$B,'[1]Import Eletra'!$AV:$AV,,0,1)=0,"",_xlfn.XLOOKUP($D17,'[1]Import Eletra'!$B:$B,'[1]Import Eletra'!$AV:$AV,,0,1))</f>
        <v/>
      </c>
      <c r="BB17" s="112">
        <f t="shared" si="39"/>
        <v>0</v>
      </c>
      <c r="BC17" s="112">
        <f t="shared" ca="1" si="80"/>
        <v>68</v>
      </c>
      <c r="BD17" s="184">
        <f t="shared" ca="1" si="23"/>
        <v>68</v>
      </c>
      <c r="BE17" s="110">
        <f t="shared" si="52"/>
        <v>46143</v>
      </c>
      <c r="BF17" s="104" t="str">
        <f>IF(_xlfn.XLOOKUP($D17,'[1]Import Eletra'!$B:$B,'[1]Import Eletra'!$AW:$AW,,0,1)=0,"",_xlfn.XLOOKUP($D17,'[1]Import Eletra'!$B:$B,'[1]Import Eletra'!$AW:$AW,,0,1))</f>
        <v/>
      </c>
      <c r="BG17" s="112">
        <f t="shared" si="40"/>
        <v>0</v>
      </c>
      <c r="BH17" s="112">
        <f t="shared" ca="1" si="81"/>
        <v>68</v>
      </c>
      <c r="BI17" s="184">
        <f t="shared" ca="1" si="24"/>
        <v>68</v>
      </c>
      <c r="BJ17" s="120">
        <f t="shared" si="53"/>
        <v>46143</v>
      </c>
      <c r="BK17" s="104" t="str">
        <f>IF(_xlfn.XLOOKUP($D17,'[1]Import Eletra'!$B:$B,'[1]Import Eletra'!$AX:$AX,,0,1)=0,"",_xlfn.XLOOKUP($D17,'[1]Import Eletra'!$B:$B,'[1]Import Eletra'!$AX:$AX,,0,1))</f>
        <v/>
      </c>
      <c r="BL17" s="112">
        <f t="shared" si="7"/>
        <v>0</v>
      </c>
      <c r="BM17" s="112">
        <f t="shared" ca="1" si="76"/>
        <v>68</v>
      </c>
      <c r="BN17" s="184">
        <f t="shared" ca="1" si="25"/>
        <v>68</v>
      </c>
      <c r="BO17" s="110">
        <f t="shared" si="54"/>
        <v>46143</v>
      </c>
      <c r="BP17" s="104" t="str">
        <f>IF(_xlfn.XLOOKUP($D17,'[1]Import Eletra'!$B:$B,'[1]Import Eletra'!$AY:$AY,,0,1)=0,"",_xlfn.XLOOKUP($D17,'[1]Import Eletra'!$B:$B,'[1]Import Eletra'!$AY:$AY,,0,1))</f>
        <v/>
      </c>
      <c r="BQ17" s="112">
        <f t="shared" si="8"/>
        <v>0</v>
      </c>
      <c r="BR17" s="112">
        <f t="shared" ca="1" si="55"/>
        <v>68</v>
      </c>
      <c r="BS17" s="184">
        <f t="shared" ca="1" si="26"/>
        <v>68</v>
      </c>
      <c r="BT17" s="120">
        <f t="shared" si="56"/>
        <v>46145</v>
      </c>
      <c r="BU17" s="104" t="str">
        <f>IF(_xlfn.XLOOKUP($D17,'[1]Import Eletra'!$B:$B,'[1]Import Eletra'!$AZ:$AZ,,0,1)=0,"",_xlfn.XLOOKUP($D17,'[1]Import Eletra'!$B:$B,'[1]Import Eletra'!$AZ:$AZ,,0,1))</f>
        <v/>
      </c>
      <c r="BV17" s="112">
        <f t="shared" si="9"/>
        <v>2</v>
      </c>
      <c r="BW17" s="112">
        <f t="shared" ca="1" si="57"/>
        <v>66</v>
      </c>
      <c r="BX17" s="184">
        <f t="shared" ca="1" si="27"/>
        <v>64</v>
      </c>
      <c r="BY17" s="110">
        <f t="shared" si="58"/>
        <v>46145</v>
      </c>
      <c r="BZ17" s="104" t="str">
        <f>IF(_xlfn.XLOOKUP($D17,'[1]Import Eletra'!$B:$B,'[1]Import Eletra'!$BA:$BA,,0,1)=0,"",_xlfn.XLOOKUP($D17,'[1]Import Eletra'!$B:$B,'[1]Import Eletra'!$BA:$BA,,0,1))</f>
        <v>14/05/2026</v>
      </c>
      <c r="CA17" s="112">
        <f t="shared" si="10"/>
        <v>0</v>
      </c>
      <c r="CB17" s="112">
        <f t="shared" ca="1" si="59"/>
        <v>11</v>
      </c>
      <c r="CC17" s="184">
        <f t="shared" ca="1" si="28"/>
        <v>11</v>
      </c>
      <c r="CD17" s="120">
        <f t="shared" si="60"/>
        <v>46145</v>
      </c>
      <c r="CE17" s="104" t="str">
        <f>IF(_xlfn.XLOOKUP($D17,'[1]Import Eletra'!$B:$B,'[1]Import Eletra'!$BB:$BB,,0,1)=0,"",_xlfn.XLOOKUP($D17,'[1]Import Eletra'!$B:$B,'[1]Import Eletra'!$BB:$BB,,0,1))</f>
        <v>14/05/2026</v>
      </c>
      <c r="CF17" s="112">
        <f t="shared" si="11"/>
        <v>0</v>
      </c>
      <c r="CG17" s="112">
        <f t="shared" ca="1" si="61"/>
        <v>11</v>
      </c>
      <c r="CH17" s="184">
        <f t="shared" ca="1" si="29"/>
        <v>11</v>
      </c>
      <c r="CI17" s="110">
        <f t="shared" si="62"/>
        <v>46145</v>
      </c>
      <c r="CJ17" s="104">
        <f>IF(_xlfn.XLOOKUP($D17,'[1]Import Eletra'!$B:$B,'[1]Import Eletra'!$BC:$BC,,0,1)=0,"",_xlfn.XLOOKUP($D17,'[1]Import Eletra'!$B:$B,'[1]Import Eletra'!$BC:$BC,,0,1))</f>
        <v>46157</v>
      </c>
      <c r="CK17" s="112"/>
      <c r="CL17" s="112">
        <f t="shared" ca="1" si="64"/>
        <v>12</v>
      </c>
      <c r="CM17" s="184">
        <f t="shared" ca="1" si="30"/>
        <v>12</v>
      </c>
      <c r="CN17" s="110">
        <f t="shared" si="65"/>
        <v>46145</v>
      </c>
      <c r="CO17" s="104">
        <f>IF(_xlfn.XLOOKUP($D17,'[1]Import Eletra'!$B:$B,'[1]Import Eletra'!$BD:$BD,,0,1)=0,"",_xlfn.XLOOKUP($D17,'[1]Import Eletra'!$B:$B,'[1]Import Eletra'!$BD:$BD,,0,1))</f>
        <v>46156</v>
      </c>
      <c r="CP17" s="112">
        <f t="shared" si="12"/>
        <v>0</v>
      </c>
      <c r="CQ17" s="115">
        <f t="shared" ca="1" si="66"/>
        <v>11</v>
      </c>
      <c r="CR17" s="184">
        <f t="shared" ca="1" si="31"/>
        <v>11</v>
      </c>
      <c r="CS17" s="120">
        <f t="shared" si="67"/>
        <v>46145</v>
      </c>
      <c r="CT17" s="104">
        <f>IF(_xlfn.XLOOKUP($D17,'[1]Import Eletra'!$B:$B,'[1]Import Eletra'!$BE:$BE,,0,1)=0,"",_xlfn.XLOOKUP($D17,'[1]Import Eletra'!$B:$B,'[1]Import Eletra'!$BE:$BE,,0,1))</f>
        <v>46157</v>
      </c>
      <c r="CU17" s="112">
        <f t="shared" si="13"/>
        <v>0</v>
      </c>
      <c r="CV17" s="112">
        <f t="shared" ca="1" si="68"/>
        <v>12</v>
      </c>
      <c r="CW17" s="184">
        <f t="shared" ca="1" si="32"/>
        <v>12</v>
      </c>
      <c r="CX17" s="110">
        <f t="shared" si="69"/>
        <v>46145</v>
      </c>
      <c r="CY17" s="104">
        <f>IF(_xlfn.XLOOKUP($D17,'[1]Import Eletra'!$B:$B,'[1]Import Eletra'!$BE:$BE,,0,1)=0,"",_xlfn.XLOOKUP($D17,'[1]Import Eletra'!$B:$B,'[1]Import Eletra'!$BE:$BE,,0,1))</f>
        <v>46157</v>
      </c>
      <c r="CZ17" s="121">
        <f t="shared" si="14"/>
        <v>0</v>
      </c>
      <c r="DA17" s="112">
        <f t="shared" ca="1" si="70"/>
        <v>12</v>
      </c>
      <c r="DB17" s="184">
        <f t="shared" ca="1" si="33"/>
        <v>12</v>
      </c>
      <c r="DC17" s="110">
        <f t="shared" si="71"/>
        <v>46147</v>
      </c>
      <c r="DD17" s="104">
        <f>IF(_xlfn.XLOOKUP($D17,'[1]Import Eletra'!$B:$B,'[1]Import Eletra'!$BF:$BF,,0,1)=0,"",_xlfn.XLOOKUP($D17,'[1]Import Eletra'!$B:$B,'[1]Import Eletra'!$BF:$BF,0,1))</f>
        <v>46157</v>
      </c>
      <c r="DE17" s="112">
        <f t="shared" si="15"/>
        <v>2</v>
      </c>
      <c r="DF17" s="112">
        <f t="shared" ca="1" si="77"/>
        <v>10</v>
      </c>
      <c r="DG17" s="184">
        <f t="shared" ca="1" si="34"/>
        <v>8</v>
      </c>
      <c r="DH17" s="110">
        <f>DN17-$DM$3</f>
        <v>46148</v>
      </c>
      <c r="DI17" s="104">
        <f>IF(_xlfn.XLOOKUP($D17,'[1]Import Eletra'!$B:$B,'[1]Import Eletra'!$BG:$BG,,0,1)=0,"",_xlfn.XLOOKUP($D17,'[1]Import Eletra'!$B:$B,'[1]Import Eletra'!$BG:$BG,0,1))</f>
        <v>46162</v>
      </c>
      <c r="DJ17" s="112">
        <f t="shared" si="16"/>
        <v>1</v>
      </c>
      <c r="DK17" s="112">
        <f t="shared" ca="1" si="72"/>
        <v>14</v>
      </c>
      <c r="DL17" s="184">
        <f t="shared" ca="1" si="35"/>
        <v>13</v>
      </c>
      <c r="DM17" s="64">
        <v>46154</v>
      </c>
      <c r="DN17" s="202">
        <f t="shared" si="82"/>
        <v>46149</v>
      </c>
      <c r="DO17" s="104"/>
      <c r="DP17" s="112">
        <f>$DM$3</f>
        <v>1</v>
      </c>
      <c r="DQ17" s="112">
        <f t="shared" ca="1" si="74"/>
        <v>62</v>
      </c>
      <c r="DR17" s="184">
        <f t="shared" ca="1" si="36"/>
        <v>61</v>
      </c>
      <c r="DS17" s="143">
        <f>_xlfn.AGGREGATE(9,6,X17,AC17,AH17,AM17,AR17,AW17,BB17,BG17,BL17,BQ17,BV17,CA17,CF17,CK17,CP17,CU17,DE17,DJ17,DP17)</f>
        <v>7</v>
      </c>
      <c r="DT17" s="140"/>
      <c r="DU17" s="184">
        <f t="shared" si="37"/>
        <v>-7</v>
      </c>
      <c r="DW17" s="142" t="s">
        <v>257</v>
      </c>
      <c r="DZ17" s="232"/>
    </row>
    <row r="18" spans="1:130" ht="30" customHeight="1">
      <c r="A18" s="229"/>
      <c r="B18" s="91">
        <v>1</v>
      </c>
      <c r="C18" s="2" t="s">
        <v>259</v>
      </c>
      <c r="D18" s="144" t="s">
        <v>261</v>
      </c>
      <c r="E18" s="96">
        <f>IF(_xlfn.XLOOKUP($D18,'[1]Import Eletra'!$B:$B,'[1]Import Eletra'!$U:$U,,0,1)=0,"",_xlfn.XLOOKUP($D18,'[1]Import Eletra'!$B:$B,'[1]Import Eletra'!$U:$U,,0,1))</f>
        <v>3</v>
      </c>
      <c r="F18" s="2" t="s">
        <v>244</v>
      </c>
      <c r="G18" s="2" t="str">
        <f>_xlfn.XLOOKUP($D18,'[1]Import Eletra'!$B:$B,'[1]Import Eletra'!$F:$F,,0,1)</f>
        <v>DELIVERED</v>
      </c>
      <c r="H18" s="3" t="str">
        <f>_xlfn.XLOOKUP($D18,'[1]Import Eletra'!$B:$B,'[1]Import Eletra'!$G:$G,,0,1)</f>
        <v>SEA</v>
      </c>
      <c r="I18" s="3">
        <v>46052</v>
      </c>
      <c r="J18" s="58">
        <v>30</v>
      </c>
      <c r="K18" s="58">
        <f>L18-I18</f>
        <v>42</v>
      </c>
      <c r="L18" s="3">
        <f>IF(_xlfn.XLOOKUP($D18,'[1]Import Eletra'!$B:$B,'[1]Import Eletra'!$J:$J,,0,1)=0,"",_xlfn.XLOOKUP($D18,'[1]Import Eletra'!$B:$B,'[1]Import Eletra'!$J:$J,,0,1))</f>
        <v>46094</v>
      </c>
      <c r="M18" s="84">
        <f>IF(_xlfn.XLOOKUP($D18,'[1]Import Eletra'!$B:$B,'[1]Import Eletra'!$L:$L,,0,1)=0,"",_xlfn.XLOOKUP($D18,'[1]Import Eletra'!$B:$B,'[1]Import Eletra'!$L:$L,,0,1))</f>
        <v>46147</v>
      </c>
      <c r="N18" s="19">
        <f>IF(_xlfn.XLOOKUP($D18,'[1]Import Eletra'!$B:$B,'[1]Import Eletra'!$AJ:$AJ,,0,1)=0,"",_xlfn.XLOOKUP($D18,'[1]Import Eletra'!$B:$B,'[1]Import Eletra'!$AJ:$AJ,,0,1))</f>
        <v>1118742.06</v>
      </c>
      <c r="O18" s="3">
        <f>IF(_xlfn.XLOOKUP($D18,'[1]Import Eletra'!$B:$B,'[1]Import Eletra'!$AK:$AK,,0,1)=0,"",_xlfn.XLOOKUP($D18,'[1]Import Eletra'!$B:$B,'[1]Import Eletra'!$AK:$AK,,0,1))</f>
        <v>46134</v>
      </c>
      <c r="P18" s="3">
        <f>IF(_xlfn.XLOOKUP($D18,'[1]Import Eletra'!$B:$B,'[1]Import Eletra'!$AL:$AL,,0,1)=0,"",_xlfn.XLOOKUP($D18,'[1]Import Eletra'!$B:$B,'[1]Import Eletra'!$AL:$AL,,0,1))</f>
        <v>46134</v>
      </c>
      <c r="Q18" s="3">
        <f>IF(_xlfn.XLOOKUP($D18,'[1]Import Eletra'!$B:$B,'[1]Import Eletra'!$AM:$AM,,0,1)=0,"",_xlfn.XLOOKUP($D18,'[1]Import Eletra'!$B:$B,'[1]Import Eletra'!$AM:$AM,,0,1))</f>
        <v>46139</v>
      </c>
      <c r="R18" s="3">
        <f>IF(_xlfn.XLOOKUP($D18,'[1]Import Eletra'!$B:$B,'[1]Import Eletra'!$AN:$AN,,0,1)=0,"",_xlfn.XLOOKUP($D18,'[1]Import Eletra'!$B:$B,'[1]Import Eletra'!$AN:$AN,,0,1))</f>
        <v>46139</v>
      </c>
      <c r="S18" s="3">
        <f>IF(_xlfn.XLOOKUP($D18,'[1]Import Eletra'!$B:$B,'[1]Import Eletra'!$AO:$AO,,0,1)=0,"",_xlfn.XLOOKUP($D18,'[1]Import Eletra'!$B:$B,'[1]Import Eletra'!$AO:$AO,,0,1))</f>
        <v>46142</v>
      </c>
      <c r="T18" s="4">
        <f>IF(_xlfn.XLOOKUP($D18,'[1]Import Eletra'!$B:$B,'[1]Import Eletra'!$AP:$AP,,0,1)=0,"",_xlfn.XLOOKUP($D18,'[1]Import Eletra'!$B:$B,'[1]Import Eletra'!$AP:$AP,,0,1))</f>
        <v>46142</v>
      </c>
      <c r="U18" s="82">
        <f>IF(_xlfn.XLOOKUP($D18,'[1]Import Eletra'!$B:$B,'[1]Import Eletra'!$AQ:$AQ,,0,1)=0,"",_xlfn.XLOOKUP($D18,'[1]Import Eletra'!$B:$B,'[1]Import Eletra'!$AQ:$AQ,,0,1))</f>
        <v>46142</v>
      </c>
      <c r="V18" s="19">
        <f t="shared" si="41"/>
        <v>46142</v>
      </c>
      <c r="W18" s="2">
        <f>IF(_xlfn.XLOOKUP($D18,'[1]Import Eletra'!$B:$B,'[1]Import Eletra'!$AR:$AR,,0,1)=0,"",_xlfn.XLOOKUP($D18,'[1]Import Eletra'!$B:$B,'[1]Import Eletra'!$AR:$AR,,0,1))</f>
        <v>46150</v>
      </c>
      <c r="X18" s="1">
        <f t="shared" si="1"/>
        <v>0</v>
      </c>
      <c r="Y18" s="1">
        <f t="shared" ca="1" si="2"/>
        <v>8</v>
      </c>
      <c r="Z18" s="184">
        <f t="shared" ca="1" si="17"/>
        <v>8</v>
      </c>
      <c r="AA18" s="33">
        <f t="shared" si="42"/>
        <v>46142</v>
      </c>
      <c r="AB18" s="2" t="str">
        <f>IF(_xlfn.XLOOKUP($D18,'[1]Import Eletra'!$B:$B,'[1]Import Eletra'!$AC:$AC,,0,1)=0,"",_xlfn.XLOOKUP($D18,'[1]Import Eletra'!$B:$B,'[1]Import Eletra'!$AC:$AC,,0,1))</f>
        <v/>
      </c>
      <c r="AC18" s="1">
        <f t="shared" si="3"/>
        <v>0</v>
      </c>
      <c r="AD18" s="1">
        <f t="shared" ca="1" si="43"/>
        <v>69</v>
      </c>
      <c r="AE18" s="184">
        <f t="shared" ca="1" si="18"/>
        <v>69</v>
      </c>
      <c r="AF18" s="35">
        <f t="shared" si="44"/>
        <v>46142</v>
      </c>
      <c r="AG18" s="2">
        <f>IF(_xlfn.XLOOKUP($D18,'[1]Import Eletra'!$B:$B,'[1]Import Eletra'!$AD:$AD,,0,1)=0,"",_xlfn.XLOOKUP($D18,'[1]Import Eletra'!$B:$B,'[1]Import Eletra'!$AD:$AD,,0,1))</f>
        <v>46150</v>
      </c>
      <c r="AH18" s="1">
        <f t="shared" si="4"/>
        <v>0</v>
      </c>
      <c r="AI18" s="1">
        <f t="shared" ca="1" si="45"/>
        <v>8</v>
      </c>
      <c r="AJ18" s="184">
        <f t="shared" ca="1" si="19"/>
        <v>8</v>
      </c>
      <c r="AK18" s="35">
        <f t="shared" si="46"/>
        <v>46142</v>
      </c>
      <c r="AL18" s="2">
        <f>IF(_xlfn.XLOOKUP($D18,'[1]Import Eletra'!$B:$B,'[1]Import Eletra'!$AS:$AS,,0,1)=0,"",_xlfn.XLOOKUP($D18,'[1]Import Eletra'!$B:$B,'[1]Import Eletra'!$AS:$AS,,0,1))</f>
        <v>46150</v>
      </c>
      <c r="AM18" s="1">
        <f t="shared" si="5"/>
        <v>0</v>
      </c>
      <c r="AN18" s="1">
        <f t="shared" ca="1" si="47"/>
        <v>8</v>
      </c>
      <c r="AO18" s="184">
        <f t="shared" ca="1" si="20"/>
        <v>8</v>
      </c>
      <c r="AP18" s="34">
        <f t="shared" si="48"/>
        <v>46143</v>
      </c>
      <c r="AQ18" s="2">
        <f>IF(_xlfn.XLOOKUP($D18,'[1]Import Eletra'!$B:$B,'[1]Import Eletra'!$AT:$AT,,0,1)=0,"",_xlfn.XLOOKUP($D18,'[1]Import Eletra'!$B:$B,'[1]Import Eletra'!$AT:$AT,,0,1))</f>
        <v>46153</v>
      </c>
      <c r="AR18" s="1">
        <f t="shared" si="6"/>
        <v>1</v>
      </c>
      <c r="AS18" s="1">
        <f t="shared" ca="1" si="49"/>
        <v>10</v>
      </c>
      <c r="AT18" s="184">
        <f t="shared" ca="1" si="21"/>
        <v>9</v>
      </c>
      <c r="AU18" s="35">
        <f t="shared" si="50"/>
        <v>46143</v>
      </c>
      <c r="AV18" s="2">
        <f>IF(_xlfn.XLOOKUP($D18,'[1]Import Eletra'!$B:$B,'[1]Import Eletra'!$AU:$AU,,0,1)=0,"",_xlfn.XLOOKUP($D18,'[1]Import Eletra'!$B:$B,'[1]Import Eletra'!$AU:$AU,,0,1))</f>
        <v>46153</v>
      </c>
      <c r="AW18" s="1">
        <f t="shared" si="38"/>
        <v>0</v>
      </c>
      <c r="AX18" s="1">
        <f t="shared" ca="1" si="79"/>
        <v>10</v>
      </c>
      <c r="AY18" s="184">
        <f t="shared" ca="1" si="22"/>
        <v>10</v>
      </c>
      <c r="AZ18" s="34">
        <f t="shared" si="51"/>
        <v>46143</v>
      </c>
      <c r="BA18" s="2" t="str">
        <f>IF(_xlfn.XLOOKUP($D18,'[1]Import Eletra'!$B:$B,'[1]Import Eletra'!$AV:$AV,,0,1)=0,"",_xlfn.XLOOKUP($D18,'[1]Import Eletra'!$B:$B,'[1]Import Eletra'!$AV:$AV,,0,1))</f>
        <v/>
      </c>
      <c r="BB18" s="1">
        <f t="shared" si="39"/>
        <v>0</v>
      </c>
      <c r="BC18" s="1">
        <f t="shared" ca="1" si="80"/>
        <v>68</v>
      </c>
      <c r="BD18" s="184">
        <f t="shared" ca="1" si="23"/>
        <v>68</v>
      </c>
      <c r="BE18" s="19">
        <f t="shared" si="52"/>
        <v>46143</v>
      </c>
      <c r="BF18" s="2" t="str">
        <f>IF(_xlfn.XLOOKUP($D18,'[1]Import Eletra'!$B:$B,'[1]Import Eletra'!$AW:$AW,,0,1)=0,"",_xlfn.XLOOKUP($D18,'[1]Import Eletra'!$B:$B,'[1]Import Eletra'!$AW:$AW,,0,1))</f>
        <v/>
      </c>
      <c r="BG18" s="1">
        <f t="shared" si="40"/>
        <v>0</v>
      </c>
      <c r="BH18" s="1">
        <f t="shared" ca="1" si="81"/>
        <v>68</v>
      </c>
      <c r="BI18" s="184">
        <f t="shared" ca="1" si="24"/>
        <v>68</v>
      </c>
      <c r="BJ18" s="18">
        <f t="shared" si="53"/>
        <v>46143</v>
      </c>
      <c r="BK18" s="2" t="str">
        <f>IF(_xlfn.XLOOKUP($D18,'[1]Import Eletra'!$B:$B,'[1]Import Eletra'!$AX:$AX,,0,1)=0,"",_xlfn.XLOOKUP($D18,'[1]Import Eletra'!$B:$B,'[1]Import Eletra'!$AX:$AX,,0,1))</f>
        <v/>
      </c>
      <c r="BL18" s="1">
        <f t="shared" si="7"/>
        <v>0</v>
      </c>
      <c r="BM18" s="1">
        <f t="shared" ca="1" si="76"/>
        <v>68</v>
      </c>
      <c r="BN18" s="184">
        <f t="shared" ca="1" si="25"/>
        <v>68</v>
      </c>
      <c r="BO18" s="19">
        <f t="shared" si="54"/>
        <v>46143</v>
      </c>
      <c r="BP18" s="2">
        <f>IF(_xlfn.XLOOKUP($D18,'[1]Import Eletra'!$B:$B,'[1]Import Eletra'!$AY:$AY,,0,1)=0,"",_xlfn.XLOOKUP($D18,'[1]Import Eletra'!$B:$B,'[1]Import Eletra'!$AY:$AY,,0,1))</f>
        <v>46153</v>
      </c>
      <c r="BQ18" s="1">
        <f t="shared" si="8"/>
        <v>0</v>
      </c>
      <c r="BR18" s="1">
        <f t="shared" ca="1" si="55"/>
        <v>10</v>
      </c>
      <c r="BS18" s="184">
        <f t="shared" ca="1" si="26"/>
        <v>10</v>
      </c>
      <c r="BT18" s="18">
        <f t="shared" si="56"/>
        <v>46145</v>
      </c>
      <c r="BU18" s="2">
        <f>IF(_xlfn.XLOOKUP($D18,'[1]Import Eletra'!$B:$B,'[1]Import Eletra'!$AZ:$AZ,,0,1)=0,"",_xlfn.XLOOKUP($D18,'[1]Import Eletra'!$B:$B,'[1]Import Eletra'!$AZ:$AZ,,0,1))</f>
        <v>46153</v>
      </c>
      <c r="BV18" s="1">
        <f t="shared" si="9"/>
        <v>2</v>
      </c>
      <c r="BW18" s="1">
        <f t="shared" ca="1" si="57"/>
        <v>8</v>
      </c>
      <c r="BX18" s="184">
        <f t="shared" ca="1" si="27"/>
        <v>6</v>
      </c>
      <c r="BY18" s="19">
        <f t="shared" si="58"/>
        <v>46145</v>
      </c>
      <c r="BZ18" s="2">
        <f>IF(_xlfn.XLOOKUP($D18,'[1]Import Eletra'!$B:$B,'[1]Import Eletra'!$BA:$BA,,0,1)=0,"",_xlfn.XLOOKUP($D18,'[1]Import Eletra'!$B:$B,'[1]Import Eletra'!$BA:$BA,,0,1))</f>
        <v>46154</v>
      </c>
      <c r="CA18" s="1">
        <f t="shared" si="10"/>
        <v>0</v>
      </c>
      <c r="CB18" s="1">
        <f t="shared" ca="1" si="59"/>
        <v>9</v>
      </c>
      <c r="CC18" s="184">
        <f t="shared" ca="1" si="28"/>
        <v>9</v>
      </c>
      <c r="CD18" s="18">
        <f t="shared" si="60"/>
        <v>46145</v>
      </c>
      <c r="CE18" s="2">
        <f>IF(_xlfn.XLOOKUP($D18,'[1]Import Eletra'!$B:$B,'[1]Import Eletra'!$BB:$BB,,0,1)=0,"",_xlfn.XLOOKUP($D18,'[1]Import Eletra'!$B:$B,'[1]Import Eletra'!$BB:$BB,,0,1))</f>
        <v>46154</v>
      </c>
      <c r="CF18" s="1">
        <f t="shared" si="11"/>
        <v>0</v>
      </c>
      <c r="CG18" s="1">
        <f t="shared" ca="1" si="61"/>
        <v>9</v>
      </c>
      <c r="CH18" s="184">
        <f t="shared" ca="1" si="29"/>
        <v>9</v>
      </c>
      <c r="CI18" s="19">
        <f t="shared" si="62"/>
        <v>46145</v>
      </c>
      <c r="CJ18" s="2">
        <f>IF(_xlfn.XLOOKUP($D18,'[1]Import Eletra'!$B:$B,'[1]Import Eletra'!$BC:$BC,,0,1)=0,"",_xlfn.XLOOKUP($D18,'[1]Import Eletra'!$B:$B,'[1]Import Eletra'!$BC:$BC,,0,1))</f>
        <v>46154</v>
      </c>
      <c r="CK18" s="1"/>
      <c r="CL18" s="1">
        <f t="shared" ca="1" si="64"/>
        <v>9</v>
      </c>
      <c r="CM18" s="184">
        <f t="shared" ca="1" si="30"/>
        <v>9</v>
      </c>
      <c r="CN18" s="76">
        <f t="shared" si="65"/>
        <v>46145</v>
      </c>
      <c r="CO18" s="2">
        <f>IF(_xlfn.XLOOKUP($D18,'[1]Import Eletra'!$B:$B,'[1]Import Eletra'!$BD:$BD,,0,1)=0,"",_xlfn.XLOOKUP($D18,'[1]Import Eletra'!$B:$B,'[1]Import Eletra'!$BD:$BD,,0,1))</f>
        <v>46154</v>
      </c>
      <c r="CP18" s="77">
        <f t="shared" si="12"/>
        <v>0</v>
      </c>
      <c r="CQ18" s="77">
        <f t="shared" ca="1" si="66"/>
        <v>9</v>
      </c>
      <c r="CR18" s="184">
        <f t="shared" ca="1" si="31"/>
        <v>9</v>
      </c>
      <c r="CS18" s="19">
        <f t="shared" si="67"/>
        <v>46145</v>
      </c>
      <c r="CT18" s="2">
        <f>IF(_xlfn.XLOOKUP($D18,'[1]Import Eletra'!$B:$B,'[1]Import Eletra'!$BE:$BE,,0,1)=0,"",_xlfn.XLOOKUP($D18,'[1]Import Eletra'!$B:$B,'[1]Import Eletra'!$BE:$BE,,0,1))</f>
        <v>46157</v>
      </c>
      <c r="CU18" s="1">
        <f t="shared" si="13"/>
        <v>0</v>
      </c>
      <c r="CV18" s="1">
        <f t="shared" ca="1" si="68"/>
        <v>12</v>
      </c>
      <c r="CW18" s="184">
        <f t="shared" ca="1" si="32"/>
        <v>12</v>
      </c>
      <c r="CX18" s="19">
        <f t="shared" si="69"/>
        <v>46145</v>
      </c>
      <c r="CY18" s="2">
        <f>IF(_xlfn.XLOOKUP($D18,'[1]Import Eletra'!$B:$B,'[1]Import Eletra'!$BE:$BE,,0,1)=0,"",_xlfn.XLOOKUP($D18,'[1]Import Eletra'!$B:$B,'[1]Import Eletra'!$BE:$BE,,0,1))</f>
        <v>46157</v>
      </c>
      <c r="CZ18" s="40">
        <f t="shared" si="14"/>
        <v>0</v>
      </c>
      <c r="DA18" s="1">
        <f t="shared" ca="1" si="70"/>
        <v>12</v>
      </c>
      <c r="DB18" s="184">
        <f t="shared" ca="1" si="33"/>
        <v>12</v>
      </c>
      <c r="DC18" s="19">
        <f t="shared" si="71"/>
        <v>46147</v>
      </c>
      <c r="DD18" s="2">
        <f>IF(_xlfn.XLOOKUP($D18,'[1]Import Eletra'!$B:$B,'[1]Import Eletra'!$BF:$BF,,0,1)=0,"",_xlfn.XLOOKUP($D18,'[1]Import Eletra'!$B:$B,'[1]Import Eletra'!$BF:$BF,0,1))</f>
        <v>46157</v>
      </c>
      <c r="DE18" s="1">
        <f t="shared" si="15"/>
        <v>2</v>
      </c>
      <c r="DF18" s="1">
        <f t="shared" ca="1" si="77"/>
        <v>10</v>
      </c>
      <c r="DG18" s="184">
        <f t="shared" ca="1" si="34"/>
        <v>8</v>
      </c>
      <c r="DH18" s="19">
        <f>DN18-$DM$3</f>
        <v>46148</v>
      </c>
      <c r="DI18" s="2">
        <f>IF(_xlfn.XLOOKUP($D18,'[1]Import Eletra'!$B:$B,'[1]Import Eletra'!$BG:$BG,,0,1)=0,"",_xlfn.XLOOKUP($D18,'[1]Import Eletra'!$B:$B,'[1]Import Eletra'!$BG:$BG,0,1))</f>
        <v>46161</v>
      </c>
      <c r="DJ18" s="1">
        <f t="shared" si="16"/>
        <v>1</v>
      </c>
      <c r="DK18" s="1">
        <f t="shared" ca="1" si="72"/>
        <v>13</v>
      </c>
      <c r="DL18" s="184">
        <f t="shared" ca="1" si="35"/>
        <v>12</v>
      </c>
      <c r="DM18" s="64"/>
      <c r="DN18" s="202">
        <f t="shared" si="82"/>
        <v>46149</v>
      </c>
      <c r="DO18" s="2"/>
      <c r="DP18" s="1">
        <f>$DM$3</f>
        <v>1</v>
      </c>
      <c r="DQ18" s="1">
        <f t="shared" ca="1" si="74"/>
        <v>62</v>
      </c>
      <c r="DR18" s="184">
        <f t="shared" ca="1" si="36"/>
        <v>61</v>
      </c>
      <c r="DS18" s="139">
        <f>_xlfn.AGGREGATE(9,6,X18,AC18,AH18,AM18,AR18,AW18,BB18,BG18,BL18,BQ18,BV18,CA18,CF18,CK18,CP18,CU18,DE18,DJ18,DP18)</f>
        <v>7</v>
      </c>
      <c r="DT18" s="140"/>
      <c r="DU18" s="184">
        <f t="shared" si="37"/>
        <v>-7</v>
      </c>
      <c r="DW18" s="142" t="s">
        <v>257</v>
      </c>
      <c r="DZ18" s="231" t="s">
        <v>262</v>
      </c>
    </row>
    <row r="19" spans="1:130" ht="30" customHeight="1">
      <c r="A19" s="229"/>
      <c r="B19" s="103">
        <v>2</v>
      </c>
      <c r="C19" s="104" t="s">
        <v>259</v>
      </c>
      <c r="D19" s="213" t="s">
        <v>263</v>
      </c>
      <c r="E19" s="106">
        <f>IF(_xlfn.XLOOKUP($D19,'[1]Import Eletra'!$B:$B,'[1]Import Eletra'!$U:$U,,0,1)=0,"",_xlfn.XLOOKUP($D19,'[1]Import Eletra'!$B:$B,'[1]Import Eletra'!$U:$U,,0,1))</f>
        <v>3</v>
      </c>
      <c r="F19" s="104" t="s">
        <v>244</v>
      </c>
      <c r="G19" s="2" t="str">
        <f>_xlfn.XLOOKUP($D19,'[1]Import Eletra'!$B:$B,'[1]Import Eletra'!$F:$F,,0,1)</f>
        <v>DELIVERED</v>
      </c>
      <c r="H19" s="108" t="str">
        <f>_xlfn.XLOOKUP($D19,'[1]Import Eletra'!$B:$B,'[1]Import Eletra'!$G:$G,,0,1)</f>
        <v>SEA</v>
      </c>
      <c r="I19" s="108">
        <v>46052</v>
      </c>
      <c r="J19" s="109">
        <v>30</v>
      </c>
      <c r="K19" s="109">
        <f>L19-I19</f>
        <v>45</v>
      </c>
      <c r="L19" s="108">
        <f>IF(_xlfn.XLOOKUP($D19,'[1]Import Eletra'!$B:$B,'[1]Import Eletra'!$J:$J,,0,1)=0,"",_xlfn.XLOOKUP($D19,'[1]Import Eletra'!$B:$B,'[1]Import Eletra'!$J:$J,,0,1))</f>
        <v>46097</v>
      </c>
      <c r="M19" s="168">
        <f>IF(_xlfn.XLOOKUP($D19,'[1]Import Eletra'!$B:$B,'[1]Import Eletra'!$L:$L,,0,1)=0,"",_xlfn.XLOOKUP($D19,'[1]Import Eletra'!$B:$B,'[1]Import Eletra'!$L:$L,,0,1))</f>
        <v>46147</v>
      </c>
      <c r="N19" s="110">
        <f>IF(_xlfn.XLOOKUP($D19,'[1]Import Eletra'!$B:$B,'[1]Import Eletra'!$AJ:$AJ,,0,1)=0,"",_xlfn.XLOOKUP($D19,'[1]Import Eletra'!$B:$B,'[1]Import Eletra'!$AJ:$AJ,,0,1))</f>
        <v>992396.63</v>
      </c>
      <c r="O19" s="108">
        <f>IF(_xlfn.XLOOKUP($D19,'[1]Import Eletra'!$B:$B,'[1]Import Eletra'!$AK:$AK,,0,1)=0,"",_xlfn.XLOOKUP($D19,'[1]Import Eletra'!$B:$B,'[1]Import Eletra'!$AK:$AK,,0,1))</f>
        <v>46132</v>
      </c>
      <c r="P19" s="4">
        <f>IF(_xlfn.XLOOKUP($D19,'[1]Import Eletra'!$B:$B,'[1]Import Eletra'!$AL:$AL,,0,1)=0,"",_xlfn.XLOOKUP($D19,'[1]Import Eletra'!$B:$B,'[1]Import Eletra'!$AL:$AL,,0,1))</f>
        <v>46140</v>
      </c>
      <c r="Q19" s="108">
        <f>IF(_xlfn.XLOOKUP($D19,'[1]Import Eletra'!$B:$B,'[1]Import Eletra'!$AM:$AM,,0,1)=0,"",_xlfn.XLOOKUP($D19,'[1]Import Eletra'!$B:$B,'[1]Import Eletra'!$AM:$AM,,0,1))</f>
        <v>46147</v>
      </c>
      <c r="R19" s="108">
        <f>IF(_xlfn.XLOOKUP($D19,'[1]Import Eletra'!$B:$B,'[1]Import Eletra'!$AN:$AN,,0,1)=0,"",_xlfn.XLOOKUP($D19,'[1]Import Eletra'!$B:$B,'[1]Import Eletra'!$AN:$AN,,0,1))</f>
        <v>46147</v>
      </c>
      <c r="S19" s="108">
        <f>IF(_xlfn.XLOOKUP($D19,'[1]Import Eletra'!$B:$B,'[1]Import Eletra'!$AO:$AO,,0,1)=0,"",_xlfn.XLOOKUP($D19,'[1]Import Eletra'!$B:$B,'[1]Import Eletra'!$AO:$AO,,0,1))</f>
        <v>46148</v>
      </c>
      <c r="T19" s="108">
        <f>IF(_xlfn.XLOOKUP($D19,'[1]Import Eletra'!$B:$B,'[1]Import Eletra'!$AP:$AP,,0,1)=0,"",_xlfn.XLOOKUP($D19,'[1]Import Eletra'!$B:$B,'[1]Import Eletra'!$AP:$AP,,0,1))</f>
        <v>46148</v>
      </c>
      <c r="U19" s="111">
        <f>IF(_xlfn.XLOOKUP($D19,'[1]Import Eletra'!$B:$B,'[1]Import Eletra'!$AQ:$AQ,,0,1)=0,"",_xlfn.XLOOKUP($D19,'[1]Import Eletra'!$B:$B,'[1]Import Eletra'!$AQ:$AQ,,0,1))</f>
        <v>46150</v>
      </c>
      <c r="V19" s="19">
        <f>AA19-$AA$4</f>
        <v>46150</v>
      </c>
      <c r="W19" s="104">
        <f>IF(_xlfn.XLOOKUP($D19,'[1]Import Eletra'!$B:$B,'[1]Import Eletra'!$AR:$AR,,0,1)=0,"",_xlfn.XLOOKUP($D19,'[1]Import Eletra'!$B:$B,'[1]Import Eletra'!$AR:$AR,,0,1))</f>
        <v>46150</v>
      </c>
      <c r="X19" s="113">
        <f t="shared" si="1"/>
        <v>0</v>
      </c>
      <c r="Y19" s="113">
        <f t="shared" ca="1" si="2"/>
        <v>0</v>
      </c>
      <c r="Z19" s="184">
        <f t="shared" ca="1" si="17"/>
        <v>0</v>
      </c>
      <c r="AA19" s="164">
        <f>AF19-$AA$4</f>
        <v>46151</v>
      </c>
      <c r="AB19" s="104" t="str">
        <f>IF(_xlfn.XLOOKUP($D19,'[1]Import Eletra'!$B:$B,'[1]Import Eletra'!$AC:$AC,,0,1)=0,"",_xlfn.XLOOKUP($D19,'[1]Import Eletra'!$B:$B,'[1]Import Eletra'!$AC:$AC,,0,1))</f>
        <v/>
      </c>
      <c r="AC19" s="113">
        <f t="shared" si="3"/>
        <v>0</v>
      </c>
      <c r="AD19" s="113">
        <f ca="1">IF(AB19="",TODAY()-AA19,AB19-AA19)</f>
        <v>60</v>
      </c>
      <c r="AE19" s="184">
        <f t="shared" ca="1" si="18"/>
        <v>60</v>
      </c>
      <c r="AF19" s="117">
        <f>AK19-$AK$4</f>
        <v>46152</v>
      </c>
      <c r="AG19" s="104">
        <f>IF(_xlfn.XLOOKUP($D19,'[1]Import Eletra'!$B:$B,'[1]Import Eletra'!$AD:$AD,,0,1)=0,"",_xlfn.XLOOKUP($D19,'[1]Import Eletra'!$B:$B,'[1]Import Eletra'!$AD:$AD,,0,1))</f>
        <v>46150</v>
      </c>
      <c r="AH19" s="113">
        <f t="shared" si="4"/>
        <v>0</v>
      </c>
      <c r="AI19" s="113">
        <f ca="1">IF(AG19="",TODAY()-AF19,AG19-AF19)</f>
        <v>-2</v>
      </c>
      <c r="AJ19" s="184">
        <f t="shared" ca="1" si="19"/>
        <v>-2</v>
      </c>
      <c r="AK19" s="117">
        <f>AP19-$AP$4</f>
        <v>46152</v>
      </c>
      <c r="AL19" s="104">
        <f>IF(_xlfn.XLOOKUP($D19,'[1]Import Eletra'!$B:$B,'[1]Import Eletra'!$AS:$AS,,0,1)=0,"",_xlfn.XLOOKUP($D19,'[1]Import Eletra'!$B:$B,'[1]Import Eletra'!$AS:$AS,,0,1))</f>
        <v>46150</v>
      </c>
      <c r="AM19" s="113">
        <f t="shared" si="5"/>
        <v>0</v>
      </c>
      <c r="AN19" s="113">
        <f ca="1">IF(AL19="",TODAY()-AK19,AL19-AK19)</f>
        <v>-2</v>
      </c>
      <c r="AO19" s="184">
        <f t="shared" ca="1" si="20"/>
        <v>-2</v>
      </c>
      <c r="AP19" s="118">
        <f>AU19-$AU$4</f>
        <v>46153</v>
      </c>
      <c r="AQ19" s="104">
        <f>IF(_xlfn.XLOOKUP($D19,'[1]Import Eletra'!$B:$B,'[1]Import Eletra'!$AT:$AT,,0,1)=0,"",_xlfn.XLOOKUP($D19,'[1]Import Eletra'!$B:$B,'[1]Import Eletra'!$AT:$AT,,0,1))</f>
        <v>46153</v>
      </c>
      <c r="AR19" s="113">
        <f t="shared" si="6"/>
        <v>1</v>
      </c>
      <c r="AS19" s="113">
        <f ca="1">IF(AQ19="",TODAY()-AP19,AQ19-AP19)</f>
        <v>0</v>
      </c>
      <c r="AT19" s="184">
        <f t="shared" ca="1" si="21"/>
        <v>-1</v>
      </c>
      <c r="AU19" s="117">
        <f>AZ19-$AZ$4</f>
        <v>46153</v>
      </c>
      <c r="AV19" s="104">
        <f>IF(_xlfn.XLOOKUP($D19,'[1]Import Eletra'!$B:$B,'[1]Import Eletra'!$AU:$AU,,0,1)=0,"",_xlfn.XLOOKUP($D19,'[1]Import Eletra'!$B:$B,'[1]Import Eletra'!$AU:$AU,,0,1))</f>
        <v>46153</v>
      </c>
      <c r="AW19" s="113">
        <f t="shared" si="38"/>
        <v>0</v>
      </c>
      <c r="AX19" s="113">
        <f ca="1">IF(AV19="",TODAY()-AU19,AV19-AU19)</f>
        <v>0</v>
      </c>
      <c r="AY19" s="184">
        <f t="shared" ca="1" si="22"/>
        <v>0</v>
      </c>
      <c r="AZ19" s="118">
        <f>BE19-$BE$4</f>
        <v>46153</v>
      </c>
      <c r="BA19" s="104" t="str">
        <f>IF(_xlfn.XLOOKUP($D19,'[1]Import Eletra'!$B:$B,'[1]Import Eletra'!$AV:$AV,,0,1)=0,"",_xlfn.XLOOKUP($D19,'[1]Import Eletra'!$B:$B,'[1]Import Eletra'!$AV:$AV,,0,1))</f>
        <v/>
      </c>
      <c r="BB19" s="113">
        <f t="shared" si="39"/>
        <v>0</v>
      </c>
      <c r="BC19" s="113">
        <f ca="1">IF(BA19="",TODAY()-AZ19,BA19-AZ19)</f>
        <v>58</v>
      </c>
      <c r="BD19" s="184">
        <f t="shared" ca="1" si="23"/>
        <v>58</v>
      </c>
      <c r="BE19" s="110">
        <f>BJ19-$BJ$4</f>
        <v>46153</v>
      </c>
      <c r="BF19" s="104" t="str">
        <f>IF(_xlfn.XLOOKUP($D19,'[1]Import Eletra'!$B:$B,'[1]Import Eletra'!$AW:$AW,,0,1)=0,"",_xlfn.XLOOKUP($D19,'[1]Import Eletra'!$B:$B,'[1]Import Eletra'!$AW:$AW,,0,1))</f>
        <v/>
      </c>
      <c r="BG19" s="113">
        <f t="shared" si="40"/>
        <v>0</v>
      </c>
      <c r="BH19" s="113">
        <f ca="1">IF(BF19="",TODAY()-BE19,BF19-BE19)</f>
        <v>58</v>
      </c>
      <c r="BI19" s="184">
        <f t="shared" ca="1" si="24"/>
        <v>58</v>
      </c>
      <c r="BJ19" s="120">
        <f>BO19-$BO$4</f>
        <v>46153</v>
      </c>
      <c r="BK19" s="104" t="str">
        <f>IF(_xlfn.XLOOKUP($D19,'[1]Import Eletra'!$B:$B,'[1]Import Eletra'!$AX:$AX,,0,1)=0,"",_xlfn.XLOOKUP($D19,'[1]Import Eletra'!$B:$B,'[1]Import Eletra'!$AX:$AX,,0,1))</f>
        <v/>
      </c>
      <c r="BL19" s="113">
        <f t="shared" si="7"/>
        <v>0</v>
      </c>
      <c r="BM19" s="113">
        <f ca="1">IF(BK19="",TODAY()-BJ19,BK19-BJ19)</f>
        <v>58</v>
      </c>
      <c r="BN19" s="184">
        <f t="shared" ca="1" si="25"/>
        <v>58</v>
      </c>
      <c r="BO19" s="110">
        <f>BT19-$BT$4</f>
        <v>46153</v>
      </c>
      <c r="BP19" s="104">
        <f>IF(_xlfn.XLOOKUP($D19,'[1]Import Eletra'!$B:$B,'[1]Import Eletra'!$AY:$AY,,0,1)=0,"",_xlfn.XLOOKUP($D19,'[1]Import Eletra'!$B:$B,'[1]Import Eletra'!$AY:$AY,,0,1))</f>
        <v>46153</v>
      </c>
      <c r="BQ19" s="113">
        <f t="shared" si="8"/>
        <v>0</v>
      </c>
      <c r="BR19" s="113">
        <f ca="1">IF(BP19="",TODAY()-BO19,BP19-BO19)</f>
        <v>0</v>
      </c>
      <c r="BS19" s="184">
        <f t="shared" ca="1" si="26"/>
        <v>0</v>
      </c>
      <c r="BT19" s="120">
        <f>BY19-$BY$4</f>
        <v>46155</v>
      </c>
      <c r="BU19" s="104">
        <f>IF(_xlfn.XLOOKUP($D19,'[1]Import Eletra'!$B:$B,'[1]Import Eletra'!$AZ:$AZ,,0,1)=0,"",_xlfn.XLOOKUP($D19,'[1]Import Eletra'!$B:$B,'[1]Import Eletra'!$AZ:$AZ,,0,1))</f>
        <v>46153</v>
      </c>
      <c r="BV19" s="113">
        <f t="shared" si="9"/>
        <v>2</v>
      </c>
      <c r="BW19" s="113">
        <f ca="1">IF(BU19="",TODAY()-BT19,BU19-BT19)</f>
        <v>-2</v>
      </c>
      <c r="BX19" s="184">
        <f t="shared" ca="1" si="27"/>
        <v>-4</v>
      </c>
      <c r="BY19" s="110">
        <f>CD19-$CD$4</f>
        <v>46155</v>
      </c>
      <c r="BZ19" s="104">
        <f>IF(_xlfn.XLOOKUP($D19,'[1]Import Eletra'!$B:$B,'[1]Import Eletra'!$BA:$BA,,0,1)=0,"",_xlfn.XLOOKUP($D19,'[1]Import Eletra'!$B:$B,'[1]Import Eletra'!$BA:$BA,,0,1))</f>
        <v>46154</v>
      </c>
      <c r="CA19" s="113">
        <f t="shared" si="10"/>
        <v>0</v>
      </c>
      <c r="CB19" s="113">
        <f ca="1">IF(BZ19="",TODAY()-BY19,BZ19-BY19)</f>
        <v>-1</v>
      </c>
      <c r="CC19" s="184">
        <f t="shared" ca="1" si="28"/>
        <v>-1</v>
      </c>
      <c r="CD19" s="120">
        <f>CI19-$CI$4</f>
        <v>46155</v>
      </c>
      <c r="CE19" s="104">
        <f>IF(_xlfn.XLOOKUP($D19,'[1]Import Eletra'!$B:$B,'[1]Import Eletra'!$BB:$BB,,0,1)=0,"",_xlfn.XLOOKUP($D19,'[1]Import Eletra'!$B:$B,'[1]Import Eletra'!$BB:$BB,,0,1))</f>
        <v>46154</v>
      </c>
      <c r="CF19" s="113">
        <f t="shared" si="11"/>
        <v>0</v>
      </c>
      <c r="CG19" s="113">
        <f ca="1">IF(CE19="",TODAY()-CD19,CE19-CD19)</f>
        <v>-1</v>
      </c>
      <c r="CH19" s="184">
        <f t="shared" ca="1" si="29"/>
        <v>-1</v>
      </c>
      <c r="CI19" s="110">
        <f>CN19-$CN$4</f>
        <v>46155</v>
      </c>
      <c r="CJ19" s="104">
        <f>IF(_xlfn.XLOOKUP($D19,'[1]Import Eletra'!$B:$B,'[1]Import Eletra'!$BC:$BC,,0,1)=0,"",_xlfn.XLOOKUP($D19,'[1]Import Eletra'!$B:$B,'[1]Import Eletra'!$BC:$BC,,0,1))</f>
        <v>46154</v>
      </c>
      <c r="CK19" s="113"/>
      <c r="CL19" s="113">
        <f ca="1">IF(CJ19="",TODAY()-CI19,CJ19-CI19)</f>
        <v>-1</v>
      </c>
      <c r="CM19" s="184">
        <f t="shared" ca="1" si="30"/>
        <v>-1</v>
      </c>
      <c r="CN19" s="120">
        <f>CS19-$CS$4</f>
        <v>46156</v>
      </c>
      <c r="CO19" s="104">
        <f>IF(_xlfn.XLOOKUP($D19,'[1]Import Eletra'!$B:$B,'[1]Import Eletra'!$BD:$BD,,0,1)=0,"",_xlfn.XLOOKUP($D19,'[1]Import Eletra'!$B:$B,'[1]Import Eletra'!$BD:$BD,,0,1))</f>
        <v>46154</v>
      </c>
      <c r="CP19" s="113">
        <f t="shared" si="12"/>
        <v>0</v>
      </c>
      <c r="CQ19" s="113">
        <f ca="1">IF(CO19="",TODAY()-CN19,CO19-CN19)</f>
        <v>-2</v>
      </c>
      <c r="CR19" s="184">
        <f t="shared" ca="1" si="31"/>
        <v>-2</v>
      </c>
      <c r="CS19" s="110">
        <f>CX19-$CX$4</f>
        <v>46156</v>
      </c>
      <c r="CT19" s="104">
        <f>IF(_xlfn.XLOOKUP($D19,'[1]Import Eletra'!$B:$B,'[1]Import Eletra'!$BE:$BE,,0,1)=0,"",_xlfn.XLOOKUP($D19,'[1]Import Eletra'!$B:$B,'[1]Import Eletra'!$BE:$BE,,0,1))</f>
        <v>46155</v>
      </c>
      <c r="CU19" s="113">
        <f t="shared" si="13"/>
        <v>0</v>
      </c>
      <c r="CV19" s="113">
        <f ca="1">IF(CT19="",TODAY()-CS19,CT19-CS19)</f>
        <v>-1</v>
      </c>
      <c r="CW19" s="184">
        <f t="shared" ca="1" si="32"/>
        <v>-1</v>
      </c>
      <c r="CX19" s="110">
        <f>DC19-$DC$4</f>
        <v>46156</v>
      </c>
      <c r="CY19" s="104">
        <f>IF(_xlfn.XLOOKUP($D19,'[1]Import Eletra'!$B:$B,'[1]Import Eletra'!$BE:$BE,,0,1)=0,"",_xlfn.XLOOKUP($D19,'[1]Import Eletra'!$B:$B,'[1]Import Eletra'!$BE:$BE,,0,1))</f>
        <v>46155</v>
      </c>
      <c r="CZ19" s="210">
        <f t="shared" si="14"/>
        <v>0</v>
      </c>
      <c r="DA19" s="113">
        <f ca="1">IF(CY19="",TODAY()-CX19,CY19-CX19)</f>
        <v>-1</v>
      </c>
      <c r="DB19" s="184">
        <f t="shared" ca="1" si="33"/>
        <v>-1</v>
      </c>
      <c r="DC19" s="110">
        <f>DH19-$DH$4</f>
        <v>46158</v>
      </c>
      <c r="DD19" s="104">
        <f>IF(_xlfn.XLOOKUP($D19,'[1]Import Eletra'!$B:$B,'[1]Import Eletra'!$BF:$BF,,0,1)=0,"",_xlfn.XLOOKUP($D19,'[1]Import Eletra'!$B:$B,'[1]Import Eletra'!$BF:$BF,0,1))</f>
        <v>46155</v>
      </c>
      <c r="DE19" s="113">
        <f t="shared" si="15"/>
        <v>2</v>
      </c>
      <c r="DF19" s="113">
        <f ca="1">IF(DD19="",TODAY()-DC19,DD19-DC19)</f>
        <v>-3</v>
      </c>
      <c r="DG19" s="184">
        <f t="shared" ca="1" si="34"/>
        <v>-5</v>
      </c>
      <c r="DH19" s="110">
        <f>DN19-$DM$4</f>
        <v>46159</v>
      </c>
      <c r="DI19" s="104">
        <f>IF(_xlfn.XLOOKUP($D19,'[1]Import Eletra'!$B:$B,'[1]Import Eletra'!$BG:$BG,,0,1)=0,"",_xlfn.XLOOKUP($D19,'[1]Import Eletra'!$B:$B,'[1]Import Eletra'!$BG:$BG,0,1))</f>
        <v>46157</v>
      </c>
      <c r="DJ19" s="112">
        <f t="shared" si="16"/>
        <v>1</v>
      </c>
      <c r="DK19" s="112">
        <f t="shared" ca="1" si="72"/>
        <v>-2</v>
      </c>
      <c r="DL19" s="184">
        <f t="shared" ca="1" si="35"/>
        <v>-3</v>
      </c>
      <c r="DM19" s="64"/>
      <c r="DN19" s="202">
        <f t="shared" si="82"/>
        <v>46160</v>
      </c>
      <c r="DO19" s="104"/>
      <c r="DP19" s="112">
        <f>$DM$3</f>
        <v>1</v>
      </c>
      <c r="DQ19" s="112">
        <f t="shared" ca="1" si="74"/>
        <v>51</v>
      </c>
      <c r="DR19" s="184">
        <f t="shared" ca="1" si="36"/>
        <v>50</v>
      </c>
      <c r="DS19" s="143">
        <v>10</v>
      </c>
      <c r="DT19" s="140"/>
      <c r="DU19" s="184">
        <f t="shared" si="37"/>
        <v>-10</v>
      </c>
      <c r="DW19" s="142" t="s">
        <v>257</v>
      </c>
      <c r="DZ19" s="231" t="s">
        <v>264</v>
      </c>
    </row>
    <row r="20" spans="1:130" ht="30" customHeight="1">
      <c r="A20" s="229"/>
      <c r="B20" s="91">
        <v>2</v>
      </c>
      <c r="C20" s="2" t="s">
        <v>259</v>
      </c>
      <c r="D20" s="211" t="s">
        <v>265</v>
      </c>
      <c r="E20" s="96">
        <f>IF(_xlfn.XLOOKUP($D20,'[1]Import Eletra'!$B:$B,'[1]Import Eletra'!$U:$U,,0,1)=0,"",_xlfn.XLOOKUP($D20,'[1]Import Eletra'!$B:$B,'[1]Import Eletra'!$U:$U,,0,1))</f>
        <v>2</v>
      </c>
      <c r="F20" s="2" t="s">
        <v>244</v>
      </c>
      <c r="G20" s="2" t="str">
        <f>_xlfn.XLOOKUP($D20,'[1]Import Eletra'!$B:$B,'[1]Import Eletra'!$F:$F,,0,1)</f>
        <v>DELIVERED</v>
      </c>
      <c r="H20" s="3" t="str">
        <f>_xlfn.XLOOKUP($D20,'[1]Import Eletra'!$B:$B,'[1]Import Eletra'!$G:$G,,0,1)</f>
        <v>SEA</v>
      </c>
      <c r="I20" s="108">
        <v>46052</v>
      </c>
      <c r="J20" s="58">
        <v>30</v>
      </c>
      <c r="K20" s="58">
        <f>L20-I20</f>
        <v>42</v>
      </c>
      <c r="L20" s="3">
        <f>IF(_xlfn.XLOOKUP($D20,'[1]Import Eletra'!$B:$B,'[1]Import Eletra'!$J:$J,,0,1)=0,"",_xlfn.XLOOKUP($D20,'[1]Import Eletra'!$B:$B,'[1]Import Eletra'!$J:$J,,0,1))</f>
        <v>46094</v>
      </c>
      <c r="M20" s="84">
        <f>IF(_xlfn.XLOOKUP($D20,'[1]Import Eletra'!$B:$B,'[1]Import Eletra'!$L:$L,,0,1)=0,"",_xlfn.XLOOKUP($D20,'[1]Import Eletra'!$B:$B,'[1]Import Eletra'!$L:$L,,0,1))</f>
        <v>46147</v>
      </c>
      <c r="N20" s="19">
        <f>IF(_xlfn.XLOOKUP($D20,'[1]Import Eletra'!$B:$B,'[1]Import Eletra'!$AJ:$AJ,,0,1)=0,"",_xlfn.XLOOKUP($D20,'[1]Import Eletra'!$B:$B,'[1]Import Eletra'!$AJ:$AJ,,0,1))</f>
        <v>668304.77</v>
      </c>
      <c r="O20" s="3">
        <f>IF(_xlfn.XLOOKUP($D20,'[1]Import Eletra'!$B:$B,'[1]Import Eletra'!$AK:$AK,,0,1)=0,"",_xlfn.XLOOKUP($D20,'[1]Import Eletra'!$B:$B,'[1]Import Eletra'!$AK:$AK,,0,1))</f>
        <v>46135</v>
      </c>
      <c r="P20" s="4">
        <f>IF(_xlfn.XLOOKUP($D20,'[1]Import Eletra'!$B:$B,'[1]Import Eletra'!$AL:$AL,,0,1)=0,"",_xlfn.XLOOKUP($D20,'[1]Import Eletra'!$B:$B,'[1]Import Eletra'!$AL:$AL,,0,1))</f>
        <v>46140</v>
      </c>
      <c r="Q20" s="3">
        <f>IF(_xlfn.XLOOKUP($D20,'[1]Import Eletra'!$B:$B,'[1]Import Eletra'!$AM:$AM,,0,1)=0,"",_xlfn.XLOOKUP($D20,'[1]Import Eletra'!$B:$B,'[1]Import Eletra'!$AM:$AM,,0,1))</f>
        <v>46153</v>
      </c>
      <c r="R20" s="3">
        <f>IF(_xlfn.XLOOKUP($D20,'[1]Import Eletra'!$B:$B,'[1]Import Eletra'!$AN:$AN,,0,1)=0,"",_xlfn.XLOOKUP($D20,'[1]Import Eletra'!$B:$B,'[1]Import Eletra'!$AN:$AN,,0,1))</f>
        <v>46153</v>
      </c>
      <c r="S20" s="3">
        <f>IF(_xlfn.XLOOKUP($D20,'[1]Import Eletra'!$B:$B,'[1]Import Eletra'!$AO:$AO,,0,1)=0,"",_xlfn.XLOOKUP($D20,'[1]Import Eletra'!$B:$B,'[1]Import Eletra'!$AO:$AO,,0,1))</f>
        <v>46153</v>
      </c>
      <c r="T20" s="3">
        <f>IF(_xlfn.XLOOKUP($D20,'[1]Import Eletra'!$B:$B,'[1]Import Eletra'!$AP:$AP,,0,1)=0,"",_xlfn.XLOOKUP($D20,'[1]Import Eletra'!$B:$B,'[1]Import Eletra'!$AP:$AP,,0,1))</f>
        <v>46153</v>
      </c>
      <c r="U20" s="82">
        <f>IF(_xlfn.XLOOKUP($D20,'[1]Import Eletra'!$B:$B,'[1]Import Eletra'!$AQ:$AQ,,0,1)=0,"",_xlfn.XLOOKUP($D20,'[1]Import Eletra'!$B:$B,'[1]Import Eletra'!$AQ:$AQ,,0,1))</f>
        <v>46154</v>
      </c>
      <c r="V20" s="19">
        <f>AA20-$AA$4</f>
        <v>46154</v>
      </c>
      <c r="W20" s="2">
        <f>IF(_xlfn.XLOOKUP($D20,'[1]Import Eletra'!$B:$B,'[1]Import Eletra'!$AR:$AR,,0,1)=0,"",_xlfn.XLOOKUP($D20,'[1]Import Eletra'!$B:$B,'[1]Import Eletra'!$AR:$AR,,0,1))</f>
        <v>46150</v>
      </c>
      <c r="X20" s="1">
        <f t="shared" si="1"/>
        <v>0</v>
      </c>
      <c r="Y20" s="72">
        <f t="shared" ca="1" si="2"/>
        <v>-4</v>
      </c>
      <c r="Z20" s="184">
        <f t="shared" ca="1" si="17"/>
        <v>-4</v>
      </c>
      <c r="AA20" s="68">
        <f>AF20-$AA$4</f>
        <v>46155</v>
      </c>
      <c r="AB20" s="2" t="str">
        <f>IF(_xlfn.XLOOKUP($D20,'[1]Import Eletra'!$B:$B,'[1]Import Eletra'!$AC:$AC,,0,1)=0,"",_xlfn.XLOOKUP($D20,'[1]Import Eletra'!$B:$B,'[1]Import Eletra'!$AC:$AC,,0,1))</f>
        <v/>
      </c>
      <c r="AC20" s="1">
        <f t="shared" si="3"/>
        <v>0</v>
      </c>
      <c r="AD20" s="1">
        <f ca="1">IF(AB20="",TODAY()-AA20,AB20-AA20)</f>
        <v>56</v>
      </c>
      <c r="AE20" s="184">
        <f t="shared" ca="1" si="18"/>
        <v>56</v>
      </c>
      <c r="AF20" s="70">
        <f>AK20-$AK$4</f>
        <v>46156</v>
      </c>
      <c r="AG20" s="2">
        <f>IF(_xlfn.XLOOKUP($D20,'[1]Import Eletra'!$B:$B,'[1]Import Eletra'!$AD:$AD,,0,1)=0,"",_xlfn.XLOOKUP($D20,'[1]Import Eletra'!$B:$B,'[1]Import Eletra'!$AD:$AD,,0,1))</f>
        <v>46155</v>
      </c>
      <c r="AH20" s="1">
        <f t="shared" si="4"/>
        <v>0</v>
      </c>
      <c r="AI20" s="1">
        <f ca="1">IF(AG20="",TODAY()-AF20,AG20-AF20)</f>
        <v>-1</v>
      </c>
      <c r="AJ20" s="184">
        <f t="shared" ca="1" si="19"/>
        <v>-1</v>
      </c>
      <c r="AK20" s="70">
        <f>AP20-$AP$4</f>
        <v>46156</v>
      </c>
      <c r="AL20" s="2">
        <f>IF(_xlfn.XLOOKUP($D20,'[1]Import Eletra'!$B:$B,'[1]Import Eletra'!$AS:$AS,,0,1)=0,"",_xlfn.XLOOKUP($D20,'[1]Import Eletra'!$B:$B,'[1]Import Eletra'!$AS:$AS,,0,1))</f>
        <v>46154</v>
      </c>
      <c r="AM20" s="1">
        <f t="shared" si="5"/>
        <v>0</v>
      </c>
      <c r="AN20" s="1">
        <f ca="1">IF(AL20="",TODAY()-AK20,AL20-AK20)</f>
        <v>-2</v>
      </c>
      <c r="AO20" s="184">
        <f t="shared" ca="1" si="20"/>
        <v>-2</v>
      </c>
      <c r="AP20" s="71">
        <f>AU20-$AU$4</f>
        <v>46157</v>
      </c>
      <c r="AQ20" s="2" t="str">
        <f>IF(_xlfn.XLOOKUP($D20,'[1]Import Eletra'!$B:$B,'[1]Import Eletra'!$AT:$AT,,0,1)=0,"",_xlfn.XLOOKUP($D20,'[1]Import Eletra'!$B:$B,'[1]Import Eletra'!$AT:$AT,,0,1))</f>
        <v>14/05/2026</v>
      </c>
      <c r="AR20" s="1">
        <f t="shared" si="6"/>
        <v>1</v>
      </c>
      <c r="AS20" s="1">
        <f ca="1">IF(AQ20="",TODAY()-AP20,AQ20-AP20)</f>
        <v>-1</v>
      </c>
      <c r="AT20" s="184">
        <f t="shared" ca="1" si="21"/>
        <v>-2</v>
      </c>
      <c r="AU20" s="70">
        <f>AZ20-$AZ$4</f>
        <v>46157</v>
      </c>
      <c r="AV20" s="2" t="str">
        <f>IF(_xlfn.XLOOKUP($D20,'[1]Import Eletra'!$B:$B,'[1]Import Eletra'!$AU:$AU,,0,1)=0,"",_xlfn.XLOOKUP($D20,'[1]Import Eletra'!$B:$B,'[1]Import Eletra'!$AU:$AU,,0,1))</f>
        <v>14/05/2026</v>
      </c>
      <c r="AW20" s="1">
        <f t="shared" si="38"/>
        <v>0</v>
      </c>
      <c r="AX20" s="72">
        <f ca="1">IF(AV20="",TODAY()-AU20,AV20-AU20)</f>
        <v>-1</v>
      </c>
      <c r="AY20" s="184">
        <f t="shared" ca="1" si="22"/>
        <v>-1</v>
      </c>
      <c r="AZ20" s="71">
        <f>BE20-$BE$4</f>
        <v>46157</v>
      </c>
      <c r="BA20" s="2" t="str">
        <f>IF(_xlfn.XLOOKUP($D20,'[1]Import Eletra'!$B:$B,'[1]Import Eletra'!$AV:$AV,,0,1)=0,"",_xlfn.XLOOKUP($D20,'[1]Import Eletra'!$B:$B,'[1]Import Eletra'!$AV:$AV,,0,1))</f>
        <v/>
      </c>
      <c r="BB20" s="1">
        <f t="shared" si="39"/>
        <v>0</v>
      </c>
      <c r="BC20" s="1">
        <f ca="1">IF(BA20="",TODAY()-AZ20,BA20-AZ20)</f>
        <v>54</v>
      </c>
      <c r="BD20" s="184">
        <f t="shared" ca="1" si="23"/>
        <v>54</v>
      </c>
      <c r="BE20" s="19">
        <f>BJ20-$BJ$4</f>
        <v>46157</v>
      </c>
      <c r="BF20" s="2" t="str">
        <f>IF(_xlfn.XLOOKUP($D20,'[1]Import Eletra'!$B:$B,'[1]Import Eletra'!$AW:$AW,,0,1)=0,"",_xlfn.XLOOKUP($D20,'[1]Import Eletra'!$B:$B,'[1]Import Eletra'!$AW:$AW,,0,1))</f>
        <v/>
      </c>
      <c r="BG20" s="1">
        <f t="shared" si="40"/>
        <v>0</v>
      </c>
      <c r="BH20" s="1">
        <f ca="1">IF(BF20="",TODAY()-BE20,BF20-BE20)</f>
        <v>54</v>
      </c>
      <c r="BI20" s="184">
        <f t="shared" ca="1" si="24"/>
        <v>54</v>
      </c>
      <c r="BJ20" s="18">
        <f>BO20-$BO$4</f>
        <v>46157</v>
      </c>
      <c r="BK20" s="2" t="str">
        <f>IF(_xlfn.XLOOKUP($D20,'[1]Import Eletra'!$B:$B,'[1]Import Eletra'!$AX:$AX,,0,1)=0,"",_xlfn.XLOOKUP($D20,'[1]Import Eletra'!$B:$B,'[1]Import Eletra'!$AX:$AX,,0,1))</f>
        <v/>
      </c>
      <c r="BL20" s="1">
        <f t="shared" si="7"/>
        <v>0</v>
      </c>
      <c r="BM20" s="1">
        <f ca="1">IF(BK20="",TODAY()-BJ20,BK20-BJ20)</f>
        <v>54</v>
      </c>
      <c r="BN20" s="184">
        <f t="shared" ca="1" si="25"/>
        <v>54</v>
      </c>
      <c r="BO20" s="19">
        <f>BT20-$BT$4</f>
        <v>46157</v>
      </c>
      <c r="BP20" s="2" t="str">
        <f>IF(_xlfn.XLOOKUP($D20,'[1]Import Eletra'!$B:$B,'[1]Import Eletra'!$AY:$AY,,0,1)=0,"",_xlfn.XLOOKUP($D20,'[1]Import Eletra'!$B:$B,'[1]Import Eletra'!$AY:$AY,,0,1))</f>
        <v/>
      </c>
      <c r="BQ20" s="1">
        <f t="shared" si="8"/>
        <v>0</v>
      </c>
      <c r="BR20" s="1">
        <f ca="1">IF(BP20="",TODAY()-BO20,BP20-BO20)</f>
        <v>54</v>
      </c>
      <c r="BS20" s="184">
        <f t="shared" ca="1" si="26"/>
        <v>54</v>
      </c>
      <c r="BT20" s="18">
        <f>BY20-$BY$4</f>
        <v>46159</v>
      </c>
      <c r="BU20" s="2" t="str">
        <f>IF(_xlfn.XLOOKUP($D20,'[1]Import Eletra'!$B:$B,'[1]Import Eletra'!$AZ:$AZ,,0,1)=0,"",_xlfn.XLOOKUP($D20,'[1]Import Eletra'!$B:$B,'[1]Import Eletra'!$AZ:$AZ,,0,1))</f>
        <v/>
      </c>
      <c r="BV20" s="1">
        <f t="shared" si="9"/>
        <v>2</v>
      </c>
      <c r="BW20" s="1">
        <f ca="1">IF(BU20="",TODAY()-BT20,BU20-BT20)</f>
        <v>52</v>
      </c>
      <c r="BX20" s="184">
        <f t="shared" ca="1" si="27"/>
        <v>50</v>
      </c>
      <c r="BY20" s="19">
        <f>CD20-$CD$4</f>
        <v>46159</v>
      </c>
      <c r="BZ20" s="2" t="str">
        <f>IF(_xlfn.XLOOKUP($D20,'[1]Import Eletra'!$B:$B,'[1]Import Eletra'!$BA:$BA,,0,1)=0,"",_xlfn.XLOOKUP($D20,'[1]Import Eletra'!$B:$B,'[1]Import Eletra'!$BA:$BA,,0,1))</f>
        <v>14/05/2026</v>
      </c>
      <c r="CA20" s="1">
        <f t="shared" si="10"/>
        <v>0</v>
      </c>
      <c r="CB20" s="1">
        <f ca="1">IF(BZ20="",TODAY()-BY20,BZ20-BY20)</f>
        <v>-3</v>
      </c>
      <c r="CC20" s="184">
        <f t="shared" ca="1" si="28"/>
        <v>-3</v>
      </c>
      <c r="CD20" s="18">
        <f>CI20-$CI$4</f>
        <v>46159</v>
      </c>
      <c r="CE20" s="2" t="str">
        <f>IF(_xlfn.XLOOKUP($D20,'[1]Import Eletra'!$B:$B,'[1]Import Eletra'!$BB:$BB,,0,1)=0,"",_xlfn.XLOOKUP($D20,'[1]Import Eletra'!$B:$B,'[1]Import Eletra'!$BB:$BB,,0,1))</f>
        <v>14/05/2026</v>
      </c>
      <c r="CF20" s="1">
        <f t="shared" si="11"/>
        <v>0</v>
      </c>
      <c r="CG20" s="1">
        <f ca="1">IF(CE20="",TODAY()-CD20,CE20-CD20)</f>
        <v>-3</v>
      </c>
      <c r="CH20" s="184">
        <f t="shared" ca="1" si="29"/>
        <v>-3</v>
      </c>
      <c r="CI20" s="19">
        <f>CN20-$CN$4</f>
        <v>46159</v>
      </c>
      <c r="CJ20" s="2" t="str">
        <f>IF(_xlfn.XLOOKUP($D20,'[1]Import Eletra'!$B:$B,'[1]Import Eletra'!$BC:$BC,,0,1)=0,"",_xlfn.XLOOKUP($D20,'[1]Import Eletra'!$B:$B,'[1]Import Eletra'!$BC:$BC,,0,1))</f>
        <v>15/05/2026</v>
      </c>
      <c r="CK20" s="1"/>
      <c r="CL20" s="1">
        <f ca="1">IF(CJ20="",TODAY()-CI20,CJ20-CI20)</f>
        <v>-2</v>
      </c>
      <c r="CM20" s="184">
        <f t="shared" ca="1" si="30"/>
        <v>-2</v>
      </c>
      <c r="CN20" s="18">
        <f>CS20-$CS$4</f>
        <v>46160</v>
      </c>
      <c r="CO20" s="2">
        <f>IF(_xlfn.XLOOKUP($D20,'[1]Import Eletra'!$B:$B,'[1]Import Eletra'!$BD:$BD,,0,1)=0,"",_xlfn.XLOOKUP($D20,'[1]Import Eletra'!$B:$B,'[1]Import Eletra'!$BD:$BD,,0,1))</f>
        <v>46156</v>
      </c>
      <c r="CP20" s="1">
        <f t="shared" si="12"/>
        <v>0</v>
      </c>
      <c r="CQ20" s="1">
        <f ca="1">IF(CO20="",TODAY()-CN20,CO20-CN20)</f>
        <v>-4</v>
      </c>
      <c r="CR20" s="184">
        <f t="shared" ca="1" si="31"/>
        <v>-4</v>
      </c>
      <c r="CS20" s="19">
        <f>CX20-$CX$4</f>
        <v>46160</v>
      </c>
      <c r="CT20" s="2" t="str">
        <f>IF(_xlfn.XLOOKUP($D20,'[1]Import Eletra'!$B:$B,'[1]Import Eletra'!$BE:$BE,,0,1)=0,"",_xlfn.XLOOKUP($D20,'[1]Import Eletra'!$B:$B,'[1]Import Eletra'!$BE:$BE,,0,1))</f>
        <v>15/05/2026</v>
      </c>
      <c r="CU20" s="1">
        <f t="shared" si="13"/>
        <v>0</v>
      </c>
      <c r="CV20" s="1">
        <f ca="1">IF(CT20="",TODAY()-CS20,CT20-CS20)</f>
        <v>-3</v>
      </c>
      <c r="CW20" s="184">
        <f t="shared" ca="1" si="32"/>
        <v>-3</v>
      </c>
      <c r="CX20" s="19">
        <f>DC20-$DC$4</f>
        <v>46160</v>
      </c>
      <c r="CY20" s="2" t="str">
        <f>IF(_xlfn.XLOOKUP($D20,'[1]Import Eletra'!$B:$B,'[1]Import Eletra'!$BE:$BE,,0,1)=0,"",_xlfn.XLOOKUP($D20,'[1]Import Eletra'!$B:$B,'[1]Import Eletra'!$BE:$BE,,0,1))</f>
        <v>15/05/2026</v>
      </c>
      <c r="CZ20" s="40">
        <f t="shared" si="14"/>
        <v>0</v>
      </c>
      <c r="DA20" s="72">
        <f ca="1">IF(CY20="",TODAY()-CX20,CY20-CX20)</f>
        <v>-3</v>
      </c>
      <c r="DB20" s="184">
        <f t="shared" ca="1" si="33"/>
        <v>-3</v>
      </c>
      <c r="DC20" s="19">
        <f>DH20-$DH$4</f>
        <v>46162</v>
      </c>
      <c r="DD20" s="2" t="str">
        <f>IF(_xlfn.XLOOKUP($D20,'[1]Import Eletra'!$B:$B,'[1]Import Eletra'!$BF:$BF,,0,1)=0,"",_xlfn.XLOOKUP($D20,'[1]Import Eletra'!$B:$B,'[1]Import Eletra'!$BF:$BF,0,1))</f>
        <v>15/05/2026</v>
      </c>
      <c r="DE20" s="1">
        <f t="shared" si="15"/>
        <v>2</v>
      </c>
      <c r="DF20" s="1">
        <f ca="1">IF(DD20="",TODAY()-DC20,DD20-DC20)</f>
        <v>-5</v>
      </c>
      <c r="DG20" s="184">
        <f t="shared" ca="1" si="34"/>
        <v>-7</v>
      </c>
      <c r="DH20" s="19">
        <f>DN20-$DM$4</f>
        <v>46163</v>
      </c>
      <c r="DI20" s="2">
        <f>IF(_xlfn.XLOOKUP($D20,'[1]Import Eletra'!$B:$B,'[1]Import Eletra'!$BG:$BG,,0,1)=0,"",_xlfn.XLOOKUP($D20,'[1]Import Eletra'!$B:$B,'[1]Import Eletra'!$BG:$BG,0,1))</f>
        <v>46162</v>
      </c>
      <c r="DJ20" s="1">
        <f t="shared" si="16"/>
        <v>1</v>
      </c>
      <c r="DK20" s="1">
        <f t="shared" ca="1" si="72"/>
        <v>-1</v>
      </c>
      <c r="DL20" s="184">
        <f t="shared" ca="1" si="35"/>
        <v>-2</v>
      </c>
      <c r="DM20" s="64"/>
      <c r="DN20" s="202">
        <f t="shared" si="82"/>
        <v>46164</v>
      </c>
      <c r="DO20" s="2"/>
      <c r="DP20" s="1">
        <f>$DM$3</f>
        <v>1</v>
      </c>
      <c r="DQ20" s="1">
        <f t="shared" ca="1" si="74"/>
        <v>47</v>
      </c>
      <c r="DR20" s="184">
        <f t="shared" ca="1" si="36"/>
        <v>46</v>
      </c>
      <c r="DS20" s="139">
        <v>10</v>
      </c>
      <c r="DT20" s="140"/>
      <c r="DU20" s="184">
        <f t="shared" si="37"/>
        <v>-10</v>
      </c>
      <c r="DW20" s="142" t="s">
        <v>257</v>
      </c>
      <c r="DZ20" s="231" t="s">
        <v>266</v>
      </c>
    </row>
    <row r="21" spans="1:130" ht="30" customHeight="1">
      <c r="A21" s="229"/>
      <c r="B21" s="103">
        <v>1</v>
      </c>
      <c r="C21" s="104" t="s">
        <v>251</v>
      </c>
      <c r="D21" s="144" t="s">
        <v>267</v>
      </c>
      <c r="E21" s="106">
        <f>IF(_xlfn.XLOOKUP($D21,'[1]Import Eletra'!$B:$B,'[1]Import Eletra'!$U:$U,,0,1)=0,"",_xlfn.XLOOKUP($D21,'[1]Import Eletra'!$B:$B,'[1]Import Eletra'!$U:$U,,0,1))</f>
        <v>0.5</v>
      </c>
      <c r="F21" s="104" t="s">
        <v>244</v>
      </c>
      <c r="G21" s="2" t="str">
        <f>_xlfn.XLOOKUP($D21,'[1]Import Eletra'!$B:$B,'[1]Import Eletra'!$F:$F,,0,1)</f>
        <v>DELIVERED</v>
      </c>
      <c r="H21" s="108" t="str">
        <f>_xlfn.XLOOKUP($D21,'[1]Import Eletra'!$B:$B,'[1]Import Eletra'!$G:$G,,0,1)</f>
        <v>SEA</v>
      </c>
      <c r="I21" s="108">
        <v>46054</v>
      </c>
      <c r="J21" s="109">
        <v>30</v>
      </c>
      <c r="K21" s="109">
        <f t="shared" ref="K21:K32" si="83">L21-I21</f>
        <v>40</v>
      </c>
      <c r="L21" s="108">
        <f>IF(_xlfn.XLOOKUP($D21,'[1]Import Eletra'!$B:$B,'[1]Import Eletra'!$J:$J,,0,1)=0,"",_xlfn.XLOOKUP($D21,'[1]Import Eletra'!$B:$B,'[1]Import Eletra'!$J:$J,,0,1))</f>
        <v>46094</v>
      </c>
      <c r="M21" s="168">
        <f>IF(_xlfn.XLOOKUP($D21,'[1]Import Eletra'!$B:$B,'[1]Import Eletra'!$L:$L,,0,1)=0,"",_xlfn.XLOOKUP($D21,'[1]Import Eletra'!$B:$B,'[1]Import Eletra'!$L:$L,,0,1))</f>
        <v>46147</v>
      </c>
      <c r="N21" s="110">
        <f>IF(_xlfn.XLOOKUP($D21,'[1]Import Eletra'!$B:$B,'[1]Import Eletra'!$AJ:$AJ,,0,1)=0,"",_xlfn.XLOOKUP($D21,'[1]Import Eletra'!$B:$B,'[1]Import Eletra'!$AJ:$AJ,,0,1))</f>
        <v>847850.75</v>
      </c>
      <c r="O21" s="108">
        <f>IF(_xlfn.XLOOKUP($D21,'[1]Import Eletra'!$B:$B,'[1]Import Eletra'!$AK:$AK,,0,1)=0,"",_xlfn.XLOOKUP($D21,'[1]Import Eletra'!$B:$B,'[1]Import Eletra'!$AK:$AK,,0,1))</f>
        <v>46132</v>
      </c>
      <c r="P21" s="4">
        <f>IF(_xlfn.XLOOKUP($D21,'[1]Import Eletra'!$B:$B,'[1]Import Eletra'!$AL:$AL,,0,1)=0,"",_xlfn.XLOOKUP($D21,'[1]Import Eletra'!$B:$B,'[1]Import Eletra'!$AL:$AL,,0,1))</f>
        <v>46140</v>
      </c>
      <c r="Q21" s="108">
        <f>IF(_xlfn.XLOOKUP($D21,'[1]Import Eletra'!$B:$B,'[1]Import Eletra'!$AM:$AM,,0,1)=0,"",_xlfn.XLOOKUP($D21,'[1]Import Eletra'!$B:$B,'[1]Import Eletra'!$AM:$AM,,0,1))</f>
        <v>46147</v>
      </c>
      <c r="R21" s="108">
        <f>IF(_xlfn.XLOOKUP($D21,'[1]Import Eletra'!$B:$B,'[1]Import Eletra'!$AN:$AN,,0,1)=0,"",_xlfn.XLOOKUP($D21,'[1]Import Eletra'!$B:$B,'[1]Import Eletra'!$AN:$AN,,0,1))</f>
        <v>46147</v>
      </c>
      <c r="S21" s="108">
        <f>IF(_xlfn.XLOOKUP($D21,'[1]Import Eletra'!$B:$B,'[1]Import Eletra'!$AO:$AO,,0,1)=0,"",_xlfn.XLOOKUP($D21,'[1]Import Eletra'!$B:$B,'[1]Import Eletra'!$AO:$AO,,0,1))</f>
        <v>46148</v>
      </c>
      <c r="T21" s="108">
        <f>IF(_xlfn.XLOOKUP($D21,'[1]Import Eletra'!$B:$B,'[1]Import Eletra'!$AP:$AP,,0,1)=0,"",_xlfn.XLOOKUP($D21,'[1]Import Eletra'!$B:$B,'[1]Import Eletra'!$AP:$AP,,0,1))</f>
        <v>46148</v>
      </c>
      <c r="U21" s="111">
        <f>IF(_xlfn.XLOOKUP($D21,'[1]Import Eletra'!$B:$B,'[1]Import Eletra'!$AQ:$AQ,,0,1)=0,"",_xlfn.XLOOKUP($D21,'[1]Import Eletra'!$B:$B,'[1]Import Eletra'!$AQ:$AQ,,0,1))</f>
        <v>46150</v>
      </c>
      <c r="V21" s="110">
        <f t="shared" si="41"/>
        <v>46150</v>
      </c>
      <c r="W21" s="104">
        <f>IF(_xlfn.XLOOKUP($D21,'[1]Import Eletra'!$B:$B,'[1]Import Eletra'!$AR:$AR,,0,1)=0,"",_xlfn.XLOOKUP($D21,'[1]Import Eletra'!$B:$B,'[1]Import Eletra'!$AR:$AR,,0,1))</f>
        <v>46150</v>
      </c>
      <c r="X21" s="112">
        <f t="shared" si="1"/>
        <v>0</v>
      </c>
      <c r="Y21" s="112">
        <f t="shared" ca="1" si="2"/>
        <v>0</v>
      </c>
      <c r="Z21" s="184">
        <f t="shared" ca="1" si="17"/>
        <v>0</v>
      </c>
      <c r="AA21" s="114">
        <f t="shared" si="42"/>
        <v>46150</v>
      </c>
      <c r="AB21" s="104" t="str">
        <f>IF(_xlfn.XLOOKUP($D21,'[1]Import Eletra'!$B:$B,'[1]Import Eletra'!$AC:$AC,,0,1)=0,"",_xlfn.XLOOKUP($D21,'[1]Import Eletra'!$B:$B,'[1]Import Eletra'!$AC:$AC,,0,1))</f>
        <v/>
      </c>
      <c r="AC21" s="112">
        <f t="shared" si="3"/>
        <v>0</v>
      </c>
      <c r="AD21" s="112">
        <f t="shared" ca="1" si="43"/>
        <v>61</v>
      </c>
      <c r="AE21" s="184">
        <f t="shared" ca="1" si="18"/>
        <v>61</v>
      </c>
      <c r="AF21" s="116">
        <f t="shared" si="44"/>
        <v>46150</v>
      </c>
      <c r="AG21" s="104">
        <f>IF(_xlfn.XLOOKUP($D21,'[1]Import Eletra'!$B:$B,'[1]Import Eletra'!$AD:$AD,,0,1)=0,"",_xlfn.XLOOKUP($D21,'[1]Import Eletra'!$B:$B,'[1]Import Eletra'!$AD:$AD,,0,1))</f>
        <v>46153</v>
      </c>
      <c r="AH21" s="112">
        <f t="shared" si="4"/>
        <v>0</v>
      </c>
      <c r="AI21" s="112">
        <f t="shared" ca="1" si="45"/>
        <v>3</v>
      </c>
      <c r="AJ21" s="184">
        <f t="shared" ca="1" si="19"/>
        <v>3</v>
      </c>
      <c r="AK21" s="116">
        <f t="shared" si="46"/>
        <v>46150</v>
      </c>
      <c r="AL21" s="104">
        <f>IF(_xlfn.XLOOKUP($D21,'[1]Import Eletra'!$B:$B,'[1]Import Eletra'!$AS:$AS,,0,1)=0,"",_xlfn.XLOOKUP($D21,'[1]Import Eletra'!$B:$B,'[1]Import Eletra'!$AS:$AS,,0,1))</f>
        <v>46150</v>
      </c>
      <c r="AM21" s="112">
        <f t="shared" si="5"/>
        <v>0</v>
      </c>
      <c r="AN21" s="112">
        <f t="shared" ca="1" si="47"/>
        <v>0</v>
      </c>
      <c r="AO21" s="184">
        <f t="shared" ca="1" si="20"/>
        <v>0</v>
      </c>
      <c r="AP21" s="166">
        <f t="shared" si="48"/>
        <v>46151</v>
      </c>
      <c r="AQ21" s="104">
        <f>IF(_xlfn.XLOOKUP($D21,'[1]Import Eletra'!$B:$B,'[1]Import Eletra'!$AT:$AT,,0,1)=0,"",_xlfn.XLOOKUP($D21,'[1]Import Eletra'!$B:$B,'[1]Import Eletra'!$AT:$AT,,0,1))</f>
        <v>46153</v>
      </c>
      <c r="AR21" s="112">
        <f t="shared" si="6"/>
        <v>1</v>
      </c>
      <c r="AS21" s="112">
        <f t="shared" ca="1" si="49"/>
        <v>2</v>
      </c>
      <c r="AT21" s="184">
        <f t="shared" ca="1" si="21"/>
        <v>1</v>
      </c>
      <c r="AU21" s="116">
        <f t="shared" si="50"/>
        <v>46151</v>
      </c>
      <c r="AV21" s="104">
        <f>IF(_xlfn.XLOOKUP($D21,'[1]Import Eletra'!$B:$B,'[1]Import Eletra'!$AU:$AU,,0,1)=0,"",_xlfn.XLOOKUP($D21,'[1]Import Eletra'!$B:$B,'[1]Import Eletra'!$AU:$AU,,0,1))</f>
        <v>46153</v>
      </c>
      <c r="AW21" s="112">
        <f t="shared" si="38"/>
        <v>0</v>
      </c>
      <c r="AX21" s="112">
        <f t="shared" ca="1" si="79"/>
        <v>2</v>
      </c>
      <c r="AY21" s="184">
        <f t="shared" ca="1" si="22"/>
        <v>2</v>
      </c>
      <c r="AZ21" s="166">
        <f t="shared" si="51"/>
        <v>46151</v>
      </c>
      <c r="BA21" s="104" t="str">
        <f>IF(_xlfn.XLOOKUP($D21,'[1]Import Eletra'!$B:$B,'[1]Import Eletra'!$AV:$AV,,0,1)=0,"",_xlfn.XLOOKUP($D21,'[1]Import Eletra'!$B:$B,'[1]Import Eletra'!$AV:$AV,,0,1))</f>
        <v/>
      </c>
      <c r="BB21" s="112">
        <f t="shared" si="39"/>
        <v>0</v>
      </c>
      <c r="BC21" s="112">
        <f t="shared" ca="1" si="80"/>
        <v>60</v>
      </c>
      <c r="BD21" s="184">
        <f t="shared" ca="1" si="23"/>
        <v>60</v>
      </c>
      <c r="BE21" s="110">
        <f t="shared" si="52"/>
        <v>46151</v>
      </c>
      <c r="BF21" s="104" t="str">
        <f>IF(_xlfn.XLOOKUP($D21,'[1]Import Eletra'!$B:$B,'[1]Import Eletra'!$AW:$AW,,0,1)=0,"",_xlfn.XLOOKUP($D21,'[1]Import Eletra'!$B:$B,'[1]Import Eletra'!$AW:$AW,,0,1))</f>
        <v/>
      </c>
      <c r="BG21" s="112">
        <f t="shared" si="40"/>
        <v>0</v>
      </c>
      <c r="BH21" s="112">
        <f t="shared" ca="1" si="81"/>
        <v>60</v>
      </c>
      <c r="BI21" s="184">
        <f t="shared" ca="1" si="24"/>
        <v>60</v>
      </c>
      <c r="BJ21" s="120">
        <f t="shared" si="53"/>
        <v>46151</v>
      </c>
      <c r="BK21" s="104" t="str">
        <f>IF(_xlfn.XLOOKUP($D21,'[1]Import Eletra'!$B:$B,'[1]Import Eletra'!$AX:$AX,,0,1)=0,"",_xlfn.XLOOKUP($D21,'[1]Import Eletra'!$B:$B,'[1]Import Eletra'!$AX:$AX,,0,1))</f>
        <v/>
      </c>
      <c r="BL21" s="112">
        <f t="shared" si="7"/>
        <v>0</v>
      </c>
      <c r="BM21" s="112">
        <f t="shared" ca="1" si="76"/>
        <v>60</v>
      </c>
      <c r="BN21" s="184">
        <f t="shared" ca="1" si="25"/>
        <v>60</v>
      </c>
      <c r="BO21" s="110">
        <f t="shared" si="54"/>
        <v>46151</v>
      </c>
      <c r="BP21" s="104">
        <f>IF(_xlfn.XLOOKUP($D21,'[1]Import Eletra'!$B:$B,'[1]Import Eletra'!$AY:$AY,,0,1)=0,"",_xlfn.XLOOKUP($D21,'[1]Import Eletra'!$B:$B,'[1]Import Eletra'!$AY:$AY,,0,1))</f>
        <v>46153</v>
      </c>
      <c r="BQ21" s="112">
        <f t="shared" si="8"/>
        <v>0</v>
      </c>
      <c r="BR21" s="112">
        <f t="shared" ca="1" si="55"/>
        <v>2</v>
      </c>
      <c r="BS21" s="184">
        <f t="shared" ca="1" si="26"/>
        <v>2</v>
      </c>
      <c r="BT21" s="120">
        <f t="shared" si="56"/>
        <v>46153</v>
      </c>
      <c r="BU21" s="104">
        <f>IF(_xlfn.XLOOKUP($D21,'[1]Import Eletra'!$B:$B,'[1]Import Eletra'!$AZ:$AZ,,0,1)=0,"",_xlfn.XLOOKUP($D21,'[1]Import Eletra'!$B:$B,'[1]Import Eletra'!$AZ:$AZ,,0,1))</f>
        <v>46153</v>
      </c>
      <c r="BV21" s="112">
        <f t="shared" si="9"/>
        <v>2</v>
      </c>
      <c r="BW21" s="112">
        <f t="shared" ca="1" si="57"/>
        <v>0</v>
      </c>
      <c r="BX21" s="184">
        <f t="shared" ca="1" si="27"/>
        <v>-2</v>
      </c>
      <c r="BY21" s="110">
        <f t="shared" si="58"/>
        <v>46153</v>
      </c>
      <c r="BZ21" s="104">
        <f>IF(_xlfn.XLOOKUP($D21,'[1]Import Eletra'!$B:$B,'[1]Import Eletra'!$BA:$BA,,0,1)=0,"",_xlfn.XLOOKUP($D21,'[1]Import Eletra'!$B:$B,'[1]Import Eletra'!$BA:$BA,,0,1))</f>
        <v>46154</v>
      </c>
      <c r="CA21" s="112">
        <f t="shared" si="10"/>
        <v>0</v>
      </c>
      <c r="CB21" s="112">
        <f t="shared" ca="1" si="59"/>
        <v>1</v>
      </c>
      <c r="CC21" s="184">
        <f t="shared" ca="1" si="28"/>
        <v>1</v>
      </c>
      <c r="CD21" s="120">
        <f t="shared" si="60"/>
        <v>46153</v>
      </c>
      <c r="CE21" s="104">
        <f>IF(_xlfn.XLOOKUP($D21,'[1]Import Eletra'!$B:$B,'[1]Import Eletra'!$BB:$BB,,0,1)=0,"",_xlfn.XLOOKUP($D21,'[1]Import Eletra'!$B:$B,'[1]Import Eletra'!$BB:$BB,,0,1))</f>
        <v>46154</v>
      </c>
      <c r="CF21" s="112">
        <f t="shared" si="11"/>
        <v>0</v>
      </c>
      <c r="CG21" s="112">
        <f t="shared" ca="1" si="61"/>
        <v>1</v>
      </c>
      <c r="CH21" s="184">
        <f t="shared" ca="1" si="29"/>
        <v>1</v>
      </c>
      <c r="CI21" s="110">
        <f t="shared" si="62"/>
        <v>46153</v>
      </c>
      <c r="CJ21" s="104">
        <f>IF(_xlfn.XLOOKUP($D21,'[1]Import Eletra'!$B:$B,'[1]Import Eletra'!$BC:$BC,,0,1)=0,"",_xlfn.XLOOKUP($D21,'[1]Import Eletra'!$B:$B,'[1]Import Eletra'!$BC:$BC,,0,1))</f>
        <v>46154</v>
      </c>
      <c r="CK21" s="112"/>
      <c r="CL21" s="112">
        <f t="shared" ca="1" si="64"/>
        <v>1</v>
      </c>
      <c r="CM21" s="184">
        <f t="shared" ca="1" si="30"/>
        <v>1</v>
      </c>
      <c r="CN21" s="120">
        <f t="shared" si="65"/>
        <v>46153</v>
      </c>
      <c r="CO21" s="104">
        <f>IF(_xlfn.XLOOKUP($D21,'[1]Import Eletra'!$B:$B,'[1]Import Eletra'!$BD:$BD,,0,1)=0,"",_xlfn.XLOOKUP($D21,'[1]Import Eletra'!$B:$B,'[1]Import Eletra'!$BD:$BD,,0,1))</f>
        <v>46154</v>
      </c>
      <c r="CP21" s="112">
        <f t="shared" si="12"/>
        <v>0</v>
      </c>
      <c r="CQ21" s="112">
        <f t="shared" ca="1" si="66"/>
        <v>1</v>
      </c>
      <c r="CR21" s="184">
        <f t="shared" ca="1" si="31"/>
        <v>1</v>
      </c>
      <c r="CS21" s="110">
        <f t="shared" si="67"/>
        <v>46153</v>
      </c>
      <c r="CT21" s="104">
        <f>IF(_xlfn.XLOOKUP($D21,'[1]Import Eletra'!$B:$B,'[1]Import Eletra'!$BE:$BE,,0,1)=0,"",_xlfn.XLOOKUP($D21,'[1]Import Eletra'!$B:$B,'[1]Import Eletra'!$BE:$BE,,0,1))</f>
        <v>46157</v>
      </c>
      <c r="CU21" s="112">
        <f t="shared" si="13"/>
        <v>0</v>
      </c>
      <c r="CV21" s="112">
        <f t="shared" ca="1" si="68"/>
        <v>4</v>
      </c>
      <c r="CW21" s="184">
        <f t="shared" ca="1" si="32"/>
        <v>4</v>
      </c>
      <c r="CX21" s="110">
        <f t="shared" si="69"/>
        <v>46153</v>
      </c>
      <c r="CY21" s="104">
        <f>IF(_xlfn.XLOOKUP($D21,'[1]Import Eletra'!$B:$B,'[1]Import Eletra'!$BE:$BE,,0,1)=0,"",_xlfn.XLOOKUP($D21,'[1]Import Eletra'!$B:$B,'[1]Import Eletra'!$BE:$BE,,0,1))</f>
        <v>46157</v>
      </c>
      <c r="CZ21" s="121">
        <f t="shared" si="14"/>
        <v>0</v>
      </c>
      <c r="DA21" s="112">
        <f t="shared" ca="1" si="70"/>
        <v>4</v>
      </c>
      <c r="DB21" s="184">
        <f t="shared" ca="1" si="33"/>
        <v>4</v>
      </c>
      <c r="DC21" s="110">
        <f t="shared" si="71"/>
        <v>46155</v>
      </c>
      <c r="DD21" s="104">
        <f>IF(_xlfn.XLOOKUP($D21,'[1]Import Eletra'!$B:$B,'[1]Import Eletra'!$BF:$BF,,0,1)=0,"",_xlfn.XLOOKUP($D21,'[1]Import Eletra'!$B:$B,'[1]Import Eletra'!$BF:$BF,0,1))</f>
        <v>46157</v>
      </c>
      <c r="DE21" s="112">
        <f t="shared" si="15"/>
        <v>2</v>
      </c>
      <c r="DF21" s="112">
        <f t="shared" ca="1" si="77"/>
        <v>2</v>
      </c>
      <c r="DG21" s="184">
        <f t="shared" ca="1" si="34"/>
        <v>0</v>
      </c>
      <c r="DH21" s="110">
        <f>DN21-$DM$3</f>
        <v>46156</v>
      </c>
      <c r="DI21" s="104">
        <f>IF(_xlfn.XLOOKUP($D21,'[1]Import Eletra'!$B:$B,'[1]Import Eletra'!$BG:$BG,,0,1)=0,"",_xlfn.XLOOKUP($D21,'[1]Import Eletra'!$B:$B,'[1]Import Eletra'!$BG:$BG,0,1))</f>
        <v>46162</v>
      </c>
      <c r="DJ21" s="112">
        <f t="shared" si="16"/>
        <v>1</v>
      </c>
      <c r="DK21" s="112">
        <f t="shared" ca="1" si="72"/>
        <v>6</v>
      </c>
      <c r="DL21" s="184">
        <f t="shared" ca="1" si="35"/>
        <v>5</v>
      </c>
      <c r="DM21" s="64"/>
      <c r="DN21" s="202">
        <f t="shared" si="82"/>
        <v>46157</v>
      </c>
      <c r="DO21" s="104"/>
      <c r="DP21" s="112">
        <f>$DM$3</f>
        <v>1</v>
      </c>
      <c r="DQ21" s="112">
        <f t="shared" ca="1" si="74"/>
        <v>54</v>
      </c>
      <c r="DR21" s="184">
        <f t="shared" ca="1" si="36"/>
        <v>53</v>
      </c>
      <c r="DS21" s="143">
        <f t="shared" si="75"/>
        <v>7</v>
      </c>
      <c r="DT21" s="140"/>
      <c r="DU21" s="184">
        <f t="shared" si="37"/>
        <v>-7</v>
      </c>
      <c r="DW21" s="142" t="s">
        <v>257</v>
      </c>
      <c r="DZ21" s="231" t="s">
        <v>268</v>
      </c>
    </row>
    <row r="22" spans="1:130" ht="30" customHeight="1">
      <c r="B22" s="91">
        <v>1</v>
      </c>
      <c r="C22" s="2" t="s">
        <v>269</v>
      </c>
      <c r="D22" s="144" t="s">
        <v>270</v>
      </c>
      <c r="E22" s="96">
        <f>IF(_xlfn.XLOOKUP($D22,'[1]Import Eletra'!$B:$B,'[1]Import Eletra'!$U:$U,,0,1)=0,"",_xlfn.XLOOKUP($D22,'[1]Import Eletra'!$B:$B,'[1]Import Eletra'!$U:$U,,0,1))</f>
        <v>0.5</v>
      </c>
      <c r="F22" s="2" t="s">
        <v>244</v>
      </c>
      <c r="G22" s="2" t="str">
        <f>_xlfn.XLOOKUP($D22,'[1]Import Eletra'!$B:$B,'[1]Import Eletra'!$F:$F,,0,1)</f>
        <v>DELIVERED</v>
      </c>
      <c r="H22" s="3" t="str">
        <f>_xlfn.XLOOKUP($D22,'[1]Import Eletra'!$B:$B,'[1]Import Eletra'!$G:$G,,0,1)</f>
        <v>SEA</v>
      </c>
      <c r="I22" s="3">
        <v>45899</v>
      </c>
      <c r="J22" s="58">
        <v>30</v>
      </c>
      <c r="K22" s="58">
        <f>L22-I22</f>
        <v>195</v>
      </c>
      <c r="L22" s="3">
        <f>IF(_xlfn.XLOOKUP($D22,'[1]Import Eletra'!$B:$B,'[1]Import Eletra'!$J:$J,,0,1)=0,"",_xlfn.XLOOKUP($D22,'[1]Import Eletra'!$B:$B,'[1]Import Eletra'!$J:$J,,0,1))</f>
        <v>46094</v>
      </c>
      <c r="M22" s="84">
        <f>IF(_xlfn.XLOOKUP($D22,'[1]Import Eletra'!$B:$B,'[1]Import Eletra'!$L:$L,,0,1)=0,"",_xlfn.XLOOKUP($D22,'[1]Import Eletra'!$B:$B,'[1]Import Eletra'!$L:$L,,0,1))</f>
        <v>46147</v>
      </c>
      <c r="N22" s="19">
        <f>IF(_xlfn.XLOOKUP($D22,'[1]Import Eletra'!$B:$B,'[1]Import Eletra'!$AJ:$AJ,,0,1)=0,"",_xlfn.XLOOKUP($D22,'[1]Import Eletra'!$B:$B,'[1]Import Eletra'!$AJ:$AJ,,0,1))</f>
        <v>198078.36</v>
      </c>
      <c r="O22" s="3">
        <f>IF(_xlfn.XLOOKUP($D22,'[1]Import Eletra'!$B:$B,'[1]Import Eletra'!$AK:$AK,,0,1)=0,"",_xlfn.XLOOKUP($D22,'[1]Import Eletra'!$B:$B,'[1]Import Eletra'!$AK:$AK,,0,1))</f>
        <v>46132</v>
      </c>
      <c r="P22" s="4">
        <f>IF(_xlfn.XLOOKUP($D22,'[1]Import Eletra'!$B:$B,'[1]Import Eletra'!$AL:$AL,,0,1)=0,"",_xlfn.XLOOKUP($D22,'[1]Import Eletra'!$B:$B,'[1]Import Eletra'!$AL:$AL,,0,1))</f>
        <v>46140</v>
      </c>
      <c r="Q22" s="3">
        <f>IF(_xlfn.XLOOKUP($D22,'[1]Import Eletra'!$B:$B,'[1]Import Eletra'!$AM:$AM,,0,1)=0,"",_xlfn.XLOOKUP($D22,'[1]Import Eletra'!$B:$B,'[1]Import Eletra'!$AM:$AM,,0,1))</f>
        <v>46146</v>
      </c>
      <c r="R22" s="3">
        <f>IF(_xlfn.XLOOKUP($D22,'[1]Import Eletra'!$B:$B,'[1]Import Eletra'!$AN:$AN,,0,1)=0,"",_xlfn.XLOOKUP($D22,'[1]Import Eletra'!$B:$B,'[1]Import Eletra'!$AN:$AN,,0,1))</f>
        <v>46147</v>
      </c>
      <c r="S22" s="3">
        <f>IF(_xlfn.XLOOKUP($D22,'[1]Import Eletra'!$B:$B,'[1]Import Eletra'!$AO:$AO,,0,1)=0,"",_xlfn.XLOOKUP($D22,'[1]Import Eletra'!$B:$B,'[1]Import Eletra'!$AO:$AO,,0,1))</f>
        <v>46148</v>
      </c>
      <c r="T22" s="3">
        <f>IF(_xlfn.XLOOKUP($D22,'[1]Import Eletra'!$B:$B,'[1]Import Eletra'!$AP:$AP,,0,1)=0,"",_xlfn.XLOOKUP($D22,'[1]Import Eletra'!$B:$B,'[1]Import Eletra'!$AP:$AP,,0,1))</f>
        <v>46148</v>
      </c>
      <c r="U22" s="82">
        <f>IF(_xlfn.XLOOKUP($D22,'[1]Import Eletra'!$B:$B,'[1]Import Eletra'!$AQ:$AQ,,0,1)=0,"",_xlfn.XLOOKUP($D22,'[1]Import Eletra'!$B:$B,'[1]Import Eletra'!$AQ:$AQ,,0,1))</f>
        <v>46150</v>
      </c>
      <c r="V22" s="19">
        <f t="shared" si="41"/>
        <v>46150</v>
      </c>
      <c r="W22" s="2">
        <f>IF(_xlfn.XLOOKUP($D22,'[1]Import Eletra'!$B:$B,'[1]Import Eletra'!$AR:$AR,,0,1)=0,"",_xlfn.XLOOKUP($D22,'[1]Import Eletra'!$B:$B,'[1]Import Eletra'!$AR:$AR,,0,1))</f>
        <v>46150</v>
      </c>
      <c r="X22" s="1">
        <f t="shared" si="1"/>
        <v>0</v>
      </c>
      <c r="Y22" s="1">
        <f t="shared" ca="1" si="2"/>
        <v>0</v>
      </c>
      <c r="Z22" s="184">
        <f t="shared" ca="1" si="17"/>
        <v>0</v>
      </c>
      <c r="AA22" s="33">
        <f t="shared" si="42"/>
        <v>46150</v>
      </c>
      <c r="AB22" s="2" t="str">
        <f>IF(_xlfn.XLOOKUP($D22,'[1]Import Eletra'!$B:$B,'[1]Import Eletra'!$AC:$AC,,0,1)=0,"",_xlfn.XLOOKUP($D22,'[1]Import Eletra'!$B:$B,'[1]Import Eletra'!$AC:$AC,,0,1))</f>
        <v/>
      </c>
      <c r="AC22" s="1">
        <f t="shared" si="3"/>
        <v>0</v>
      </c>
      <c r="AD22" s="1">
        <f t="shared" ca="1" si="43"/>
        <v>61</v>
      </c>
      <c r="AE22" s="184">
        <f t="shared" ca="1" si="18"/>
        <v>61</v>
      </c>
      <c r="AF22" s="35">
        <f t="shared" si="44"/>
        <v>46150</v>
      </c>
      <c r="AG22" s="2">
        <f>IF(_xlfn.XLOOKUP($D22,'[1]Import Eletra'!$B:$B,'[1]Import Eletra'!$AD:$AD,,0,1)=0,"",_xlfn.XLOOKUP($D22,'[1]Import Eletra'!$B:$B,'[1]Import Eletra'!$AD:$AD,,0,1))</f>
        <v>46153</v>
      </c>
      <c r="AH22" s="1">
        <f t="shared" si="4"/>
        <v>0</v>
      </c>
      <c r="AI22" s="1">
        <f t="shared" ca="1" si="45"/>
        <v>3</v>
      </c>
      <c r="AJ22" s="184">
        <f t="shared" ca="1" si="19"/>
        <v>3</v>
      </c>
      <c r="AK22" s="35">
        <f t="shared" si="46"/>
        <v>46150</v>
      </c>
      <c r="AL22" s="2">
        <f>IF(_xlfn.XLOOKUP($D22,'[1]Import Eletra'!$B:$B,'[1]Import Eletra'!$AS:$AS,,0,1)=0,"",_xlfn.XLOOKUP($D22,'[1]Import Eletra'!$B:$B,'[1]Import Eletra'!$AS:$AS,,0,1))</f>
        <v>46150</v>
      </c>
      <c r="AM22" s="1">
        <f t="shared" si="5"/>
        <v>0</v>
      </c>
      <c r="AN22" s="1">
        <f t="shared" ca="1" si="47"/>
        <v>0</v>
      </c>
      <c r="AO22" s="184">
        <f t="shared" ca="1" si="20"/>
        <v>0</v>
      </c>
      <c r="AP22" s="34">
        <f t="shared" si="48"/>
        <v>46151</v>
      </c>
      <c r="AQ22" s="2">
        <f>IF(_xlfn.XLOOKUP($D22,'[1]Import Eletra'!$B:$B,'[1]Import Eletra'!$AT:$AT,,0,1)=0,"",_xlfn.XLOOKUP($D22,'[1]Import Eletra'!$B:$B,'[1]Import Eletra'!$AT:$AT,,0,1))</f>
        <v>46153</v>
      </c>
      <c r="AR22" s="1">
        <f t="shared" si="6"/>
        <v>1</v>
      </c>
      <c r="AS22" s="1">
        <f t="shared" ca="1" si="49"/>
        <v>2</v>
      </c>
      <c r="AT22" s="184">
        <f t="shared" ca="1" si="21"/>
        <v>1</v>
      </c>
      <c r="AU22" s="35">
        <f t="shared" si="50"/>
        <v>46151</v>
      </c>
      <c r="AV22" s="2">
        <f>IF(_xlfn.XLOOKUP($D22,'[1]Import Eletra'!$B:$B,'[1]Import Eletra'!$AU:$AU,,0,1)=0,"",_xlfn.XLOOKUP($D22,'[1]Import Eletra'!$B:$B,'[1]Import Eletra'!$AU:$AU,,0,1))</f>
        <v>46153</v>
      </c>
      <c r="AW22" s="1">
        <f t="shared" si="38"/>
        <v>0</v>
      </c>
      <c r="AX22" s="1">
        <f t="shared" ca="1" si="79"/>
        <v>2</v>
      </c>
      <c r="AY22" s="184">
        <f t="shared" ca="1" si="22"/>
        <v>2</v>
      </c>
      <c r="AZ22" s="34">
        <f t="shared" si="51"/>
        <v>46151</v>
      </c>
      <c r="BA22" s="2" t="str">
        <f>IF(_xlfn.XLOOKUP($D22,'[1]Import Eletra'!$B:$B,'[1]Import Eletra'!$AV:$AV,,0,1)=0,"",_xlfn.XLOOKUP($D22,'[1]Import Eletra'!$B:$B,'[1]Import Eletra'!$AV:$AV,,0,1))</f>
        <v/>
      </c>
      <c r="BB22" s="1">
        <f t="shared" si="39"/>
        <v>0</v>
      </c>
      <c r="BC22" s="1">
        <f t="shared" ca="1" si="80"/>
        <v>60</v>
      </c>
      <c r="BD22" s="184">
        <f t="shared" ca="1" si="23"/>
        <v>60</v>
      </c>
      <c r="BE22" s="19">
        <f t="shared" si="52"/>
        <v>46151</v>
      </c>
      <c r="BF22" s="2" t="str">
        <f>IF(_xlfn.XLOOKUP($D22,'[1]Import Eletra'!$B:$B,'[1]Import Eletra'!$AW:$AW,,0,1)=0,"",_xlfn.XLOOKUP($D22,'[1]Import Eletra'!$B:$B,'[1]Import Eletra'!$AW:$AW,,0,1))</f>
        <v/>
      </c>
      <c r="BG22" s="1">
        <f t="shared" si="40"/>
        <v>0</v>
      </c>
      <c r="BH22" s="1">
        <f t="shared" ca="1" si="81"/>
        <v>60</v>
      </c>
      <c r="BI22" s="184">
        <f t="shared" ca="1" si="24"/>
        <v>60</v>
      </c>
      <c r="BJ22" s="18">
        <f t="shared" si="53"/>
        <v>46151</v>
      </c>
      <c r="BK22" s="2" t="str">
        <f>IF(_xlfn.XLOOKUP($D22,'[1]Import Eletra'!$B:$B,'[1]Import Eletra'!$AX:$AX,,0,1)=0,"",_xlfn.XLOOKUP($D22,'[1]Import Eletra'!$B:$B,'[1]Import Eletra'!$AX:$AX,,0,1))</f>
        <v/>
      </c>
      <c r="BL22" s="1">
        <f t="shared" si="7"/>
        <v>0</v>
      </c>
      <c r="BM22" s="1">
        <f t="shared" ca="1" si="76"/>
        <v>60</v>
      </c>
      <c r="BN22" s="184">
        <f t="shared" ca="1" si="25"/>
        <v>60</v>
      </c>
      <c r="BO22" s="19">
        <f t="shared" si="54"/>
        <v>46151</v>
      </c>
      <c r="BP22" s="2">
        <f>IF(_xlfn.XLOOKUP($D22,'[1]Import Eletra'!$B:$B,'[1]Import Eletra'!$AY:$AY,,0,1)=0,"",_xlfn.XLOOKUP($D22,'[1]Import Eletra'!$B:$B,'[1]Import Eletra'!$AY:$AY,,0,1))</f>
        <v>46153</v>
      </c>
      <c r="BQ22" s="1">
        <f t="shared" si="8"/>
        <v>0</v>
      </c>
      <c r="BR22" s="1">
        <f t="shared" ca="1" si="55"/>
        <v>2</v>
      </c>
      <c r="BS22" s="184">
        <f t="shared" ca="1" si="26"/>
        <v>2</v>
      </c>
      <c r="BT22" s="18">
        <f t="shared" si="56"/>
        <v>46153</v>
      </c>
      <c r="BU22" s="2">
        <f>IF(_xlfn.XLOOKUP($D22,'[1]Import Eletra'!$B:$B,'[1]Import Eletra'!$AZ:$AZ,,0,1)=0,"",_xlfn.XLOOKUP($D22,'[1]Import Eletra'!$B:$B,'[1]Import Eletra'!$AZ:$AZ,,0,1))</f>
        <v>46153</v>
      </c>
      <c r="BV22" s="1">
        <f t="shared" si="9"/>
        <v>2</v>
      </c>
      <c r="BW22" s="1">
        <f t="shared" ca="1" si="57"/>
        <v>0</v>
      </c>
      <c r="BX22" s="184">
        <f t="shared" ca="1" si="27"/>
        <v>-2</v>
      </c>
      <c r="BY22" s="19">
        <f t="shared" si="58"/>
        <v>46153</v>
      </c>
      <c r="BZ22" s="2">
        <f>IF(_xlfn.XLOOKUP($D22,'[1]Import Eletra'!$B:$B,'[1]Import Eletra'!$BA:$BA,,0,1)=0,"",_xlfn.XLOOKUP($D22,'[1]Import Eletra'!$B:$B,'[1]Import Eletra'!$BA:$BA,,0,1))</f>
        <v>46155</v>
      </c>
      <c r="CA22" s="1">
        <f t="shared" si="10"/>
        <v>0</v>
      </c>
      <c r="CB22" s="1">
        <f t="shared" ca="1" si="59"/>
        <v>2</v>
      </c>
      <c r="CC22" s="184">
        <f t="shared" ca="1" si="28"/>
        <v>2</v>
      </c>
      <c r="CD22" s="18">
        <f t="shared" si="60"/>
        <v>46153</v>
      </c>
      <c r="CE22" s="2">
        <f>IF(_xlfn.XLOOKUP($D22,'[1]Import Eletra'!$B:$B,'[1]Import Eletra'!$BB:$BB,,0,1)=0,"",_xlfn.XLOOKUP($D22,'[1]Import Eletra'!$B:$B,'[1]Import Eletra'!$BB:$BB,,0,1))</f>
        <v>46155</v>
      </c>
      <c r="CF22" s="1">
        <f t="shared" si="11"/>
        <v>0</v>
      </c>
      <c r="CG22" s="1">
        <f t="shared" ca="1" si="61"/>
        <v>2</v>
      </c>
      <c r="CH22" s="184">
        <f t="shared" ca="1" si="29"/>
        <v>2</v>
      </c>
      <c r="CI22" s="19">
        <f t="shared" si="62"/>
        <v>46153</v>
      </c>
      <c r="CJ22" s="2">
        <f>IF(_xlfn.XLOOKUP($D22,'[1]Import Eletra'!$B:$B,'[1]Import Eletra'!$BC:$BC,,0,1)=0,"",_xlfn.XLOOKUP($D22,'[1]Import Eletra'!$B:$B,'[1]Import Eletra'!$BC:$BC,,0,1))</f>
        <v>46155</v>
      </c>
      <c r="CK22" s="1"/>
      <c r="CL22" s="1">
        <f t="shared" ca="1" si="64"/>
        <v>2</v>
      </c>
      <c r="CM22" s="184">
        <f t="shared" ca="1" si="30"/>
        <v>2</v>
      </c>
      <c r="CN22" s="18">
        <f t="shared" si="65"/>
        <v>46153</v>
      </c>
      <c r="CO22" s="2">
        <f>IF(_xlfn.XLOOKUP($D22,'[1]Import Eletra'!$B:$B,'[1]Import Eletra'!$BD:$BD,,0,1)=0,"",_xlfn.XLOOKUP($D22,'[1]Import Eletra'!$B:$B,'[1]Import Eletra'!$BD:$BD,,0,1))</f>
        <v>46155</v>
      </c>
      <c r="CP22" s="1">
        <f t="shared" si="12"/>
        <v>0</v>
      </c>
      <c r="CQ22" s="1">
        <f t="shared" ca="1" si="66"/>
        <v>2</v>
      </c>
      <c r="CR22" s="184">
        <f t="shared" ca="1" si="31"/>
        <v>2</v>
      </c>
      <c r="CS22" s="19">
        <f t="shared" si="67"/>
        <v>46153</v>
      </c>
      <c r="CT22" s="2">
        <f>IF(_xlfn.XLOOKUP($D22,'[1]Import Eletra'!$B:$B,'[1]Import Eletra'!$BE:$BE,,0,1)=0,"",_xlfn.XLOOKUP($D22,'[1]Import Eletra'!$B:$B,'[1]Import Eletra'!$BE:$BE,,0,1))</f>
        <v>46155</v>
      </c>
      <c r="CU22" s="1">
        <f t="shared" si="13"/>
        <v>0</v>
      </c>
      <c r="CV22" s="1">
        <f t="shared" ca="1" si="68"/>
        <v>2</v>
      </c>
      <c r="CW22" s="184">
        <f t="shared" ca="1" si="32"/>
        <v>2</v>
      </c>
      <c r="CX22" s="19">
        <f t="shared" si="69"/>
        <v>46153</v>
      </c>
      <c r="CY22" s="2">
        <f>IF(_xlfn.XLOOKUP($D22,'[1]Import Eletra'!$B:$B,'[1]Import Eletra'!$BE:$BE,,0,1)=0,"",_xlfn.XLOOKUP($D22,'[1]Import Eletra'!$B:$B,'[1]Import Eletra'!$BE:$BE,,0,1))</f>
        <v>46155</v>
      </c>
      <c r="CZ22" s="40">
        <f t="shared" si="14"/>
        <v>0</v>
      </c>
      <c r="DA22" s="1">
        <f t="shared" ca="1" si="70"/>
        <v>2</v>
      </c>
      <c r="DB22" s="184">
        <f t="shared" ca="1" si="33"/>
        <v>2</v>
      </c>
      <c r="DC22" s="19">
        <f t="shared" si="71"/>
        <v>46155</v>
      </c>
      <c r="DD22" s="2">
        <f>IF(_xlfn.XLOOKUP($D22,'[1]Import Eletra'!$B:$B,'[1]Import Eletra'!$BF:$BF,,0,1)=0,"",_xlfn.XLOOKUP($D22,'[1]Import Eletra'!$B:$B,'[1]Import Eletra'!$BF:$BF,0,1))</f>
        <v>46155</v>
      </c>
      <c r="DE22" s="1">
        <f t="shared" si="15"/>
        <v>2</v>
      </c>
      <c r="DF22" s="1">
        <f t="shared" ca="1" si="77"/>
        <v>0</v>
      </c>
      <c r="DG22" s="184">
        <f t="shared" ca="1" si="34"/>
        <v>-2</v>
      </c>
      <c r="DH22" s="19">
        <f>DN22-$DM$3</f>
        <v>46156</v>
      </c>
      <c r="DI22" s="2">
        <f>IF(_xlfn.XLOOKUP($D22,'[1]Import Eletra'!$B:$B,'[1]Import Eletra'!$BG:$BG,,0,1)=0,"",_xlfn.XLOOKUP($D22,'[1]Import Eletra'!$B:$B,'[1]Import Eletra'!$BG:$BG,0,1))</f>
        <v>46156</v>
      </c>
      <c r="DJ22" s="1">
        <f t="shared" si="16"/>
        <v>1</v>
      </c>
      <c r="DK22" s="1">
        <f t="shared" ca="1" si="72"/>
        <v>0</v>
      </c>
      <c r="DL22" s="184">
        <f t="shared" ca="1" si="35"/>
        <v>-1</v>
      </c>
      <c r="DM22" s="64"/>
      <c r="DN22" s="202">
        <f t="shared" si="82"/>
        <v>46157</v>
      </c>
      <c r="DO22" s="2"/>
      <c r="DP22" s="1">
        <f>$DM$3</f>
        <v>1</v>
      </c>
      <c r="DQ22" s="1">
        <f t="shared" ca="1" si="74"/>
        <v>54</v>
      </c>
      <c r="DR22" s="184">
        <f t="shared" ca="1" si="36"/>
        <v>53</v>
      </c>
      <c r="DS22" s="139">
        <f>_xlfn.AGGREGATE(9,6,X22,AC22,AH22,AM22,AR22,AW22,BB22,BG22,BL22,BQ22,BV22,CA22,CF22,CK22,CP22,CU22,DE22,DJ22,DP22)</f>
        <v>7</v>
      </c>
      <c r="DT22" s="140"/>
      <c r="DU22" s="184">
        <f t="shared" si="37"/>
        <v>-7</v>
      </c>
      <c r="DW22" s="142" t="s">
        <v>257</v>
      </c>
      <c r="DZ22" s="232"/>
    </row>
    <row r="23" spans="1:130" ht="30" customHeight="1">
      <c r="A23" s="229"/>
      <c r="B23" s="103">
        <v>1</v>
      </c>
      <c r="C23" s="104" t="s">
        <v>259</v>
      </c>
      <c r="D23" s="144" t="s">
        <v>271</v>
      </c>
      <c r="E23" s="106">
        <f>IF(_xlfn.XLOOKUP($D23,'[1]Import Eletra'!$B:$B,'[1]Import Eletra'!$U:$U,,0,1)=0,"",_xlfn.XLOOKUP($D23,'[1]Import Eletra'!$B:$B,'[1]Import Eletra'!$U:$U,,0,1))</f>
        <v>1</v>
      </c>
      <c r="F23" s="104" t="s">
        <v>244</v>
      </c>
      <c r="G23" s="2" t="str">
        <f>_xlfn.XLOOKUP($D23,'[1]Import Eletra'!$B:$B,'[1]Import Eletra'!$F:$F,,0,1)</f>
        <v>DELIVERED</v>
      </c>
      <c r="H23" s="108" t="str">
        <f>_xlfn.XLOOKUP($D23,'[1]Import Eletra'!$B:$B,'[1]Import Eletra'!$G:$G,,0,1)</f>
        <v>SEA</v>
      </c>
      <c r="I23" s="108">
        <v>46066</v>
      </c>
      <c r="J23" s="109">
        <v>30</v>
      </c>
      <c r="K23" s="109">
        <f t="shared" si="83"/>
        <v>36</v>
      </c>
      <c r="L23" s="108">
        <f>IF(_xlfn.XLOOKUP($D23,'[1]Import Eletra'!$B:$B,'[1]Import Eletra'!$J:$J,,0,1)=0,"",_xlfn.XLOOKUP($D23,'[1]Import Eletra'!$B:$B,'[1]Import Eletra'!$J:$J,,0,1))</f>
        <v>46102</v>
      </c>
      <c r="M23" s="168">
        <f>IF(_xlfn.XLOOKUP($D23,'[1]Import Eletra'!$B:$B,'[1]Import Eletra'!$L:$L,,0,1)=0,"",_xlfn.XLOOKUP($D23,'[1]Import Eletra'!$B:$B,'[1]Import Eletra'!$L:$L,,0,1))</f>
        <v>46154</v>
      </c>
      <c r="N23" s="110">
        <f>IF(_xlfn.XLOOKUP($D23,'[1]Import Eletra'!$B:$B,'[1]Import Eletra'!$AJ:$AJ,,0,1)=0,"",_xlfn.XLOOKUP($D23,'[1]Import Eletra'!$B:$B,'[1]Import Eletra'!$AJ:$AJ,,0,1))</f>
        <v>791338.44</v>
      </c>
      <c r="O23" s="108">
        <f>IF(_xlfn.XLOOKUP($D23,'[1]Import Eletra'!$B:$B,'[1]Import Eletra'!$AK:$AK,,0,1)=0,"",_xlfn.XLOOKUP($D23,'[1]Import Eletra'!$B:$B,'[1]Import Eletra'!$AK:$AK,,0,1))</f>
        <v>46136</v>
      </c>
      <c r="P23" s="108">
        <f>IF(_xlfn.XLOOKUP($D23,'[1]Import Eletra'!$B:$B,'[1]Import Eletra'!$AL:$AL,,0,1)=0,"",_xlfn.XLOOKUP($D23,'[1]Import Eletra'!$B:$B,'[1]Import Eletra'!$AL:$AL,,0,1))</f>
        <v>46136</v>
      </c>
      <c r="Q23" s="108">
        <f>IF(_xlfn.XLOOKUP($D23,'[1]Import Eletra'!$B:$B,'[1]Import Eletra'!$AM:$AM,,0,1)=0,"",_xlfn.XLOOKUP($D23,'[1]Import Eletra'!$B:$B,'[1]Import Eletra'!$AM:$AM,,0,1))</f>
        <v>46142</v>
      </c>
      <c r="R23" s="108">
        <f>IF(_xlfn.XLOOKUP($D23,'[1]Import Eletra'!$B:$B,'[1]Import Eletra'!$AN:$AN,,0,1)=0,"",_xlfn.XLOOKUP($D23,'[1]Import Eletra'!$B:$B,'[1]Import Eletra'!$AN:$AN,,0,1))</f>
        <v>46142</v>
      </c>
      <c r="S23" s="108">
        <f>IF(_xlfn.XLOOKUP($D23,'[1]Import Eletra'!$B:$B,'[1]Import Eletra'!$AO:$AO,,0,1)=0,"",_xlfn.XLOOKUP($D23,'[1]Import Eletra'!$B:$B,'[1]Import Eletra'!$AO:$AO,,0,1))</f>
        <v>46142</v>
      </c>
      <c r="T23" s="4">
        <f>IF(_xlfn.XLOOKUP($D23,'[1]Import Eletra'!$B:$B,'[1]Import Eletra'!$AP:$AP,,0,1)=0,"",_xlfn.XLOOKUP($D23,'[1]Import Eletra'!$B:$B,'[1]Import Eletra'!$AP:$AP,,0,1))</f>
        <v>46142</v>
      </c>
      <c r="U23" s="111">
        <f>IF(_xlfn.XLOOKUP($D23,'[1]Import Eletra'!$B:$B,'[1]Import Eletra'!$AQ:$AQ,,0,1)=0,"",_xlfn.XLOOKUP($D23,'[1]Import Eletra'!$B:$B,'[1]Import Eletra'!$AQ:$AQ,,0,1))</f>
        <v>46142</v>
      </c>
      <c r="V23" s="110">
        <f t="shared" si="41"/>
        <v>46142</v>
      </c>
      <c r="W23" s="104" t="str">
        <f>IF(_xlfn.XLOOKUP($D23,'[1]Import Eletra'!$B:$B,'[1]Import Eletra'!$AR:$AR,,0,1)=0,"",_xlfn.XLOOKUP($D23,'[1]Import Eletra'!$B:$B,'[1]Import Eletra'!$AR:$AR,,0,1))</f>
        <v>13/05/2026</v>
      </c>
      <c r="X23" s="112">
        <f t="shared" si="1"/>
        <v>0</v>
      </c>
      <c r="Y23" s="112">
        <f t="shared" ca="1" si="2"/>
        <v>13</v>
      </c>
      <c r="Z23" s="184">
        <f t="shared" ca="1" si="17"/>
        <v>13</v>
      </c>
      <c r="AA23" s="114">
        <f t="shared" si="42"/>
        <v>46142</v>
      </c>
      <c r="AB23" s="104" t="str">
        <f>IF(_xlfn.XLOOKUP($D23,'[1]Import Eletra'!$B:$B,'[1]Import Eletra'!$AC:$AC,,0,1)=0,"",_xlfn.XLOOKUP($D23,'[1]Import Eletra'!$B:$B,'[1]Import Eletra'!$AC:$AC,,0,1))</f>
        <v/>
      </c>
      <c r="AC23" s="112">
        <f t="shared" si="3"/>
        <v>0</v>
      </c>
      <c r="AD23" s="112">
        <f t="shared" ca="1" si="43"/>
        <v>69</v>
      </c>
      <c r="AE23" s="184">
        <f t="shared" ca="1" si="18"/>
        <v>69</v>
      </c>
      <c r="AF23" s="116">
        <f t="shared" si="44"/>
        <v>46142</v>
      </c>
      <c r="AG23" s="104">
        <f>IF(_xlfn.XLOOKUP($D23,'[1]Import Eletra'!$B:$B,'[1]Import Eletra'!$AD:$AD,,0,1)=0,"",_xlfn.XLOOKUP($D23,'[1]Import Eletra'!$B:$B,'[1]Import Eletra'!$AD:$AD,,0,1))</f>
        <v>46156</v>
      </c>
      <c r="AH23" s="112">
        <f t="shared" si="4"/>
        <v>0</v>
      </c>
      <c r="AI23" s="112">
        <f t="shared" ca="1" si="45"/>
        <v>14</v>
      </c>
      <c r="AJ23" s="184">
        <f t="shared" ca="1" si="19"/>
        <v>14</v>
      </c>
      <c r="AK23" s="116">
        <f t="shared" si="46"/>
        <v>46142</v>
      </c>
      <c r="AL23" s="104">
        <f>IF(_xlfn.XLOOKUP($D23,'[1]Import Eletra'!$B:$B,'[1]Import Eletra'!$AS:$AS,,0,1)=0,"",_xlfn.XLOOKUP($D23,'[1]Import Eletra'!$B:$B,'[1]Import Eletra'!$AS:$AS,,0,1))</f>
        <v>46155</v>
      </c>
      <c r="AM23" s="112">
        <f t="shared" si="5"/>
        <v>0</v>
      </c>
      <c r="AN23" s="112">
        <f t="shared" ca="1" si="47"/>
        <v>13</v>
      </c>
      <c r="AO23" s="184">
        <f t="shared" ca="1" si="20"/>
        <v>13</v>
      </c>
      <c r="AP23" s="166">
        <f t="shared" si="48"/>
        <v>46143</v>
      </c>
      <c r="AQ23" s="104" t="str">
        <f>IF(_xlfn.XLOOKUP($D23,'[1]Import Eletra'!$B:$B,'[1]Import Eletra'!$AT:$AT,,0,1)=0,"",_xlfn.XLOOKUP($D23,'[1]Import Eletra'!$B:$B,'[1]Import Eletra'!$AT:$AT,,0,1))</f>
        <v>15/05/2026</v>
      </c>
      <c r="AR23" s="112">
        <f t="shared" si="6"/>
        <v>1</v>
      </c>
      <c r="AS23" s="112">
        <f t="shared" ca="1" si="49"/>
        <v>14</v>
      </c>
      <c r="AT23" s="184">
        <f t="shared" ca="1" si="21"/>
        <v>13</v>
      </c>
      <c r="AU23" s="116">
        <f t="shared" si="50"/>
        <v>46143</v>
      </c>
      <c r="AV23" s="104" t="str">
        <f>IF(_xlfn.XLOOKUP($D23,'[1]Import Eletra'!$B:$B,'[1]Import Eletra'!$AU:$AU,,0,1)=0,"",_xlfn.XLOOKUP($D23,'[1]Import Eletra'!$B:$B,'[1]Import Eletra'!$AU:$AU,,0,1))</f>
        <v>15/05/2026</v>
      </c>
      <c r="AW23" s="112">
        <f t="shared" si="38"/>
        <v>0</v>
      </c>
      <c r="AX23" s="112">
        <f t="shared" ca="1" si="79"/>
        <v>14</v>
      </c>
      <c r="AY23" s="184">
        <f t="shared" ca="1" si="22"/>
        <v>14</v>
      </c>
      <c r="AZ23" s="166">
        <f t="shared" si="51"/>
        <v>46143</v>
      </c>
      <c r="BA23" s="104" t="str">
        <f>IF(_xlfn.XLOOKUP($D23,'[1]Import Eletra'!$B:$B,'[1]Import Eletra'!$AV:$AV,,0,1)=0,"",_xlfn.XLOOKUP($D23,'[1]Import Eletra'!$B:$B,'[1]Import Eletra'!$AV:$AV,,0,1))</f>
        <v/>
      </c>
      <c r="BB23" s="112">
        <f t="shared" si="39"/>
        <v>0</v>
      </c>
      <c r="BC23" s="112">
        <f t="shared" ca="1" si="80"/>
        <v>68</v>
      </c>
      <c r="BD23" s="184">
        <f t="shared" ca="1" si="23"/>
        <v>68</v>
      </c>
      <c r="BE23" s="110">
        <f t="shared" si="52"/>
        <v>46143</v>
      </c>
      <c r="BF23" s="104" t="str">
        <f>IF(_xlfn.XLOOKUP($D23,'[1]Import Eletra'!$B:$B,'[1]Import Eletra'!$AW:$AW,,0,1)=0,"",_xlfn.XLOOKUP($D23,'[1]Import Eletra'!$B:$B,'[1]Import Eletra'!$AW:$AW,,0,1))</f>
        <v/>
      </c>
      <c r="BG23" s="112">
        <f t="shared" si="40"/>
        <v>0</v>
      </c>
      <c r="BH23" s="112">
        <f t="shared" ca="1" si="81"/>
        <v>68</v>
      </c>
      <c r="BI23" s="184">
        <f t="shared" ca="1" si="24"/>
        <v>68</v>
      </c>
      <c r="BJ23" s="120">
        <f t="shared" si="53"/>
        <v>46143</v>
      </c>
      <c r="BK23" s="104" t="str">
        <f>IF(_xlfn.XLOOKUP($D23,'[1]Import Eletra'!$B:$B,'[1]Import Eletra'!$AX:$AX,,0,1)=0,"",_xlfn.XLOOKUP($D23,'[1]Import Eletra'!$B:$B,'[1]Import Eletra'!$AX:$AX,,0,1))</f>
        <v/>
      </c>
      <c r="BL23" s="112">
        <f t="shared" si="7"/>
        <v>0</v>
      </c>
      <c r="BM23" s="112">
        <f t="shared" ca="1" si="76"/>
        <v>68</v>
      </c>
      <c r="BN23" s="184">
        <f t="shared" ca="1" si="25"/>
        <v>68</v>
      </c>
      <c r="BO23" s="110">
        <f t="shared" si="54"/>
        <v>46143</v>
      </c>
      <c r="BP23" s="104">
        <f>IF(_xlfn.XLOOKUP($D23,'[1]Import Eletra'!$B:$B,'[1]Import Eletra'!$AY:$AY,,0,1)=0,"",_xlfn.XLOOKUP($D23,'[1]Import Eletra'!$B:$B,'[1]Import Eletra'!$AY:$AY,,0,1))</f>
        <v>46157</v>
      </c>
      <c r="BQ23" s="112">
        <f t="shared" si="8"/>
        <v>0</v>
      </c>
      <c r="BR23" s="112">
        <f t="shared" ca="1" si="55"/>
        <v>14</v>
      </c>
      <c r="BS23" s="184">
        <f t="shared" ca="1" si="26"/>
        <v>14</v>
      </c>
      <c r="BT23" s="120">
        <f t="shared" si="56"/>
        <v>46145</v>
      </c>
      <c r="BU23" s="104">
        <f>IF(_xlfn.XLOOKUP($D23,'[1]Import Eletra'!$B:$B,'[1]Import Eletra'!$AZ:$AZ,,0,1)=0,"",_xlfn.XLOOKUP($D23,'[1]Import Eletra'!$B:$B,'[1]Import Eletra'!$AZ:$AZ,,0,1))</f>
        <v>46157</v>
      </c>
      <c r="BV23" s="112">
        <f t="shared" si="9"/>
        <v>2</v>
      </c>
      <c r="BW23" s="112">
        <f t="shared" ca="1" si="57"/>
        <v>12</v>
      </c>
      <c r="BX23" s="184">
        <f t="shared" ca="1" si="27"/>
        <v>10</v>
      </c>
      <c r="BY23" s="110">
        <f t="shared" si="58"/>
        <v>46145</v>
      </c>
      <c r="BZ23" s="104">
        <f>IF(_xlfn.XLOOKUP($D23,'[1]Import Eletra'!$B:$B,'[1]Import Eletra'!$BA:$BA,,0,1)=0,"",_xlfn.XLOOKUP($D23,'[1]Import Eletra'!$B:$B,'[1]Import Eletra'!$BA:$BA,,0,1))</f>
        <v>46160</v>
      </c>
      <c r="CA23" s="112">
        <f t="shared" si="10"/>
        <v>0</v>
      </c>
      <c r="CB23" s="112">
        <f t="shared" ca="1" si="59"/>
        <v>15</v>
      </c>
      <c r="CC23" s="184">
        <f t="shared" ca="1" si="28"/>
        <v>15</v>
      </c>
      <c r="CD23" s="120">
        <f t="shared" si="60"/>
        <v>46145</v>
      </c>
      <c r="CE23" s="104">
        <f>IF(_xlfn.XLOOKUP($D23,'[1]Import Eletra'!$B:$B,'[1]Import Eletra'!$BB:$BB,,0,1)=0,"",_xlfn.XLOOKUP($D23,'[1]Import Eletra'!$B:$B,'[1]Import Eletra'!$BB:$BB,,0,1))</f>
        <v>46161</v>
      </c>
      <c r="CF23" s="112">
        <f t="shared" si="11"/>
        <v>0</v>
      </c>
      <c r="CG23" s="112">
        <f t="shared" ca="1" si="61"/>
        <v>16</v>
      </c>
      <c r="CH23" s="184">
        <f t="shared" ca="1" si="29"/>
        <v>16</v>
      </c>
      <c r="CI23" s="110">
        <f t="shared" si="62"/>
        <v>46145</v>
      </c>
      <c r="CJ23" s="104">
        <f>IF(_xlfn.XLOOKUP($D23,'[1]Import Eletra'!$B:$B,'[1]Import Eletra'!$BC:$BC,,0,1)=0,"",_xlfn.XLOOKUP($D23,'[1]Import Eletra'!$B:$B,'[1]Import Eletra'!$BC:$BC,,0,1))</f>
        <v>46161</v>
      </c>
      <c r="CK23" s="112"/>
      <c r="CL23" s="112">
        <f t="shared" ca="1" si="64"/>
        <v>16</v>
      </c>
      <c r="CM23" s="184">
        <f t="shared" ca="1" si="30"/>
        <v>16</v>
      </c>
      <c r="CN23" s="120">
        <f t="shared" si="65"/>
        <v>46145</v>
      </c>
      <c r="CO23" s="104">
        <f>IF(_xlfn.XLOOKUP($D23,'[1]Import Eletra'!$B:$B,'[1]Import Eletra'!$BD:$BD,,0,1)=0,"",_xlfn.XLOOKUP($D23,'[1]Import Eletra'!$B:$B,'[1]Import Eletra'!$BD:$BD,,0,1))</f>
        <v>45796</v>
      </c>
      <c r="CP23" s="112">
        <f t="shared" si="12"/>
        <v>0</v>
      </c>
      <c r="CQ23" s="112">
        <f t="shared" ca="1" si="66"/>
        <v>-349</v>
      </c>
      <c r="CR23" s="184">
        <f t="shared" ca="1" si="31"/>
        <v>-349</v>
      </c>
      <c r="CS23" s="110">
        <f t="shared" si="67"/>
        <v>46145</v>
      </c>
      <c r="CT23" s="104">
        <f>IF(_xlfn.XLOOKUP($D23,'[1]Import Eletra'!$B:$B,'[1]Import Eletra'!$BE:$BE,,0,1)=0,"",_xlfn.XLOOKUP($D23,'[1]Import Eletra'!$B:$B,'[1]Import Eletra'!$BE:$BE,,0,1))</f>
        <v>46162</v>
      </c>
      <c r="CU23" s="112">
        <f t="shared" si="13"/>
        <v>0</v>
      </c>
      <c r="CV23" s="112">
        <f t="shared" ca="1" si="68"/>
        <v>17</v>
      </c>
      <c r="CW23" s="184">
        <f t="shared" ca="1" si="32"/>
        <v>17</v>
      </c>
      <c r="CX23" s="110">
        <f t="shared" si="69"/>
        <v>46145</v>
      </c>
      <c r="CY23" s="104">
        <f>IF(_xlfn.XLOOKUP($D23,'[1]Import Eletra'!$B:$B,'[1]Import Eletra'!$BE:$BE,,0,1)=0,"",_xlfn.XLOOKUP($D23,'[1]Import Eletra'!$B:$B,'[1]Import Eletra'!$BE:$BE,,0,1))</f>
        <v>46162</v>
      </c>
      <c r="CZ23" s="121">
        <f t="shared" si="14"/>
        <v>0</v>
      </c>
      <c r="DA23" s="112">
        <f t="shared" ca="1" si="70"/>
        <v>17</v>
      </c>
      <c r="DB23" s="184">
        <f t="shared" ca="1" si="33"/>
        <v>17</v>
      </c>
      <c r="DC23" s="110">
        <f t="shared" si="71"/>
        <v>46147</v>
      </c>
      <c r="DD23" s="104">
        <f>IF(_xlfn.XLOOKUP($D23,'[1]Import Eletra'!$B:$B,'[1]Import Eletra'!$BF:$BF,,0,1)=0,"",_xlfn.XLOOKUP($D23,'[1]Import Eletra'!$B:$B,'[1]Import Eletra'!$BF:$BF,0,1))</f>
        <v>46162</v>
      </c>
      <c r="DE23" s="112">
        <f t="shared" si="15"/>
        <v>2</v>
      </c>
      <c r="DF23" s="112">
        <f t="shared" ca="1" si="77"/>
        <v>15</v>
      </c>
      <c r="DG23" s="184">
        <f t="shared" ca="1" si="34"/>
        <v>13</v>
      </c>
      <c r="DH23" s="110">
        <f>DN23-$DM$3</f>
        <v>46148</v>
      </c>
      <c r="DI23" s="104">
        <f>IF(_xlfn.XLOOKUP($D23,'[1]Import Eletra'!$B:$B,'[1]Import Eletra'!$BG:$BG,,0,1)=0,"",_xlfn.XLOOKUP($D23,'[1]Import Eletra'!$B:$B,'[1]Import Eletra'!$BG:$BG,0,1))</f>
        <v>46164</v>
      </c>
      <c r="DJ23" s="112">
        <f t="shared" si="16"/>
        <v>1</v>
      </c>
      <c r="DK23" s="112">
        <f t="shared" ca="1" si="72"/>
        <v>16</v>
      </c>
      <c r="DL23" s="184">
        <f t="shared" ca="1" si="35"/>
        <v>15</v>
      </c>
      <c r="DM23" s="64">
        <v>46152</v>
      </c>
      <c r="DN23" s="202">
        <f t="shared" si="82"/>
        <v>46149</v>
      </c>
      <c r="DO23" s="104"/>
      <c r="DP23" s="112">
        <f>$DM$3</f>
        <v>1</v>
      </c>
      <c r="DQ23" s="112">
        <f t="shared" ca="1" si="74"/>
        <v>62</v>
      </c>
      <c r="DR23" s="184">
        <f t="shared" ca="1" si="36"/>
        <v>61</v>
      </c>
      <c r="DS23" s="143">
        <f t="shared" si="75"/>
        <v>7</v>
      </c>
      <c r="DT23" s="140"/>
      <c r="DU23" s="184">
        <f t="shared" si="37"/>
        <v>-7</v>
      </c>
      <c r="DW23" s="142" t="s">
        <v>272</v>
      </c>
      <c r="DZ23" s="231" t="s">
        <v>273</v>
      </c>
    </row>
    <row r="24" spans="1:130" ht="30" customHeight="1">
      <c r="A24" s="229"/>
      <c r="B24" s="91">
        <v>1</v>
      </c>
      <c r="C24" s="2" t="s">
        <v>259</v>
      </c>
      <c r="D24" s="144" t="s">
        <v>274</v>
      </c>
      <c r="E24" s="96">
        <f>IF(_xlfn.XLOOKUP($D24,'[1]Import Eletra'!$B:$B,'[1]Import Eletra'!$U:$U,,0,1)=0,"",_xlfn.XLOOKUP($D24,'[1]Import Eletra'!$B:$B,'[1]Import Eletra'!$U:$U,,0,1))</f>
        <v>1</v>
      </c>
      <c r="F24" s="2" t="s">
        <v>244</v>
      </c>
      <c r="G24" s="2" t="str">
        <f>_xlfn.XLOOKUP($D24,'[1]Import Eletra'!$B:$B,'[1]Import Eletra'!$F:$F,,0,1)</f>
        <v>DELIVERED</v>
      </c>
      <c r="H24" s="3" t="str">
        <f>_xlfn.XLOOKUP($D24,'[1]Import Eletra'!$B:$B,'[1]Import Eletra'!$G:$G,,0,1)</f>
        <v>SEA</v>
      </c>
      <c r="I24" s="3">
        <v>46066</v>
      </c>
      <c r="J24" s="58">
        <v>30</v>
      </c>
      <c r="K24" s="58">
        <f t="shared" si="83"/>
        <v>45</v>
      </c>
      <c r="L24" s="3">
        <f>IF(_xlfn.XLOOKUP($D24,'[1]Import Eletra'!$B:$B,'[1]Import Eletra'!$J:$J,,0,1)=0,"",_xlfn.XLOOKUP($D24,'[1]Import Eletra'!$B:$B,'[1]Import Eletra'!$J:$J,,0,1))</f>
        <v>46111</v>
      </c>
      <c r="M24" s="84">
        <f>IF(_xlfn.XLOOKUP($D24,'[1]Import Eletra'!$B:$B,'[1]Import Eletra'!$L:$L,,0,1)=0,"",_xlfn.XLOOKUP($D24,'[1]Import Eletra'!$B:$B,'[1]Import Eletra'!$L:$L,,0,1))</f>
        <v>46161</v>
      </c>
      <c r="N24" s="19">
        <f>IF(_xlfn.XLOOKUP($D24,'[1]Import Eletra'!$B:$B,'[1]Import Eletra'!$AJ:$AJ,,0,1)=0,"",_xlfn.XLOOKUP($D24,'[1]Import Eletra'!$B:$B,'[1]Import Eletra'!$AJ:$AJ,,0,1))</f>
        <v>3009439.66</v>
      </c>
      <c r="O24" s="3">
        <f>IF(_xlfn.XLOOKUP($D24,'[1]Import Eletra'!$B:$B,'[1]Import Eletra'!$AK:$AK,,0,1)=0,"",_xlfn.XLOOKUP($D24,'[1]Import Eletra'!$B:$B,'[1]Import Eletra'!$AK:$AK,,0,1))</f>
        <v>46136</v>
      </c>
      <c r="P24" s="3">
        <f>IF(_xlfn.XLOOKUP($D24,'[1]Import Eletra'!$B:$B,'[1]Import Eletra'!$AL:$AL,,0,1)=0,"",_xlfn.XLOOKUP($D24,'[1]Import Eletra'!$B:$B,'[1]Import Eletra'!$AL:$AL,,0,1))</f>
        <v>46139</v>
      </c>
      <c r="Q24" s="3">
        <f>IF(_xlfn.XLOOKUP($D24,'[1]Import Eletra'!$B:$B,'[1]Import Eletra'!$AM:$AM,,0,1)=0,"",_xlfn.XLOOKUP($D24,'[1]Import Eletra'!$B:$B,'[1]Import Eletra'!$AM:$AM,,0,1))</f>
        <v>46142</v>
      </c>
      <c r="R24" s="3">
        <f>IF(_xlfn.XLOOKUP($D24,'[1]Import Eletra'!$B:$B,'[1]Import Eletra'!$AN:$AN,,0,1)=0,"",_xlfn.XLOOKUP($D24,'[1]Import Eletra'!$B:$B,'[1]Import Eletra'!$AN:$AN,,0,1))</f>
        <v>46142</v>
      </c>
      <c r="S24" s="3">
        <f>IF(_xlfn.XLOOKUP($D24,'[1]Import Eletra'!$B:$B,'[1]Import Eletra'!$AO:$AO,,0,1)=0,"",_xlfn.XLOOKUP($D24,'[1]Import Eletra'!$B:$B,'[1]Import Eletra'!$AO:$AO,,0,1))</f>
        <v>46142</v>
      </c>
      <c r="T24" s="4">
        <f>IF(_xlfn.XLOOKUP($D24,'[1]Import Eletra'!$B:$B,'[1]Import Eletra'!$AP:$AP,,0,1)=0,"",_xlfn.XLOOKUP($D24,'[1]Import Eletra'!$B:$B,'[1]Import Eletra'!$AP:$AP,,0,1))</f>
        <v>46142</v>
      </c>
      <c r="U24" s="82">
        <f>IF(_xlfn.XLOOKUP($D24,'[1]Import Eletra'!$B:$B,'[1]Import Eletra'!$AQ:$AQ,,0,1)=0,"",_xlfn.XLOOKUP($D24,'[1]Import Eletra'!$B:$B,'[1]Import Eletra'!$AQ:$AQ,,0,1))</f>
        <v>46142</v>
      </c>
      <c r="V24" s="19">
        <f t="shared" si="41"/>
        <v>46142</v>
      </c>
      <c r="W24" s="2">
        <f>IF(_xlfn.XLOOKUP($D24,'[1]Import Eletra'!$B:$B,'[1]Import Eletra'!$AR:$AR,,0,1)=0,"",_xlfn.XLOOKUP($D24,'[1]Import Eletra'!$B:$B,'[1]Import Eletra'!$AR:$AR,,0,1))</f>
        <v>46162</v>
      </c>
      <c r="X24" s="1">
        <f t="shared" si="1"/>
        <v>0</v>
      </c>
      <c r="Y24" s="1">
        <f t="shared" ca="1" si="2"/>
        <v>20</v>
      </c>
      <c r="Z24" s="184">
        <f t="shared" ca="1" si="17"/>
        <v>20</v>
      </c>
      <c r="AA24" s="33">
        <f t="shared" si="42"/>
        <v>46142</v>
      </c>
      <c r="AB24" s="2" t="str">
        <f>IF(_xlfn.XLOOKUP($D24,'[1]Import Eletra'!$B:$B,'[1]Import Eletra'!$AC:$AC,,0,1)=0,"",_xlfn.XLOOKUP($D24,'[1]Import Eletra'!$B:$B,'[1]Import Eletra'!$AC:$AC,,0,1))</f>
        <v xml:space="preserve"> </v>
      </c>
      <c r="AC24" s="1">
        <f t="shared" si="3"/>
        <v>0</v>
      </c>
      <c r="AD24" s="1" t="e">
        <f t="shared" ca="1" si="43"/>
        <v>#VALUE!</v>
      </c>
      <c r="AE24" s="184" t="e">
        <f t="shared" ca="1" si="18"/>
        <v>#VALUE!</v>
      </c>
      <c r="AF24" s="35">
        <f t="shared" si="44"/>
        <v>46142</v>
      </c>
      <c r="AG24" s="2">
        <f>IF(_xlfn.XLOOKUP($D24,'[1]Import Eletra'!$B:$B,'[1]Import Eletra'!$AD:$AD,,0,1)=0,"",_xlfn.XLOOKUP($D24,'[1]Import Eletra'!$B:$B,'[1]Import Eletra'!$AD:$AD,,0,1))</f>
        <v>46162</v>
      </c>
      <c r="AH24" s="1">
        <f t="shared" si="4"/>
        <v>0</v>
      </c>
      <c r="AI24" s="1">
        <f t="shared" ca="1" si="45"/>
        <v>20</v>
      </c>
      <c r="AJ24" s="184">
        <f t="shared" ca="1" si="19"/>
        <v>20</v>
      </c>
      <c r="AK24" s="35">
        <f t="shared" si="46"/>
        <v>46142</v>
      </c>
      <c r="AL24" s="2">
        <f>IF(_xlfn.XLOOKUP($D24,'[1]Import Eletra'!$B:$B,'[1]Import Eletra'!$AS:$AS,,0,1)=0,"",_xlfn.XLOOKUP($D24,'[1]Import Eletra'!$B:$B,'[1]Import Eletra'!$AS:$AS,,0,1))</f>
        <v>46162</v>
      </c>
      <c r="AM24" s="1">
        <f t="shared" si="5"/>
        <v>0</v>
      </c>
      <c r="AN24" s="1">
        <f t="shared" ca="1" si="47"/>
        <v>20</v>
      </c>
      <c r="AO24" s="184">
        <f t="shared" ca="1" si="20"/>
        <v>20</v>
      </c>
      <c r="AP24" s="34">
        <f t="shared" si="48"/>
        <v>46143</v>
      </c>
      <c r="AQ24" s="2">
        <f>IF(_xlfn.XLOOKUP($D24,'[1]Import Eletra'!$B:$B,'[1]Import Eletra'!$AT:$AT,,0,1)=0,"",_xlfn.XLOOKUP($D24,'[1]Import Eletra'!$B:$B,'[1]Import Eletra'!$AT:$AT,,0,1))</f>
        <v>46162</v>
      </c>
      <c r="AR24" s="1">
        <f t="shared" si="6"/>
        <v>1</v>
      </c>
      <c r="AS24" s="1">
        <f t="shared" ca="1" si="49"/>
        <v>19</v>
      </c>
      <c r="AT24" s="184">
        <f t="shared" ca="1" si="21"/>
        <v>18</v>
      </c>
      <c r="AU24" s="35">
        <f t="shared" si="50"/>
        <v>46143</v>
      </c>
      <c r="AV24" s="2">
        <f>IF(_xlfn.XLOOKUP($D24,'[1]Import Eletra'!$B:$B,'[1]Import Eletra'!$AU:$AU,,0,1)=0,"",_xlfn.XLOOKUP($D24,'[1]Import Eletra'!$B:$B,'[1]Import Eletra'!$AU:$AU,,0,1))</f>
        <v>46163</v>
      </c>
      <c r="AW24" s="1">
        <f t="shared" si="38"/>
        <v>0</v>
      </c>
      <c r="AX24" s="1">
        <f t="shared" ca="1" si="79"/>
        <v>20</v>
      </c>
      <c r="AY24" s="184">
        <f t="shared" ca="1" si="22"/>
        <v>20</v>
      </c>
      <c r="AZ24" s="34">
        <f t="shared" si="51"/>
        <v>46143</v>
      </c>
      <c r="BA24" s="2" t="str">
        <f>IF(_xlfn.XLOOKUP($D24,'[1]Import Eletra'!$B:$B,'[1]Import Eletra'!$AV:$AV,,0,1)=0,"",_xlfn.XLOOKUP($D24,'[1]Import Eletra'!$B:$B,'[1]Import Eletra'!$AV:$AV,,0,1))</f>
        <v/>
      </c>
      <c r="BB24" s="1">
        <f t="shared" si="39"/>
        <v>0</v>
      </c>
      <c r="BC24" s="1">
        <f t="shared" ca="1" si="80"/>
        <v>68</v>
      </c>
      <c r="BD24" s="184">
        <f t="shared" ca="1" si="23"/>
        <v>68</v>
      </c>
      <c r="BE24" s="19">
        <f t="shared" si="52"/>
        <v>46143</v>
      </c>
      <c r="BF24" s="2" t="str">
        <f>IF(_xlfn.XLOOKUP($D24,'[1]Import Eletra'!$B:$B,'[1]Import Eletra'!$AW:$AW,,0,1)=0,"",_xlfn.XLOOKUP($D24,'[1]Import Eletra'!$B:$B,'[1]Import Eletra'!$AW:$AW,,0,1))</f>
        <v/>
      </c>
      <c r="BG24" s="1">
        <f t="shared" si="40"/>
        <v>0</v>
      </c>
      <c r="BH24" s="1">
        <f t="shared" ca="1" si="81"/>
        <v>68</v>
      </c>
      <c r="BI24" s="184">
        <f t="shared" ca="1" si="24"/>
        <v>68</v>
      </c>
      <c r="BJ24" s="18">
        <f t="shared" si="53"/>
        <v>46143</v>
      </c>
      <c r="BK24" s="2" t="str">
        <f>IF(_xlfn.XLOOKUP($D24,'[1]Import Eletra'!$B:$B,'[1]Import Eletra'!$AX:$AX,,0,1)=0,"",_xlfn.XLOOKUP($D24,'[1]Import Eletra'!$B:$B,'[1]Import Eletra'!$AX:$AX,,0,1))</f>
        <v/>
      </c>
      <c r="BL24" s="1">
        <f t="shared" si="7"/>
        <v>0</v>
      </c>
      <c r="BM24" s="1">
        <f t="shared" ca="1" si="76"/>
        <v>68</v>
      </c>
      <c r="BN24" s="184">
        <f t="shared" ca="1" si="25"/>
        <v>68</v>
      </c>
      <c r="BO24" s="19">
        <f t="shared" si="54"/>
        <v>46143</v>
      </c>
      <c r="BP24" s="2" t="str">
        <f>IF(_xlfn.XLOOKUP($D24,'[1]Import Eletra'!$B:$B,'[1]Import Eletra'!$AY:$AY,,0,1)=0,"",_xlfn.XLOOKUP($D24,'[1]Import Eletra'!$B:$B,'[1]Import Eletra'!$AY:$AY,,0,1))</f>
        <v/>
      </c>
      <c r="BQ24" s="1">
        <f t="shared" si="8"/>
        <v>0</v>
      </c>
      <c r="BR24" s="1">
        <f t="shared" ca="1" si="55"/>
        <v>68</v>
      </c>
      <c r="BS24" s="184">
        <f t="shared" ca="1" si="26"/>
        <v>68</v>
      </c>
      <c r="BT24" s="18">
        <f t="shared" si="56"/>
        <v>46145</v>
      </c>
      <c r="BU24" s="2" t="str">
        <f>IF(_xlfn.XLOOKUP($D24,'[1]Import Eletra'!$B:$B,'[1]Import Eletra'!$AZ:$AZ,,0,1)=0,"",_xlfn.XLOOKUP($D24,'[1]Import Eletra'!$B:$B,'[1]Import Eletra'!$AZ:$AZ,,0,1))</f>
        <v/>
      </c>
      <c r="BV24" s="1">
        <f t="shared" si="9"/>
        <v>2</v>
      </c>
      <c r="BW24" s="1">
        <f t="shared" ca="1" si="57"/>
        <v>66</v>
      </c>
      <c r="BX24" s="184">
        <f t="shared" ca="1" si="27"/>
        <v>64</v>
      </c>
      <c r="BY24" s="19">
        <f t="shared" si="58"/>
        <v>46145</v>
      </c>
      <c r="BZ24" s="2">
        <f>IF(_xlfn.XLOOKUP($D24,'[1]Import Eletra'!$B:$B,'[1]Import Eletra'!$BA:$BA,,0,1)=0,"",_xlfn.XLOOKUP($D24,'[1]Import Eletra'!$B:$B,'[1]Import Eletra'!$BA:$BA,,0,1))</f>
        <v>46168</v>
      </c>
      <c r="CA24" s="1">
        <f t="shared" si="10"/>
        <v>0</v>
      </c>
      <c r="CB24" s="1">
        <f t="shared" ca="1" si="59"/>
        <v>23</v>
      </c>
      <c r="CC24" s="184">
        <f t="shared" ca="1" si="28"/>
        <v>23</v>
      </c>
      <c r="CD24" s="18">
        <f t="shared" si="60"/>
        <v>46145</v>
      </c>
      <c r="CE24" s="2">
        <f>IF(_xlfn.XLOOKUP($D24,'[1]Import Eletra'!$B:$B,'[1]Import Eletra'!$BB:$BB,,0,1)=0,"",_xlfn.XLOOKUP($D24,'[1]Import Eletra'!$B:$B,'[1]Import Eletra'!$BB:$BB,,0,1))</f>
        <v>46168</v>
      </c>
      <c r="CF24" s="1">
        <f t="shared" si="11"/>
        <v>0</v>
      </c>
      <c r="CG24" s="1">
        <f t="shared" ca="1" si="61"/>
        <v>23</v>
      </c>
      <c r="CH24" s="184">
        <f t="shared" ca="1" si="29"/>
        <v>23</v>
      </c>
      <c r="CI24" s="19">
        <f t="shared" si="62"/>
        <v>46145</v>
      </c>
      <c r="CJ24" s="2">
        <f>IF(_xlfn.XLOOKUP($D24,'[1]Import Eletra'!$B:$B,'[1]Import Eletra'!$BC:$BC,,0,1)=0,"",_xlfn.XLOOKUP($D24,'[1]Import Eletra'!$B:$B,'[1]Import Eletra'!$BC:$BC,,0,1))</f>
        <v>46168</v>
      </c>
      <c r="CK24" s="1"/>
      <c r="CL24" s="1">
        <f t="shared" ca="1" si="64"/>
        <v>23</v>
      </c>
      <c r="CM24" s="184">
        <f t="shared" ca="1" si="30"/>
        <v>23</v>
      </c>
      <c r="CN24" s="18">
        <f t="shared" si="65"/>
        <v>46145</v>
      </c>
      <c r="CO24" s="2">
        <f>IF(_xlfn.XLOOKUP($D24,'[1]Import Eletra'!$B:$B,'[1]Import Eletra'!$BD:$BD,,0,1)=0,"",_xlfn.XLOOKUP($D24,'[1]Import Eletra'!$B:$B,'[1]Import Eletra'!$BD:$BD,,0,1))</f>
        <v>46163</v>
      </c>
      <c r="CP24" s="1">
        <f t="shared" si="12"/>
        <v>0</v>
      </c>
      <c r="CQ24" s="1">
        <f t="shared" ca="1" si="66"/>
        <v>18</v>
      </c>
      <c r="CR24" s="184">
        <f t="shared" ca="1" si="31"/>
        <v>18</v>
      </c>
      <c r="CS24" s="19">
        <f t="shared" si="67"/>
        <v>46145</v>
      </c>
      <c r="CT24" s="2">
        <f>IF(_xlfn.XLOOKUP($D24,'[1]Import Eletra'!$B:$B,'[1]Import Eletra'!$BE:$BE,,0,1)=0,"",_xlfn.XLOOKUP($D24,'[1]Import Eletra'!$B:$B,'[1]Import Eletra'!$BE:$BE,,0,1))</f>
        <v>46164</v>
      </c>
      <c r="CU24" s="1">
        <f t="shared" si="13"/>
        <v>0</v>
      </c>
      <c r="CV24" s="1">
        <f t="shared" ca="1" si="68"/>
        <v>19</v>
      </c>
      <c r="CW24" s="184">
        <f t="shared" ca="1" si="32"/>
        <v>19</v>
      </c>
      <c r="CX24" s="19">
        <f t="shared" si="69"/>
        <v>46145</v>
      </c>
      <c r="CY24" s="2">
        <f>IF(_xlfn.XLOOKUP($D24,'[1]Import Eletra'!$B:$B,'[1]Import Eletra'!$BE:$BE,,0,1)=0,"",_xlfn.XLOOKUP($D24,'[1]Import Eletra'!$B:$B,'[1]Import Eletra'!$BE:$BE,,0,1))</f>
        <v>46164</v>
      </c>
      <c r="CZ24" s="40">
        <f t="shared" si="14"/>
        <v>0</v>
      </c>
      <c r="DA24" s="1">
        <f t="shared" ca="1" si="70"/>
        <v>19</v>
      </c>
      <c r="DB24" s="184">
        <f t="shared" ca="1" si="33"/>
        <v>19</v>
      </c>
      <c r="DC24" s="19">
        <f t="shared" si="71"/>
        <v>46147</v>
      </c>
      <c r="DD24" s="2">
        <f>IF(_xlfn.XLOOKUP($D24,'[1]Import Eletra'!$B:$B,'[1]Import Eletra'!$BF:$BF,,0,1)=0,"",_xlfn.XLOOKUP($D24,'[1]Import Eletra'!$B:$B,'[1]Import Eletra'!$BF:$BF,0,1))</f>
        <v>46164</v>
      </c>
      <c r="DE24" s="1">
        <f t="shared" si="15"/>
        <v>2</v>
      </c>
      <c r="DF24" s="1">
        <f t="shared" ca="1" si="77"/>
        <v>17</v>
      </c>
      <c r="DG24" s="184">
        <f t="shared" ca="1" si="34"/>
        <v>15</v>
      </c>
      <c r="DH24" s="19">
        <f>DN24-$DM$3</f>
        <v>46148</v>
      </c>
      <c r="DI24" s="2">
        <f>IF(_xlfn.XLOOKUP($D24,'[1]Import Eletra'!$B:$B,'[1]Import Eletra'!$BG:$BG,,0,1)=0,"",_xlfn.XLOOKUP($D24,'[1]Import Eletra'!$B:$B,'[1]Import Eletra'!$BG:$BG,0,1))</f>
        <v>46168</v>
      </c>
      <c r="DJ24" s="1">
        <f t="shared" si="16"/>
        <v>1</v>
      </c>
      <c r="DK24" s="1">
        <f t="shared" ca="1" si="72"/>
        <v>20</v>
      </c>
      <c r="DL24" s="184">
        <f t="shared" ca="1" si="35"/>
        <v>19</v>
      </c>
      <c r="DM24" s="64">
        <v>46159</v>
      </c>
      <c r="DN24" s="202">
        <f t="shared" si="82"/>
        <v>46149</v>
      </c>
      <c r="DO24" s="2"/>
      <c r="DP24" s="1">
        <f>$DM$3</f>
        <v>1</v>
      </c>
      <c r="DQ24" s="1">
        <f t="shared" ca="1" si="74"/>
        <v>62</v>
      </c>
      <c r="DR24" s="184">
        <f t="shared" ca="1" si="36"/>
        <v>61</v>
      </c>
      <c r="DS24" s="139">
        <f t="shared" si="75"/>
        <v>7</v>
      </c>
      <c r="DT24" s="140"/>
      <c r="DU24" s="184">
        <f t="shared" si="37"/>
        <v>-7</v>
      </c>
      <c r="DW24" s="142" t="s">
        <v>257</v>
      </c>
      <c r="DZ24" s="231" t="s">
        <v>273</v>
      </c>
    </row>
    <row r="25" spans="1:130" ht="30" customHeight="1">
      <c r="B25" s="103">
        <v>1</v>
      </c>
      <c r="C25" s="104" t="s">
        <v>259</v>
      </c>
      <c r="D25" s="144" t="s">
        <v>275</v>
      </c>
      <c r="E25" s="106">
        <f>IF(_xlfn.XLOOKUP($D25,'[1]Import Eletra'!$B:$B,'[1]Import Eletra'!$U:$U,,0,1)=0,"",_xlfn.XLOOKUP($D25,'[1]Import Eletra'!$B:$B,'[1]Import Eletra'!$U:$U,,0,1))</f>
        <v>0.5</v>
      </c>
      <c r="F25" s="104" t="s">
        <v>244</v>
      </c>
      <c r="G25" s="2" t="str">
        <f>_xlfn.XLOOKUP($D25,'[1]Import Eletra'!$B:$B,'[1]Import Eletra'!$F:$F,,0,1)</f>
        <v>DELIVERED</v>
      </c>
      <c r="H25" s="108" t="str">
        <f>_xlfn.XLOOKUP($D25,'[1]Import Eletra'!$B:$B,'[1]Import Eletra'!$G:$G,,0,1)</f>
        <v>SEA</v>
      </c>
      <c r="I25" s="108">
        <v>46066</v>
      </c>
      <c r="J25" s="109">
        <v>30</v>
      </c>
      <c r="K25" s="109">
        <f t="shared" si="83"/>
        <v>45</v>
      </c>
      <c r="L25" s="108">
        <f>IF(_xlfn.XLOOKUP($D25,'[1]Import Eletra'!$B:$B,'[1]Import Eletra'!$J:$J,,0,1)=0,"",_xlfn.XLOOKUP($D25,'[1]Import Eletra'!$B:$B,'[1]Import Eletra'!$J:$J,,0,1))</f>
        <v>46111</v>
      </c>
      <c r="M25" s="168">
        <f>IF(_xlfn.XLOOKUP($D25,'[1]Import Eletra'!$B:$B,'[1]Import Eletra'!$L:$L,,0,1)=0,"",_xlfn.XLOOKUP($D25,'[1]Import Eletra'!$B:$B,'[1]Import Eletra'!$L:$L,,0,1))</f>
        <v>46161</v>
      </c>
      <c r="N25" s="110">
        <f>IF(_xlfn.XLOOKUP($D25,'[1]Import Eletra'!$B:$B,'[1]Import Eletra'!$AJ:$AJ,,0,1)=0,"",_xlfn.XLOOKUP($D25,'[1]Import Eletra'!$B:$B,'[1]Import Eletra'!$AJ:$AJ,,0,1))</f>
        <v>740463.49</v>
      </c>
      <c r="O25" s="108">
        <f>IF(_xlfn.XLOOKUP($D25,'[1]Import Eletra'!$B:$B,'[1]Import Eletra'!$AK:$AK,,0,1)=0,"",_xlfn.XLOOKUP($D25,'[1]Import Eletra'!$B:$B,'[1]Import Eletra'!$AK:$AK,,0,1))</f>
        <v>46136</v>
      </c>
      <c r="P25" s="108">
        <f>IF(_xlfn.XLOOKUP($D25,'[1]Import Eletra'!$B:$B,'[1]Import Eletra'!$AL:$AL,,0,1)=0,"",_xlfn.XLOOKUP($D25,'[1]Import Eletra'!$B:$B,'[1]Import Eletra'!$AL:$AL,,0,1))</f>
        <v>46136</v>
      </c>
      <c r="Q25" s="108">
        <f>IF(_xlfn.XLOOKUP($D25,'[1]Import Eletra'!$B:$B,'[1]Import Eletra'!$AM:$AM,,0,1)=0,"",_xlfn.XLOOKUP($D25,'[1]Import Eletra'!$B:$B,'[1]Import Eletra'!$AM:$AM,,0,1))</f>
        <v>46139</v>
      </c>
      <c r="R25" s="108">
        <f>IF(_xlfn.XLOOKUP($D25,'[1]Import Eletra'!$B:$B,'[1]Import Eletra'!$AN:$AN,,0,1)=0,"",_xlfn.XLOOKUP($D25,'[1]Import Eletra'!$B:$B,'[1]Import Eletra'!$AN:$AN,,0,1))</f>
        <v>46140</v>
      </c>
      <c r="S25" s="108">
        <f>IF(_xlfn.XLOOKUP($D25,'[1]Import Eletra'!$B:$B,'[1]Import Eletra'!$AO:$AO,,0,1)=0,"",_xlfn.XLOOKUP($D25,'[1]Import Eletra'!$B:$B,'[1]Import Eletra'!$AO:$AO,,0,1))</f>
        <v>46140</v>
      </c>
      <c r="T25" s="108">
        <f>IF(_xlfn.XLOOKUP($D25,'[1]Import Eletra'!$B:$B,'[1]Import Eletra'!$AP:$AP,,0,1)=0,"",_xlfn.XLOOKUP($D25,'[1]Import Eletra'!$B:$B,'[1]Import Eletra'!$AP:$AP,,0,1))</f>
        <v>46140</v>
      </c>
      <c r="U25" s="208">
        <f>IF(_xlfn.XLOOKUP($D25,'[1]Import Eletra'!$B:$B,'[1]Import Eletra'!$AQ:$AQ,,0,1)=0,"",_xlfn.XLOOKUP($D25,'[1]Import Eletra'!$B:$B,'[1]Import Eletra'!$AQ:$AQ,,0,1))</f>
        <v>46141</v>
      </c>
      <c r="V25" s="110">
        <f t="shared" si="41"/>
        <v>46141</v>
      </c>
      <c r="W25" s="104">
        <f>IF(_xlfn.XLOOKUP($D25,'[1]Import Eletra'!$B:$B,'[1]Import Eletra'!$AR:$AR,,0,1)=0,"",_xlfn.XLOOKUP($D25,'[1]Import Eletra'!$B:$B,'[1]Import Eletra'!$AR:$AR,,0,1))</f>
        <v>46162</v>
      </c>
      <c r="X25" s="112">
        <f t="shared" si="1"/>
        <v>0</v>
      </c>
      <c r="Y25" s="112">
        <f t="shared" ca="1" si="2"/>
        <v>21</v>
      </c>
      <c r="Z25" s="184">
        <f t="shared" ca="1" si="17"/>
        <v>21</v>
      </c>
      <c r="AA25" s="114">
        <f t="shared" si="42"/>
        <v>46141</v>
      </c>
      <c r="AB25" s="104" t="str">
        <f>IF(_xlfn.XLOOKUP($D25,'[1]Import Eletra'!$B:$B,'[1]Import Eletra'!$AC:$AC,,0,1)=0,"",_xlfn.XLOOKUP($D25,'[1]Import Eletra'!$B:$B,'[1]Import Eletra'!$AC:$AC,,0,1))</f>
        <v/>
      </c>
      <c r="AC25" s="112">
        <f t="shared" si="3"/>
        <v>0</v>
      </c>
      <c r="AD25" s="112">
        <f t="shared" ca="1" si="43"/>
        <v>70</v>
      </c>
      <c r="AE25" s="184">
        <f t="shared" ca="1" si="18"/>
        <v>70</v>
      </c>
      <c r="AF25" s="116">
        <f t="shared" si="44"/>
        <v>46141</v>
      </c>
      <c r="AG25" s="104">
        <f>IF(_xlfn.XLOOKUP($D25,'[1]Import Eletra'!$B:$B,'[1]Import Eletra'!$AD:$AD,,0,1)=0,"",_xlfn.XLOOKUP($D25,'[1]Import Eletra'!$B:$B,'[1]Import Eletra'!$AD:$AD,,0,1))</f>
        <v>46162</v>
      </c>
      <c r="AH25" s="112">
        <f t="shared" si="4"/>
        <v>0</v>
      </c>
      <c r="AI25" s="112">
        <f t="shared" ca="1" si="45"/>
        <v>21</v>
      </c>
      <c r="AJ25" s="184">
        <f t="shared" ca="1" si="19"/>
        <v>21</v>
      </c>
      <c r="AK25" s="116">
        <f t="shared" si="46"/>
        <v>46141</v>
      </c>
      <c r="AL25" s="104">
        <f>IF(_xlfn.XLOOKUP($D25,'[1]Import Eletra'!$B:$B,'[1]Import Eletra'!$AS:$AS,,0,1)=0,"",_xlfn.XLOOKUP($D25,'[1]Import Eletra'!$B:$B,'[1]Import Eletra'!$AS:$AS,,0,1))</f>
        <v>46162</v>
      </c>
      <c r="AM25" s="112">
        <f t="shared" si="5"/>
        <v>0</v>
      </c>
      <c r="AN25" s="112">
        <f t="shared" ca="1" si="47"/>
        <v>21</v>
      </c>
      <c r="AO25" s="184">
        <f t="shared" ca="1" si="20"/>
        <v>21</v>
      </c>
      <c r="AP25" s="166">
        <f t="shared" si="48"/>
        <v>46142</v>
      </c>
      <c r="AQ25" s="104">
        <f>IF(_xlfn.XLOOKUP($D25,'[1]Import Eletra'!$B:$B,'[1]Import Eletra'!$AT:$AT,,0,1)=0,"",_xlfn.XLOOKUP($D25,'[1]Import Eletra'!$B:$B,'[1]Import Eletra'!$AT:$AT,,0,1))</f>
        <v>46163</v>
      </c>
      <c r="AR25" s="112">
        <f t="shared" si="6"/>
        <v>1</v>
      </c>
      <c r="AS25" s="112">
        <f t="shared" ca="1" si="49"/>
        <v>21</v>
      </c>
      <c r="AT25" s="184">
        <f t="shared" ca="1" si="21"/>
        <v>20</v>
      </c>
      <c r="AU25" s="116">
        <f t="shared" si="50"/>
        <v>46142</v>
      </c>
      <c r="AV25" s="104">
        <f>IF(_xlfn.XLOOKUP($D25,'[1]Import Eletra'!$B:$B,'[1]Import Eletra'!$AU:$AU,,0,1)=0,"",_xlfn.XLOOKUP($D25,'[1]Import Eletra'!$B:$B,'[1]Import Eletra'!$AU:$AU,,0,1))</f>
        <v>46163</v>
      </c>
      <c r="AW25" s="112">
        <f t="shared" si="38"/>
        <v>0</v>
      </c>
      <c r="AX25" s="112">
        <f t="shared" ca="1" si="79"/>
        <v>21</v>
      </c>
      <c r="AY25" s="184">
        <f t="shared" ca="1" si="22"/>
        <v>21</v>
      </c>
      <c r="AZ25" s="166">
        <f t="shared" si="51"/>
        <v>46142</v>
      </c>
      <c r="BA25" s="104" t="str">
        <f>IF(_xlfn.XLOOKUP($D25,'[1]Import Eletra'!$B:$B,'[1]Import Eletra'!$AV:$AV,,0,1)=0,"",_xlfn.XLOOKUP($D25,'[1]Import Eletra'!$B:$B,'[1]Import Eletra'!$AV:$AV,,0,1))</f>
        <v/>
      </c>
      <c r="BB25" s="112">
        <f t="shared" si="39"/>
        <v>0</v>
      </c>
      <c r="BC25" s="112">
        <f t="shared" ca="1" si="80"/>
        <v>69</v>
      </c>
      <c r="BD25" s="184">
        <f t="shared" ca="1" si="23"/>
        <v>69</v>
      </c>
      <c r="BE25" s="110">
        <f t="shared" si="52"/>
        <v>46142</v>
      </c>
      <c r="BF25" s="104" t="str">
        <f>IF(_xlfn.XLOOKUP($D25,'[1]Import Eletra'!$B:$B,'[1]Import Eletra'!$AW:$AW,,0,1)=0,"",_xlfn.XLOOKUP($D25,'[1]Import Eletra'!$B:$B,'[1]Import Eletra'!$AW:$AW,,0,1))</f>
        <v/>
      </c>
      <c r="BG25" s="112">
        <f t="shared" si="40"/>
        <v>0</v>
      </c>
      <c r="BH25" s="112">
        <f t="shared" ca="1" si="81"/>
        <v>69</v>
      </c>
      <c r="BI25" s="184">
        <f t="shared" ca="1" si="24"/>
        <v>69</v>
      </c>
      <c r="BJ25" s="120">
        <f t="shared" si="53"/>
        <v>46142</v>
      </c>
      <c r="BK25" s="104" t="str">
        <f>IF(_xlfn.XLOOKUP($D25,'[1]Import Eletra'!$B:$B,'[1]Import Eletra'!$AX:$AX,,0,1)=0,"",_xlfn.XLOOKUP($D25,'[1]Import Eletra'!$B:$B,'[1]Import Eletra'!$AX:$AX,,0,1))</f>
        <v/>
      </c>
      <c r="BL25" s="112">
        <f t="shared" si="7"/>
        <v>0</v>
      </c>
      <c r="BM25" s="112">
        <f t="shared" ca="1" si="76"/>
        <v>69</v>
      </c>
      <c r="BN25" s="184">
        <f t="shared" ca="1" si="25"/>
        <v>69</v>
      </c>
      <c r="BO25" s="110">
        <f t="shared" si="54"/>
        <v>46142</v>
      </c>
      <c r="BP25" s="104" t="str">
        <f>IF(_xlfn.XLOOKUP($D25,'[1]Import Eletra'!$B:$B,'[1]Import Eletra'!$AY:$AY,,0,1)=0,"",_xlfn.XLOOKUP($D25,'[1]Import Eletra'!$B:$B,'[1]Import Eletra'!$AY:$AY,,0,1))</f>
        <v/>
      </c>
      <c r="BQ25" s="112">
        <f t="shared" si="8"/>
        <v>0</v>
      </c>
      <c r="BR25" s="112">
        <f t="shared" ca="1" si="55"/>
        <v>69</v>
      </c>
      <c r="BS25" s="184">
        <f t="shared" ca="1" si="26"/>
        <v>69</v>
      </c>
      <c r="BT25" s="120">
        <f t="shared" si="56"/>
        <v>46144</v>
      </c>
      <c r="BU25" s="104" t="str">
        <f>IF(_xlfn.XLOOKUP($D25,'[1]Import Eletra'!$B:$B,'[1]Import Eletra'!$AZ:$AZ,,0,1)=0,"",_xlfn.XLOOKUP($D25,'[1]Import Eletra'!$B:$B,'[1]Import Eletra'!$AZ:$AZ,,0,1))</f>
        <v/>
      </c>
      <c r="BV25" s="112">
        <f t="shared" si="9"/>
        <v>2</v>
      </c>
      <c r="BW25" s="112">
        <f t="shared" ca="1" si="57"/>
        <v>67</v>
      </c>
      <c r="BX25" s="184">
        <f t="shared" ca="1" si="27"/>
        <v>65</v>
      </c>
      <c r="BY25" s="110">
        <f t="shared" si="58"/>
        <v>46144</v>
      </c>
      <c r="BZ25" s="104">
        <f>IF(_xlfn.XLOOKUP($D25,'[1]Import Eletra'!$B:$B,'[1]Import Eletra'!$BA:$BA,,0,1)=0,"",_xlfn.XLOOKUP($D25,'[1]Import Eletra'!$B:$B,'[1]Import Eletra'!$BA:$BA,,0,1))</f>
        <v>46168</v>
      </c>
      <c r="CA25" s="112">
        <f t="shared" si="10"/>
        <v>0</v>
      </c>
      <c r="CB25" s="112">
        <f t="shared" ca="1" si="59"/>
        <v>24</v>
      </c>
      <c r="CC25" s="184">
        <f t="shared" ca="1" si="28"/>
        <v>24</v>
      </c>
      <c r="CD25" s="120">
        <f t="shared" si="60"/>
        <v>46144</v>
      </c>
      <c r="CE25" s="104">
        <f>IF(_xlfn.XLOOKUP($D25,'[1]Import Eletra'!$B:$B,'[1]Import Eletra'!$BB:$BB,,0,1)=0,"",_xlfn.XLOOKUP($D25,'[1]Import Eletra'!$B:$B,'[1]Import Eletra'!$BB:$BB,,0,1))</f>
        <v>46168</v>
      </c>
      <c r="CF25" s="112">
        <f t="shared" si="11"/>
        <v>0</v>
      </c>
      <c r="CG25" s="112">
        <f t="shared" ca="1" si="61"/>
        <v>24</v>
      </c>
      <c r="CH25" s="184">
        <f t="shared" ca="1" si="29"/>
        <v>24</v>
      </c>
      <c r="CI25" s="110">
        <f t="shared" si="62"/>
        <v>46144</v>
      </c>
      <c r="CJ25" s="104">
        <f>IF(_xlfn.XLOOKUP($D25,'[1]Import Eletra'!$B:$B,'[1]Import Eletra'!$BC:$BC,,0,1)=0,"",_xlfn.XLOOKUP($D25,'[1]Import Eletra'!$B:$B,'[1]Import Eletra'!$BC:$BC,,0,1))</f>
        <v>46168</v>
      </c>
      <c r="CK25" s="112"/>
      <c r="CL25" s="112">
        <f t="shared" ca="1" si="64"/>
        <v>24</v>
      </c>
      <c r="CM25" s="184">
        <f t="shared" ca="1" si="30"/>
        <v>24</v>
      </c>
      <c r="CN25" s="120">
        <f t="shared" si="65"/>
        <v>46144</v>
      </c>
      <c r="CO25" s="104">
        <f>IF(_xlfn.XLOOKUP($D25,'[1]Import Eletra'!$B:$B,'[1]Import Eletra'!$BD:$BD,,0,1)=0,"",_xlfn.XLOOKUP($D25,'[1]Import Eletra'!$B:$B,'[1]Import Eletra'!$BD:$BD,,0,1))</f>
        <v>46164</v>
      </c>
      <c r="CP25" s="112">
        <f t="shared" si="12"/>
        <v>0</v>
      </c>
      <c r="CQ25" s="112">
        <f t="shared" ca="1" si="66"/>
        <v>20</v>
      </c>
      <c r="CR25" s="184">
        <f t="shared" ca="1" si="31"/>
        <v>20</v>
      </c>
      <c r="CS25" s="110">
        <f t="shared" si="67"/>
        <v>46144</v>
      </c>
      <c r="CT25" s="104">
        <f>IF(_xlfn.XLOOKUP($D25,'[1]Import Eletra'!$B:$B,'[1]Import Eletra'!$BE:$BE,,0,1)=0,"",_xlfn.XLOOKUP($D25,'[1]Import Eletra'!$B:$B,'[1]Import Eletra'!$BE:$BE,,0,1))</f>
        <v>46164</v>
      </c>
      <c r="CU25" s="112">
        <f t="shared" si="13"/>
        <v>0</v>
      </c>
      <c r="CV25" s="112">
        <f t="shared" ca="1" si="68"/>
        <v>20</v>
      </c>
      <c r="CW25" s="184">
        <f t="shared" ca="1" si="32"/>
        <v>20</v>
      </c>
      <c r="CX25" s="110">
        <f t="shared" si="69"/>
        <v>46144</v>
      </c>
      <c r="CY25" s="104">
        <f>IF(_xlfn.XLOOKUP($D25,'[1]Import Eletra'!$B:$B,'[1]Import Eletra'!$BE:$BE,,0,1)=0,"",_xlfn.XLOOKUP($D25,'[1]Import Eletra'!$B:$B,'[1]Import Eletra'!$BE:$BE,,0,1))</f>
        <v>46164</v>
      </c>
      <c r="CZ25" s="121">
        <f t="shared" si="14"/>
        <v>0</v>
      </c>
      <c r="DA25" s="112">
        <f t="shared" ca="1" si="70"/>
        <v>20</v>
      </c>
      <c r="DB25" s="184">
        <f t="shared" ca="1" si="33"/>
        <v>20</v>
      </c>
      <c r="DC25" s="110">
        <f t="shared" si="71"/>
        <v>46146</v>
      </c>
      <c r="DD25" s="104">
        <f>IF(_xlfn.XLOOKUP($D25,'[1]Import Eletra'!$B:$B,'[1]Import Eletra'!$BF:$BF,,0,1)=0,"",_xlfn.XLOOKUP($D25,'[1]Import Eletra'!$B:$B,'[1]Import Eletra'!$BF:$BF,0,1))</f>
        <v>46164</v>
      </c>
      <c r="DE25" s="112">
        <f t="shared" si="15"/>
        <v>2</v>
      </c>
      <c r="DF25" s="112">
        <f t="shared" ca="1" si="77"/>
        <v>18</v>
      </c>
      <c r="DG25" s="184">
        <f t="shared" ca="1" si="34"/>
        <v>16</v>
      </c>
      <c r="DH25" s="110">
        <f>DN25-$DM$3</f>
        <v>46147</v>
      </c>
      <c r="DI25" s="104">
        <f>IF(_xlfn.XLOOKUP($D25,'[1]Import Eletra'!$B:$B,'[1]Import Eletra'!$BG:$BG,,0,1)=0,"",_xlfn.XLOOKUP($D25,'[1]Import Eletra'!$B:$B,'[1]Import Eletra'!$BG:$BG,0,1))</f>
        <v>46168</v>
      </c>
      <c r="DJ25" s="112">
        <f t="shared" si="16"/>
        <v>1</v>
      </c>
      <c r="DK25" s="112">
        <f t="shared" ca="1" si="72"/>
        <v>21</v>
      </c>
      <c r="DL25" s="184">
        <f t="shared" ca="1" si="35"/>
        <v>20</v>
      </c>
      <c r="DM25" s="64"/>
      <c r="DN25" s="202">
        <f t="shared" si="82"/>
        <v>46148</v>
      </c>
      <c r="DO25" s="104"/>
      <c r="DP25" s="112">
        <f>$DM$3</f>
        <v>1</v>
      </c>
      <c r="DQ25" s="112">
        <f t="shared" ca="1" si="74"/>
        <v>63</v>
      </c>
      <c r="DR25" s="184">
        <f t="shared" ca="1" si="36"/>
        <v>62</v>
      </c>
      <c r="DS25" s="143">
        <f t="shared" si="75"/>
        <v>7</v>
      </c>
      <c r="DT25" s="140"/>
      <c r="DU25" s="184">
        <f t="shared" si="37"/>
        <v>-7</v>
      </c>
      <c r="DW25" s="142" t="s">
        <v>257</v>
      </c>
      <c r="DZ25" s="232"/>
    </row>
    <row r="26" spans="1:130" ht="30" customHeight="1">
      <c r="B26" s="91">
        <v>2</v>
      </c>
      <c r="C26" s="2" t="s">
        <v>269</v>
      </c>
      <c r="D26" s="211" t="s">
        <v>276</v>
      </c>
      <c r="E26" s="96">
        <f>IF(_xlfn.XLOOKUP($D26,'[1]Import Eletra'!$B:$B,'[1]Import Eletra'!$U:$U,,0,1)=0,"",_xlfn.XLOOKUP($D26,'[1]Import Eletra'!$B:$B,'[1]Import Eletra'!$U:$U,,0,1))</f>
        <v>0.5</v>
      </c>
      <c r="F26" s="73" t="s">
        <v>244</v>
      </c>
      <c r="G26" s="2" t="str">
        <f>_xlfn.XLOOKUP($D26,'[1]Import Eletra'!$B:$B,'[1]Import Eletra'!$F:$F,,0,1)</f>
        <v>DELIVERED</v>
      </c>
      <c r="H26" s="3" t="str">
        <f>_xlfn.XLOOKUP($D26,'[1]Import Eletra'!$B:$B,'[1]Import Eletra'!$G:$G,,0,1)</f>
        <v>SEA</v>
      </c>
      <c r="I26" s="3">
        <v>45948</v>
      </c>
      <c r="J26" s="58">
        <v>30</v>
      </c>
      <c r="K26" s="58">
        <f t="shared" si="83"/>
        <v>111</v>
      </c>
      <c r="L26" s="3">
        <f>IF(_xlfn.XLOOKUP($D26,'[1]Import Eletra'!$B:$B,'[1]Import Eletra'!$J:$J,,0,1)=0,"",_xlfn.XLOOKUP($D26,'[1]Import Eletra'!$B:$B,'[1]Import Eletra'!$J:$J,,0,1))</f>
        <v>46059</v>
      </c>
      <c r="M26" s="84">
        <f>IF(_xlfn.XLOOKUP($D26,'[1]Import Eletra'!$B:$B,'[1]Import Eletra'!$L:$L,,0,1)=0,"",_xlfn.XLOOKUP($D26,'[1]Import Eletra'!$B:$B,'[1]Import Eletra'!$L:$L,,0,1))</f>
        <v>46138</v>
      </c>
      <c r="N26" s="19">
        <f>IF(_xlfn.XLOOKUP($D26,'[1]Import Eletra'!$B:$B,'[1]Import Eletra'!$AJ:$AJ,,0,1)=0,"",_xlfn.XLOOKUP($D26,'[1]Import Eletra'!$B:$B,'[1]Import Eletra'!$AJ:$AJ,,0,1))</f>
        <v>174486.98</v>
      </c>
      <c r="O26" s="3">
        <f>IF(_xlfn.XLOOKUP($D26,'[1]Import Eletra'!$B:$B,'[1]Import Eletra'!$AK:$AK,,0,1)=0,"",_xlfn.XLOOKUP($D26,'[1]Import Eletra'!$B:$B,'[1]Import Eletra'!$AK:$AK,,0,1))</f>
        <v>46069</v>
      </c>
      <c r="P26" s="3">
        <f>IF(_xlfn.XLOOKUP($D26,'[1]Import Eletra'!$B:$B,'[1]Import Eletra'!$AL:$AL,,0,1)=0,"",_xlfn.XLOOKUP($D26,'[1]Import Eletra'!$B:$B,'[1]Import Eletra'!$AL:$AL,,0,1))</f>
        <v>46070</v>
      </c>
      <c r="Q26" s="3">
        <f>IF(_xlfn.XLOOKUP($D26,'[1]Import Eletra'!$B:$B,'[1]Import Eletra'!$AM:$AM,,0,1)=0,"",_xlfn.XLOOKUP($D26,'[1]Import Eletra'!$B:$B,'[1]Import Eletra'!$AM:$AM,,0,1))</f>
        <v>46073</v>
      </c>
      <c r="R26" s="3">
        <f>IF(_xlfn.XLOOKUP($D26,'[1]Import Eletra'!$B:$B,'[1]Import Eletra'!$AN:$AN,,0,1)=0,"",_xlfn.XLOOKUP($D26,'[1]Import Eletra'!$B:$B,'[1]Import Eletra'!$AN:$AN,,0,1))</f>
        <v>46076</v>
      </c>
      <c r="S26" s="3">
        <f>IF(_xlfn.XLOOKUP($D26,'[1]Import Eletra'!$B:$B,'[1]Import Eletra'!$AO:$AO,,0,1)=0,"",_xlfn.XLOOKUP($D26,'[1]Import Eletra'!$B:$B,'[1]Import Eletra'!$AO:$AO,,0,1))</f>
        <v>46076</v>
      </c>
      <c r="T26" s="3">
        <f>IF(_xlfn.XLOOKUP($D26,'[1]Import Eletra'!$B:$B,'[1]Import Eletra'!$AP:$AP,,0,1)=0,"",_xlfn.XLOOKUP($D26,'[1]Import Eletra'!$B:$B,'[1]Import Eletra'!$AP:$AP,,0,1))</f>
        <v>46076</v>
      </c>
      <c r="U26" s="82">
        <f>IF(_xlfn.XLOOKUP($D26,'[1]Import Eletra'!$B:$B,'[1]Import Eletra'!$AQ:$AQ,,0,1)=0,"",_xlfn.XLOOKUP($D26,'[1]Import Eletra'!$B:$B,'[1]Import Eletra'!$AQ:$AQ,,0,1))</f>
        <v>46076</v>
      </c>
      <c r="V26" s="19">
        <f>AA26-$AA$4</f>
        <v>46076</v>
      </c>
      <c r="W26" s="2">
        <f>IF(_xlfn.XLOOKUP($D26,'[1]Import Eletra'!$B:$B,'[1]Import Eletra'!$AR:$AR,,0,1)=0,"",_xlfn.XLOOKUP($D26,'[1]Import Eletra'!$B:$B,'[1]Import Eletra'!$AR:$AR,,0,1))</f>
        <v>46141</v>
      </c>
      <c r="X26" s="72">
        <f t="shared" si="1"/>
        <v>0</v>
      </c>
      <c r="Y26" s="72">
        <f t="shared" ca="1" si="2"/>
        <v>65</v>
      </c>
      <c r="Z26" s="184">
        <f t="shared" ca="1" si="17"/>
        <v>65</v>
      </c>
      <c r="AA26" s="68">
        <f>AF26-$AA$4</f>
        <v>46077</v>
      </c>
      <c r="AB26" s="2" t="str">
        <f>IF(_xlfn.XLOOKUP($D26,'[1]Import Eletra'!$B:$B,'[1]Import Eletra'!$AC:$AC,,0,1)=0,"",_xlfn.XLOOKUP($D26,'[1]Import Eletra'!$B:$B,'[1]Import Eletra'!$AC:$AC,,0,1))</f>
        <v/>
      </c>
      <c r="AC26" s="72">
        <f t="shared" si="3"/>
        <v>0</v>
      </c>
      <c r="AD26" s="72">
        <f ca="1">IF(AB26="",TODAY()-AA26,AB26-AA26)</f>
        <v>134</v>
      </c>
      <c r="AE26" s="184">
        <f t="shared" ca="1" si="18"/>
        <v>134</v>
      </c>
      <c r="AF26" s="70">
        <f>AK26-$AK$4</f>
        <v>46078</v>
      </c>
      <c r="AG26" s="2">
        <f>IF(_xlfn.XLOOKUP($D26,'[1]Import Eletra'!$B:$B,'[1]Import Eletra'!$AD:$AD,,0,1)=0,"",_xlfn.XLOOKUP($D26,'[1]Import Eletra'!$B:$B,'[1]Import Eletra'!$AD:$AD,,0,1))</f>
        <v>46141</v>
      </c>
      <c r="AH26" s="72">
        <f t="shared" si="4"/>
        <v>0</v>
      </c>
      <c r="AI26" s="72">
        <f ca="1">IF(AG26="",TODAY()-AF26,AG26-AF26)</f>
        <v>63</v>
      </c>
      <c r="AJ26" s="184">
        <f t="shared" ca="1" si="19"/>
        <v>63</v>
      </c>
      <c r="AK26" s="70">
        <f>AP26-$AP$4</f>
        <v>46078</v>
      </c>
      <c r="AL26" s="2">
        <f>IF(_xlfn.XLOOKUP($D26,'[1]Import Eletra'!$B:$B,'[1]Import Eletra'!$AS:$AS,,0,1)=0,"",_xlfn.XLOOKUP($D26,'[1]Import Eletra'!$B:$B,'[1]Import Eletra'!$AS:$AS,,0,1))</f>
        <v>46141</v>
      </c>
      <c r="AM26" s="72">
        <f t="shared" si="5"/>
        <v>0</v>
      </c>
      <c r="AN26" s="72">
        <f ca="1">IF(AL26="",TODAY()-AK26,AL26-AK26)</f>
        <v>63</v>
      </c>
      <c r="AO26" s="184">
        <f t="shared" ca="1" si="20"/>
        <v>63</v>
      </c>
      <c r="AP26" s="71">
        <f>AU26-$AU$4</f>
        <v>46079</v>
      </c>
      <c r="AQ26" s="2">
        <f>IF(_xlfn.XLOOKUP($D26,'[1]Import Eletra'!$B:$B,'[1]Import Eletra'!$AT:$AT,,0,1)=0,"",_xlfn.XLOOKUP($D26,'[1]Import Eletra'!$B:$B,'[1]Import Eletra'!$AT:$AT,,0,1))</f>
        <v>46142</v>
      </c>
      <c r="AR26" s="72">
        <f t="shared" si="6"/>
        <v>1</v>
      </c>
      <c r="AS26" s="72">
        <f ca="1">IF(AQ26="",TODAY()-AP26,AQ26-AP26)</f>
        <v>63</v>
      </c>
      <c r="AT26" s="184">
        <f t="shared" ca="1" si="21"/>
        <v>62</v>
      </c>
      <c r="AU26" s="70">
        <f>AZ26-$AZ$4</f>
        <v>46079</v>
      </c>
      <c r="AV26" s="2">
        <f>IF(_xlfn.XLOOKUP($D26,'[1]Import Eletra'!$B:$B,'[1]Import Eletra'!$AU:$AU,,0,1)=0,"",_xlfn.XLOOKUP($D26,'[1]Import Eletra'!$B:$B,'[1]Import Eletra'!$AU:$AU,,0,1))</f>
        <v>46148</v>
      </c>
      <c r="AW26" s="72">
        <f t="shared" si="38"/>
        <v>0</v>
      </c>
      <c r="AX26" s="72">
        <f ca="1">IF(AV26="",TODAY()-AU26,AV26-AU26)</f>
        <v>69</v>
      </c>
      <c r="AY26" s="184">
        <f t="shared" ca="1" si="22"/>
        <v>69</v>
      </c>
      <c r="AZ26" s="71">
        <f>BE26-$BE$4</f>
        <v>46079</v>
      </c>
      <c r="BA26" s="2" t="str">
        <f>IF(_xlfn.XLOOKUP($D26,'[1]Import Eletra'!$B:$B,'[1]Import Eletra'!$AV:$AV,,0,1)=0,"",_xlfn.XLOOKUP($D26,'[1]Import Eletra'!$B:$B,'[1]Import Eletra'!$AV:$AV,,0,1))</f>
        <v/>
      </c>
      <c r="BB26" s="72">
        <f t="shared" si="39"/>
        <v>0</v>
      </c>
      <c r="BC26" s="72">
        <f ca="1">IF(BA26="",TODAY()-AZ26,BA26-AZ26)</f>
        <v>132</v>
      </c>
      <c r="BD26" s="184">
        <f t="shared" ca="1" si="23"/>
        <v>132</v>
      </c>
      <c r="BE26" s="19">
        <f>BJ26-$BJ$4</f>
        <v>46079</v>
      </c>
      <c r="BF26" s="2" t="str">
        <f>IF(_xlfn.XLOOKUP($D26,'[1]Import Eletra'!$B:$B,'[1]Import Eletra'!$AW:$AW,,0,1)=0,"",_xlfn.XLOOKUP($D26,'[1]Import Eletra'!$B:$B,'[1]Import Eletra'!$AW:$AW,,0,1))</f>
        <v/>
      </c>
      <c r="BG26" s="72">
        <f t="shared" si="40"/>
        <v>0</v>
      </c>
      <c r="BH26" s="72">
        <f ca="1">IF(BF26="",TODAY()-BE26,BF26-BE26)</f>
        <v>132</v>
      </c>
      <c r="BI26" s="184">
        <f t="shared" ca="1" si="24"/>
        <v>132</v>
      </c>
      <c r="BJ26" s="18">
        <f>BO26-$BO$4</f>
        <v>46079</v>
      </c>
      <c r="BK26" s="2" t="str">
        <f>IF(_xlfn.XLOOKUP($D26,'[1]Import Eletra'!$B:$B,'[1]Import Eletra'!$AX:$AX,,0,1)=0,"",_xlfn.XLOOKUP($D26,'[1]Import Eletra'!$B:$B,'[1]Import Eletra'!$AX:$AX,,0,1))</f>
        <v/>
      </c>
      <c r="BL26" s="72">
        <f t="shared" si="7"/>
        <v>0</v>
      </c>
      <c r="BM26" s="72">
        <f ca="1">IF(BK26="",TODAY()-BJ26,BK26-BJ26)</f>
        <v>132</v>
      </c>
      <c r="BN26" s="184">
        <f t="shared" ca="1" si="25"/>
        <v>132</v>
      </c>
      <c r="BO26" s="19">
        <f>BT26-$BT$4</f>
        <v>46079</v>
      </c>
      <c r="BP26" s="2">
        <f>IF(_xlfn.XLOOKUP($D26,'[1]Import Eletra'!$B:$B,'[1]Import Eletra'!$AY:$AY,,0,1)=0,"",_xlfn.XLOOKUP($D26,'[1]Import Eletra'!$B:$B,'[1]Import Eletra'!$AY:$AY,,0,1))</f>
        <v>46142</v>
      </c>
      <c r="BQ26" s="72">
        <f t="shared" si="8"/>
        <v>0</v>
      </c>
      <c r="BR26" s="72">
        <f ca="1">IF(BP26="",TODAY()-BO26,BP26-BO26)</f>
        <v>63</v>
      </c>
      <c r="BS26" s="184">
        <f t="shared" ca="1" si="26"/>
        <v>63</v>
      </c>
      <c r="BT26" s="18">
        <f>BY26-$BY$4</f>
        <v>46081</v>
      </c>
      <c r="BU26" s="2">
        <f>IF(_xlfn.XLOOKUP($D26,'[1]Import Eletra'!$B:$B,'[1]Import Eletra'!$AZ:$AZ,,0,1)=0,"",_xlfn.XLOOKUP($D26,'[1]Import Eletra'!$B:$B,'[1]Import Eletra'!$AZ:$AZ,,0,1))</f>
        <v>46142</v>
      </c>
      <c r="BV26" s="72">
        <f t="shared" si="9"/>
        <v>2</v>
      </c>
      <c r="BW26" s="72">
        <f ca="1">IF(BU26="",TODAY()-BT26,BU26-BT26)</f>
        <v>61</v>
      </c>
      <c r="BX26" s="184">
        <f t="shared" ca="1" si="27"/>
        <v>59</v>
      </c>
      <c r="BY26" s="19">
        <f>CD26-$CD$4</f>
        <v>46081</v>
      </c>
      <c r="BZ26" s="2">
        <f>IF(_xlfn.XLOOKUP($D26,'[1]Import Eletra'!$B:$B,'[1]Import Eletra'!$BA:$BA,,0,1)=0,"",_xlfn.XLOOKUP($D26,'[1]Import Eletra'!$B:$B,'[1]Import Eletra'!$BA:$BA,,0,1))</f>
        <v>46146</v>
      </c>
      <c r="CA26" s="72">
        <f t="shared" si="10"/>
        <v>0</v>
      </c>
      <c r="CB26" s="72">
        <f ca="1">IF(BZ26="",TODAY()-BY26,BZ26-BY26)</f>
        <v>65</v>
      </c>
      <c r="CC26" s="184">
        <f t="shared" ca="1" si="28"/>
        <v>65</v>
      </c>
      <c r="CD26" s="18">
        <f>CI26-$CI$4</f>
        <v>46081</v>
      </c>
      <c r="CE26" s="2">
        <f>IF(_xlfn.XLOOKUP($D26,'[1]Import Eletra'!$B:$B,'[1]Import Eletra'!$BB:$BB,,0,1)=0,"",_xlfn.XLOOKUP($D26,'[1]Import Eletra'!$B:$B,'[1]Import Eletra'!$BB:$BB,,0,1))</f>
        <v>46146</v>
      </c>
      <c r="CF26" s="72">
        <f t="shared" si="11"/>
        <v>0</v>
      </c>
      <c r="CG26" s="72">
        <f ca="1">IF(CE26="",TODAY()-CD26,CE26-CD26)</f>
        <v>65</v>
      </c>
      <c r="CH26" s="184">
        <f t="shared" ca="1" si="29"/>
        <v>65</v>
      </c>
      <c r="CI26" s="19">
        <f>CN26-$CN$4</f>
        <v>46081</v>
      </c>
      <c r="CJ26" s="2">
        <f>IF(_xlfn.XLOOKUP($D26,'[1]Import Eletra'!$B:$B,'[1]Import Eletra'!$BC:$BC,,0,1)=0,"",_xlfn.XLOOKUP($D26,'[1]Import Eletra'!$B:$B,'[1]Import Eletra'!$BC:$BC,,0,1))</f>
        <v>46148</v>
      </c>
      <c r="CK26" s="72"/>
      <c r="CL26" s="72">
        <f ca="1">IF(CJ26="",TODAY()-CI26,CJ26-CI26)</f>
        <v>67</v>
      </c>
      <c r="CM26" s="184">
        <f t="shared" ca="1" si="30"/>
        <v>67</v>
      </c>
      <c r="CN26" s="18">
        <f>CS26-$CS$4</f>
        <v>46082</v>
      </c>
      <c r="CO26" s="2">
        <f>IF(_xlfn.XLOOKUP($D26,'[1]Import Eletra'!$B:$B,'[1]Import Eletra'!$BD:$BD,,0,1)=0,"",_xlfn.XLOOKUP($D26,'[1]Import Eletra'!$B:$B,'[1]Import Eletra'!$BD:$BD,,0,1))</f>
        <v>46146</v>
      </c>
      <c r="CP26" s="72">
        <f t="shared" si="12"/>
        <v>0</v>
      </c>
      <c r="CQ26" s="72">
        <f ca="1">IF(CO26="",TODAY()-CN26,CO26-CN26)</f>
        <v>64</v>
      </c>
      <c r="CR26" s="184">
        <f t="shared" ca="1" si="31"/>
        <v>64</v>
      </c>
      <c r="CS26" s="19">
        <f>CX26-$CX$4</f>
        <v>46082</v>
      </c>
      <c r="CT26" s="2">
        <f>IF(_xlfn.XLOOKUP($D26,'[1]Import Eletra'!$B:$B,'[1]Import Eletra'!$BE:$BE,,0,1)=0,"",_xlfn.XLOOKUP($D26,'[1]Import Eletra'!$B:$B,'[1]Import Eletra'!$BE:$BE,,0,1))</f>
        <v>46148</v>
      </c>
      <c r="CU26" s="72">
        <f t="shared" si="13"/>
        <v>0</v>
      </c>
      <c r="CV26" s="72">
        <f ca="1">IF(CT26="",TODAY()-CS26,CT26-CS26)</f>
        <v>66</v>
      </c>
      <c r="CW26" s="184">
        <f t="shared" ca="1" si="32"/>
        <v>66</v>
      </c>
      <c r="CX26" s="19">
        <f>DC26-$DC$4</f>
        <v>46082</v>
      </c>
      <c r="CY26" s="2">
        <f>IF(_xlfn.XLOOKUP($D26,'[1]Import Eletra'!$B:$B,'[1]Import Eletra'!$BE:$BE,,0,1)=0,"",_xlfn.XLOOKUP($D26,'[1]Import Eletra'!$B:$B,'[1]Import Eletra'!$BE:$BE,,0,1))</f>
        <v>46148</v>
      </c>
      <c r="CZ26" s="209">
        <f t="shared" si="14"/>
        <v>0</v>
      </c>
      <c r="DA26" s="72">
        <f ca="1">IF(CY26="",TODAY()-CX26,CY26-CX26)</f>
        <v>66</v>
      </c>
      <c r="DB26" s="184">
        <f t="shared" ca="1" si="33"/>
        <v>66</v>
      </c>
      <c r="DC26" s="19">
        <f>DH26-$DH$4</f>
        <v>46084</v>
      </c>
      <c r="DD26" s="2">
        <f>IF(_xlfn.XLOOKUP($D26,'[1]Import Eletra'!$B:$B,'[1]Import Eletra'!$BF:$BF,,0,1)=0,"",_xlfn.XLOOKUP($D26,'[1]Import Eletra'!$B:$B,'[1]Import Eletra'!$BF:$BF,0,1))</f>
        <v>46148</v>
      </c>
      <c r="DE26" s="72">
        <f t="shared" si="15"/>
        <v>2</v>
      </c>
      <c r="DF26" s="72">
        <f ca="1">IF(DD26="",TODAY()-DC26,DD26-DC26)</f>
        <v>64</v>
      </c>
      <c r="DG26" s="184">
        <f t="shared" ca="1" si="34"/>
        <v>62</v>
      </c>
      <c r="DH26" s="19">
        <f>DN26-$DM$4</f>
        <v>46085</v>
      </c>
      <c r="DI26" s="2">
        <f>IF(_xlfn.XLOOKUP($D26,'[1]Import Eletra'!$B:$B,'[1]Import Eletra'!$BG:$BG,,0,1)=0,"",_xlfn.XLOOKUP($D26,'[1]Import Eletra'!$B:$B,'[1]Import Eletra'!$BG:$BG,0,1))</f>
        <v>46150</v>
      </c>
      <c r="DJ26" s="1">
        <f t="shared" si="16"/>
        <v>1</v>
      </c>
      <c r="DK26" s="1">
        <f t="shared" ca="1" si="72"/>
        <v>65</v>
      </c>
      <c r="DL26" s="184">
        <f t="shared" ca="1" si="35"/>
        <v>64</v>
      </c>
      <c r="DM26" s="64"/>
      <c r="DN26" s="202">
        <f t="shared" si="82"/>
        <v>46086</v>
      </c>
      <c r="DO26" s="2"/>
      <c r="DP26" s="1">
        <f>$DM$3</f>
        <v>1</v>
      </c>
      <c r="DQ26" s="1">
        <f t="shared" ca="1" si="74"/>
        <v>125</v>
      </c>
      <c r="DR26" s="184">
        <f t="shared" ca="1" si="36"/>
        <v>124</v>
      </c>
      <c r="DS26" s="139">
        <v>10</v>
      </c>
      <c r="DT26" s="140"/>
      <c r="DU26" s="184">
        <f t="shared" si="37"/>
        <v>-10</v>
      </c>
      <c r="DW26" s="142" t="s">
        <v>257</v>
      </c>
      <c r="DZ26" s="232"/>
    </row>
    <row r="27" spans="1:130" ht="30" customHeight="1">
      <c r="B27" s="103">
        <v>2</v>
      </c>
      <c r="C27" s="104" t="s">
        <v>242</v>
      </c>
      <c r="D27" s="213" t="s">
        <v>277</v>
      </c>
      <c r="E27" s="106">
        <f>IF(_xlfn.XLOOKUP($D27,'[1]Import Eletra'!$B:$B,'[1]Import Eletra'!$U:$U,,0,1)=0,"",_xlfn.XLOOKUP($D27,'[1]Import Eletra'!$B:$B,'[1]Import Eletra'!$U:$U,,0,1))</f>
        <v>0.5</v>
      </c>
      <c r="F27" s="107" t="s">
        <v>244</v>
      </c>
      <c r="G27" s="2" t="str">
        <f>_xlfn.XLOOKUP($D27,'[1]Import Eletra'!$B:$B,'[1]Import Eletra'!$F:$F,,0,1)</f>
        <v>DELIVERED</v>
      </c>
      <c r="H27" s="108" t="str">
        <f>_xlfn.XLOOKUP($D27,'[1]Import Eletra'!$B:$B,'[1]Import Eletra'!$G:$G,,0,1)</f>
        <v>SEA</v>
      </c>
      <c r="I27" s="108">
        <v>46025</v>
      </c>
      <c r="J27" s="109">
        <v>30</v>
      </c>
      <c r="K27" s="109">
        <f>L27-I27</f>
        <v>34</v>
      </c>
      <c r="L27" s="108">
        <f>IF(_xlfn.XLOOKUP($D27,'[1]Import Eletra'!$B:$B,'[1]Import Eletra'!$J:$J,,0,1)=0,"",_xlfn.XLOOKUP($D27,'[1]Import Eletra'!$B:$B,'[1]Import Eletra'!$J:$J,,0,1))</f>
        <v>46059</v>
      </c>
      <c r="M27" s="168">
        <f>IF(_xlfn.XLOOKUP($D27,'[1]Import Eletra'!$B:$B,'[1]Import Eletra'!$L:$L,,0,1)=0,"",_xlfn.XLOOKUP($D27,'[1]Import Eletra'!$B:$B,'[1]Import Eletra'!$L:$L,,0,1))</f>
        <v>46138</v>
      </c>
      <c r="N27" s="110">
        <f>IF(_xlfn.XLOOKUP($D27,'[1]Import Eletra'!$B:$B,'[1]Import Eletra'!$AJ:$AJ,,0,1)=0,"",_xlfn.XLOOKUP($D27,'[1]Import Eletra'!$B:$B,'[1]Import Eletra'!$AJ:$AJ,,0,1))</f>
        <v>649.11</v>
      </c>
      <c r="O27" s="108">
        <f>IF(_xlfn.XLOOKUP($D27,'[1]Import Eletra'!$B:$B,'[1]Import Eletra'!$AK:$AK,,0,1)=0,"",_xlfn.XLOOKUP($D27,'[1]Import Eletra'!$B:$B,'[1]Import Eletra'!$AK:$AK,,0,1))</f>
        <v>46069</v>
      </c>
      <c r="P27" s="108">
        <f>IF(_xlfn.XLOOKUP($D27,'[1]Import Eletra'!$B:$B,'[1]Import Eletra'!$AL:$AL,,0,1)=0,"",_xlfn.XLOOKUP($D27,'[1]Import Eletra'!$B:$B,'[1]Import Eletra'!$AL:$AL,,0,1))</f>
        <v>46070</v>
      </c>
      <c r="Q27" s="108">
        <f>IF(_xlfn.XLOOKUP($D27,'[1]Import Eletra'!$B:$B,'[1]Import Eletra'!$AM:$AM,,0,1)=0,"",_xlfn.XLOOKUP($D27,'[1]Import Eletra'!$B:$B,'[1]Import Eletra'!$AM:$AM,,0,1))</f>
        <v>46073</v>
      </c>
      <c r="R27" s="108">
        <f>IF(_xlfn.XLOOKUP($D27,'[1]Import Eletra'!$B:$B,'[1]Import Eletra'!$AN:$AN,,0,1)=0,"",_xlfn.XLOOKUP($D27,'[1]Import Eletra'!$B:$B,'[1]Import Eletra'!$AN:$AN,,0,1))</f>
        <v>46076</v>
      </c>
      <c r="S27" s="108">
        <f>IF(_xlfn.XLOOKUP($D27,'[1]Import Eletra'!$B:$B,'[1]Import Eletra'!$AO:$AO,,0,1)=0,"",_xlfn.XLOOKUP($D27,'[1]Import Eletra'!$B:$B,'[1]Import Eletra'!$AO:$AO,,0,1))</f>
        <v>46076</v>
      </c>
      <c r="T27" s="108">
        <f>IF(_xlfn.XLOOKUP($D27,'[1]Import Eletra'!$B:$B,'[1]Import Eletra'!$AP:$AP,,0,1)=0,"",_xlfn.XLOOKUP($D27,'[1]Import Eletra'!$B:$B,'[1]Import Eletra'!$AP:$AP,,0,1))</f>
        <v>46076</v>
      </c>
      <c r="U27" s="111">
        <f>IF(_xlfn.XLOOKUP($D27,'[1]Import Eletra'!$B:$B,'[1]Import Eletra'!$AQ:$AQ,,0,1)=0,"",_xlfn.XLOOKUP($D27,'[1]Import Eletra'!$B:$B,'[1]Import Eletra'!$AQ:$AQ,,0,1))</f>
        <v>46076</v>
      </c>
      <c r="V27" s="110">
        <f>AA27-$AA$4</f>
        <v>46076</v>
      </c>
      <c r="W27" s="104">
        <f>IF(_xlfn.XLOOKUP($D27,'[1]Import Eletra'!$B:$B,'[1]Import Eletra'!$AR:$AR,,0,1)=0,"",_xlfn.XLOOKUP($D27,'[1]Import Eletra'!$B:$B,'[1]Import Eletra'!$AR:$AR,,0,1))</f>
        <v>46141</v>
      </c>
      <c r="X27" s="113">
        <f t="shared" si="1"/>
        <v>0</v>
      </c>
      <c r="Y27" s="113">
        <f t="shared" ca="1" si="2"/>
        <v>65</v>
      </c>
      <c r="Z27" s="184">
        <f t="shared" ca="1" si="17"/>
        <v>65</v>
      </c>
      <c r="AA27" s="164">
        <f>AF27-$AA$4</f>
        <v>46077</v>
      </c>
      <c r="AB27" s="104" t="str">
        <f>IF(_xlfn.XLOOKUP($D27,'[1]Import Eletra'!$B:$B,'[1]Import Eletra'!$AC:$AC,,0,1)=0,"",_xlfn.XLOOKUP($D27,'[1]Import Eletra'!$B:$B,'[1]Import Eletra'!$AC:$AC,,0,1))</f>
        <v/>
      </c>
      <c r="AC27" s="113">
        <f t="shared" si="3"/>
        <v>0</v>
      </c>
      <c r="AD27" s="113">
        <f ca="1">IF(AB27="",TODAY()-AA27,AB27-AA27)</f>
        <v>134</v>
      </c>
      <c r="AE27" s="184">
        <f t="shared" ca="1" si="18"/>
        <v>134</v>
      </c>
      <c r="AF27" s="117">
        <f>AK27-$AK$4</f>
        <v>46078</v>
      </c>
      <c r="AG27" s="104">
        <f>IF(_xlfn.XLOOKUP($D27,'[1]Import Eletra'!$B:$B,'[1]Import Eletra'!$AD:$AD,,0,1)=0,"",_xlfn.XLOOKUP($D27,'[1]Import Eletra'!$B:$B,'[1]Import Eletra'!$AD:$AD,,0,1))</f>
        <v>46141</v>
      </c>
      <c r="AH27" s="113">
        <f t="shared" si="4"/>
        <v>0</v>
      </c>
      <c r="AI27" s="113">
        <f ca="1">IF(AG27="",TODAY()-AF27,AG27-AF27)</f>
        <v>63</v>
      </c>
      <c r="AJ27" s="184">
        <f t="shared" ca="1" si="19"/>
        <v>63</v>
      </c>
      <c r="AK27" s="117">
        <f>AP27-$AP$4</f>
        <v>46078</v>
      </c>
      <c r="AL27" s="104">
        <f>IF(_xlfn.XLOOKUP($D27,'[1]Import Eletra'!$B:$B,'[1]Import Eletra'!$AS:$AS,,0,1)=0,"",_xlfn.XLOOKUP($D27,'[1]Import Eletra'!$B:$B,'[1]Import Eletra'!$AS:$AS,,0,1))</f>
        <v>46141</v>
      </c>
      <c r="AM27" s="113">
        <f t="shared" si="5"/>
        <v>0</v>
      </c>
      <c r="AN27" s="113">
        <f ca="1">IF(AL27="",TODAY()-AK27,AL27-AK27)</f>
        <v>63</v>
      </c>
      <c r="AO27" s="184">
        <f t="shared" ca="1" si="20"/>
        <v>63</v>
      </c>
      <c r="AP27" s="118">
        <f>AU27-$AU$4</f>
        <v>46079</v>
      </c>
      <c r="AQ27" s="104">
        <f>IF(_xlfn.XLOOKUP($D27,'[1]Import Eletra'!$B:$B,'[1]Import Eletra'!$AT:$AT,,0,1)=0,"",_xlfn.XLOOKUP($D27,'[1]Import Eletra'!$B:$B,'[1]Import Eletra'!$AT:$AT,,0,1))</f>
        <v>46142</v>
      </c>
      <c r="AR27" s="113">
        <f t="shared" si="6"/>
        <v>1</v>
      </c>
      <c r="AS27" s="113">
        <f ca="1">IF(AQ27="",TODAY()-AP27,AQ27-AP27)</f>
        <v>63</v>
      </c>
      <c r="AT27" s="184">
        <f t="shared" ca="1" si="21"/>
        <v>62</v>
      </c>
      <c r="AU27" s="117">
        <f>AZ27-$AZ$4</f>
        <v>46079</v>
      </c>
      <c r="AV27" s="104">
        <f>IF(_xlfn.XLOOKUP($D27,'[1]Import Eletra'!$B:$B,'[1]Import Eletra'!$AU:$AU,,0,1)=0,"",_xlfn.XLOOKUP($D27,'[1]Import Eletra'!$B:$B,'[1]Import Eletra'!$AU:$AU,,0,1))</f>
        <v>46148</v>
      </c>
      <c r="AW27" s="113">
        <f t="shared" si="38"/>
        <v>0</v>
      </c>
      <c r="AX27" s="113">
        <f ca="1">IF(AV27="",TODAY()-AU27,AV27-AU27)</f>
        <v>69</v>
      </c>
      <c r="AY27" s="184">
        <f t="shared" ca="1" si="22"/>
        <v>69</v>
      </c>
      <c r="AZ27" s="118">
        <f>BE27-$BE$4</f>
        <v>46079</v>
      </c>
      <c r="BA27" s="104" t="str">
        <f>IF(_xlfn.XLOOKUP($D27,'[1]Import Eletra'!$B:$B,'[1]Import Eletra'!$AV:$AV,,0,1)=0,"",_xlfn.XLOOKUP($D27,'[1]Import Eletra'!$B:$B,'[1]Import Eletra'!$AV:$AV,,0,1))</f>
        <v/>
      </c>
      <c r="BB27" s="113">
        <f t="shared" si="39"/>
        <v>0</v>
      </c>
      <c r="BC27" s="113">
        <f ca="1">IF(BA27="",TODAY()-AZ27,BA27-AZ27)</f>
        <v>132</v>
      </c>
      <c r="BD27" s="184">
        <f t="shared" ca="1" si="23"/>
        <v>132</v>
      </c>
      <c r="BE27" s="110">
        <f>BJ27-$BJ$4</f>
        <v>46079</v>
      </c>
      <c r="BF27" s="104" t="str">
        <f>IF(_xlfn.XLOOKUP($D27,'[1]Import Eletra'!$B:$B,'[1]Import Eletra'!$AW:$AW,,0,1)=0,"",_xlfn.XLOOKUP($D27,'[1]Import Eletra'!$B:$B,'[1]Import Eletra'!$AW:$AW,,0,1))</f>
        <v/>
      </c>
      <c r="BG27" s="113">
        <f t="shared" si="40"/>
        <v>0</v>
      </c>
      <c r="BH27" s="113">
        <f ca="1">IF(BF27="",TODAY()-BE27,BF27-BE27)</f>
        <v>132</v>
      </c>
      <c r="BI27" s="184">
        <f t="shared" ca="1" si="24"/>
        <v>132</v>
      </c>
      <c r="BJ27" s="120">
        <f>BO27-$BO$4</f>
        <v>46079</v>
      </c>
      <c r="BK27" s="104" t="str">
        <f>IF(_xlfn.XLOOKUP($D27,'[1]Import Eletra'!$B:$B,'[1]Import Eletra'!$AX:$AX,,0,1)=0,"",_xlfn.XLOOKUP($D27,'[1]Import Eletra'!$B:$B,'[1]Import Eletra'!$AX:$AX,,0,1))</f>
        <v/>
      </c>
      <c r="BL27" s="113">
        <f t="shared" si="7"/>
        <v>0</v>
      </c>
      <c r="BM27" s="113">
        <f ca="1">IF(BK27="",TODAY()-BJ27,BK27-BJ27)</f>
        <v>132</v>
      </c>
      <c r="BN27" s="184">
        <f t="shared" ca="1" si="25"/>
        <v>132</v>
      </c>
      <c r="BO27" s="110">
        <f>BT27-$BT$4</f>
        <v>46079</v>
      </c>
      <c r="BP27" s="104">
        <f>IF(_xlfn.XLOOKUP($D27,'[1]Import Eletra'!$B:$B,'[1]Import Eletra'!$AY:$AY,,0,1)=0,"",_xlfn.XLOOKUP($D27,'[1]Import Eletra'!$B:$B,'[1]Import Eletra'!$AY:$AY,,0,1))</f>
        <v>46142</v>
      </c>
      <c r="BQ27" s="113">
        <f t="shared" si="8"/>
        <v>0</v>
      </c>
      <c r="BR27" s="113">
        <f ca="1">IF(BP27="",TODAY()-BO27,BP27-BO27)</f>
        <v>63</v>
      </c>
      <c r="BS27" s="184">
        <f t="shared" ca="1" si="26"/>
        <v>63</v>
      </c>
      <c r="BT27" s="120">
        <f>BY27-$BY$4</f>
        <v>46081</v>
      </c>
      <c r="BU27" s="104">
        <f>IF(_xlfn.XLOOKUP($D27,'[1]Import Eletra'!$B:$B,'[1]Import Eletra'!$AZ:$AZ,,0,1)=0,"",_xlfn.XLOOKUP($D27,'[1]Import Eletra'!$B:$B,'[1]Import Eletra'!$AZ:$AZ,,0,1))</f>
        <v>46142</v>
      </c>
      <c r="BV27" s="113">
        <f t="shared" si="9"/>
        <v>2</v>
      </c>
      <c r="BW27" s="113">
        <f ca="1">IF(BU27="",TODAY()-BT27,BU27-BT27)</f>
        <v>61</v>
      </c>
      <c r="BX27" s="184">
        <f t="shared" ca="1" si="27"/>
        <v>59</v>
      </c>
      <c r="BY27" s="110">
        <f>CD27-$CD$4</f>
        <v>46081</v>
      </c>
      <c r="BZ27" s="104">
        <f>IF(_xlfn.XLOOKUP($D27,'[1]Import Eletra'!$B:$B,'[1]Import Eletra'!$BA:$BA,,0,1)=0,"",_xlfn.XLOOKUP($D27,'[1]Import Eletra'!$B:$B,'[1]Import Eletra'!$BA:$BA,,0,1))</f>
        <v>46146</v>
      </c>
      <c r="CA27" s="113">
        <f t="shared" si="10"/>
        <v>0</v>
      </c>
      <c r="CB27" s="113">
        <f ca="1">IF(BZ27="",TODAY()-BY27,BZ27-BY27)</f>
        <v>65</v>
      </c>
      <c r="CC27" s="184">
        <f t="shared" ca="1" si="28"/>
        <v>65</v>
      </c>
      <c r="CD27" s="120">
        <f>CI27-$CI$4</f>
        <v>46081</v>
      </c>
      <c r="CE27" s="104">
        <f>IF(_xlfn.XLOOKUP($D27,'[1]Import Eletra'!$B:$B,'[1]Import Eletra'!$BB:$BB,,0,1)=0,"",_xlfn.XLOOKUP($D27,'[1]Import Eletra'!$B:$B,'[1]Import Eletra'!$BB:$BB,,0,1))</f>
        <v>46146</v>
      </c>
      <c r="CF27" s="113">
        <f t="shared" si="11"/>
        <v>0</v>
      </c>
      <c r="CG27" s="113">
        <f ca="1">IF(CE27="",TODAY()-CD27,CE27-CD27)</f>
        <v>65</v>
      </c>
      <c r="CH27" s="184">
        <f t="shared" ca="1" si="29"/>
        <v>65</v>
      </c>
      <c r="CI27" s="110">
        <f>CN27-$CN$4</f>
        <v>46081</v>
      </c>
      <c r="CJ27" s="104">
        <f>IF(_xlfn.XLOOKUP($D27,'[1]Import Eletra'!$B:$B,'[1]Import Eletra'!$BC:$BC,,0,1)=0,"",_xlfn.XLOOKUP($D27,'[1]Import Eletra'!$B:$B,'[1]Import Eletra'!$BC:$BC,,0,1))</f>
        <v>46148</v>
      </c>
      <c r="CK27" s="113"/>
      <c r="CL27" s="113">
        <f ca="1">IF(CJ27="",TODAY()-CI27,CJ27-CI27)</f>
        <v>67</v>
      </c>
      <c r="CM27" s="184">
        <f t="shared" ca="1" si="30"/>
        <v>67</v>
      </c>
      <c r="CN27" s="120">
        <f>CS27-$CS$4</f>
        <v>46082</v>
      </c>
      <c r="CO27" s="104">
        <f>IF(_xlfn.XLOOKUP($D27,'[1]Import Eletra'!$B:$B,'[1]Import Eletra'!$BD:$BD,,0,1)=0,"",_xlfn.XLOOKUP($D27,'[1]Import Eletra'!$B:$B,'[1]Import Eletra'!$BD:$BD,,0,1))</f>
        <v>46146</v>
      </c>
      <c r="CP27" s="113">
        <f t="shared" si="12"/>
        <v>0</v>
      </c>
      <c r="CQ27" s="113">
        <f ca="1">IF(CO27="",TODAY()-CN27,CO27-CN27)</f>
        <v>64</v>
      </c>
      <c r="CR27" s="184">
        <f t="shared" ca="1" si="31"/>
        <v>64</v>
      </c>
      <c r="CS27" s="110">
        <f>CX27-$CX$4</f>
        <v>46082</v>
      </c>
      <c r="CT27" s="104">
        <f>IF(_xlfn.XLOOKUP($D27,'[1]Import Eletra'!$B:$B,'[1]Import Eletra'!$BE:$BE,,0,1)=0,"",_xlfn.XLOOKUP($D27,'[1]Import Eletra'!$B:$B,'[1]Import Eletra'!$BE:$BE,,0,1))</f>
        <v>46148</v>
      </c>
      <c r="CU27" s="113">
        <f t="shared" si="13"/>
        <v>0</v>
      </c>
      <c r="CV27" s="113">
        <f ca="1">IF(CT27="",TODAY()-CS27,CT27-CS27)</f>
        <v>66</v>
      </c>
      <c r="CW27" s="184">
        <f t="shared" ca="1" si="32"/>
        <v>66</v>
      </c>
      <c r="CX27" s="110">
        <f>DC27-$DC$4</f>
        <v>46082</v>
      </c>
      <c r="CY27" s="104">
        <f>IF(_xlfn.XLOOKUP($D27,'[1]Import Eletra'!$B:$B,'[1]Import Eletra'!$BE:$BE,,0,1)=0,"",_xlfn.XLOOKUP($D27,'[1]Import Eletra'!$B:$B,'[1]Import Eletra'!$BE:$BE,,0,1))</f>
        <v>46148</v>
      </c>
      <c r="CZ27" s="210">
        <f t="shared" si="14"/>
        <v>0</v>
      </c>
      <c r="DA27" s="113">
        <f ca="1">IF(CY27="",TODAY()-CX27,CY27-CX27)</f>
        <v>66</v>
      </c>
      <c r="DB27" s="184">
        <f t="shared" ca="1" si="33"/>
        <v>66</v>
      </c>
      <c r="DC27" s="110">
        <f>DH27-$DH$4</f>
        <v>46084</v>
      </c>
      <c r="DD27" s="104">
        <f>IF(_xlfn.XLOOKUP($D27,'[1]Import Eletra'!$B:$B,'[1]Import Eletra'!$BF:$BF,,0,1)=0,"",_xlfn.XLOOKUP($D27,'[1]Import Eletra'!$B:$B,'[1]Import Eletra'!$BF:$BF,0,1))</f>
        <v>46148</v>
      </c>
      <c r="DE27" s="113">
        <f t="shared" si="15"/>
        <v>2</v>
      </c>
      <c r="DF27" s="113">
        <f ca="1">IF(DD27="",TODAY()-DC27,DD27-DC27)</f>
        <v>64</v>
      </c>
      <c r="DG27" s="184">
        <f t="shared" ca="1" si="34"/>
        <v>62</v>
      </c>
      <c r="DH27" s="110">
        <f>DN27-$DM$4</f>
        <v>46085</v>
      </c>
      <c r="DI27" s="104">
        <f>IF(_xlfn.XLOOKUP($D27,'[1]Import Eletra'!$B:$B,'[1]Import Eletra'!$BG:$BG,,0,1)=0,"",_xlfn.XLOOKUP($D27,'[1]Import Eletra'!$B:$B,'[1]Import Eletra'!$BG:$BG,0,1))</f>
        <v>46150</v>
      </c>
      <c r="DJ27" s="112">
        <f t="shared" si="16"/>
        <v>1</v>
      </c>
      <c r="DK27" s="112">
        <f t="shared" ca="1" si="72"/>
        <v>65</v>
      </c>
      <c r="DL27" s="184">
        <f t="shared" ca="1" si="35"/>
        <v>64</v>
      </c>
      <c r="DM27" s="64"/>
      <c r="DN27" s="202">
        <f t="shared" si="82"/>
        <v>46086</v>
      </c>
      <c r="DO27" s="104"/>
      <c r="DP27" s="112">
        <f>$DM$3</f>
        <v>1</v>
      </c>
      <c r="DQ27" s="112">
        <f t="shared" ca="1" si="74"/>
        <v>125</v>
      </c>
      <c r="DR27" s="184">
        <f t="shared" ca="1" si="36"/>
        <v>124</v>
      </c>
      <c r="DS27" s="143">
        <v>10</v>
      </c>
      <c r="DT27" s="140"/>
      <c r="DU27" s="184">
        <f t="shared" si="37"/>
        <v>-10</v>
      </c>
      <c r="DW27" s="142" t="s">
        <v>257</v>
      </c>
      <c r="DZ27" s="232"/>
    </row>
    <row r="28" spans="1:130" ht="30" customHeight="1">
      <c r="B28" s="91">
        <v>4</v>
      </c>
      <c r="C28" s="2" t="s">
        <v>278</v>
      </c>
      <c r="D28" s="211" t="s">
        <v>279</v>
      </c>
      <c r="E28" s="96">
        <f>IF(_xlfn.XLOOKUP($D28,'[1]Import Eletra'!$B:$B,'[1]Import Eletra'!$U:$U,,0,1)=0,"",_xlfn.XLOOKUP($D28,'[1]Import Eletra'!$B:$B,'[1]Import Eletra'!$U:$U,,0,1))</f>
        <v>1</v>
      </c>
      <c r="F28" s="73" t="s">
        <v>244</v>
      </c>
      <c r="G28" s="2" t="str">
        <f>_xlfn.XLOOKUP($D28,'[1]Import Eletra'!$B:$B,'[1]Import Eletra'!$F:$F,,0,1)</f>
        <v>DELIVERED</v>
      </c>
      <c r="H28" s="3" t="str">
        <f>_xlfn.XLOOKUP($D28,'[1]Import Eletra'!$B:$B,'[1]Import Eletra'!$G:$G,,0,1)</f>
        <v>SEA</v>
      </c>
      <c r="I28" s="3">
        <v>46086</v>
      </c>
      <c r="J28" s="58">
        <v>30</v>
      </c>
      <c r="K28" s="58">
        <f t="shared" si="83"/>
        <v>19</v>
      </c>
      <c r="L28" s="3">
        <f>IF(_xlfn.XLOOKUP($D28,'[1]Import Eletra'!$B:$B,'[1]Import Eletra'!$J:$J,,0,1)=0,"",_xlfn.XLOOKUP($D28,'[1]Import Eletra'!$B:$B,'[1]Import Eletra'!$J:$J,,0,1))</f>
        <v>46105</v>
      </c>
      <c r="M28" s="84">
        <f>IF(_xlfn.XLOOKUP($D28,'[1]Import Eletra'!$B:$B,'[1]Import Eletra'!$L:$L,,0,1)=0,"",_xlfn.XLOOKUP($D28,'[1]Import Eletra'!$B:$B,'[1]Import Eletra'!$L:$L,,0,1))</f>
        <v>46152</v>
      </c>
      <c r="N28" s="19">
        <f>IF(_xlfn.XLOOKUP($D28,'[1]Import Eletra'!$B:$B,'[1]Import Eletra'!$AJ:$AJ,,0,1)=0,"",_xlfn.XLOOKUP($D28,'[1]Import Eletra'!$B:$B,'[1]Import Eletra'!$AJ:$AJ,,0,1))</f>
        <v>402404.4</v>
      </c>
      <c r="O28" s="3">
        <f>IF(_xlfn.XLOOKUP($D28,'[1]Import Eletra'!$B:$B,'[1]Import Eletra'!$AK:$AK,,0,1)=0,"",_xlfn.XLOOKUP($D28,'[1]Import Eletra'!$B:$B,'[1]Import Eletra'!$AK:$AK,,0,1))</f>
        <v>46128</v>
      </c>
      <c r="P28" s="3">
        <f>IF(_xlfn.XLOOKUP($D28,'[1]Import Eletra'!$B:$B,'[1]Import Eletra'!$AL:$AL,,0,1)=0,"",_xlfn.XLOOKUP($D28,'[1]Import Eletra'!$B:$B,'[1]Import Eletra'!$AL:$AL,,0,1))</f>
        <v>46134</v>
      </c>
      <c r="Q28" s="3">
        <f>IF(_xlfn.XLOOKUP($D28,'[1]Import Eletra'!$B:$B,'[1]Import Eletra'!$AM:$AM,,0,1)=0,"",_xlfn.XLOOKUP($D28,'[1]Import Eletra'!$B:$B,'[1]Import Eletra'!$AM:$AM,,0,1))</f>
        <v>46139</v>
      </c>
      <c r="R28" s="3">
        <f>IF(_xlfn.XLOOKUP($D28,'[1]Import Eletra'!$B:$B,'[1]Import Eletra'!$AN:$AN,,0,1)=0,"",_xlfn.XLOOKUP($D28,'[1]Import Eletra'!$B:$B,'[1]Import Eletra'!$AN:$AN,,0,1))</f>
        <v>46140</v>
      </c>
      <c r="S28" s="3">
        <f>IF(_xlfn.XLOOKUP($D28,'[1]Import Eletra'!$B:$B,'[1]Import Eletra'!$AO:$AO,,0,1)=0,"",_xlfn.XLOOKUP($D28,'[1]Import Eletra'!$B:$B,'[1]Import Eletra'!$AO:$AO,,0,1))</f>
        <v>46141</v>
      </c>
      <c r="T28" s="3">
        <f>IF(_xlfn.XLOOKUP($D28,'[1]Import Eletra'!$B:$B,'[1]Import Eletra'!$AP:$AP,,0,1)=0,"",_xlfn.XLOOKUP($D28,'[1]Import Eletra'!$B:$B,'[1]Import Eletra'!$AP:$AP,,0,1))</f>
        <v>46141</v>
      </c>
      <c r="U28" s="208">
        <f>IF(_xlfn.XLOOKUP($D28,'[1]Import Eletra'!$B:$B,'[1]Import Eletra'!$AQ:$AQ,,0,1)=0,"",_xlfn.XLOOKUP($D28,'[1]Import Eletra'!$B:$B,'[1]Import Eletra'!$AQ:$AQ,,0,1))</f>
        <v>46142</v>
      </c>
      <c r="V28" s="19">
        <f>AA28-$AA$4</f>
        <v>46142</v>
      </c>
      <c r="W28" s="2">
        <f>IF(_xlfn.XLOOKUP($D28,'[1]Import Eletra'!$B:$B,'[1]Import Eletra'!$AR:$AR,,0,1)=0,"",_xlfn.XLOOKUP($D28,'[1]Import Eletra'!$B:$B,'[1]Import Eletra'!$AR:$AR,,0,1))</f>
        <v>46154</v>
      </c>
      <c r="X28" s="72">
        <f t="shared" si="1"/>
        <v>0</v>
      </c>
      <c r="Y28" s="72">
        <f t="shared" ca="1" si="2"/>
        <v>12</v>
      </c>
      <c r="Z28" s="184">
        <f t="shared" ca="1" si="17"/>
        <v>12</v>
      </c>
      <c r="AA28" s="68">
        <f>AF28-$AA$4</f>
        <v>46143</v>
      </c>
      <c r="AB28" s="2" t="str">
        <f>IF(_xlfn.XLOOKUP($D28,'[1]Import Eletra'!$B:$B,'[1]Import Eletra'!$AC:$AC,,0,1)=0,"",_xlfn.XLOOKUP($D28,'[1]Import Eletra'!$B:$B,'[1]Import Eletra'!$AC:$AC,,0,1))</f>
        <v/>
      </c>
      <c r="AC28" s="72">
        <f t="shared" si="3"/>
        <v>0</v>
      </c>
      <c r="AD28" s="72">
        <f ca="1">IF(AB28="",TODAY()-AA28,AB28-AA28)</f>
        <v>68</v>
      </c>
      <c r="AE28" s="184">
        <f t="shared" ca="1" si="18"/>
        <v>68</v>
      </c>
      <c r="AF28" s="70">
        <f>AK28-$AK$4</f>
        <v>46144</v>
      </c>
      <c r="AG28" s="2">
        <f>IF(_xlfn.XLOOKUP($D28,'[1]Import Eletra'!$B:$B,'[1]Import Eletra'!$AD:$AD,,0,1)=0,"",_xlfn.XLOOKUP($D28,'[1]Import Eletra'!$B:$B,'[1]Import Eletra'!$AD:$AD,,0,1))</f>
        <v>46155</v>
      </c>
      <c r="AH28" s="72">
        <f t="shared" si="4"/>
        <v>0</v>
      </c>
      <c r="AI28" s="72">
        <f ca="1">IF(AG28="",TODAY()-AF28,AG28-AF28)</f>
        <v>11</v>
      </c>
      <c r="AJ28" s="184">
        <f t="shared" ca="1" si="19"/>
        <v>11</v>
      </c>
      <c r="AK28" s="70">
        <f>AP28-$AP$4</f>
        <v>46144</v>
      </c>
      <c r="AL28" s="2" t="str">
        <f>IF(_xlfn.XLOOKUP($D28,'[1]Import Eletra'!$B:$B,'[1]Import Eletra'!$AS:$AS,,0,1)=0,"",_xlfn.XLOOKUP($D28,'[1]Import Eletra'!$B:$B,'[1]Import Eletra'!$AS:$AS,,0,1))</f>
        <v>13/05/2026</v>
      </c>
      <c r="AM28" s="72">
        <f t="shared" si="5"/>
        <v>0</v>
      </c>
      <c r="AN28" s="72">
        <f ca="1">IF(AL28="",TODAY()-AK28,AL28-AK28)</f>
        <v>11</v>
      </c>
      <c r="AO28" s="184">
        <f t="shared" ca="1" si="20"/>
        <v>11</v>
      </c>
      <c r="AP28" s="71">
        <f>AU28-$AU$4</f>
        <v>46145</v>
      </c>
      <c r="AQ28" s="2" t="str">
        <f>IF(_xlfn.XLOOKUP($D28,'[1]Import Eletra'!$B:$B,'[1]Import Eletra'!$AT:$AT,,0,1)=0,"",_xlfn.XLOOKUP($D28,'[1]Import Eletra'!$B:$B,'[1]Import Eletra'!$AT:$AT,,0,1))</f>
        <v>14/05/2026</v>
      </c>
      <c r="AR28" s="72">
        <f t="shared" si="6"/>
        <v>1</v>
      </c>
      <c r="AS28" s="72">
        <f ca="1">IF(AQ28="",TODAY()-AP28,AQ28-AP28)</f>
        <v>11</v>
      </c>
      <c r="AT28" s="184">
        <f t="shared" ca="1" si="21"/>
        <v>10</v>
      </c>
      <c r="AU28" s="70">
        <f>AZ28-$AZ$4</f>
        <v>46145</v>
      </c>
      <c r="AV28" s="2" t="str">
        <f>IF(_xlfn.XLOOKUP($D28,'[1]Import Eletra'!$B:$B,'[1]Import Eletra'!$AU:$AU,,0,1)=0,"",_xlfn.XLOOKUP($D28,'[1]Import Eletra'!$B:$B,'[1]Import Eletra'!$AU:$AU,,0,1))</f>
        <v>14/05/2026</v>
      </c>
      <c r="AW28" s="72">
        <f t="shared" si="38"/>
        <v>0</v>
      </c>
      <c r="AX28" s="72">
        <f ca="1">IF(AV28="",TODAY()-AU28,AV28-AU28)</f>
        <v>11</v>
      </c>
      <c r="AY28" s="184">
        <f t="shared" ca="1" si="22"/>
        <v>11</v>
      </c>
      <c r="AZ28" s="71">
        <f>BE28-$BE$4</f>
        <v>46145</v>
      </c>
      <c r="BA28" s="2" t="str">
        <f>IF(_xlfn.XLOOKUP($D28,'[1]Import Eletra'!$B:$B,'[1]Import Eletra'!$AV:$AV,,0,1)=0,"",_xlfn.XLOOKUP($D28,'[1]Import Eletra'!$B:$B,'[1]Import Eletra'!$AV:$AV,,0,1))</f>
        <v>13/05/2026</v>
      </c>
      <c r="BB28" s="72">
        <f t="shared" si="39"/>
        <v>0</v>
      </c>
      <c r="BC28" s="72">
        <f ca="1">IF(BA28="",TODAY()-AZ28,BA28-AZ28)</f>
        <v>10</v>
      </c>
      <c r="BD28" s="184">
        <f t="shared" ca="1" si="23"/>
        <v>10</v>
      </c>
      <c r="BE28" s="19">
        <f>BJ28-$BJ$4</f>
        <v>46145</v>
      </c>
      <c r="BF28" s="2" t="str">
        <f>IF(_xlfn.XLOOKUP($D28,'[1]Import Eletra'!$B:$B,'[1]Import Eletra'!$AW:$AW,,0,1)=0,"",_xlfn.XLOOKUP($D28,'[1]Import Eletra'!$B:$B,'[1]Import Eletra'!$AW:$AW,,0,1))</f>
        <v>14/05/2026</v>
      </c>
      <c r="BG28" s="72">
        <f t="shared" si="40"/>
        <v>0</v>
      </c>
      <c r="BH28" s="72">
        <f ca="1">IF(BF28="",TODAY()-BE28,BF28-BE28)</f>
        <v>11</v>
      </c>
      <c r="BI28" s="184">
        <f t="shared" ca="1" si="24"/>
        <v>11</v>
      </c>
      <c r="BJ28" s="18">
        <f>BO28-$BO$4</f>
        <v>46145</v>
      </c>
      <c r="BK28" s="2" t="str">
        <f>IF(_xlfn.XLOOKUP($D28,'[1]Import Eletra'!$B:$B,'[1]Import Eletra'!$AX:$AX,,0,1)=0,"",_xlfn.XLOOKUP($D28,'[1]Import Eletra'!$B:$B,'[1]Import Eletra'!$AX:$AX,,0,1))</f>
        <v>14/05/2026</v>
      </c>
      <c r="BL28" s="72">
        <f t="shared" si="7"/>
        <v>0</v>
      </c>
      <c r="BM28" s="72">
        <f ca="1">IF(BK28="",TODAY()-BJ28,BK28-BJ28)</f>
        <v>11</v>
      </c>
      <c r="BN28" s="184">
        <f t="shared" ca="1" si="25"/>
        <v>11</v>
      </c>
      <c r="BO28" s="19">
        <f>BT28-$BT$4</f>
        <v>46145</v>
      </c>
      <c r="BP28" s="2" t="str">
        <f>IF(_xlfn.XLOOKUP($D28,'[1]Import Eletra'!$B:$B,'[1]Import Eletra'!$AY:$AY,,0,1)=0,"",_xlfn.XLOOKUP($D28,'[1]Import Eletra'!$B:$B,'[1]Import Eletra'!$AY:$AY,,0,1))</f>
        <v/>
      </c>
      <c r="BQ28" s="72">
        <f t="shared" si="8"/>
        <v>0</v>
      </c>
      <c r="BR28" s="72">
        <f ca="1">IF(BP28="",TODAY()-BO28,BP28-BO28)</f>
        <v>66</v>
      </c>
      <c r="BS28" s="184">
        <f t="shared" ca="1" si="26"/>
        <v>66</v>
      </c>
      <c r="BT28" s="18">
        <f>BY28-$BY$4</f>
        <v>46147</v>
      </c>
      <c r="BU28" s="2" t="str">
        <f>IF(_xlfn.XLOOKUP($D28,'[1]Import Eletra'!$B:$B,'[1]Import Eletra'!$AZ:$AZ,,0,1)=0,"",_xlfn.XLOOKUP($D28,'[1]Import Eletra'!$B:$B,'[1]Import Eletra'!$AZ:$AZ,,0,1))</f>
        <v/>
      </c>
      <c r="BV28" s="72">
        <f t="shared" si="9"/>
        <v>2</v>
      </c>
      <c r="BW28" s="72">
        <f ca="1">IF(BU28="",TODAY()-BT28,BU28-BT28)</f>
        <v>64</v>
      </c>
      <c r="BX28" s="184">
        <f t="shared" ca="1" si="27"/>
        <v>62</v>
      </c>
      <c r="BY28" s="19">
        <f>CD28-$CD$4</f>
        <v>46147</v>
      </c>
      <c r="BZ28" s="2" t="str">
        <f>IF(_xlfn.XLOOKUP($D28,'[1]Import Eletra'!$B:$B,'[1]Import Eletra'!$BA:$BA,,0,1)=0,"",_xlfn.XLOOKUP($D28,'[1]Import Eletra'!$B:$B,'[1]Import Eletra'!$BA:$BA,,0,1))</f>
        <v>14/05/2026</v>
      </c>
      <c r="CA28" s="72">
        <f t="shared" si="10"/>
        <v>0</v>
      </c>
      <c r="CB28" s="72">
        <f ca="1">IF(BZ28="",TODAY()-BY28,BZ28-BY28)</f>
        <v>9</v>
      </c>
      <c r="CC28" s="184">
        <f t="shared" ca="1" si="28"/>
        <v>9</v>
      </c>
      <c r="CD28" s="18">
        <f>CI28-$CI$4</f>
        <v>46147</v>
      </c>
      <c r="CE28" s="2" t="str">
        <f>IF(_xlfn.XLOOKUP($D28,'[1]Import Eletra'!$B:$B,'[1]Import Eletra'!$BB:$BB,,0,1)=0,"",_xlfn.XLOOKUP($D28,'[1]Import Eletra'!$B:$B,'[1]Import Eletra'!$BB:$BB,,0,1))</f>
        <v>14/05/2026</v>
      </c>
      <c r="CF28" s="72">
        <f t="shared" si="11"/>
        <v>0</v>
      </c>
      <c r="CG28" s="72">
        <f ca="1">IF(CE28="",TODAY()-CD28,CE28-CD28)</f>
        <v>9</v>
      </c>
      <c r="CH28" s="184">
        <f t="shared" ca="1" si="29"/>
        <v>9</v>
      </c>
      <c r="CI28" s="19">
        <f>CN28-$CN$4</f>
        <v>46147</v>
      </c>
      <c r="CJ28" s="2">
        <f>IF(_xlfn.XLOOKUP($D28,'[1]Import Eletra'!$B:$B,'[1]Import Eletra'!$BC:$BC,,0,1)=0,"",_xlfn.XLOOKUP($D28,'[1]Import Eletra'!$B:$B,'[1]Import Eletra'!$BC:$BC,,0,1))</f>
        <v>46157</v>
      </c>
      <c r="CK28" s="72"/>
      <c r="CL28" s="72">
        <f ca="1">IF(CJ28="",TODAY()-CI28,CJ28-CI28)</f>
        <v>10</v>
      </c>
      <c r="CM28" s="184">
        <f t="shared" ca="1" si="30"/>
        <v>10</v>
      </c>
      <c r="CN28" s="18">
        <f>CS28-$CS$4</f>
        <v>46148</v>
      </c>
      <c r="CO28" s="2">
        <f>IF(_xlfn.XLOOKUP($D28,'[1]Import Eletra'!$B:$B,'[1]Import Eletra'!$BD:$BD,,0,1)=0,"",_xlfn.XLOOKUP($D28,'[1]Import Eletra'!$B:$B,'[1]Import Eletra'!$BD:$BD,,0,1))</f>
        <v>46156</v>
      </c>
      <c r="CP28" s="72">
        <f t="shared" si="12"/>
        <v>0</v>
      </c>
      <c r="CQ28" s="72">
        <f ca="1">IF(CO28="",TODAY()-CN28,CO28-CN28)</f>
        <v>8</v>
      </c>
      <c r="CR28" s="184">
        <f t="shared" ca="1" si="31"/>
        <v>8</v>
      </c>
      <c r="CS28" s="19">
        <f>CX28-$CX$4</f>
        <v>46148</v>
      </c>
      <c r="CT28" s="2">
        <f>IF(_xlfn.XLOOKUP($D28,'[1]Import Eletra'!$B:$B,'[1]Import Eletra'!$BE:$BE,,0,1)=0,"",_xlfn.XLOOKUP($D28,'[1]Import Eletra'!$B:$B,'[1]Import Eletra'!$BE:$BE,,0,1))</f>
        <v>46160</v>
      </c>
      <c r="CU28" s="72">
        <f t="shared" si="13"/>
        <v>0</v>
      </c>
      <c r="CV28" s="72">
        <f ca="1">IF(CT28="",TODAY()-CS28,CT28-CS28)</f>
        <v>12</v>
      </c>
      <c r="CW28" s="184">
        <f t="shared" ca="1" si="32"/>
        <v>12</v>
      </c>
      <c r="CX28" s="19">
        <f>DC28-$DC$4</f>
        <v>46148</v>
      </c>
      <c r="CY28" s="2">
        <f>IF(_xlfn.XLOOKUP($D28,'[1]Import Eletra'!$B:$B,'[1]Import Eletra'!$BE:$BE,,0,1)=0,"",_xlfn.XLOOKUP($D28,'[1]Import Eletra'!$B:$B,'[1]Import Eletra'!$BE:$BE,,0,1))</f>
        <v>46160</v>
      </c>
      <c r="CZ28" s="209">
        <f t="shared" si="14"/>
        <v>0</v>
      </c>
      <c r="DA28" s="72">
        <f ca="1">IF(CY28="",TODAY()-CX28,CY28-CX28)</f>
        <v>12</v>
      </c>
      <c r="DB28" s="184">
        <f t="shared" ca="1" si="33"/>
        <v>12</v>
      </c>
      <c r="DC28" s="19">
        <f>DH28-$DH$4</f>
        <v>46150</v>
      </c>
      <c r="DD28" s="2">
        <f>IF(_xlfn.XLOOKUP($D28,'[1]Import Eletra'!$B:$B,'[1]Import Eletra'!$BF:$BF,,0,1)=0,"",_xlfn.XLOOKUP($D28,'[1]Import Eletra'!$B:$B,'[1]Import Eletra'!$BF:$BF,0,1))</f>
        <v>46160</v>
      </c>
      <c r="DE28" s="72">
        <f t="shared" si="15"/>
        <v>2</v>
      </c>
      <c r="DF28" s="72">
        <f ca="1">IF(DD28="",TODAY()-DC28,DD28-DC28)</f>
        <v>10</v>
      </c>
      <c r="DG28" s="184">
        <f t="shared" ca="1" si="34"/>
        <v>8</v>
      </c>
      <c r="DH28" s="19">
        <f>DN28-$DM$4</f>
        <v>46151</v>
      </c>
      <c r="DI28" s="2">
        <f>IF(_xlfn.XLOOKUP($D28,'[1]Import Eletra'!$B:$B,'[1]Import Eletra'!$BG:$BG,,0,1)=0,"",_xlfn.XLOOKUP($D28,'[1]Import Eletra'!$B:$B,'[1]Import Eletra'!$BG:$BG,0,1))</f>
        <v>46162</v>
      </c>
      <c r="DJ28" s="1">
        <f t="shared" si="16"/>
        <v>1</v>
      </c>
      <c r="DK28" s="1">
        <f t="shared" ca="1" si="72"/>
        <v>11</v>
      </c>
      <c r="DL28" s="184">
        <f t="shared" ca="1" si="35"/>
        <v>10</v>
      </c>
      <c r="DM28" s="64"/>
      <c r="DN28" s="202">
        <f t="shared" si="82"/>
        <v>46152</v>
      </c>
      <c r="DO28" s="2"/>
      <c r="DP28" s="1">
        <f>$DM$3</f>
        <v>1</v>
      </c>
      <c r="DQ28" s="1">
        <f t="shared" ca="1" si="74"/>
        <v>59</v>
      </c>
      <c r="DR28" s="184">
        <f t="shared" ca="1" si="36"/>
        <v>58</v>
      </c>
      <c r="DS28" s="139">
        <v>10</v>
      </c>
      <c r="DT28" s="140"/>
      <c r="DU28" s="184">
        <f t="shared" si="37"/>
        <v>-10</v>
      </c>
      <c r="DW28" s="142" t="s">
        <v>257</v>
      </c>
      <c r="DZ28" s="232"/>
    </row>
    <row r="29" spans="1:130" ht="30" customHeight="1">
      <c r="B29" s="103">
        <v>4</v>
      </c>
      <c r="C29" s="104" t="s">
        <v>259</v>
      </c>
      <c r="D29" s="213" t="s">
        <v>280</v>
      </c>
      <c r="E29" s="106">
        <f>IF(_xlfn.XLOOKUP($D29,'[1]Import Eletra'!$B:$B,'[1]Import Eletra'!$U:$U,,0,1)=0,"",_xlfn.XLOOKUP($D29,'[1]Import Eletra'!$B:$B,'[1]Import Eletra'!$U:$U,,0,1))</f>
        <v>0.5</v>
      </c>
      <c r="F29" s="107" t="s">
        <v>244</v>
      </c>
      <c r="G29" s="2" t="str">
        <f>_xlfn.XLOOKUP($D29,'[1]Import Eletra'!$B:$B,'[1]Import Eletra'!$F:$F,,0,1)</f>
        <v>DELIVERED</v>
      </c>
      <c r="H29" s="108" t="str">
        <f>_xlfn.XLOOKUP($D29,'[1]Import Eletra'!$B:$B,'[1]Import Eletra'!$G:$G,,0,1)</f>
        <v>SEA</v>
      </c>
      <c r="I29" s="108">
        <v>46074</v>
      </c>
      <c r="J29" s="109">
        <v>30</v>
      </c>
      <c r="K29" s="109">
        <f>L29-I29</f>
        <v>21</v>
      </c>
      <c r="L29" s="108">
        <f>IF(_xlfn.XLOOKUP($D29,'[1]Import Eletra'!$B:$B,'[1]Import Eletra'!$J:$J,,0,1)=0,"",_xlfn.XLOOKUP($D29,'[1]Import Eletra'!$B:$B,'[1]Import Eletra'!$J:$J,,0,1))</f>
        <v>46095</v>
      </c>
      <c r="M29" s="168">
        <f>IF(_xlfn.XLOOKUP($D29,'[1]Import Eletra'!$B:$B,'[1]Import Eletra'!$L:$L,,0,1)=0,"",_xlfn.XLOOKUP($D29,'[1]Import Eletra'!$B:$B,'[1]Import Eletra'!$L:$L,,0,1))</f>
        <v>46161</v>
      </c>
      <c r="N29" s="110">
        <f>IF(_xlfn.XLOOKUP($D29,'[1]Import Eletra'!$B:$B,'[1]Import Eletra'!$AJ:$AJ,,0,1)=0,"",_xlfn.XLOOKUP($D29,'[1]Import Eletra'!$B:$B,'[1]Import Eletra'!$AJ:$AJ,,0,1))</f>
        <v>21710.86</v>
      </c>
      <c r="O29" s="108">
        <f>IF(_xlfn.XLOOKUP($D29,'[1]Import Eletra'!$B:$B,'[1]Import Eletra'!$AK:$AK,,0,1)=0,"",_xlfn.XLOOKUP($D29,'[1]Import Eletra'!$B:$B,'[1]Import Eletra'!$AK:$AK,,0,1))</f>
        <v>46128</v>
      </c>
      <c r="P29" s="108">
        <f>IF(_xlfn.XLOOKUP($D29,'[1]Import Eletra'!$B:$B,'[1]Import Eletra'!$AL:$AL,,0,1)=0,"",_xlfn.XLOOKUP($D29,'[1]Import Eletra'!$B:$B,'[1]Import Eletra'!$AL:$AL,,0,1))</f>
        <v>46134</v>
      </c>
      <c r="Q29" s="108">
        <f>IF(_xlfn.XLOOKUP($D29,'[1]Import Eletra'!$B:$B,'[1]Import Eletra'!$AM:$AM,,0,1)=0,"",_xlfn.XLOOKUP($D29,'[1]Import Eletra'!$B:$B,'[1]Import Eletra'!$AM:$AM,,0,1))</f>
        <v>46136</v>
      </c>
      <c r="R29" s="108">
        <f>IF(_xlfn.XLOOKUP($D29,'[1]Import Eletra'!$B:$B,'[1]Import Eletra'!$AN:$AN,,0,1)=0,"",_xlfn.XLOOKUP($D29,'[1]Import Eletra'!$B:$B,'[1]Import Eletra'!$AN:$AN,,0,1))</f>
        <v>46136</v>
      </c>
      <c r="S29" s="108">
        <f>IF(_xlfn.XLOOKUP($D29,'[1]Import Eletra'!$B:$B,'[1]Import Eletra'!$AO:$AO,,0,1)=0,"",_xlfn.XLOOKUP($D29,'[1]Import Eletra'!$B:$B,'[1]Import Eletra'!$AO:$AO,,0,1))</f>
        <v>46136</v>
      </c>
      <c r="T29" s="108">
        <f>IF(_xlfn.XLOOKUP($D29,'[1]Import Eletra'!$B:$B,'[1]Import Eletra'!$AP:$AP,,0,1)=0,"",_xlfn.XLOOKUP($D29,'[1]Import Eletra'!$B:$B,'[1]Import Eletra'!$AP:$AP,,0,1))</f>
        <v>46139</v>
      </c>
      <c r="U29" s="208">
        <f>IF(_xlfn.XLOOKUP($D29,'[1]Import Eletra'!$B:$B,'[1]Import Eletra'!$AQ:$AQ,,0,1)=0,"",_xlfn.XLOOKUP($D29,'[1]Import Eletra'!$B:$B,'[1]Import Eletra'!$AQ:$AQ,,0,1))</f>
        <v>46140</v>
      </c>
      <c r="V29" s="110">
        <f>AA29-$AA$4</f>
        <v>46140</v>
      </c>
      <c r="W29" s="104">
        <f>IF(_xlfn.XLOOKUP($D29,'[1]Import Eletra'!$B:$B,'[1]Import Eletra'!$AR:$AR,,0,1)=0,"",_xlfn.XLOOKUP($D29,'[1]Import Eletra'!$B:$B,'[1]Import Eletra'!$AR:$AR,,0,1))</f>
        <v>46162</v>
      </c>
      <c r="X29" s="113">
        <f t="shared" si="1"/>
        <v>0</v>
      </c>
      <c r="Y29" s="113">
        <f t="shared" ca="1" si="2"/>
        <v>22</v>
      </c>
      <c r="Z29" s="184">
        <f t="shared" ca="1" si="17"/>
        <v>22</v>
      </c>
      <c r="AA29" s="164">
        <f>AF29-$AA$4</f>
        <v>46141</v>
      </c>
      <c r="AB29" s="104" t="str">
        <f>IF(_xlfn.XLOOKUP($D29,'[1]Import Eletra'!$B:$B,'[1]Import Eletra'!$AC:$AC,,0,1)=0,"",_xlfn.XLOOKUP($D29,'[1]Import Eletra'!$B:$B,'[1]Import Eletra'!$AC:$AC,,0,1))</f>
        <v/>
      </c>
      <c r="AC29" s="113">
        <f t="shared" si="3"/>
        <v>0</v>
      </c>
      <c r="AD29" s="113">
        <f ca="1">IF(AB29="",TODAY()-AA29,AB29-AA29)</f>
        <v>70</v>
      </c>
      <c r="AE29" s="184">
        <f t="shared" ca="1" si="18"/>
        <v>70</v>
      </c>
      <c r="AF29" s="117">
        <f>AK29-$AK$4</f>
        <v>46142</v>
      </c>
      <c r="AG29" s="104">
        <f>IF(_xlfn.XLOOKUP($D29,'[1]Import Eletra'!$B:$B,'[1]Import Eletra'!$AD:$AD,,0,1)=0,"",_xlfn.XLOOKUP($D29,'[1]Import Eletra'!$B:$B,'[1]Import Eletra'!$AD:$AD,,0,1))</f>
        <v>46162</v>
      </c>
      <c r="AH29" s="113">
        <f t="shared" si="4"/>
        <v>0</v>
      </c>
      <c r="AI29" s="113">
        <f ca="1">IF(AG29="",TODAY()-AF29,AG29-AF29)</f>
        <v>20</v>
      </c>
      <c r="AJ29" s="184">
        <f t="shared" ca="1" si="19"/>
        <v>20</v>
      </c>
      <c r="AK29" s="117">
        <f>AP29-$AP$4</f>
        <v>46142</v>
      </c>
      <c r="AL29" s="104">
        <f>IF(_xlfn.XLOOKUP($D29,'[1]Import Eletra'!$B:$B,'[1]Import Eletra'!$AS:$AS,,0,1)=0,"",_xlfn.XLOOKUP($D29,'[1]Import Eletra'!$B:$B,'[1]Import Eletra'!$AS:$AS,,0,1))</f>
        <v>46162</v>
      </c>
      <c r="AM29" s="113">
        <f t="shared" si="5"/>
        <v>0</v>
      </c>
      <c r="AN29" s="113">
        <f ca="1">IF(AL29="",TODAY()-AK29,AL29-AK29)</f>
        <v>20</v>
      </c>
      <c r="AO29" s="184">
        <f t="shared" ca="1" si="20"/>
        <v>20</v>
      </c>
      <c r="AP29" s="118">
        <f>AU29-$AU$4</f>
        <v>46143</v>
      </c>
      <c r="AQ29" s="104">
        <f>IF(_xlfn.XLOOKUP($D29,'[1]Import Eletra'!$B:$B,'[1]Import Eletra'!$AT:$AT,,0,1)=0,"",_xlfn.XLOOKUP($D29,'[1]Import Eletra'!$B:$B,'[1]Import Eletra'!$AT:$AT,,0,1))</f>
        <v>46163</v>
      </c>
      <c r="AR29" s="113">
        <f t="shared" si="6"/>
        <v>1</v>
      </c>
      <c r="AS29" s="113">
        <f ca="1">IF(AQ29="",TODAY()-AP29,AQ29-AP29)</f>
        <v>20</v>
      </c>
      <c r="AT29" s="184">
        <f t="shared" ca="1" si="21"/>
        <v>19</v>
      </c>
      <c r="AU29" s="117">
        <f>AZ29-$AZ$4</f>
        <v>46143</v>
      </c>
      <c r="AV29" s="104">
        <f>IF(_xlfn.XLOOKUP($D29,'[1]Import Eletra'!$B:$B,'[1]Import Eletra'!$AU:$AU,,0,1)=0,"",_xlfn.XLOOKUP($D29,'[1]Import Eletra'!$B:$B,'[1]Import Eletra'!$AU:$AU,,0,1))</f>
        <v>46163</v>
      </c>
      <c r="AW29" s="113">
        <f t="shared" si="38"/>
        <v>0</v>
      </c>
      <c r="AX29" s="113">
        <f ca="1">IF(AV29="",TODAY()-AU29,AV29-AU29)</f>
        <v>20</v>
      </c>
      <c r="AY29" s="184">
        <f t="shared" ca="1" si="22"/>
        <v>20</v>
      </c>
      <c r="AZ29" s="118">
        <f>BE29-$BE$4</f>
        <v>46143</v>
      </c>
      <c r="BA29" s="104" t="str">
        <f>IF(_xlfn.XLOOKUP($D29,'[1]Import Eletra'!$B:$B,'[1]Import Eletra'!$AV:$AV,,0,1)=0,"",_xlfn.XLOOKUP($D29,'[1]Import Eletra'!$B:$B,'[1]Import Eletra'!$AV:$AV,,0,1))</f>
        <v/>
      </c>
      <c r="BB29" s="113">
        <f t="shared" si="39"/>
        <v>0</v>
      </c>
      <c r="BC29" s="113">
        <f ca="1">IF(BA29="",TODAY()-AZ29,BA29-AZ29)</f>
        <v>68</v>
      </c>
      <c r="BD29" s="184">
        <f t="shared" ca="1" si="23"/>
        <v>68</v>
      </c>
      <c r="BE29" s="110">
        <f>BJ29-$BJ$4</f>
        <v>46143</v>
      </c>
      <c r="BF29" s="104" t="str">
        <f>IF(_xlfn.XLOOKUP($D29,'[1]Import Eletra'!$B:$B,'[1]Import Eletra'!$AW:$AW,,0,1)=0,"",_xlfn.XLOOKUP($D29,'[1]Import Eletra'!$B:$B,'[1]Import Eletra'!$AW:$AW,,0,1))</f>
        <v/>
      </c>
      <c r="BG29" s="113">
        <f t="shared" si="40"/>
        <v>0</v>
      </c>
      <c r="BH29" s="113">
        <f ca="1">IF(BF29="",TODAY()-BE29,BF29-BE29)</f>
        <v>68</v>
      </c>
      <c r="BI29" s="184">
        <f t="shared" ca="1" si="24"/>
        <v>68</v>
      </c>
      <c r="BJ29" s="120">
        <f>BO29-$BO$4</f>
        <v>46143</v>
      </c>
      <c r="BK29" s="104" t="str">
        <f>IF(_xlfn.XLOOKUP($D29,'[1]Import Eletra'!$B:$B,'[1]Import Eletra'!$AX:$AX,,0,1)=0,"",_xlfn.XLOOKUP($D29,'[1]Import Eletra'!$B:$B,'[1]Import Eletra'!$AX:$AX,,0,1))</f>
        <v/>
      </c>
      <c r="BL29" s="113">
        <f t="shared" si="7"/>
        <v>0</v>
      </c>
      <c r="BM29" s="113">
        <f ca="1">IF(BK29="",TODAY()-BJ29,BK29-BJ29)</f>
        <v>68</v>
      </c>
      <c r="BN29" s="184">
        <f t="shared" ca="1" si="25"/>
        <v>68</v>
      </c>
      <c r="BO29" s="110">
        <f>BT29-$BT$4</f>
        <v>46143</v>
      </c>
      <c r="BP29" s="104" t="str">
        <f>IF(_xlfn.XLOOKUP($D29,'[1]Import Eletra'!$B:$B,'[1]Import Eletra'!$AY:$AY,,0,1)=0,"",_xlfn.XLOOKUP($D29,'[1]Import Eletra'!$B:$B,'[1]Import Eletra'!$AY:$AY,,0,1))</f>
        <v/>
      </c>
      <c r="BQ29" s="113">
        <f t="shared" si="8"/>
        <v>0</v>
      </c>
      <c r="BR29" s="113">
        <f ca="1">IF(BP29="",TODAY()-BO29,BP29-BO29)</f>
        <v>68</v>
      </c>
      <c r="BS29" s="184">
        <f t="shared" ca="1" si="26"/>
        <v>68</v>
      </c>
      <c r="BT29" s="120">
        <f>BY29-$BY$4</f>
        <v>46145</v>
      </c>
      <c r="BU29" s="104" t="str">
        <f>IF(_xlfn.XLOOKUP($D29,'[1]Import Eletra'!$B:$B,'[1]Import Eletra'!$AZ:$AZ,,0,1)=0,"",_xlfn.XLOOKUP($D29,'[1]Import Eletra'!$B:$B,'[1]Import Eletra'!$AZ:$AZ,,0,1))</f>
        <v/>
      </c>
      <c r="BV29" s="113">
        <f t="shared" si="9"/>
        <v>2</v>
      </c>
      <c r="BW29" s="113">
        <f ca="1">IF(BU29="",TODAY()-BT29,BU29-BT29)</f>
        <v>66</v>
      </c>
      <c r="BX29" s="184">
        <f t="shared" ca="1" si="27"/>
        <v>64</v>
      </c>
      <c r="BY29" s="110">
        <f>CD29-$CD$4</f>
        <v>46145</v>
      </c>
      <c r="BZ29" s="104">
        <f>IF(_xlfn.XLOOKUP($D29,'[1]Import Eletra'!$B:$B,'[1]Import Eletra'!$BA:$BA,,0,1)=0,"",_xlfn.XLOOKUP($D29,'[1]Import Eletra'!$B:$B,'[1]Import Eletra'!$BA:$BA,,0,1))</f>
        <v>46168</v>
      </c>
      <c r="CA29" s="113">
        <f t="shared" si="10"/>
        <v>0</v>
      </c>
      <c r="CB29" s="113">
        <f ca="1">IF(BZ29="",TODAY()-BY29,BZ29-BY29)</f>
        <v>23</v>
      </c>
      <c r="CC29" s="184">
        <f t="shared" ca="1" si="28"/>
        <v>23</v>
      </c>
      <c r="CD29" s="120">
        <f>CI29-$CI$4</f>
        <v>46145</v>
      </c>
      <c r="CE29" s="104">
        <f>IF(_xlfn.XLOOKUP($D29,'[1]Import Eletra'!$B:$B,'[1]Import Eletra'!$BB:$BB,,0,1)=0,"",_xlfn.XLOOKUP($D29,'[1]Import Eletra'!$B:$B,'[1]Import Eletra'!$BB:$BB,,0,1))</f>
        <v>46168</v>
      </c>
      <c r="CF29" s="113">
        <f t="shared" si="11"/>
        <v>0</v>
      </c>
      <c r="CG29" s="113">
        <f ca="1">IF(CE29="",TODAY()-CD29,CE29-CD29)</f>
        <v>23</v>
      </c>
      <c r="CH29" s="184">
        <f t="shared" ca="1" si="29"/>
        <v>23</v>
      </c>
      <c r="CI29" s="110">
        <f>CN29-$CN$4</f>
        <v>46145</v>
      </c>
      <c r="CJ29" s="104">
        <f>IF(_xlfn.XLOOKUP($D29,'[1]Import Eletra'!$B:$B,'[1]Import Eletra'!$BC:$BC,,0,1)=0,"",_xlfn.XLOOKUP($D29,'[1]Import Eletra'!$B:$B,'[1]Import Eletra'!$BC:$BC,,0,1))</f>
        <v>46168</v>
      </c>
      <c r="CK29" s="113"/>
      <c r="CL29" s="113">
        <f ca="1">IF(CJ29="",TODAY()-CI29,CJ29-CI29)</f>
        <v>23</v>
      </c>
      <c r="CM29" s="184">
        <f t="shared" ca="1" si="30"/>
        <v>23</v>
      </c>
      <c r="CN29" s="120">
        <f>CS29-$CS$4</f>
        <v>46146</v>
      </c>
      <c r="CO29" s="104">
        <f>IF(_xlfn.XLOOKUP($D29,'[1]Import Eletra'!$B:$B,'[1]Import Eletra'!$BD:$BD,,0,1)=0,"",_xlfn.XLOOKUP($D29,'[1]Import Eletra'!$B:$B,'[1]Import Eletra'!$BD:$BD,,0,1))</f>
        <v>46163</v>
      </c>
      <c r="CP29" s="113">
        <f t="shared" si="12"/>
        <v>0</v>
      </c>
      <c r="CQ29" s="113">
        <f ca="1">IF(CO29="",TODAY()-CN29,CO29-CN29)</f>
        <v>17</v>
      </c>
      <c r="CR29" s="184">
        <f t="shared" ca="1" si="31"/>
        <v>17</v>
      </c>
      <c r="CS29" s="110">
        <f>CX29-$CX$4</f>
        <v>46146</v>
      </c>
      <c r="CT29" s="104">
        <f>IF(_xlfn.XLOOKUP($D29,'[1]Import Eletra'!$B:$B,'[1]Import Eletra'!$BE:$BE,,0,1)=0,"",_xlfn.XLOOKUP($D29,'[1]Import Eletra'!$B:$B,'[1]Import Eletra'!$BE:$BE,,0,1))</f>
        <v>46164</v>
      </c>
      <c r="CU29" s="113">
        <f t="shared" si="13"/>
        <v>0</v>
      </c>
      <c r="CV29" s="113">
        <f ca="1">IF(CT29="",TODAY()-CS29,CT29-CS29)</f>
        <v>18</v>
      </c>
      <c r="CW29" s="184">
        <f t="shared" ca="1" si="32"/>
        <v>18</v>
      </c>
      <c r="CX29" s="110">
        <f>DC29-$DC$4</f>
        <v>46146</v>
      </c>
      <c r="CY29" s="104">
        <f>IF(_xlfn.XLOOKUP($D29,'[1]Import Eletra'!$B:$B,'[1]Import Eletra'!$BE:$BE,,0,1)=0,"",_xlfn.XLOOKUP($D29,'[1]Import Eletra'!$B:$B,'[1]Import Eletra'!$BE:$BE,,0,1))</f>
        <v>46164</v>
      </c>
      <c r="CZ29" s="210">
        <f t="shared" si="14"/>
        <v>0</v>
      </c>
      <c r="DA29" s="113">
        <f ca="1">IF(CY29="",TODAY()-CX29,CY29-CX29)</f>
        <v>18</v>
      </c>
      <c r="DB29" s="184">
        <f t="shared" ca="1" si="33"/>
        <v>18</v>
      </c>
      <c r="DC29" s="110">
        <f>DH29-$DH$4</f>
        <v>46148</v>
      </c>
      <c r="DD29" s="104">
        <f>IF(_xlfn.XLOOKUP($D29,'[1]Import Eletra'!$B:$B,'[1]Import Eletra'!$BF:$BF,,0,1)=0,"",_xlfn.XLOOKUP($D29,'[1]Import Eletra'!$B:$B,'[1]Import Eletra'!$BF:$BF,0,1))</f>
        <v>46164</v>
      </c>
      <c r="DE29" s="113">
        <f t="shared" si="15"/>
        <v>2</v>
      </c>
      <c r="DF29" s="113">
        <f ca="1">IF(DD29="",TODAY()-DC29,DD29-DC29)</f>
        <v>16</v>
      </c>
      <c r="DG29" s="184">
        <f t="shared" ca="1" si="34"/>
        <v>14</v>
      </c>
      <c r="DH29" s="110">
        <f>DN29-$DM$4</f>
        <v>46149</v>
      </c>
      <c r="DI29" s="104">
        <f>IF(_xlfn.XLOOKUP($D29,'[1]Import Eletra'!$B:$B,'[1]Import Eletra'!$BG:$BG,,0,1)=0,"",_xlfn.XLOOKUP($D29,'[1]Import Eletra'!$B:$B,'[1]Import Eletra'!$BG:$BG,0,1))</f>
        <v>46168</v>
      </c>
      <c r="DJ29" s="112">
        <f t="shared" si="16"/>
        <v>1</v>
      </c>
      <c r="DK29" s="112">
        <f t="shared" ca="1" si="72"/>
        <v>19</v>
      </c>
      <c r="DL29" s="184">
        <f t="shared" ca="1" si="35"/>
        <v>18</v>
      </c>
      <c r="DM29" s="64"/>
      <c r="DN29" s="202">
        <f t="shared" si="82"/>
        <v>46150</v>
      </c>
      <c r="DO29" s="104"/>
      <c r="DP29" s="112">
        <f>$DM$3</f>
        <v>1</v>
      </c>
      <c r="DQ29" s="112">
        <f t="shared" ca="1" si="74"/>
        <v>61</v>
      </c>
      <c r="DR29" s="184">
        <f t="shared" ca="1" si="36"/>
        <v>60</v>
      </c>
      <c r="DS29" s="143">
        <v>10</v>
      </c>
      <c r="DT29" s="140"/>
      <c r="DU29" s="184">
        <f t="shared" si="37"/>
        <v>-10</v>
      </c>
      <c r="DW29" s="142" t="s">
        <v>257</v>
      </c>
      <c r="DZ29" s="232"/>
    </row>
    <row r="30" spans="1:130" ht="30" customHeight="1">
      <c r="A30" s="229"/>
      <c r="B30" s="91">
        <v>4</v>
      </c>
      <c r="C30" s="2" t="s">
        <v>281</v>
      </c>
      <c r="D30" s="211" t="s">
        <v>282</v>
      </c>
      <c r="E30" s="98">
        <f>IF(_xlfn.XLOOKUP($D30,'[1]Import Eletra'!$B:$B,'[1]Import Eletra'!$U:$U,,0,1)=0,"",_xlfn.XLOOKUP($D30,'[1]Import Eletra'!$B:$B,'[1]Import Eletra'!$U:$U,,0,1))</f>
        <v>2</v>
      </c>
      <c r="F30" s="73" t="s">
        <v>244</v>
      </c>
      <c r="G30" s="2" t="str">
        <f>_xlfn.XLOOKUP($D30,'[1]Import Eletra'!$B:$B,'[1]Import Eletra'!$F:$F,,0,1)</f>
        <v>DELIVERED</v>
      </c>
      <c r="H30" s="3" t="str">
        <f>_xlfn.XLOOKUP($D30,'[1]Import Eletra'!$B:$B,'[1]Import Eletra'!$G:$G,,0,1)</f>
        <v>SEA</v>
      </c>
      <c r="I30" s="3">
        <v>46085</v>
      </c>
      <c r="J30" s="58">
        <v>30</v>
      </c>
      <c r="K30" s="58">
        <f t="shared" si="83"/>
        <v>37</v>
      </c>
      <c r="L30" s="3">
        <f>IF(_xlfn.XLOOKUP($D30,'[1]Import Eletra'!$B:$B,'[1]Import Eletra'!$J:$J,,0,1)=0,"",_xlfn.XLOOKUP($D30,'[1]Import Eletra'!$B:$B,'[1]Import Eletra'!$J:$J,,0,1))</f>
        <v>46122</v>
      </c>
      <c r="M30" s="84">
        <f>IF(_xlfn.XLOOKUP($D30,'[1]Import Eletra'!$B:$B,'[1]Import Eletra'!$L:$L,,0,1)=0,"",_xlfn.XLOOKUP($D30,'[1]Import Eletra'!$B:$B,'[1]Import Eletra'!$L:$L,,0,1))</f>
        <v>46168</v>
      </c>
      <c r="N30" s="19">
        <f>IF(_xlfn.XLOOKUP($D30,'[1]Import Eletra'!$B:$B,'[1]Import Eletra'!$AJ:$AJ,,0,1)=0,"",_xlfn.XLOOKUP($D30,'[1]Import Eletra'!$B:$B,'[1]Import Eletra'!$AJ:$AJ,,0,1))</f>
        <v>1344756.23</v>
      </c>
      <c r="O30" s="3">
        <f>IF(_xlfn.XLOOKUP($D30,'[1]Import Eletra'!$B:$B,'[1]Import Eletra'!$AK:$AK,,0,1)=0,"",_xlfn.XLOOKUP($D30,'[1]Import Eletra'!$B:$B,'[1]Import Eletra'!$AK:$AK,,0,1))</f>
        <v>46140</v>
      </c>
      <c r="P30" s="4">
        <f>IF(_xlfn.XLOOKUP($D30,'[1]Import Eletra'!$B:$B,'[1]Import Eletra'!$AL:$AL,,0,1)=0,"",_xlfn.XLOOKUP($D30,'[1]Import Eletra'!$B:$B,'[1]Import Eletra'!$AL:$AL,,0,1))</f>
        <v>46140</v>
      </c>
      <c r="Q30" s="3">
        <f>IF(_xlfn.XLOOKUP($D30,'[1]Import Eletra'!$B:$B,'[1]Import Eletra'!$AM:$AM,,0,1)=0,"",_xlfn.XLOOKUP($D30,'[1]Import Eletra'!$B:$B,'[1]Import Eletra'!$AM:$AM,,0,1))</f>
        <v>46148</v>
      </c>
      <c r="R30" s="3">
        <f>IF(_xlfn.XLOOKUP($D30,'[1]Import Eletra'!$B:$B,'[1]Import Eletra'!$AN:$AN,,0,1)=0,"",_xlfn.XLOOKUP($D30,'[1]Import Eletra'!$B:$B,'[1]Import Eletra'!$AN:$AN,,0,1))</f>
        <v>46148</v>
      </c>
      <c r="S30" s="3">
        <f>IF(_xlfn.XLOOKUP($D30,'[1]Import Eletra'!$B:$B,'[1]Import Eletra'!$AO:$AO,,0,1)=0,"",_xlfn.XLOOKUP($D30,'[1]Import Eletra'!$B:$B,'[1]Import Eletra'!$AO:$AO,,0,1))</f>
        <v>46148</v>
      </c>
      <c r="T30" s="3">
        <f>IF(_xlfn.XLOOKUP($D30,'[1]Import Eletra'!$B:$B,'[1]Import Eletra'!$AP:$AP,,0,1)=0,"",_xlfn.XLOOKUP($D30,'[1]Import Eletra'!$B:$B,'[1]Import Eletra'!$AP:$AP,,0,1))</f>
        <v>46150</v>
      </c>
      <c r="U30" s="82">
        <f>IF(_xlfn.XLOOKUP($D30,'[1]Import Eletra'!$B:$B,'[1]Import Eletra'!$AQ:$AQ,,0,1)=0,"",_xlfn.XLOOKUP($D30,'[1]Import Eletra'!$B:$B,'[1]Import Eletra'!$AQ:$AQ,,0,1))</f>
        <v>46150</v>
      </c>
      <c r="V30" s="19">
        <f>AA30-$AA$4</f>
        <v>46150</v>
      </c>
      <c r="W30" s="2">
        <f>IF(_xlfn.XLOOKUP($D30,'[1]Import Eletra'!$B:$B,'[1]Import Eletra'!$AR:$AR,,0,1)=0,"",_xlfn.XLOOKUP($D30,'[1]Import Eletra'!$B:$B,'[1]Import Eletra'!$AR:$AR,,0,1))</f>
        <v>46170</v>
      </c>
      <c r="X30" s="72">
        <f t="shared" si="1"/>
        <v>0</v>
      </c>
      <c r="Y30" s="72">
        <f t="shared" ca="1" si="2"/>
        <v>20</v>
      </c>
      <c r="Z30" s="184">
        <f t="shared" ca="1" si="17"/>
        <v>20</v>
      </c>
      <c r="AA30" s="68">
        <f>AF30-$AA$4</f>
        <v>46151</v>
      </c>
      <c r="AB30" s="2" t="str">
        <f>IF(_xlfn.XLOOKUP($D30,'[1]Import Eletra'!$B:$B,'[1]Import Eletra'!$AC:$AC,,0,1)=0,"",_xlfn.XLOOKUP($D30,'[1]Import Eletra'!$B:$B,'[1]Import Eletra'!$AC:$AC,,0,1))</f>
        <v/>
      </c>
      <c r="AC30" s="72">
        <f t="shared" si="3"/>
        <v>0</v>
      </c>
      <c r="AD30" s="72">
        <f ca="1">IF(AB30="",TODAY()-AA30,AB30-AA30)</f>
        <v>60</v>
      </c>
      <c r="AE30" s="184">
        <f t="shared" ca="1" si="18"/>
        <v>60</v>
      </c>
      <c r="AF30" s="70">
        <f>AK30-$AK$4</f>
        <v>46152</v>
      </c>
      <c r="AG30" s="2">
        <f>IF(_xlfn.XLOOKUP($D30,'[1]Import Eletra'!$B:$B,'[1]Import Eletra'!$AD:$AD,,0,1)=0,"",_xlfn.XLOOKUP($D30,'[1]Import Eletra'!$B:$B,'[1]Import Eletra'!$AD:$AD,,0,1))</f>
        <v>46174</v>
      </c>
      <c r="AH30" s="72">
        <f t="shared" si="4"/>
        <v>0</v>
      </c>
      <c r="AI30" s="72">
        <f ca="1">IF(AG30="",TODAY()-AF30,AG30-AF30)</f>
        <v>22</v>
      </c>
      <c r="AJ30" s="184">
        <f t="shared" ca="1" si="19"/>
        <v>22</v>
      </c>
      <c r="AK30" s="70">
        <f>AP30-$AP$4</f>
        <v>46152</v>
      </c>
      <c r="AL30" s="2">
        <f>IF(_xlfn.XLOOKUP($D30,'[1]Import Eletra'!$B:$B,'[1]Import Eletra'!$AS:$AS,,0,1)=0,"",_xlfn.XLOOKUP($D30,'[1]Import Eletra'!$B:$B,'[1]Import Eletra'!$AS:$AS,,0,1))</f>
        <v>46174</v>
      </c>
      <c r="AM30" s="72">
        <f t="shared" si="5"/>
        <v>0</v>
      </c>
      <c r="AN30" s="72">
        <f ca="1">IF(AL30="",TODAY()-AK30,AL30-AK30)</f>
        <v>22</v>
      </c>
      <c r="AO30" s="184">
        <f t="shared" ca="1" si="20"/>
        <v>22</v>
      </c>
      <c r="AP30" s="71">
        <f>AU30-$AU$4</f>
        <v>46153</v>
      </c>
      <c r="AQ30" s="2">
        <f>IF(_xlfn.XLOOKUP($D30,'[1]Import Eletra'!$B:$B,'[1]Import Eletra'!$AT:$AT,,0,1)=0,"",_xlfn.XLOOKUP($D30,'[1]Import Eletra'!$B:$B,'[1]Import Eletra'!$AT:$AT,,0,1))</f>
        <v>46174</v>
      </c>
      <c r="AR30" s="72">
        <f t="shared" si="6"/>
        <v>1</v>
      </c>
      <c r="AS30" s="72">
        <f ca="1">IF(AQ30="",TODAY()-AP30,AQ30-AP30)</f>
        <v>21</v>
      </c>
      <c r="AT30" s="184">
        <f t="shared" ca="1" si="21"/>
        <v>20</v>
      </c>
      <c r="AU30" s="70">
        <f>AZ30-$AZ$4</f>
        <v>46153</v>
      </c>
      <c r="AV30" s="2">
        <f>IF(_xlfn.XLOOKUP($D30,'[1]Import Eletra'!$B:$B,'[1]Import Eletra'!$AU:$AU,,0,1)=0,"",_xlfn.XLOOKUP($D30,'[1]Import Eletra'!$B:$B,'[1]Import Eletra'!$AU:$AU,,0,1))</f>
        <v>46175</v>
      </c>
      <c r="AW30" s="72">
        <f t="shared" si="38"/>
        <v>0</v>
      </c>
      <c r="AX30" s="72">
        <f ca="1">IF(AV30="",TODAY()-AU30,AV30-AU30)</f>
        <v>22</v>
      </c>
      <c r="AY30" s="184">
        <f t="shared" ca="1" si="22"/>
        <v>22</v>
      </c>
      <c r="AZ30" s="71">
        <f>BE30-$BE$4</f>
        <v>46153</v>
      </c>
      <c r="BA30" s="2" t="str">
        <f>IF(_xlfn.XLOOKUP($D30,'[1]Import Eletra'!$B:$B,'[1]Import Eletra'!$AV:$AV,,0,1)=0,"",_xlfn.XLOOKUP($D30,'[1]Import Eletra'!$B:$B,'[1]Import Eletra'!$AV:$AV,,0,1))</f>
        <v/>
      </c>
      <c r="BB30" s="72">
        <f t="shared" si="39"/>
        <v>0</v>
      </c>
      <c r="BC30" s="72">
        <f ca="1">IF(BA30="",TODAY()-AZ30,BA30-AZ30)</f>
        <v>58</v>
      </c>
      <c r="BD30" s="184">
        <f t="shared" ca="1" si="23"/>
        <v>58</v>
      </c>
      <c r="BE30" s="19">
        <f>BJ30-$BJ$4</f>
        <v>46153</v>
      </c>
      <c r="BF30" s="2" t="str">
        <f>IF(_xlfn.XLOOKUP($D30,'[1]Import Eletra'!$B:$B,'[1]Import Eletra'!$AW:$AW,,0,1)=0,"",_xlfn.XLOOKUP($D30,'[1]Import Eletra'!$B:$B,'[1]Import Eletra'!$AW:$AW,,0,1))</f>
        <v/>
      </c>
      <c r="BG30" s="72">
        <f t="shared" si="40"/>
        <v>0</v>
      </c>
      <c r="BH30" s="72">
        <f ca="1">IF(BF30="",TODAY()-BE30,BF30-BE30)</f>
        <v>58</v>
      </c>
      <c r="BI30" s="184">
        <f t="shared" ca="1" si="24"/>
        <v>58</v>
      </c>
      <c r="BJ30" s="18">
        <f>BO30-$BO$4</f>
        <v>46153</v>
      </c>
      <c r="BK30" s="2" t="str">
        <f>IF(_xlfn.XLOOKUP($D30,'[1]Import Eletra'!$B:$B,'[1]Import Eletra'!$AX:$AX,,0,1)=0,"",_xlfn.XLOOKUP($D30,'[1]Import Eletra'!$B:$B,'[1]Import Eletra'!$AX:$AX,,0,1))</f>
        <v/>
      </c>
      <c r="BL30" s="72">
        <f t="shared" si="7"/>
        <v>0</v>
      </c>
      <c r="BM30" s="72">
        <f ca="1">IF(BK30="",TODAY()-BJ30,BK30-BJ30)</f>
        <v>58</v>
      </c>
      <c r="BN30" s="184">
        <f t="shared" ca="1" si="25"/>
        <v>58</v>
      </c>
      <c r="BO30" s="19">
        <f>BT30-$BT$4</f>
        <v>46153</v>
      </c>
      <c r="BP30" s="2" t="str">
        <f>IF(_xlfn.XLOOKUP($D30,'[1]Import Eletra'!$B:$B,'[1]Import Eletra'!$AY:$AY,,0,1)=0,"",_xlfn.XLOOKUP($D30,'[1]Import Eletra'!$B:$B,'[1]Import Eletra'!$AY:$AY,,0,1))</f>
        <v/>
      </c>
      <c r="BQ30" s="72">
        <f t="shared" si="8"/>
        <v>0</v>
      </c>
      <c r="BR30" s="72">
        <f ca="1">IF(BP30="",TODAY()-BO30,BP30-BO30)</f>
        <v>58</v>
      </c>
      <c r="BS30" s="184">
        <f t="shared" ca="1" si="26"/>
        <v>58</v>
      </c>
      <c r="BT30" s="18">
        <f>BY30-$BY$4</f>
        <v>46155</v>
      </c>
      <c r="BU30" s="2" t="str">
        <f>IF(_xlfn.XLOOKUP($D30,'[1]Import Eletra'!$B:$B,'[1]Import Eletra'!$AZ:$AZ,,0,1)=0,"",_xlfn.XLOOKUP($D30,'[1]Import Eletra'!$B:$B,'[1]Import Eletra'!$AZ:$AZ,,0,1))</f>
        <v/>
      </c>
      <c r="BV30" s="72">
        <f t="shared" si="9"/>
        <v>2</v>
      </c>
      <c r="BW30" s="72">
        <f ca="1">IF(BU30="",TODAY()-BT30,BU30-BT30)</f>
        <v>56</v>
      </c>
      <c r="BX30" s="184">
        <f t="shared" ca="1" si="27"/>
        <v>54</v>
      </c>
      <c r="BY30" s="19">
        <f>CD30-$CD$4</f>
        <v>46155</v>
      </c>
      <c r="BZ30" s="2">
        <f>IF(_xlfn.XLOOKUP($D30,'[1]Import Eletra'!$B:$B,'[1]Import Eletra'!$BA:$BA,,0,1)=0,"",_xlfn.XLOOKUP($D30,'[1]Import Eletra'!$B:$B,'[1]Import Eletra'!$BA:$BA,,0,1))</f>
        <v>46181</v>
      </c>
      <c r="CA30" s="72">
        <f t="shared" si="10"/>
        <v>0</v>
      </c>
      <c r="CB30" s="72">
        <f ca="1">IF(BZ30="",TODAY()-BY30,BZ30-BY30)</f>
        <v>26</v>
      </c>
      <c r="CC30" s="184">
        <f t="shared" ca="1" si="28"/>
        <v>26</v>
      </c>
      <c r="CD30" s="18">
        <f>CI30-$CI$4</f>
        <v>46155</v>
      </c>
      <c r="CE30" s="2">
        <f>IF(_xlfn.XLOOKUP($D30,'[1]Import Eletra'!$B:$B,'[1]Import Eletra'!$BB:$BB,,0,1)=0,"",_xlfn.XLOOKUP($D30,'[1]Import Eletra'!$B:$B,'[1]Import Eletra'!$BB:$BB,,0,1))</f>
        <v>46181</v>
      </c>
      <c r="CF30" s="72">
        <f t="shared" si="11"/>
        <v>0</v>
      </c>
      <c r="CG30" s="72">
        <f ca="1">IF(CE30="",TODAY()-CD30,CE30-CD30)</f>
        <v>26</v>
      </c>
      <c r="CH30" s="184">
        <f t="shared" ca="1" si="29"/>
        <v>26</v>
      </c>
      <c r="CI30" s="19">
        <f>CN30-$CN$4</f>
        <v>46155</v>
      </c>
      <c r="CJ30" s="2">
        <f>IF(_xlfn.XLOOKUP($D30,'[1]Import Eletra'!$B:$B,'[1]Import Eletra'!$BC:$BC,,0,1)=0,"",_xlfn.XLOOKUP($D30,'[1]Import Eletra'!$B:$B,'[1]Import Eletra'!$BC:$BC,,0,1))</f>
        <v>46181</v>
      </c>
      <c r="CK30" s="72"/>
      <c r="CL30" s="72">
        <f ca="1">IF(CJ30="",TODAY()-CI30,CJ30-CI30)</f>
        <v>26</v>
      </c>
      <c r="CM30" s="184">
        <f t="shared" ca="1" si="30"/>
        <v>26</v>
      </c>
      <c r="CN30" s="18">
        <f>CS30-$CS$4</f>
        <v>46156</v>
      </c>
      <c r="CO30" s="2">
        <f>IF(_xlfn.XLOOKUP($D30,'[1]Import Eletra'!$B:$B,'[1]Import Eletra'!$BD:$BD,,0,1)=0,"",_xlfn.XLOOKUP($D30,'[1]Import Eletra'!$B:$B,'[1]Import Eletra'!$BD:$BD,,0,1))</f>
        <v>46175</v>
      </c>
      <c r="CP30" s="72">
        <f t="shared" si="12"/>
        <v>0</v>
      </c>
      <c r="CQ30" s="72">
        <f ca="1">IF(CO30="",TODAY()-CN30,CO30-CN30)</f>
        <v>19</v>
      </c>
      <c r="CR30" s="184">
        <f t="shared" ca="1" si="31"/>
        <v>19</v>
      </c>
      <c r="CS30" s="19">
        <f>CX30-$CX$4</f>
        <v>46156</v>
      </c>
      <c r="CT30" s="2">
        <f>IF(_xlfn.XLOOKUP($D30,'[1]Import Eletra'!$B:$B,'[1]Import Eletra'!$BE:$BE,,0,1)=0,"",_xlfn.XLOOKUP($D30,'[1]Import Eletra'!$B:$B,'[1]Import Eletra'!$BE:$BE,,0,1))</f>
        <v>46175</v>
      </c>
      <c r="CU30" s="72">
        <f t="shared" si="13"/>
        <v>0</v>
      </c>
      <c r="CV30" s="72">
        <f ca="1">IF(CT30="",TODAY()-CS30,CT30-CS30)</f>
        <v>19</v>
      </c>
      <c r="CW30" s="184">
        <f t="shared" ca="1" si="32"/>
        <v>19</v>
      </c>
      <c r="CX30" s="19">
        <f>DC30-$DC$4</f>
        <v>46156</v>
      </c>
      <c r="CY30" s="2">
        <f>IF(_xlfn.XLOOKUP($D30,'[1]Import Eletra'!$B:$B,'[1]Import Eletra'!$BE:$BE,,0,1)=0,"",_xlfn.XLOOKUP($D30,'[1]Import Eletra'!$B:$B,'[1]Import Eletra'!$BE:$BE,,0,1))</f>
        <v>46175</v>
      </c>
      <c r="CZ30" s="209">
        <f t="shared" si="14"/>
        <v>0</v>
      </c>
      <c r="DA30" s="72">
        <f ca="1">IF(CY30="",TODAY()-CX30,CY30-CX30)</f>
        <v>19</v>
      </c>
      <c r="DB30" s="184">
        <f t="shared" ca="1" si="33"/>
        <v>19</v>
      </c>
      <c r="DC30" s="19">
        <f>DH30-$DH$4</f>
        <v>46158</v>
      </c>
      <c r="DD30" s="2">
        <f>IF(_xlfn.XLOOKUP($D30,'[1]Import Eletra'!$B:$B,'[1]Import Eletra'!$BF:$BF,,0,1)=0,"",_xlfn.XLOOKUP($D30,'[1]Import Eletra'!$B:$B,'[1]Import Eletra'!$BF:$BF,0,1))</f>
        <v>46175</v>
      </c>
      <c r="DE30" s="72">
        <f t="shared" si="15"/>
        <v>2</v>
      </c>
      <c r="DF30" s="72">
        <f ca="1">IF(DD30="",TODAY()-DC30,DD30-DC30)</f>
        <v>17</v>
      </c>
      <c r="DG30" s="184">
        <f t="shared" ca="1" si="34"/>
        <v>15</v>
      </c>
      <c r="DH30" s="19">
        <f>DN30-$DM$4</f>
        <v>46159</v>
      </c>
      <c r="DI30" s="2">
        <f>IF(_xlfn.XLOOKUP($D30,'[1]Import Eletra'!$B:$B,'[1]Import Eletra'!$BG:$BG,,0,1)=0,"",_xlfn.XLOOKUP($D30,'[1]Import Eletra'!$B:$B,'[1]Import Eletra'!$BG:$BG,0,1))</f>
        <v>46181</v>
      </c>
      <c r="DJ30" s="1">
        <f t="shared" si="16"/>
        <v>1</v>
      </c>
      <c r="DK30" s="1">
        <f t="shared" ca="1" si="72"/>
        <v>22</v>
      </c>
      <c r="DL30" s="184">
        <f t="shared" ca="1" si="35"/>
        <v>21</v>
      </c>
      <c r="DM30" s="64"/>
      <c r="DN30" s="202">
        <f t="shared" si="82"/>
        <v>46160</v>
      </c>
      <c r="DO30" s="2"/>
      <c r="DP30" s="1">
        <f>$DM$3</f>
        <v>1</v>
      </c>
      <c r="DQ30" s="1">
        <f t="shared" ca="1" si="74"/>
        <v>51</v>
      </c>
      <c r="DR30" s="184">
        <f t="shared" ca="1" si="36"/>
        <v>50</v>
      </c>
      <c r="DS30" s="139">
        <v>10</v>
      </c>
      <c r="DT30" s="140"/>
      <c r="DU30" s="184">
        <f t="shared" si="37"/>
        <v>-10</v>
      </c>
      <c r="DW30" s="142" t="s">
        <v>283</v>
      </c>
      <c r="DZ30" s="231" t="s">
        <v>273</v>
      </c>
    </row>
    <row r="31" spans="1:130" ht="30" customHeight="1">
      <c r="B31" s="103">
        <v>4</v>
      </c>
      <c r="C31" s="104" t="s">
        <v>269</v>
      </c>
      <c r="D31" s="213" t="s">
        <v>284</v>
      </c>
      <c r="E31" s="106" t="str">
        <f>IF(_xlfn.XLOOKUP($D31,'[1]Import Eletra'!$B:$B,'[1]Import Eletra'!$U:$U,,0,1)=0,"",_xlfn.XLOOKUP($D31,'[1]Import Eletra'!$B:$B,'[1]Import Eletra'!$U:$U,,0,1))</f>
        <v/>
      </c>
      <c r="F31" s="107" t="s">
        <v>244</v>
      </c>
      <c r="G31" s="2" t="str">
        <f>_xlfn.XLOOKUP($D31,'[1]Import Eletra'!$B:$B,'[1]Import Eletra'!$F:$F,,0,1)</f>
        <v>DELIVERED</v>
      </c>
      <c r="H31" s="108" t="str">
        <f>_xlfn.XLOOKUP($D31,'[1]Import Eletra'!$B:$B,'[1]Import Eletra'!$G:$G,,0,1)</f>
        <v>AIR</v>
      </c>
      <c r="I31" s="108">
        <v>46018</v>
      </c>
      <c r="J31" s="109">
        <v>30</v>
      </c>
      <c r="K31" s="109">
        <f>L31-I31</f>
        <v>105</v>
      </c>
      <c r="L31" s="108">
        <f>IF(_xlfn.XLOOKUP($D31,'[1]Import Eletra'!$B:$B,'[1]Import Eletra'!$J:$J,,0,1)=0,"",_xlfn.XLOOKUP($D31,'[1]Import Eletra'!$B:$B,'[1]Import Eletra'!$J:$J,,0,1))</f>
        <v>46123</v>
      </c>
      <c r="M31" s="168">
        <f>IF(_xlfn.XLOOKUP($D31,'[1]Import Eletra'!$B:$B,'[1]Import Eletra'!$L:$L,,0,1)=0,"",_xlfn.XLOOKUP($D31,'[1]Import Eletra'!$B:$B,'[1]Import Eletra'!$L:$L,,0,1))</f>
        <v>46145</v>
      </c>
      <c r="N31" s="110" t="str">
        <f>IF(_xlfn.XLOOKUP($D31,'[1]Import Eletra'!$B:$B,'[1]Import Eletra'!$AJ:$AJ,,0,1)=0,"",_xlfn.XLOOKUP($D31,'[1]Import Eletra'!$B:$B,'[1]Import Eletra'!$AJ:$AJ,,0,1))</f>
        <v/>
      </c>
      <c r="O31" s="108">
        <f>IF(_xlfn.XLOOKUP($D31,'[1]Import Eletra'!$B:$B,'[1]Import Eletra'!$AK:$AK,,0,1)=0,"",_xlfn.XLOOKUP($D31,'[1]Import Eletra'!$B:$B,'[1]Import Eletra'!$AK:$AK,,0,1))</f>
        <v>46139</v>
      </c>
      <c r="P31" s="108">
        <f>IF(_xlfn.XLOOKUP($D31,'[1]Import Eletra'!$B:$B,'[1]Import Eletra'!$AL:$AL,,0,1)=0,"",_xlfn.XLOOKUP($D31,'[1]Import Eletra'!$B:$B,'[1]Import Eletra'!$AL:$AL,,0,1))</f>
        <v>46139</v>
      </c>
      <c r="Q31" s="108">
        <f>IF(_xlfn.XLOOKUP($D31,'[1]Import Eletra'!$B:$B,'[1]Import Eletra'!$AM:$AM,,0,1)=0,"",_xlfn.XLOOKUP($D31,'[1]Import Eletra'!$B:$B,'[1]Import Eletra'!$AM:$AM,,0,1))</f>
        <v>46141</v>
      </c>
      <c r="R31" s="108">
        <f>IF(_xlfn.XLOOKUP($D31,'[1]Import Eletra'!$B:$B,'[1]Import Eletra'!$AN:$AN,,0,1)=0,"",_xlfn.XLOOKUP($D31,'[1]Import Eletra'!$B:$B,'[1]Import Eletra'!$AN:$AN,,0,1))</f>
        <v>46141</v>
      </c>
      <c r="S31" s="108">
        <f>IF(_xlfn.XLOOKUP($D31,'[1]Import Eletra'!$B:$B,'[1]Import Eletra'!$AO:$AO,,0,1)=0,"",_xlfn.XLOOKUP($D31,'[1]Import Eletra'!$B:$B,'[1]Import Eletra'!$AO:$AO,,0,1))</f>
        <v>46142</v>
      </c>
      <c r="T31" s="108">
        <f>IF(_xlfn.XLOOKUP($D31,'[1]Import Eletra'!$B:$B,'[1]Import Eletra'!$AP:$AP,,0,1)=0,"",_xlfn.XLOOKUP($D31,'[1]Import Eletra'!$B:$B,'[1]Import Eletra'!$AP:$AP,,0,1))</f>
        <v>46142</v>
      </c>
      <c r="U31" s="208">
        <f>IF(_xlfn.XLOOKUP($D31,'[1]Import Eletra'!$B:$B,'[1]Import Eletra'!$AQ:$AQ,,0,1)=0,"",_xlfn.XLOOKUP($D31,'[1]Import Eletra'!$B:$B,'[1]Import Eletra'!$AQ:$AQ,,0,1))</f>
        <v>46142</v>
      </c>
      <c r="V31" s="110">
        <f>AA31-$AA$4</f>
        <v>46142</v>
      </c>
      <c r="W31" s="104">
        <f>IF(_xlfn.XLOOKUP($D31,'[1]Import Eletra'!$B:$B,'[1]Import Eletra'!$AR:$AR,,0,1)=0,"",_xlfn.XLOOKUP($D31,'[1]Import Eletra'!$B:$B,'[1]Import Eletra'!$AR:$AR,,0,1))</f>
        <v>46146</v>
      </c>
      <c r="X31" s="113">
        <f t="shared" si="1"/>
        <v>0</v>
      </c>
      <c r="Y31" s="113">
        <f t="shared" ca="1" si="2"/>
        <v>4</v>
      </c>
      <c r="Z31" s="184">
        <f t="shared" ca="1" si="17"/>
        <v>4</v>
      </c>
      <c r="AA31" s="164">
        <f>AF31-$AA$4</f>
        <v>46143</v>
      </c>
      <c r="AB31" s="104" t="str">
        <f>IF(_xlfn.XLOOKUP($D31,'[1]Import Eletra'!$B:$B,'[1]Import Eletra'!$AC:$AC,,0,1)=0,"",_xlfn.XLOOKUP($D31,'[1]Import Eletra'!$B:$B,'[1]Import Eletra'!$AC:$AC,,0,1))</f>
        <v/>
      </c>
      <c r="AC31" s="113">
        <f t="shared" si="3"/>
        <v>0</v>
      </c>
      <c r="AD31" s="113">
        <f ca="1">IF(AB31="",TODAY()-AA31,AB31-AA31)</f>
        <v>68</v>
      </c>
      <c r="AE31" s="184">
        <f t="shared" ca="1" si="18"/>
        <v>68</v>
      </c>
      <c r="AF31" s="117">
        <f>AK31-$AK$4</f>
        <v>46144</v>
      </c>
      <c r="AG31" s="104">
        <f>IF(_xlfn.XLOOKUP($D31,'[1]Import Eletra'!$B:$B,'[1]Import Eletra'!$AD:$AD,,0,1)=0,"",_xlfn.XLOOKUP($D31,'[1]Import Eletra'!$B:$B,'[1]Import Eletra'!$AD:$AD,,0,1))</f>
        <v>46146</v>
      </c>
      <c r="AH31" s="113">
        <f t="shared" si="4"/>
        <v>0</v>
      </c>
      <c r="AI31" s="113">
        <f ca="1">IF(AG31="",TODAY()-AF31,AG31-AF31)</f>
        <v>2</v>
      </c>
      <c r="AJ31" s="184">
        <f t="shared" ca="1" si="19"/>
        <v>2</v>
      </c>
      <c r="AK31" s="117">
        <f>AP31-$AP$4</f>
        <v>46144</v>
      </c>
      <c r="AL31" s="104">
        <f>IF(_xlfn.XLOOKUP($D31,'[1]Import Eletra'!$B:$B,'[1]Import Eletra'!$AS:$AS,,0,1)=0,"",_xlfn.XLOOKUP($D31,'[1]Import Eletra'!$B:$B,'[1]Import Eletra'!$AS:$AS,,0,1))</f>
        <v>46146</v>
      </c>
      <c r="AM31" s="113">
        <f t="shared" si="5"/>
        <v>0</v>
      </c>
      <c r="AN31" s="113">
        <f ca="1">IF(AL31="",TODAY()-AK31,AL31-AK31)</f>
        <v>2</v>
      </c>
      <c r="AO31" s="184">
        <f t="shared" ca="1" si="20"/>
        <v>2</v>
      </c>
      <c r="AP31" s="118">
        <f>AU31-$AU$4</f>
        <v>46145</v>
      </c>
      <c r="AQ31" s="104">
        <f>IF(_xlfn.XLOOKUP($D31,'[1]Import Eletra'!$B:$B,'[1]Import Eletra'!$AT:$AT,,0,1)=0,"",_xlfn.XLOOKUP($D31,'[1]Import Eletra'!$B:$B,'[1]Import Eletra'!$AT:$AT,,0,1))</f>
        <v>46146</v>
      </c>
      <c r="AR31" s="113">
        <f t="shared" si="6"/>
        <v>1</v>
      </c>
      <c r="AS31" s="113">
        <f ca="1">IF(AQ31="",TODAY()-AP31,AQ31-AP31)</f>
        <v>1</v>
      </c>
      <c r="AT31" s="184">
        <f t="shared" ca="1" si="21"/>
        <v>0</v>
      </c>
      <c r="AU31" s="117">
        <f>AZ31-$AZ$4</f>
        <v>46145</v>
      </c>
      <c r="AV31" s="104">
        <f>IF(_xlfn.XLOOKUP($D31,'[1]Import Eletra'!$B:$B,'[1]Import Eletra'!$AU:$AU,,0,1)=0,"",_xlfn.XLOOKUP($D31,'[1]Import Eletra'!$B:$B,'[1]Import Eletra'!$AU:$AU,,0,1))</f>
        <v>46147</v>
      </c>
      <c r="AW31" s="113">
        <f t="shared" si="38"/>
        <v>0</v>
      </c>
      <c r="AX31" s="113">
        <f ca="1">IF(AV31="",TODAY()-AU31,AV31-AU31)</f>
        <v>2</v>
      </c>
      <c r="AY31" s="184">
        <f t="shared" ca="1" si="22"/>
        <v>2</v>
      </c>
      <c r="AZ31" s="118">
        <f>BE31-$BE$4</f>
        <v>46145</v>
      </c>
      <c r="BA31" s="104">
        <f>IF(_xlfn.XLOOKUP($D31,'[1]Import Eletra'!$B:$B,'[1]Import Eletra'!$AV:$AV,,0,1)=0,"",_xlfn.XLOOKUP($D31,'[1]Import Eletra'!$B:$B,'[1]Import Eletra'!$AV:$AV,,0,1))</f>
        <v>46146</v>
      </c>
      <c r="BB31" s="113">
        <f t="shared" si="39"/>
        <v>0</v>
      </c>
      <c r="BC31" s="113">
        <f ca="1">IF(BA31="",TODAY()-AZ31,BA31-AZ31)</f>
        <v>1</v>
      </c>
      <c r="BD31" s="184">
        <f t="shared" ca="1" si="23"/>
        <v>1</v>
      </c>
      <c r="BE31" s="110">
        <f>BJ31-$BJ$4</f>
        <v>46145</v>
      </c>
      <c r="BF31" s="104">
        <f>IF(_xlfn.XLOOKUP($D31,'[1]Import Eletra'!$B:$B,'[1]Import Eletra'!$AW:$AW,,0,1)=0,"",_xlfn.XLOOKUP($D31,'[1]Import Eletra'!$B:$B,'[1]Import Eletra'!$AW:$AW,,0,1))</f>
        <v>46147</v>
      </c>
      <c r="BG31" s="113">
        <f t="shared" si="40"/>
        <v>0</v>
      </c>
      <c r="BH31" s="113">
        <f ca="1">IF(BF31="",TODAY()-BE31,BF31-BE31)</f>
        <v>2</v>
      </c>
      <c r="BI31" s="184">
        <f t="shared" ca="1" si="24"/>
        <v>2</v>
      </c>
      <c r="BJ31" s="120">
        <f>BO31-$BO$4</f>
        <v>46145</v>
      </c>
      <c r="BK31" s="104">
        <f>IF(_xlfn.XLOOKUP($D31,'[1]Import Eletra'!$B:$B,'[1]Import Eletra'!$AX:$AX,,0,1)=0,"",_xlfn.XLOOKUP($D31,'[1]Import Eletra'!$B:$B,'[1]Import Eletra'!$AX:$AX,,0,1))</f>
        <v>46147</v>
      </c>
      <c r="BL31" s="113">
        <f t="shared" si="7"/>
        <v>0</v>
      </c>
      <c r="BM31" s="113">
        <f ca="1">IF(BK31="",TODAY()-BJ31,BK31-BJ31)</f>
        <v>2</v>
      </c>
      <c r="BN31" s="184">
        <f t="shared" ca="1" si="25"/>
        <v>2</v>
      </c>
      <c r="BO31" s="110">
        <f>BT31-$BT$4</f>
        <v>46145</v>
      </c>
      <c r="BP31" s="104" t="str">
        <f>IF(_xlfn.XLOOKUP($D31,'[1]Import Eletra'!$B:$B,'[1]Import Eletra'!$AY:$AY,,0,1)=0,"",_xlfn.XLOOKUP($D31,'[1]Import Eletra'!$B:$B,'[1]Import Eletra'!$AY:$AY,,0,1))</f>
        <v/>
      </c>
      <c r="BQ31" s="113">
        <f t="shared" si="8"/>
        <v>0</v>
      </c>
      <c r="BR31" s="113">
        <f ca="1">IF(BP31="",TODAY()-BO31,BP31-BO31)</f>
        <v>66</v>
      </c>
      <c r="BS31" s="184">
        <f t="shared" ca="1" si="26"/>
        <v>66</v>
      </c>
      <c r="BT31" s="120">
        <f>BY31-$BY$4</f>
        <v>46147</v>
      </c>
      <c r="BU31" s="104" t="str">
        <f>IF(_xlfn.XLOOKUP($D31,'[1]Import Eletra'!$B:$B,'[1]Import Eletra'!$AZ:$AZ,,0,1)=0,"",_xlfn.XLOOKUP($D31,'[1]Import Eletra'!$B:$B,'[1]Import Eletra'!$AZ:$AZ,,0,1))</f>
        <v/>
      </c>
      <c r="BV31" s="113">
        <f t="shared" si="9"/>
        <v>2</v>
      </c>
      <c r="BW31" s="113">
        <f ca="1">IF(BU31="",TODAY()-BT31,BU31-BT31)</f>
        <v>64</v>
      </c>
      <c r="BX31" s="184">
        <f t="shared" ca="1" si="27"/>
        <v>62</v>
      </c>
      <c r="BY31" s="110">
        <f>CD31-$CD$4</f>
        <v>46147</v>
      </c>
      <c r="BZ31" s="104" t="str">
        <f>IF(_xlfn.XLOOKUP($D31,'[1]Import Eletra'!$B:$B,'[1]Import Eletra'!$BA:$BA,,0,1)=0,"",_xlfn.XLOOKUP($D31,'[1]Import Eletra'!$B:$B,'[1]Import Eletra'!$BA:$BA,,0,1))</f>
        <v/>
      </c>
      <c r="CA31" s="113">
        <f t="shared" si="10"/>
        <v>0</v>
      </c>
      <c r="CB31" s="113">
        <f ca="1">IF(BZ31="",TODAY()-BY31,BZ31-BY31)</f>
        <v>64</v>
      </c>
      <c r="CC31" s="184">
        <f t="shared" ca="1" si="28"/>
        <v>64</v>
      </c>
      <c r="CD31" s="120">
        <f>CI31-$CI$4</f>
        <v>46147</v>
      </c>
      <c r="CE31" s="104" t="str">
        <f>IF(_xlfn.XLOOKUP($D31,'[1]Import Eletra'!$B:$B,'[1]Import Eletra'!$BB:$BB,,0,1)=0,"",_xlfn.XLOOKUP($D31,'[1]Import Eletra'!$B:$B,'[1]Import Eletra'!$BB:$BB,,0,1))</f>
        <v/>
      </c>
      <c r="CF31" s="113">
        <f t="shared" si="11"/>
        <v>0</v>
      </c>
      <c r="CG31" s="113">
        <f ca="1">IF(CE31="",TODAY()-CD31,CE31-CD31)</f>
        <v>64</v>
      </c>
      <c r="CH31" s="184">
        <f t="shared" ca="1" si="29"/>
        <v>64</v>
      </c>
      <c r="CI31" s="110">
        <f>CN31-$CN$4</f>
        <v>46147</v>
      </c>
      <c r="CJ31" s="104" t="str">
        <f>IF(_xlfn.XLOOKUP($D31,'[1]Import Eletra'!$B:$B,'[1]Import Eletra'!$BC:$BC,,0,1)=0,"",_xlfn.XLOOKUP($D31,'[1]Import Eletra'!$B:$B,'[1]Import Eletra'!$BC:$BC,,0,1))</f>
        <v/>
      </c>
      <c r="CK31" s="113"/>
      <c r="CL31" s="113">
        <f ca="1">IF(CJ31="",TODAY()-CI31,CJ31-CI31)</f>
        <v>64</v>
      </c>
      <c r="CM31" s="184">
        <f t="shared" ca="1" si="30"/>
        <v>64</v>
      </c>
      <c r="CN31" s="120">
        <f>CS31-$CS$4</f>
        <v>46148</v>
      </c>
      <c r="CO31" s="104">
        <f>IF(_xlfn.XLOOKUP($D31,'[1]Import Eletra'!$B:$B,'[1]Import Eletra'!$BD:$BD,,0,1)=0,"",_xlfn.XLOOKUP($D31,'[1]Import Eletra'!$B:$B,'[1]Import Eletra'!$BD:$BD,,0,1))</f>
        <v>46147</v>
      </c>
      <c r="CP31" s="113">
        <f t="shared" si="12"/>
        <v>0</v>
      </c>
      <c r="CQ31" s="113">
        <f ca="1">IF(CO31="",TODAY()-CN31,CO31-CN31)</f>
        <v>-1</v>
      </c>
      <c r="CR31" s="184">
        <f t="shared" ca="1" si="31"/>
        <v>-1</v>
      </c>
      <c r="CS31" s="110">
        <f>CX31-$CX$4</f>
        <v>46148</v>
      </c>
      <c r="CT31" s="104">
        <f>IF(_xlfn.XLOOKUP($D31,'[1]Import Eletra'!$B:$B,'[1]Import Eletra'!$BE:$BE,,0,1)=0,"",_xlfn.XLOOKUP($D31,'[1]Import Eletra'!$B:$B,'[1]Import Eletra'!$BE:$BE,,0,1))</f>
        <v>46149</v>
      </c>
      <c r="CU31" s="113">
        <f t="shared" si="13"/>
        <v>0</v>
      </c>
      <c r="CV31" s="113">
        <f ca="1">IF(CT31="",TODAY()-CS31,CT31-CS31)</f>
        <v>1</v>
      </c>
      <c r="CW31" s="184">
        <f t="shared" ca="1" si="32"/>
        <v>1</v>
      </c>
      <c r="CX31" s="110">
        <f>DC31-$DC$4</f>
        <v>46148</v>
      </c>
      <c r="CY31" s="104">
        <f>IF(_xlfn.XLOOKUP($D31,'[1]Import Eletra'!$B:$B,'[1]Import Eletra'!$BE:$BE,,0,1)=0,"",_xlfn.XLOOKUP($D31,'[1]Import Eletra'!$B:$B,'[1]Import Eletra'!$BE:$BE,,0,1))</f>
        <v>46149</v>
      </c>
      <c r="CZ31" s="210">
        <f t="shared" si="14"/>
        <v>0</v>
      </c>
      <c r="DA31" s="113">
        <f ca="1">IF(CY31="",TODAY()-CX31,CY31-CX31)</f>
        <v>1</v>
      </c>
      <c r="DB31" s="184">
        <f t="shared" ca="1" si="33"/>
        <v>1</v>
      </c>
      <c r="DC31" s="110">
        <f>DH31-$DH$4</f>
        <v>46150</v>
      </c>
      <c r="DD31" s="104">
        <f>IF(_xlfn.XLOOKUP($D31,'[1]Import Eletra'!$B:$B,'[1]Import Eletra'!$BF:$BF,,0,1)=0,"",_xlfn.XLOOKUP($D31,'[1]Import Eletra'!$B:$B,'[1]Import Eletra'!$BF:$BF,0,1))</f>
        <v>46149</v>
      </c>
      <c r="DE31" s="113">
        <f t="shared" si="15"/>
        <v>2</v>
      </c>
      <c r="DF31" s="113">
        <f ca="1">IF(DD31="",TODAY()-DC31,DD31-DC31)</f>
        <v>-1</v>
      </c>
      <c r="DG31" s="184">
        <f t="shared" ca="1" si="34"/>
        <v>-3</v>
      </c>
      <c r="DH31" s="110">
        <f>DN31-$DM$4</f>
        <v>46151</v>
      </c>
      <c r="DI31" s="104">
        <f>IF(_xlfn.XLOOKUP($D31,'[1]Import Eletra'!$B:$B,'[1]Import Eletra'!$BG:$BG,,0,1)=0,"",_xlfn.XLOOKUP($D31,'[1]Import Eletra'!$B:$B,'[1]Import Eletra'!$BG:$BG,0,1))</f>
        <v>46149</v>
      </c>
      <c r="DJ31" s="113">
        <f t="shared" si="16"/>
        <v>1</v>
      </c>
      <c r="DK31" s="113">
        <f t="shared" ca="1" si="72"/>
        <v>-2</v>
      </c>
      <c r="DL31" s="184">
        <f t="shared" ca="1" si="35"/>
        <v>-3</v>
      </c>
      <c r="DM31" s="64"/>
      <c r="DN31" s="202">
        <f t="shared" si="82"/>
        <v>46152</v>
      </c>
      <c r="DO31" s="104"/>
      <c r="DP31" s="113">
        <f>$DM$3</f>
        <v>1</v>
      </c>
      <c r="DQ31" s="113">
        <f t="shared" ca="1" si="74"/>
        <v>59</v>
      </c>
      <c r="DR31" s="184">
        <f t="shared" ca="1" si="36"/>
        <v>58</v>
      </c>
      <c r="DS31" s="143">
        <v>10</v>
      </c>
      <c r="DT31" s="140"/>
      <c r="DU31" s="184">
        <f t="shared" si="37"/>
        <v>-10</v>
      </c>
      <c r="DW31" s="142" t="s">
        <v>257</v>
      </c>
      <c r="DZ31" s="232"/>
    </row>
    <row r="32" spans="1:130" ht="30" customHeight="1">
      <c r="A32" s="229"/>
      <c r="B32" s="91">
        <v>1</v>
      </c>
      <c r="C32" s="2" t="s">
        <v>259</v>
      </c>
      <c r="D32" s="211" t="s">
        <v>285</v>
      </c>
      <c r="E32" s="98" t="str">
        <f>IF(_xlfn.XLOOKUP($D32,'[1]Import Eletra'!$B:$B,'[1]Import Eletra'!$U:$U,,0,1)=0,"",_xlfn.XLOOKUP($D32,'[1]Import Eletra'!$B:$B,'[1]Import Eletra'!$U:$U,,0,1))</f>
        <v/>
      </c>
      <c r="F32" s="73" t="s">
        <v>244</v>
      </c>
      <c r="G32" s="2" t="str">
        <f>_xlfn.XLOOKUP($D32,'[1]Import Eletra'!$B:$B,'[1]Import Eletra'!$F:$F,,0,1)</f>
        <v>DELIVERED</v>
      </c>
      <c r="H32" s="3" t="str">
        <f>_xlfn.XLOOKUP($D32,'[1]Import Eletra'!$B:$B,'[1]Import Eletra'!$G:$G,,0,1)</f>
        <v>AIR</v>
      </c>
      <c r="I32" s="3">
        <v>46156</v>
      </c>
      <c r="J32" s="58">
        <v>30</v>
      </c>
      <c r="K32" s="58">
        <f t="shared" si="83"/>
        <v>-15</v>
      </c>
      <c r="L32" s="3">
        <f>IF(_xlfn.XLOOKUP($D32,'[1]Import Eletra'!$B:$B,'[1]Import Eletra'!$J:$J,,0,1)=0,"",_xlfn.XLOOKUP($D32,'[1]Import Eletra'!$B:$B,'[1]Import Eletra'!$J:$J,,0,1))</f>
        <v>46141</v>
      </c>
      <c r="M32" s="84">
        <f>IF(_xlfn.XLOOKUP($D32,'[1]Import Eletra'!$B:$B,'[1]Import Eletra'!$L:$L,,0,1)=0,"",_xlfn.XLOOKUP($D32,'[1]Import Eletra'!$B:$B,'[1]Import Eletra'!$L:$L,,0,1))</f>
        <v>46143</v>
      </c>
      <c r="N32" s="19">
        <f>IF(_xlfn.XLOOKUP($D32,'[1]Import Eletra'!$B:$B,'[1]Import Eletra'!$AJ:$AJ,,0,1)=0,"",_xlfn.XLOOKUP($D32,'[1]Import Eletra'!$B:$B,'[1]Import Eletra'!$AJ:$AJ,,0,1))</f>
        <v>137140.67000000001</v>
      </c>
      <c r="O32" s="3">
        <f>IF(_xlfn.XLOOKUP($D32,'[1]Import Eletra'!$B:$B,'[1]Import Eletra'!$AK:$AK,,0,1)=0,"",_xlfn.XLOOKUP($D32,'[1]Import Eletra'!$B:$B,'[1]Import Eletra'!$AK:$AK,,0,1))</f>
        <v>46140</v>
      </c>
      <c r="P32" s="3">
        <f>IF(_xlfn.XLOOKUP($D32,'[1]Import Eletra'!$B:$B,'[1]Import Eletra'!$AL:$AL,,0,1)=0,"",_xlfn.XLOOKUP($D32,'[1]Import Eletra'!$B:$B,'[1]Import Eletra'!$AL:$AL,,0,1))</f>
        <v>46140</v>
      </c>
      <c r="Q32" s="4">
        <f>IF(_xlfn.XLOOKUP($D32,'[1]Import Eletra'!$B:$B,'[1]Import Eletra'!$AM:$AM,,0,1)=0,"",_xlfn.XLOOKUP($D32,'[1]Import Eletra'!$B:$B,'[1]Import Eletra'!$AM:$AM,,0,1))</f>
        <v>46141</v>
      </c>
      <c r="R32" s="3">
        <f>IF(_xlfn.XLOOKUP($D32,'[1]Import Eletra'!$B:$B,'[1]Import Eletra'!$AN:$AN,,0,1)=0,"",_xlfn.XLOOKUP($D32,'[1]Import Eletra'!$B:$B,'[1]Import Eletra'!$AN:$AN,,0,1))</f>
        <v>46141</v>
      </c>
      <c r="S32" s="3">
        <f>IF(_xlfn.XLOOKUP($D32,'[1]Import Eletra'!$B:$B,'[1]Import Eletra'!$AO:$AO,,0,1)=0,"",_xlfn.XLOOKUP($D32,'[1]Import Eletra'!$B:$B,'[1]Import Eletra'!$AO:$AO,,0,1))</f>
        <v>46142</v>
      </c>
      <c r="T32" s="3">
        <f>IF(_xlfn.XLOOKUP($D32,'[1]Import Eletra'!$B:$B,'[1]Import Eletra'!$AP:$AP,,0,1)=0,"",_xlfn.XLOOKUP($D32,'[1]Import Eletra'!$B:$B,'[1]Import Eletra'!$AP:$AP,,0,1))</f>
        <v>46142</v>
      </c>
      <c r="U32" s="82">
        <f>IF(_xlfn.XLOOKUP($D32,'[1]Import Eletra'!$B:$B,'[1]Import Eletra'!$AQ:$AQ,,0,1)=0,"",_xlfn.XLOOKUP($D32,'[1]Import Eletra'!$B:$B,'[1]Import Eletra'!$AQ:$AQ,,0,1))</f>
        <v>46142</v>
      </c>
      <c r="V32" s="19">
        <f>AA32-$AA$4</f>
        <v>46142</v>
      </c>
      <c r="W32" s="2">
        <f>IF(_xlfn.XLOOKUP($D32,'[1]Import Eletra'!$B:$B,'[1]Import Eletra'!$AR:$AR,,0,1)=0,"",_xlfn.XLOOKUP($D32,'[1]Import Eletra'!$B:$B,'[1]Import Eletra'!$AR:$AR,,0,1))</f>
        <v>46146</v>
      </c>
      <c r="X32" s="72">
        <f t="shared" si="1"/>
        <v>0</v>
      </c>
      <c r="Y32" s="72">
        <f t="shared" ca="1" si="2"/>
        <v>4</v>
      </c>
      <c r="Z32" s="184">
        <f t="shared" ca="1" si="17"/>
        <v>4</v>
      </c>
      <c r="AA32" s="68">
        <f>AF32-$AA$4</f>
        <v>46143</v>
      </c>
      <c r="AB32" s="2" t="str">
        <f>IF(_xlfn.XLOOKUP($D32,'[1]Import Eletra'!$B:$B,'[1]Import Eletra'!$AC:$AC,,0,1)=0,"",_xlfn.XLOOKUP($D32,'[1]Import Eletra'!$B:$B,'[1]Import Eletra'!$AC:$AC,,0,1))</f>
        <v/>
      </c>
      <c r="AC32" s="72">
        <f t="shared" si="3"/>
        <v>0</v>
      </c>
      <c r="AD32" s="72">
        <f ca="1">IF(AB32="",TODAY()-AA32,AB32-AA32)</f>
        <v>68</v>
      </c>
      <c r="AE32" s="184">
        <f t="shared" ca="1" si="18"/>
        <v>68</v>
      </c>
      <c r="AF32" s="70">
        <f>AK32-$AK$4</f>
        <v>46144</v>
      </c>
      <c r="AG32" s="2">
        <f>IF(_xlfn.XLOOKUP($D32,'[1]Import Eletra'!$B:$B,'[1]Import Eletra'!$AD:$AD,,0,1)=0,"",_xlfn.XLOOKUP($D32,'[1]Import Eletra'!$B:$B,'[1]Import Eletra'!$AD:$AD,,0,1))</f>
        <v>46146</v>
      </c>
      <c r="AH32" s="72">
        <f t="shared" si="4"/>
        <v>0</v>
      </c>
      <c r="AI32" s="72">
        <f ca="1">IF(AG32="",TODAY()-AF32,AG32-AF32)</f>
        <v>2</v>
      </c>
      <c r="AJ32" s="184">
        <f t="shared" ca="1" si="19"/>
        <v>2</v>
      </c>
      <c r="AK32" s="70">
        <f>AP32-$AP$4</f>
        <v>46144</v>
      </c>
      <c r="AL32" s="2">
        <f>IF(_xlfn.XLOOKUP($D32,'[1]Import Eletra'!$B:$B,'[1]Import Eletra'!$AS:$AS,,0,1)=0,"",_xlfn.XLOOKUP($D32,'[1]Import Eletra'!$B:$B,'[1]Import Eletra'!$AS:$AS,,0,1))</f>
        <v>46146</v>
      </c>
      <c r="AM32" s="72">
        <f t="shared" si="5"/>
        <v>0</v>
      </c>
      <c r="AN32" s="72">
        <f ca="1">IF(AL32="",TODAY()-AK32,AL32-AK32)</f>
        <v>2</v>
      </c>
      <c r="AO32" s="184">
        <f t="shared" ca="1" si="20"/>
        <v>2</v>
      </c>
      <c r="AP32" s="71">
        <f>AU32-$AU$4</f>
        <v>46145</v>
      </c>
      <c r="AQ32" s="2">
        <f>IF(_xlfn.XLOOKUP($D32,'[1]Import Eletra'!$B:$B,'[1]Import Eletra'!$AT:$AT,,0,1)=0,"",_xlfn.XLOOKUP($D32,'[1]Import Eletra'!$B:$B,'[1]Import Eletra'!$AT:$AT,,0,1))</f>
        <v>46146</v>
      </c>
      <c r="AR32" s="72">
        <f t="shared" si="6"/>
        <v>1</v>
      </c>
      <c r="AS32" s="72">
        <f ca="1">IF(AQ32="",TODAY()-AP32,AQ32-AP32)</f>
        <v>1</v>
      </c>
      <c r="AT32" s="184">
        <f t="shared" ca="1" si="21"/>
        <v>0</v>
      </c>
      <c r="AU32" s="70">
        <f>AZ32-$AZ$4</f>
        <v>46145</v>
      </c>
      <c r="AV32" s="2">
        <f>IF(_xlfn.XLOOKUP($D32,'[1]Import Eletra'!$B:$B,'[1]Import Eletra'!$AU:$AU,,0,1)=0,"",_xlfn.XLOOKUP($D32,'[1]Import Eletra'!$B:$B,'[1]Import Eletra'!$AU:$AU,,0,1))</f>
        <v>46147</v>
      </c>
      <c r="AW32" s="72">
        <f t="shared" si="38"/>
        <v>0</v>
      </c>
      <c r="AX32" s="72">
        <f ca="1">IF(AV32="",TODAY()-AU32,AV32-AU32)</f>
        <v>2</v>
      </c>
      <c r="AY32" s="184">
        <f t="shared" ca="1" si="22"/>
        <v>2</v>
      </c>
      <c r="AZ32" s="71">
        <f>BE32-$BE$4</f>
        <v>46145</v>
      </c>
      <c r="BA32" s="2" t="str">
        <f>IF(_xlfn.XLOOKUP($D32,'[1]Import Eletra'!$B:$B,'[1]Import Eletra'!$AV:$AV,,0,1)=0,"",_xlfn.XLOOKUP($D32,'[1]Import Eletra'!$B:$B,'[1]Import Eletra'!$AV:$AV,,0,1))</f>
        <v/>
      </c>
      <c r="BB32" s="72">
        <f t="shared" si="39"/>
        <v>0</v>
      </c>
      <c r="BC32" s="72">
        <f ca="1">IF(BA32="",TODAY()-AZ32,BA32-AZ32)</f>
        <v>66</v>
      </c>
      <c r="BD32" s="184">
        <f t="shared" ca="1" si="23"/>
        <v>66</v>
      </c>
      <c r="BE32" s="19">
        <f>BJ32-$BJ$4</f>
        <v>46145</v>
      </c>
      <c r="BF32" s="2" t="str">
        <f>IF(_xlfn.XLOOKUP($D32,'[1]Import Eletra'!$B:$B,'[1]Import Eletra'!$AW:$AW,,0,1)=0,"",_xlfn.XLOOKUP($D32,'[1]Import Eletra'!$B:$B,'[1]Import Eletra'!$AW:$AW,,0,1))</f>
        <v/>
      </c>
      <c r="BG32" s="72">
        <f t="shared" si="40"/>
        <v>0</v>
      </c>
      <c r="BH32" s="72">
        <f ca="1">IF(BF32="",TODAY()-BE32,BF32-BE32)</f>
        <v>66</v>
      </c>
      <c r="BI32" s="184">
        <f t="shared" ca="1" si="24"/>
        <v>66</v>
      </c>
      <c r="BJ32" s="18">
        <f>BO32-$BO$4</f>
        <v>46145</v>
      </c>
      <c r="BK32" s="2" t="str">
        <f>IF(_xlfn.XLOOKUP($D32,'[1]Import Eletra'!$B:$B,'[1]Import Eletra'!$AX:$AX,,0,1)=0,"",_xlfn.XLOOKUP($D32,'[1]Import Eletra'!$B:$B,'[1]Import Eletra'!$AX:$AX,,0,1))</f>
        <v/>
      </c>
      <c r="BL32" s="72">
        <f t="shared" si="7"/>
        <v>0</v>
      </c>
      <c r="BM32" s="72">
        <f ca="1">IF(BK32="",TODAY()-BJ32,BK32-BJ32)</f>
        <v>66</v>
      </c>
      <c r="BN32" s="184">
        <f t="shared" ca="1" si="25"/>
        <v>66</v>
      </c>
      <c r="BO32" s="19">
        <f>BT32-$BT$4</f>
        <v>46145</v>
      </c>
      <c r="BP32" s="2">
        <f>IF(_xlfn.XLOOKUP($D32,'[1]Import Eletra'!$B:$B,'[1]Import Eletra'!$AY:$AY,,0,1)=0,"",_xlfn.XLOOKUP($D32,'[1]Import Eletra'!$B:$B,'[1]Import Eletra'!$AY:$AY,,0,1))</f>
        <v>46146</v>
      </c>
      <c r="BQ32" s="72">
        <f t="shared" si="8"/>
        <v>0</v>
      </c>
      <c r="BR32" s="72">
        <f ca="1">IF(BP32="",TODAY()-BO32,BP32-BO32)</f>
        <v>1</v>
      </c>
      <c r="BS32" s="184">
        <f t="shared" ca="1" si="26"/>
        <v>1</v>
      </c>
      <c r="BT32" s="18">
        <f>BY32-$BY$4</f>
        <v>46147</v>
      </c>
      <c r="BU32" s="2">
        <f>IF(_xlfn.XLOOKUP($D32,'[1]Import Eletra'!$B:$B,'[1]Import Eletra'!$AZ:$AZ,,0,1)=0,"",_xlfn.XLOOKUP($D32,'[1]Import Eletra'!$B:$B,'[1]Import Eletra'!$AZ:$AZ,,0,1))</f>
        <v>46147</v>
      </c>
      <c r="BV32" s="72">
        <f t="shared" si="9"/>
        <v>2</v>
      </c>
      <c r="BW32" s="72">
        <f ca="1">IF(BU32="",TODAY()-BT32,BU32-BT32)</f>
        <v>0</v>
      </c>
      <c r="BX32" s="184">
        <f t="shared" ca="1" si="27"/>
        <v>-2</v>
      </c>
      <c r="BY32" s="19">
        <f>CD32-$CD$4</f>
        <v>46147</v>
      </c>
      <c r="BZ32" s="2">
        <f>IF(_xlfn.XLOOKUP($D32,'[1]Import Eletra'!$B:$B,'[1]Import Eletra'!$BA:$BA,,0,1)=0,"",_xlfn.XLOOKUP($D32,'[1]Import Eletra'!$B:$B,'[1]Import Eletra'!$BA:$BA,,0,1))</f>
        <v>46147</v>
      </c>
      <c r="CA32" s="72">
        <f t="shared" si="10"/>
        <v>0</v>
      </c>
      <c r="CB32" s="72">
        <f ca="1">IF(BZ32="",TODAY()-BY32,BZ32-BY32)</f>
        <v>0</v>
      </c>
      <c r="CC32" s="184">
        <f t="shared" ca="1" si="28"/>
        <v>0</v>
      </c>
      <c r="CD32" s="18">
        <f>CI32-$CI$4</f>
        <v>46147</v>
      </c>
      <c r="CE32" s="2">
        <f>IF(_xlfn.XLOOKUP($D32,'[1]Import Eletra'!$B:$B,'[1]Import Eletra'!$BB:$BB,,0,1)=0,"",_xlfn.XLOOKUP($D32,'[1]Import Eletra'!$B:$B,'[1]Import Eletra'!$BB:$BB,,0,1))</f>
        <v>46147</v>
      </c>
      <c r="CF32" s="72">
        <f t="shared" si="11"/>
        <v>0</v>
      </c>
      <c r="CG32" s="72">
        <f ca="1">IF(CE32="",TODAY()-CD32,CE32-CD32)</f>
        <v>0</v>
      </c>
      <c r="CH32" s="184">
        <f t="shared" ca="1" si="29"/>
        <v>0</v>
      </c>
      <c r="CI32" s="19">
        <f>CN32-$CN$4</f>
        <v>46147</v>
      </c>
      <c r="CJ32" s="2">
        <f>IF(_xlfn.XLOOKUP($D32,'[1]Import Eletra'!$B:$B,'[1]Import Eletra'!$BC:$BC,,0,1)=0,"",_xlfn.XLOOKUP($D32,'[1]Import Eletra'!$B:$B,'[1]Import Eletra'!$BC:$BC,,0,1))</f>
        <v>46147</v>
      </c>
      <c r="CK32" s="72"/>
      <c r="CL32" s="72">
        <f ca="1">IF(CJ32="",TODAY()-CI32,CJ32-CI32)</f>
        <v>0</v>
      </c>
      <c r="CM32" s="184">
        <f t="shared" ca="1" si="30"/>
        <v>0</v>
      </c>
      <c r="CN32" s="18">
        <f>CS32-$CS$4</f>
        <v>46148</v>
      </c>
      <c r="CO32" s="2">
        <f>IF(_xlfn.XLOOKUP($D32,'[1]Import Eletra'!$B:$B,'[1]Import Eletra'!$BD:$BD,,0,1)=0,"",_xlfn.XLOOKUP($D32,'[1]Import Eletra'!$B:$B,'[1]Import Eletra'!$BD:$BD,,0,1))</f>
        <v>46147</v>
      </c>
      <c r="CP32" s="72">
        <f t="shared" si="12"/>
        <v>0</v>
      </c>
      <c r="CQ32" s="72">
        <f ca="1">IF(CO32="",TODAY()-CN32,CO32-CN32)</f>
        <v>-1</v>
      </c>
      <c r="CR32" s="184">
        <f t="shared" ca="1" si="31"/>
        <v>-1</v>
      </c>
      <c r="CS32" s="19">
        <f>CX32-$CX$4</f>
        <v>46148</v>
      </c>
      <c r="CT32" s="2">
        <f>IF(_xlfn.XLOOKUP($D32,'[1]Import Eletra'!$B:$B,'[1]Import Eletra'!$BE:$BE,,0,1)=0,"",_xlfn.XLOOKUP($D32,'[1]Import Eletra'!$B:$B,'[1]Import Eletra'!$BE:$BE,,0,1))</f>
        <v>46147</v>
      </c>
      <c r="CU32" s="72">
        <f t="shared" si="13"/>
        <v>0</v>
      </c>
      <c r="CV32" s="72">
        <f ca="1">IF(CT32="",TODAY()-CS32,CT32-CS32)</f>
        <v>-1</v>
      </c>
      <c r="CW32" s="184">
        <f t="shared" ca="1" si="32"/>
        <v>-1</v>
      </c>
      <c r="CX32" s="19">
        <f>DC32-$DC$4</f>
        <v>46148</v>
      </c>
      <c r="CY32" s="2">
        <f>IF(_xlfn.XLOOKUP($D32,'[1]Import Eletra'!$B:$B,'[1]Import Eletra'!$BE:$BE,,0,1)=0,"",_xlfn.XLOOKUP($D32,'[1]Import Eletra'!$B:$B,'[1]Import Eletra'!$BE:$BE,,0,1))</f>
        <v>46147</v>
      </c>
      <c r="CZ32" s="209">
        <f t="shared" si="14"/>
        <v>0</v>
      </c>
      <c r="DA32" s="72">
        <f ca="1">IF(CY32="",TODAY()-CX32,CY32-CX32)</f>
        <v>-1</v>
      </c>
      <c r="DB32" s="184">
        <f t="shared" ca="1" si="33"/>
        <v>-1</v>
      </c>
      <c r="DC32" s="19">
        <f>DH32-$DH$4</f>
        <v>46150</v>
      </c>
      <c r="DD32" s="2">
        <f>IF(_xlfn.XLOOKUP($D32,'[1]Import Eletra'!$B:$B,'[1]Import Eletra'!$BF:$BF,,0,1)=0,"",_xlfn.XLOOKUP($D32,'[1]Import Eletra'!$B:$B,'[1]Import Eletra'!$BF:$BF,0,1))</f>
        <v>46147</v>
      </c>
      <c r="DE32" s="72">
        <f t="shared" si="15"/>
        <v>2</v>
      </c>
      <c r="DF32" s="72">
        <f ca="1">IF(DD32="",TODAY()-DC32,DD32-DC32)</f>
        <v>-3</v>
      </c>
      <c r="DG32" s="184">
        <f t="shared" ca="1" si="34"/>
        <v>-5</v>
      </c>
      <c r="DH32" s="19">
        <f>DN32-$DM$4</f>
        <v>46151</v>
      </c>
      <c r="DI32" s="2">
        <f>IF(_xlfn.XLOOKUP($D32,'[1]Import Eletra'!$B:$B,'[1]Import Eletra'!$BG:$BG,,0,1)=0,"",_xlfn.XLOOKUP($D32,'[1]Import Eletra'!$B:$B,'[1]Import Eletra'!$BG:$BG,0,1))</f>
        <v>46149</v>
      </c>
      <c r="DJ32" s="1">
        <f t="shared" si="16"/>
        <v>1</v>
      </c>
      <c r="DK32" s="1">
        <f t="shared" ca="1" si="72"/>
        <v>-2</v>
      </c>
      <c r="DL32" s="184">
        <f t="shared" ca="1" si="35"/>
        <v>-3</v>
      </c>
      <c r="DM32" s="64"/>
      <c r="DN32" s="202">
        <f t="shared" si="82"/>
        <v>46152</v>
      </c>
      <c r="DO32" s="2"/>
      <c r="DP32" s="1">
        <f>$DM$3</f>
        <v>1</v>
      </c>
      <c r="DQ32" s="1">
        <f t="shared" ca="1" si="74"/>
        <v>59</v>
      </c>
      <c r="DR32" s="184">
        <f t="shared" ca="1" si="36"/>
        <v>58</v>
      </c>
      <c r="DS32" s="139">
        <v>10</v>
      </c>
      <c r="DT32" s="140"/>
      <c r="DU32" s="184">
        <f t="shared" si="37"/>
        <v>-10</v>
      </c>
      <c r="DW32" s="142" t="s">
        <v>257</v>
      </c>
      <c r="DZ32" s="231" t="s">
        <v>273</v>
      </c>
    </row>
    <row r="33" spans="1:130" ht="30" customHeight="1">
      <c r="B33" s="103">
        <v>4</v>
      </c>
      <c r="C33" s="104" t="s">
        <v>278</v>
      </c>
      <c r="D33" s="214" t="s">
        <v>286</v>
      </c>
      <c r="E33" s="169">
        <f>IF(_xlfn.XLOOKUP($D33,'[1]Import Eletra'!$B:$B,'[1]Import Eletra'!$U:$U,,0,1)=0,"",_xlfn.XLOOKUP($D33,'[1]Import Eletra'!$B:$B,'[1]Import Eletra'!$U:$U,,0,1))</f>
        <v>1</v>
      </c>
      <c r="F33" s="170" t="s">
        <v>244</v>
      </c>
      <c r="G33" s="2" t="str">
        <f>_xlfn.XLOOKUP($D33,'[1]Import Eletra'!$B:$B,'[1]Import Eletra'!$F:$F,,0,1)</f>
        <v>DELIVERED</v>
      </c>
      <c r="H33" s="108" t="str">
        <f>_xlfn.XLOOKUP($D33,'[1]Import Eletra'!$B:$B,'[1]Import Eletra'!$G:$G,,0,1)</f>
        <v>SEA</v>
      </c>
      <c r="I33" s="108">
        <v>46128</v>
      </c>
      <c r="J33" s="109">
        <v>30</v>
      </c>
      <c r="K33" s="109">
        <f>L33-I33</f>
        <v>-5</v>
      </c>
      <c r="L33" s="108">
        <f>IF(_xlfn.XLOOKUP($D33,'[1]Import Eletra'!$B:$B,'[1]Import Eletra'!$J:$J,,0,1)=0,"",_xlfn.XLOOKUP($D33,'[1]Import Eletra'!$B:$B,'[1]Import Eletra'!$J:$J,,0,1))</f>
        <v>46123</v>
      </c>
      <c r="M33" s="168">
        <f>IF(_xlfn.XLOOKUP($D33,'[1]Import Eletra'!$B:$B,'[1]Import Eletra'!$L:$L,,0,1)=0,"",_xlfn.XLOOKUP($D33,'[1]Import Eletra'!$B:$B,'[1]Import Eletra'!$L:$L,,0,1))</f>
        <v>46168</v>
      </c>
      <c r="N33" s="85">
        <f>IF(_xlfn.XLOOKUP($D33,'[1]Import Eletra'!$B:$B,'[1]Import Eletra'!$AJ:$AJ,,0,1)=0,"",_xlfn.XLOOKUP($D33,'[1]Import Eletra'!$B:$B,'[1]Import Eletra'!$AJ:$AJ,,0,1))</f>
        <v>369652.42</v>
      </c>
      <c r="O33" s="108">
        <f>IF(_xlfn.XLOOKUP($D33,'[1]Import Eletra'!$B:$B,'[1]Import Eletra'!$AK:$AK,,0,1)=0,"",_xlfn.XLOOKUP($D33,'[1]Import Eletra'!$B:$B,'[1]Import Eletra'!$AK:$AK,,0,1))</f>
        <v>46154</v>
      </c>
      <c r="P33" s="108" t="str">
        <f>IF(_xlfn.XLOOKUP($D33,'[1]Import Eletra'!$B:$B,'[1]Import Eletra'!$AL:$AL,,0,1)=0,"",_xlfn.XLOOKUP($D33,'[1]Import Eletra'!$B:$B,'[1]Import Eletra'!$AL:$AL,,0,1))</f>
        <v>14/05/2026</v>
      </c>
      <c r="Q33" s="108">
        <f>IF(_xlfn.XLOOKUP($D33,'[1]Import Eletra'!$B:$B,'[1]Import Eletra'!$AM:$AM,,0,1)=0,"",_xlfn.XLOOKUP($D33,'[1]Import Eletra'!$B:$B,'[1]Import Eletra'!$AM:$AM,,0,1))</f>
        <v>46160</v>
      </c>
      <c r="R33" s="108">
        <f>IF(_xlfn.XLOOKUP($D33,'[1]Import Eletra'!$B:$B,'[1]Import Eletra'!$AN:$AN,,0,1)=0,"",_xlfn.XLOOKUP($D33,'[1]Import Eletra'!$B:$B,'[1]Import Eletra'!$AN:$AN,,0,1))</f>
        <v>46161</v>
      </c>
      <c r="S33" s="108">
        <f>IF(_xlfn.XLOOKUP($D33,'[1]Import Eletra'!$B:$B,'[1]Import Eletra'!$AO:$AO,,0,1)=0,"",_xlfn.XLOOKUP($D33,'[1]Import Eletra'!$B:$B,'[1]Import Eletra'!$AO:$AO,,0,1))</f>
        <v>46162</v>
      </c>
      <c r="T33" s="108">
        <f>IF(_xlfn.XLOOKUP($D33,'[1]Import Eletra'!$B:$B,'[1]Import Eletra'!$AP:$AP,,0,1)=0,"",_xlfn.XLOOKUP($D33,'[1]Import Eletra'!$B:$B,'[1]Import Eletra'!$AP:$AP,,0,1))</f>
        <v>46162</v>
      </c>
      <c r="U33" s="111">
        <f>IF(_xlfn.XLOOKUP($D33,'[1]Import Eletra'!$B:$B,'[1]Import Eletra'!$AQ:$AQ,,0,1)=0,"",_xlfn.XLOOKUP($D33,'[1]Import Eletra'!$B:$B,'[1]Import Eletra'!$AQ:$AQ,,0,1))</f>
        <v>46162</v>
      </c>
      <c r="V33" s="110">
        <f>AA33-$AA$4</f>
        <v>46162</v>
      </c>
      <c r="W33" s="104">
        <f>IF(_xlfn.XLOOKUP($D33,'[1]Import Eletra'!$B:$B,'[1]Import Eletra'!$AR:$AR,,0,1)=0,"",_xlfn.XLOOKUP($D33,'[1]Import Eletra'!$B:$B,'[1]Import Eletra'!$AR:$AR,,0,1))</f>
        <v>46170</v>
      </c>
      <c r="X33" s="113">
        <f t="shared" si="1"/>
        <v>0</v>
      </c>
      <c r="Y33" s="113">
        <f t="shared" ca="1" si="2"/>
        <v>8</v>
      </c>
      <c r="Z33" s="184">
        <f t="shared" ca="1" si="17"/>
        <v>8</v>
      </c>
      <c r="AA33" s="164">
        <f>AF33-$AA$4</f>
        <v>46163</v>
      </c>
      <c r="AB33" s="104" t="str">
        <f>IF(_xlfn.XLOOKUP($D33,'[1]Import Eletra'!$B:$B,'[1]Import Eletra'!$AC:$AC,,0,1)=0,"",_xlfn.XLOOKUP($D33,'[1]Import Eletra'!$B:$B,'[1]Import Eletra'!$AC:$AC,,0,1))</f>
        <v/>
      </c>
      <c r="AC33" s="113">
        <f t="shared" si="3"/>
        <v>0</v>
      </c>
      <c r="AD33" s="113">
        <f ca="1">IF(AB33="",TODAY()-AA33,AB33-AA33)</f>
        <v>48</v>
      </c>
      <c r="AE33" s="184">
        <f t="shared" ca="1" si="18"/>
        <v>48</v>
      </c>
      <c r="AF33" s="117">
        <f>AK33-$AK$4</f>
        <v>46164</v>
      </c>
      <c r="AG33" s="104">
        <f>IF(_xlfn.XLOOKUP($D33,'[1]Import Eletra'!$B:$B,'[1]Import Eletra'!$AD:$AD,,0,1)=0,"",_xlfn.XLOOKUP($D33,'[1]Import Eletra'!$B:$B,'[1]Import Eletra'!$AD:$AD,,0,1))</f>
        <v>46174</v>
      </c>
      <c r="AH33" s="113">
        <f t="shared" si="4"/>
        <v>0</v>
      </c>
      <c r="AI33" s="113">
        <f ca="1">IF(AG33="",TODAY()-AF33,AG33-AF33)</f>
        <v>10</v>
      </c>
      <c r="AJ33" s="184">
        <f t="shared" ca="1" si="19"/>
        <v>10</v>
      </c>
      <c r="AK33" s="117">
        <f>AP33-$AP$4</f>
        <v>46164</v>
      </c>
      <c r="AL33" s="104">
        <f>IF(_xlfn.XLOOKUP($D33,'[1]Import Eletra'!$B:$B,'[1]Import Eletra'!$AS:$AS,,0,1)=0,"",_xlfn.XLOOKUP($D33,'[1]Import Eletra'!$B:$B,'[1]Import Eletra'!$AS:$AS,,0,1))</f>
        <v>46174</v>
      </c>
      <c r="AM33" s="113">
        <f t="shared" si="5"/>
        <v>0</v>
      </c>
      <c r="AN33" s="113">
        <f ca="1">IF(AL33="",TODAY()-AK33,AL33-AK33)</f>
        <v>10</v>
      </c>
      <c r="AO33" s="184">
        <f t="shared" ca="1" si="20"/>
        <v>10</v>
      </c>
      <c r="AP33" s="118">
        <f>AU33-$AU$4</f>
        <v>46165</v>
      </c>
      <c r="AQ33" s="104">
        <f>IF(_xlfn.XLOOKUP($D33,'[1]Import Eletra'!$B:$B,'[1]Import Eletra'!$AT:$AT,,0,1)=0,"",_xlfn.XLOOKUP($D33,'[1]Import Eletra'!$B:$B,'[1]Import Eletra'!$AT:$AT,,0,1))</f>
        <v>46174</v>
      </c>
      <c r="AR33" s="113">
        <f t="shared" si="6"/>
        <v>1</v>
      </c>
      <c r="AS33" s="113">
        <f ca="1">IF(AQ33="",TODAY()-AP33,AQ33-AP33)</f>
        <v>9</v>
      </c>
      <c r="AT33" s="184">
        <f t="shared" ca="1" si="21"/>
        <v>8</v>
      </c>
      <c r="AU33" s="117">
        <f>AZ33-$AZ$4</f>
        <v>46165</v>
      </c>
      <c r="AV33" s="104">
        <f>IF(_xlfn.XLOOKUP($D33,'[1]Import Eletra'!$B:$B,'[1]Import Eletra'!$AU:$AU,,0,1)=0,"",_xlfn.XLOOKUP($D33,'[1]Import Eletra'!$B:$B,'[1]Import Eletra'!$AU:$AU,,0,1))</f>
        <v>46174</v>
      </c>
      <c r="AW33" s="113">
        <f t="shared" si="38"/>
        <v>0</v>
      </c>
      <c r="AX33" s="113">
        <f ca="1">IF(AV33="",TODAY()-AU33,AV33-AU33)</f>
        <v>9</v>
      </c>
      <c r="AY33" s="184">
        <f t="shared" ca="1" si="22"/>
        <v>9</v>
      </c>
      <c r="AZ33" s="118">
        <f>BE33-$BE$4</f>
        <v>46165</v>
      </c>
      <c r="BA33" s="104" t="str">
        <f>IF(_xlfn.XLOOKUP($D33,'[1]Import Eletra'!$B:$B,'[1]Import Eletra'!$AV:$AV,,0,1)=0,"",_xlfn.XLOOKUP($D33,'[1]Import Eletra'!$B:$B,'[1]Import Eletra'!$AV:$AV,,0,1))</f>
        <v/>
      </c>
      <c r="BB33" s="113">
        <f t="shared" si="39"/>
        <v>0</v>
      </c>
      <c r="BC33" s="113">
        <f ca="1">IF(BA33="",TODAY()-AZ33,BA33-AZ33)</f>
        <v>46</v>
      </c>
      <c r="BD33" s="184">
        <f t="shared" ca="1" si="23"/>
        <v>46</v>
      </c>
      <c r="BE33" s="110">
        <f>BJ33-$BJ$4</f>
        <v>46165</v>
      </c>
      <c r="BF33" s="104" t="str">
        <f>IF(_xlfn.XLOOKUP($D33,'[1]Import Eletra'!$B:$B,'[1]Import Eletra'!$AW:$AW,,0,1)=0,"",_xlfn.XLOOKUP($D33,'[1]Import Eletra'!$B:$B,'[1]Import Eletra'!$AW:$AW,,0,1))</f>
        <v/>
      </c>
      <c r="BG33" s="113">
        <f t="shared" si="40"/>
        <v>0</v>
      </c>
      <c r="BH33" s="113">
        <f ca="1">IF(BF33="",TODAY()-BE33,BF33-BE33)</f>
        <v>46</v>
      </c>
      <c r="BI33" s="184">
        <f t="shared" ca="1" si="24"/>
        <v>46</v>
      </c>
      <c r="BJ33" s="120">
        <f>BO33-$BO$4</f>
        <v>46165</v>
      </c>
      <c r="BK33" s="104" t="str">
        <f>IF(_xlfn.XLOOKUP($D33,'[1]Import Eletra'!$B:$B,'[1]Import Eletra'!$AX:$AX,,0,1)=0,"",_xlfn.XLOOKUP($D33,'[1]Import Eletra'!$B:$B,'[1]Import Eletra'!$AX:$AX,,0,1))</f>
        <v/>
      </c>
      <c r="BL33" s="113">
        <f t="shared" si="7"/>
        <v>0</v>
      </c>
      <c r="BM33" s="113">
        <f ca="1">IF(BK33="",TODAY()-BJ33,BK33-BJ33)</f>
        <v>46</v>
      </c>
      <c r="BN33" s="184">
        <f t="shared" ca="1" si="25"/>
        <v>46</v>
      </c>
      <c r="BO33" s="110">
        <f>BT33-$BT$4</f>
        <v>46165</v>
      </c>
      <c r="BP33" s="104" t="str">
        <f>IF(_xlfn.XLOOKUP($D33,'[1]Import Eletra'!$B:$B,'[1]Import Eletra'!$AY:$AY,,0,1)=0,"",_xlfn.XLOOKUP($D33,'[1]Import Eletra'!$B:$B,'[1]Import Eletra'!$AY:$AY,,0,1))</f>
        <v/>
      </c>
      <c r="BQ33" s="113">
        <f t="shared" si="8"/>
        <v>0</v>
      </c>
      <c r="BR33" s="113">
        <f ca="1">IF(BP33="",TODAY()-BO33,BP33-BO33)</f>
        <v>46</v>
      </c>
      <c r="BS33" s="184">
        <f t="shared" ca="1" si="26"/>
        <v>46</v>
      </c>
      <c r="BT33" s="120">
        <f>BY33-$BY$4</f>
        <v>46167</v>
      </c>
      <c r="BU33" s="104" t="str">
        <f>IF(_xlfn.XLOOKUP($D33,'[1]Import Eletra'!$B:$B,'[1]Import Eletra'!$AZ:$AZ,,0,1)=0,"",_xlfn.XLOOKUP($D33,'[1]Import Eletra'!$B:$B,'[1]Import Eletra'!$AZ:$AZ,,0,1))</f>
        <v/>
      </c>
      <c r="BV33" s="113">
        <f t="shared" si="9"/>
        <v>2</v>
      </c>
      <c r="BW33" s="113">
        <f ca="1">IF(BU33="",TODAY()-BT33,BU33-BT33)</f>
        <v>44</v>
      </c>
      <c r="BX33" s="184">
        <f t="shared" ca="1" si="27"/>
        <v>42</v>
      </c>
      <c r="BY33" s="110">
        <f>CD33-$CD$4</f>
        <v>46167</v>
      </c>
      <c r="BZ33" s="104">
        <f>IF(_xlfn.XLOOKUP($D33,'[1]Import Eletra'!$B:$B,'[1]Import Eletra'!$BA:$BA,,0,1)=0,"",_xlfn.XLOOKUP($D33,'[1]Import Eletra'!$B:$B,'[1]Import Eletra'!$BA:$BA,,0,1))</f>
        <v>46178</v>
      </c>
      <c r="CA33" s="113">
        <f t="shared" si="10"/>
        <v>0</v>
      </c>
      <c r="CB33" s="113">
        <f ca="1">IF(BZ33="",TODAY()-BY33,BZ33-BY33)</f>
        <v>11</v>
      </c>
      <c r="CC33" s="184">
        <f t="shared" ca="1" si="28"/>
        <v>11</v>
      </c>
      <c r="CD33" s="120">
        <f>CI33-$CI$4</f>
        <v>46167</v>
      </c>
      <c r="CE33" s="104">
        <f>IF(_xlfn.XLOOKUP($D33,'[1]Import Eletra'!$B:$B,'[1]Import Eletra'!$BB:$BB,,0,1)=0,"",_xlfn.XLOOKUP($D33,'[1]Import Eletra'!$B:$B,'[1]Import Eletra'!$BB:$BB,,0,1))</f>
        <v>46178</v>
      </c>
      <c r="CF33" s="113">
        <f t="shared" si="11"/>
        <v>0</v>
      </c>
      <c r="CG33" s="113">
        <f ca="1">IF(CE33="",TODAY()-CD33,CE33-CD33)</f>
        <v>11</v>
      </c>
      <c r="CH33" s="184">
        <f t="shared" ca="1" si="29"/>
        <v>11</v>
      </c>
      <c r="CI33" s="110">
        <f>CN33-$CN$4</f>
        <v>46167</v>
      </c>
      <c r="CJ33" s="104">
        <f>IF(_xlfn.XLOOKUP($D33,'[1]Import Eletra'!$B:$B,'[1]Import Eletra'!$BC:$BC,,0,1)=0,"",_xlfn.XLOOKUP($D33,'[1]Import Eletra'!$B:$B,'[1]Import Eletra'!$BC:$BC,,0,1))</f>
        <v>46181</v>
      </c>
      <c r="CK33" s="113"/>
      <c r="CL33" s="113">
        <f ca="1">IF(CJ33="",TODAY()-CI33,CJ33-CI33)</f>
        <v>14</v>
      </c>
      <c r="CM33" s="184">
        <f t="shared" ca="1" si="30"/>
        <v>14</v>
      </c>
      <c r="CN33" s="120">
        <f>CS33-$CS$4</f>
        <v>46168</v>
      </c>
      <c r="CO33" s="104">
        <f>IF(_xlfn.XLOOKUP($D33,'[1]Import Eletra'!$B:$B,'[1]Import Eletra'!$BD:$BD,,0,1)=0,"",_xlfn.XLOOKUP($D33,'[1]Import Eletra'!$B:$B,'[1]Import Eletra'!$BD:$BD,,0,1))</f>
        <v>46175</v>
      </c>
      <c r="CP33" s="113">
        <f t="shared" si="12"/>
        <v>0</v>
      </c>
      <c r="CQ33" s="113">
        <f ca="1">IF(CO33="",TODAY()-CN33,CO33-CN33)</f>
        <v>7</v>
      </c>
      <c r="CR33" s="184">
        <f t="shared" ca="1" si="31"/>
        <v>7</v>
      </c>
      <c r="CS33" s="110">
        <f>CX33-$CX$4</f>
        <v>46168</v>
      </c>
      <c r="CT33" s="104">
        <f>IF(_xlfn.XLOOKUP($D33,'[1]Import Eletra'!$B:$B,'[1]Import Eletra'!$BE:$BE,,0,1)=0,"",_xlfn.XLOOKUP($D33,'[1]Import Eletra'!$B:$B,'[1]Import Eletra'!$BE:$BE,,0,1))</f>
        <v>46175</v>
      </c>
      <c r="CU33" s="113">
        <f t="shared" si="13"/>
        <v>0</v>
      </c>
      <c r="CV33" s="113">
        <f ca="1">IF(CT33="",TODAY()-CS33,CT33-CS33)</f>
        <v>7</v>
      </c>
      <c r="CW33" s="184">
        <f t="shared" ca="1" si="32"/>
        <v>7</v>
      </c>
      <c r="CX33" s="110">
        <f>DC33-$DC$4</f>
        <v>46168</v>
      </c>
      <c r="CY33" s="104">
        <f>IF(_xlfn.XLOOKUP($D33,'[1]Import Eletra'!$B:$B,'[1]Import Eletra'!$BE:$BE,,0,1)=0,"",_xlfn.XLOOKUP($D33,'[1]Import Eletra'!$B:$B,'[1]Import Eletra'!$BE:$BE,,0,1))</f>
        <v>46175</v>
      </c>
      <c r="CZ33" s="210">
        <f t="shared" si="14"/>
        <v>0</v>
      </c>
      <c r="DA33" s="113">
        <f ca="1">IF(CY33="",TODAY()-CX33,CY33-CX33)</f>
        <v>7</v>
      </c>
      <c r="DB33" s="184">
        <f t="shared" ca="1" si="33"/>
        <v>7</v>
      </c>
      <c r="DC33" s="110">
        <f>DH33-$DH$4</f>
        <v>46170</v>
      </c>
      <c r="DD33" s="104">
        <f>IF(_xlfn.XLOOKUP($D33,'[1]Import Eletra'!$B:$B,'[1]Import Eletra'!$BF:$BF,,0,1)=0,"",_xlfn.XLOOKUP($D33,'[1]Import Eletra'!$B:$B,'[1]Import Eletra'!$BF:$BF,0,1))</f>
        <v>46175</v>
      </c>
      <c r="DE33" s="113">
        <f t="shared" si="15"/>
        <v>2</v>
      </c>
      <c r="DF33" s="113">
        <f ca="1">IF(DD33="",TODAY()-DC33,DD33-DC33)</f>
        <v>5</v>
      </c>
      <c r="DG33" s="184">
        <f t="shared" ca="1" si="34"/>
        <v>3</v>
      </c>
      <c r="DH33" s="110">
        <f>DN33-$DM$4</f>
        <v>46171</v>
      </c>
      <c r="DI33" s="104">
        <f>IF(_xlfn.XLOOKUP($D33,'[1]Import Eletra'!$B:$B,'[1]Import Eletra'!$BG:$BG,,0,1)=0,"",_xlfn.XLOOKUP($D33,'[1]Import Eletra'!$B:$B,'[1]Import Eletra'!$BG:$BG,0,1))</f>
        <v>46178</v>
      </c>
      <c r="DJ33" s="112">
        <f t="shared" si="16"/>
        <v>1</v>
      </c>
      <c r="DK33" s="112">
        <f t="shared" ca="1" si="72"/>
        <v>7</v>
      </c>
      <c r="DL33" s="184">
        <f t="shared" ca="1" si="35"/>
        <v>6</v>
      </c>
      <c r="DM33" s="64"/>
      <c r="DN33" s="202">
        <f t="shared" si="82"/>
        <v>46172</v>
      </c>
      <c r="DO33" s="104"/>
      <c r="DP33" s="112">
        <f>$DM$3</f>
        <v>1</v>
      </c>
      <c r="DQ33" s="112">
        <f t="shared" ca="1" si="74"/>
        <v>39</v>
      </c>
      <c r="DR33" s="184">
        <f t="shared" ca="1" si="36"/>
        <v>38</v>
      </c>
      <c r="DS33" s="143">
        <v>10</v>
      </c>
      <c r="DT33" s="140"/>
      <c r="DU33" s="184">
        <f t="shared" si="37"/>
        <v>-10</v>
      </c>
      <c r="DV33" s="147"/>
      <c r="DW33" s="142" t="s">
        <v>257</v>
      </c>
      <c r="DZ33" s="232"/>
    </row>
    <row r="34" spans="1:130" ht="30" customHeight="1">
      <c r="A34" s="229"/>
      <c r="B34" s="91"/>
      <c r="C34" s="2"/>
      <c r="D34" s="211" t="s">
        <v>287</v>
      </c>
      <c r="E34" s="98"/>
      <c r="F34" s="73" t="s">
        <v>244</v>
      </c>
      <c r="G34" s="2" t="str">
        <f>_xlfn.XLOOKUP($D34,'[1]Import Eletra'!$B:$B,'[1]Import Eletra'!$F:$F,,0,1)</f>
        <v>DELIVERED</v>
      </c>
      <c r="H34" s="3"/>
      <c r="I34" s="3"/>
      <c r="J34" s="58">
        <v>30</v>
      </c>
      <c r="K34" s="58">
        <f>L34-I34</f>
        <v>46139</v>
      </c>
      <c r="L34" s="3">
        <f>IF(_xlfn.XLOOKUP($D34,'[1]Import Eletra'!$B:$B,'[1]Import Eletra'!$J:$J,,0,1)=0,"",_xlfn.XLOOKUP($D34,'[1]Import Eletra'!$B:$B,'[1]Import Eletra'!$J:$J,,0,1))</f>
        <v>46139</v>
      </c>
      <c r="M34" s="84">
        <f>IF(_xlfn.XLOOKUP($D34,'[1]Import Eletra'!$B:$B,'[1]Import Eletra'!$L:$L,,0,1)=0,"",_xlfn.XLOOKUP($D34,'[1]Import Eletra'!$B:$B,'[1]Import Eletra'!$L:$L,,0,1))</f>
        <v>46203</v>
      </c>
      <c r="N34" s="19">
        <f>IF(_xlfn.XLOOKUP($D34,'[1]Import Eletra'!$B:$B,'[1]Import Eletra'!$AJ:$AJ,,0,1)=0,"",_xlfn.XLOOKUP($D34,'[1]Import Eletra'!$B:$B,'[1]Import Eletra'!$AJ:$AJ,,0,1))</f>
        <v>4428474.2300000004</v>
      </c>
      <c r="O34" s="3">
        <f>IF(_xlfn.XLOOKUP($D34,'[1]Import Eletra'!$B:$B,'[1]Import Eletra'!$AK:$AK,,0,1)=0,"",_xlfn.XLOOKUP($D34,'[1]Import Eletra'!$B:$B,'[1]Import Eletra'!$AK:$AK,,0,1))</f>
        <v>46157</v>
      </c>
      <c r="P34" s="3">
        <f>IF(_xlfn.XLOOKUP($D34,'[1]Import Eletra'!$B:$B,'[1]Import Eletra'!$AL:$AL,,0,1)=0,"",_xlfn.XLOOKUP($D34,'[1]Import Eletra'!$B:$B,'[1]Import Eletra'!$AL:$AL,,0,1))</f>
        <v>46168</v>
      </c>
      <c r="Q34" s="4">
        <f>IF(_xlfn.XLOOKUP($D34,'[1]Import Eletra'!$B:$B,'[1]Import Eletra'!$AM:$AM,,0,1)=0,"",_xlfn.XLOOKUP($D34,'[1]Import Eletra'!$B:$B,'[1]Import Eletra'!$AM:$AM,,0,1))</f>
        <v>46176</v>
      </c>
      <c r="R34" s="3">
        <f>IF(_xlfn.XLOOKUP($D34,'[1]Import Eletra'!$B:$B,'[1]Import Eletra'!$AN:$AN,,0,1)=0,"",_xlfn.XLOOKUP($D34,'[1]Import Eletra'!$B:$B,'[1]Import Eletra'!$AN:$AN,,0,1))</f>
        <v>46176</v>
      </c>
      <c r="S34" s="3">
        <f>IF(_xlfn.XLOOKUP($D34,'[1]Import Eletra'!$B:$B,'[1]Import Eletra'!$AO:$AO,,0,1)=0,"",_xlfn.XLOOKUP($D34,'[1]Import Eletra'!$B:$B,'[1]Import Eletra'!$AO:$AO,,0,1))</f>
        <v>46176</v>
      </c>
      <c r="T34" s="3">
        <f>IF(_xlfn.XLOOKUP($D34,'[1]Import Eletra'!$B:$B,'[1]Import Eletra'!$AP:$AP,,0,1)=0,"",_xlfn.XLOOKUP($D34,'[1]Import Eletra'!$B:$B,'[1]Import Eletra'!$AP:$AP,,0,1))</f>
        <v>46178</v>
      </c>
      <c r="U34" s="82">
        <f>IF(_xlfn.XLOOKUP($D34,'[1]Import Eletra'!$B:$B,'[1]Import Eletra'!$AQ:$AQ,,0,1)=0,"",_xlfn.XLOOKUP($D34,'[1]Import Eletra'!$B:$B,'[1]Import Eletra'!$AQ:$AQ,,0,1))</f>
        <v>46178</v>
      </c>
      <c r="V34" s="19">
        <f>AA34-$AA$4</f>
        <v>46178</v>
      </c>
      <c r="W34" s="2">
        <f>IF(_xlfn.XLOOKUP($D34,'[1]Import Eletra'!$B:$B,'[1]Import Eletra'!$AR:$AR,,0,1)=0,"",_xlfn.XLOOKUP($D34,'[1]Import Eletra'!$B:$B,'[1]Import Eletra'!$AR:$AR,,0,1))</f>
        <v>46204</v>
      </c>
      <c r="X34" s="72">
        <f>$V$3</f>
        <v>0</v>
      </c>
      <c r="Y34" s="72">
        <f ca="1">IF(W34="",TODAY()-V34,W34-V34)</f>
        <v>26</v>
      </c>
      <c r="Z34" s="184">
        <f ca="1">Y34-X34</f>
        <v>26</v>
      </c>
      <c r="AA34" s="68">
        <f>AF34-$AA$4</f>
        <v>46179</v>
      </c>
      <c r="AB34" s="2" t="str">
        <f>IF(_xlfn.XLOOKUP($D34,'[1]Import Eletra'!$B:$B,'[1]Import Eletra'!$AC:$AC,,0,1)=0,"",_xlfn.XLOOKUP($D34,'[1]Import Eletra'!$B:$B,'[1]Import Eletra'!$AC:$AC,,0,1))</f>
        <v/>
      </c>
      <c r="AC34" s="72">
        <f>$AA$3</f>
        <v>0</v>
      </c>
      <c r="AD34" s="72">
        <f ca="1">IF(AB34="",TODAY()-AA34,AB34-AA34)</f>
        <v>32</v>
      </c>
      <c r="AE34" s="184">
        <f ca="1">AD34-AC34</f>
        <v>32</v>
      </c>
      <c r="AF34" s="70">
        <f>AK34-$AK$4</f>
        <v>46180</v>
      </c>
      <c r="AG34" s="2">
        <f>IF(_xlfn.XLOOKUP($D34,'[1]Import Eletra'!$B:$B,'[1]Import Eletra'!$AD:$AD,,0,1)=0,"",_xlfn.XLOOKUP($D34,'[1]Import Eletra'!$B:$B,'[1]Import Eletra'!$AD:$AD,,0,1))</f>
        <v>46204</v>
      </c>
      <c r="AH34" s="72">
        <f>$AF$3</f>
        <v>0</v>
      </c>
      <c r="AI34" s="72">
        <f ca="1">IF(AG34="",TODAY()-AF34,AG34-AF34)</f>
        <v>24</v>
      </c>
      <c r="AJ34" s="184">
        <f ca="1">AI34-AH34</f>
        <v>24</v>
      </c>
      <c r="AK34" s="70">
        <f>AP34-$AP$4</f>
        <v>46180</v>
      </c>
      <c r="AL34" s="2">
        <f>IF(_xlfn.XLOOKUP($D34,'[1]Import Eletra'!$B:$B,'[1]Import Eletra'!$AS:$AS,,0,1)=0,"",_xlfn.XLOOKUP($D34,'[1]Import Eletra'!$B:$B,'[1]Import Eletra'!$AS:$AS,,0,1))</f>
        <v>46204</v>
      </c>
      <c r="AM34" s="72">
        <f>$AK$3</f>
        <v>0</v>
      </c>
      <c r="AN34" s="72">
        <f ca="1">IF(AL34="",TODAY()-AK34,AL34-AK34)</f>
        <v>24</v>
      </c>
      <c r="AO34" s="184">
        <f ca="1">AN34-AM34</f>
        <v>24</v>
      </c>
      <c r="AP34" s="71">
        <f>AU34-$AU$4</f>
        <v>46181</v>
      </c>
      <c r="AQ34" s="2">
        <f>IF(_xlfn.XLOOKUP($D34,'[1]Import Eletra'!$B:$B,'[1]Import Eletra'!$AT:$AT,,0,1)=0,"",_xlfn.XLOOKUP($D34,'[1]Import Eletra'!$B:$B,'[1]Import Eletra'!$AT:$AT,,0,1))</f>
        <v>46204</v>
      </c>
      <c r="AR34" s="72">
        <f>$AP$3</f>
        <v>1</v>
      </c>
      <c r="AS34" s="72">
        <f ca="1">IF(AQ34="",TODAY()-AP34,AQ34-AP34)</f>
        <v>23</v>
      </c>
      <c r="AT34" s="184">
        <f ca="1">AS34-AR34</f>
        <v>22</v>
      </c>
      <c r="AU34" s="70">
        <f>AZ34-$AZ$4</f>
        <v>46181</v>
      </c>
      <c r="AV34" s="2">
        <f>IF(_xlfn.XLOOKUP($D34,'[1]Import Eletra'!$B:$B,'[1]Import Eletra'!$AU:$AU,,0,1)=0,"",_xlfn.XLOOKUP($D34,'[1]Import Eletra'!$B:$B,'[1]Import Eletra'!$AU:$AU,,0,1))</f>
        <v>46204</v>
      </c>
      <c r="AW34" s="72">
        <f>$AU$3</f>
        <v>0</v>
      </c>
      <c r="AX34" s="72">
        <f ca="1">IF(AV34="",TODAY()-AU34,AV34-AU34)</f>
        <v>23</v>
      </c>
      <c r="AY34" s="184">
        <f ca="1">AX34-AW34</f>
        <v>23</v>
      </c>
      <c r="AZ34" s="71">
        <f>BE34-$BE$4</f>
        <v>46181</v>
      </c>
      <c r="BA34" s="2" t="str">
        <f>IF(_xlfn.XLOOKUP($D34,'[1]Import Eletra'!$B:$B,'[1]Import Eletra'!$AV:$AV,,0,1)=0,"",_xlfn.XLOOKUP($D34,'[1]Import Eletra'!$B:$B,'[1]Import Eletra'!$AV:$AV,,0,1))</f>
        <v/>
      </c>
      <c r="BB34" s="72">
        <f>$AZ$3</f>
        <v>0</v>
      </c>
      <c r="BC34" s="72">
        <f ca="1">IF(BA34="",TODAY()-AZ34,BA34-AZ34)</f>
        <v>30</v>
      </c>
      <c r="BD34" s="184">
        <f ca="1">BC34-BB34</f>
        <v>30</v>
      </c>
      <c r="BE34" s="19">
        <f>BJ34-$BJ$4</f>
        <v>46181</v>
      </c>
      <c r="BF34" s="2" t="str">
        <f>IF(_xlfn.XLOOKUP($D34,'[1]Import Eletra'!$B:$B,'[1]Import Eletra'!$AW:$AW,,0,1)=0,"",_xlfn.XLOOKUP($D34,'[1]Import Eletra'!$B:$B,'[1]Import Eletra'!$AW:$AW,,0,1))</f>
        <v/>
      </c>
      <c r="BG34" s="72">
        <f>$BE$3</f>
        <v>0</v>
      </c>
      <c r="BH34" s="72">
        <f ca="1">IF(BF34="",TODAY()-BE34,BF34-BE34)</f>
        <v>30</v>
      </c>
      <c r="BI34" s="184">
        <f ca="1">BH34-BG34</f>
        <v>30</v>
      </c>
      <c r="BJ34" s="18">
        <f>BO34-$BO$4</f>
        <v>46181</v>
      </c>
      <c r="BK34" s="2" t="str">
        <f>IF(_xlfn.XLOOKUP($D34,'[1]Import Eletra'!$B:$B,'[1]Import Eletra'!$AX:$AX,,0,1)=0,"",_xlfn.XLOOKUP($D34,'[1]Import Eletra'!$B:$B,'[1]Import Eletra'!$AX:$AX,,0,1))</f>
        <v/>
      </c>
      <c r="BL34" s="72">
        <f>$BJ$3</f>
        <v>0</v>
      </c>
      <c r="BM34" s="72">
        <f ca="1">IF(BK34="",TODAY()-BJ34,BK34-BJ34)</f>
        <v>30</v>
      </c>
      <c r="BN34" s="184">
        <f ca="1">BM34-BL34</f>
        <v>30</v>
      </c>
      <c r="BO34" s="19">
        <f>BT34-$BT$4</f>
        <v>46181</v>
      </c>
      <c r="BP34" s="2" t="str">
        <f>IF(_xlfn.XLOOKUP($D34,'[1]Import Eletra'!$B:$B,'[1]Import Eletra'!$AY:$AY,,0,1)=0,"",_xlfn.XLOOKUP($D34,'[1]Import Eletra'!$B:$B,'[1]Import Eletra'!$AY:$AY,,0,1))</f>
        <v/>
      </c>
      <c r="BQ34" s="72">
        <f>$BO$3</f>
        <v>0</v>
      </c>
      <c r="BR34" s="72">
        <f ca="1">IF(BP34="",TODAY()-BO34,BP34-BO34)</f>
        <v>30</v>
      </c>
      <c r="BS34" s="184">
        <f ca="1">BR34-BQ34</f>
        <v>30</v>
      </c>
      <c r="BT34" s="18">
        <f>BY34-$BY$4</f>
        <v>46183</v>
      </c>
      <c r="BU34" s="2" t="str">
        <f>IF(_xlfn.XLOOKUP($D34,'[1]Import Eletra'!$B:$B,'[1]Import Eletra'!$AZ:$AZ,,0,1)=0,"",_xlfn.XLOOKUP($D34,'[1]Import Eletra'!$B:$B,'[1]Import Eletra'!$AZ:$AZ,,0,1))</f>
        <v/>
      </c>
      <c r="BV34" s="72">
        <f>$BT$3</f>
        <v>2</v>
      </c>
      <c r="BW34" s="72">
        <f ca="1">IF(BU34="",TODAY()-BT34,BU34-BT34)</f>
        <v>28</v>
      </c>
      <c r="BX34" s="184">
        <f ca="1">BW34-BV34</f>
        <v>26</v>
      </c>
      <c r="BY34" s="19">
        <f>CD34-$CD$4</f>
        <v>46183</v>
      </c>
      <c r="BZ34" s="2">
        <f>IF(_xlfn.XLOOKUP($D34,'[1]Import Eletra'!$B:$B,'[1]Import Eletra'!$BA:$BA,,0,1)=0,"",_xlfn.XLOOKUP($D34,'[1]Import Eletra'!$B:$B,'[1]Import Eletra'!$BA:$BA,,0,1))</f>
        <v>46209</v>
      </c>
      <c r="CA34" s="72">
        <f>$BY$3</f>
        <v>0</v>
      </c>
      <c r="CB34" s="72">
        <f ca="1">IF(BZ34="",TODAY()-BY34,BZ34-BY34)</f>
        <v>26</v>
      </c>
      <c r="CC34" s="184">
        <f ca="1">CB34-CA34</f>
        <v>26</v>
      </c>
      <c r="CD34" s="18">
        <f>CI34-$CI$4</f>
        <v>46183</v>
      </c>
      <c r="CE34" s="2">
        <f>IF(_xlfn.XLOOKUP($D34,'[1]Import Eletra'!$B:$B,'[1]Import Eletra'!$BB:$BB,,0,1)=0,"",_xlfn.XLOOKUP($D34,'[1]Import Eletra'!$B:$B,'[1]Import Eletra'!$BB:$BB,,0,1))</f>
        <v>46209</v>
      </c>
      <c r="CF34" s="72">
        <f>$CD$3</f>
        <v>0</v>
      </c>
      <c r="CG34" s="72">
        <f ca="1">IF(CE34="",TODAY()-CD34,CE34-CD34)</f>
        <v>26</v>
      </c>
      <c r="CH34" s="184">
        <f ca="1">CG34-CF34</f>
        <v>26</v>
      </c>
      <c r="CI34" s="19">
        <f>CN34-$CN$4</f>
        <v>46183</v>
      </c>
      <c r="CJ34" s="2">
        <f>IF(_xlfn.XLOOKUP($D34,'[1]Import Eletra'!$B:$B,'[1]Import Eletra'!$BC:$BC,,0,1)=0,"",_xlfn.XLOOKUP($D34,'[1]Import Eletra'!$B:$B,'[1]Import Eletra'!$BC:$BC,,0,1))</f>
        <v>46210</v>
      </c>
      <c r="CK34" s="72"/>
      <c r="CL34" s="72">
        <f ca="1">IF(CJ34="",TODAY()-CI34,CJ34-CI34)</f>
        <v>27</v>
      </c>
      <c r="CM34" s="184">
        <f ca="1">CL34-CK34</f>
        <v>27</v>
      </c>
      <c r="CN34" s="18">
        <f>CS34-$CS$4</f>
        <v>46184</v>
      </c>
      <c r="CO34" s="2">
        <f>IF(_xlfn.XLOOKUP($D34,'[1]Import Eletra'!$B:$B,'[1]Import Eletra'!$BD:$BD,,0,1)=0,"",_xlfn.XLOOKUP($D34,'[1]Import Eletra'!$B:$B,'[1]Import Eletra'!$BD:$BD,,0,1))</f>
        <v>46204</v>
      </c>
      <c r="CP34" s="72">
        <f>$CN$3</f>
        <v>0</v>
      </c>
      <c r="CQ34" s="72">
        <f ca="1">IF(CO34="",TODAY()-CN34,CO34-CN34)</f>
        <v>20</v>
      </c>
      <c r="CR34" s="184">
        <f ca="1">CQ34-CP34</f>
        <v>20</v>
      </c>
      <c r="CS34" s="19">
        <f>CX34-$CX$4</f>
        <v>46184</v>
      </c>
      <c r="CT34" s="2">
        <f>IF(_xlfn.XLOOKUP($D34,'[1]Import Eletra'!$B:$B,'[1]Import Eletra'!$BE:$BE,,0,1)=0,"",_xlfn.XLOOKUP($D34,'[1]Import Eletra'!$B:$B,'[1]Import Eletra'!$BE:$BE,,0,1))</f>
        <v>46205</v>
      </c>
      <c r="CU34" s="72">
        <f>$CS$3</f>
        <v>0</v>
      </c>
      <c r="CV34" s="72">
        <f ca="1">IF(CT34="",TODAY()-CS34,CT34-CS34)</f>
        <v>21</v>
      </c>
      <c r="CW34" s="184">
        <f ca="1">CV34-CU34</f>
        <v>21</v>
      </c>
      <c r="CX34" s="19">
        <f>DC34-$DC$4</f>
        <v>46184</v>
      </c>
      <c r="CY34" s="2">
        <f>IF(_xlfn.XLOOKUP($D34,'[1]Import Eletra'!$B:$B,'[1]Import Eletra'!$BE:$BE,,0,1)=0,"",_xlfn.XLOOKUP($D34,'[1]Import Eletra'!$B:$B,'[1]Import Eletra'!$BE:$BE,,0,1))</f>
        <v>46205</v>
      </c>
      <c r="CZ34" s="209">
        <f>$CX$3</f>
        <v>0</v>
      </c>
      <c r="DA34" s="72">
        <f ca="1">IF(CY34="",TODAY()-CX34,CY34-CX34)</f>
        <v>21</v>
      </c>
      <c r="DB34" s="184">
        <f ca="1">DA34-CZ34</f>
        <v>21</v>
      </c>
      <c r="DC34" s="19">
        <f>DH34-$DH$4</f>
        <v>46186</v>
      </c>
      <c r="DD34" s="2">
        <f>IF(_xlfn.XLOOKUP($D34,'[1]Import Eletra'!$B:$B,'[1]Import Eletra'!$BF:$BF,,0,1)=0,"",_xlfn.XLOOKUP($D34,'[1]Import Eletra'!$B:$B,'[1]Import Eletra'!$BF:$BF,0,1))</f>
        <v>46205</v>
      </c>
      <c r="DE34" s="72">
        <f>$DC$3</f>
        <v>2</v>
      </c>
      <c r="DF34" s="72">
        <f ca="1">IF(DD34="",TODAY()-DC34,DD34-DC34)</f>
        <v>19</v>
      </c>
      <c r="DG34" s="184">
        <f ca="1">DF34-DE34</f>
        <v>17</v>
      </c>
      <c r="DH34" s="19">
        <f>DN34-$DM$4</f>
        <v>46187</v>
      </c>
      <c r="DI34" s="2">
        <f>IF(_xlfn.XLOOKUP($D34,'[1]Import Eletra'!$B:$B,'[1]Import Eletra'!$BG:$BG,,0,1)=0,"",_xlfn.XLOOKUP($D34,'[1]Import Eletra'!$B:$B,'[1]Import Eletra'!$BG:$BG,0,1))</f>
        <v>46209</v>
      </c>
      <c r="DJ34" s="72">
        <f>$DH$3</f>
        <v>1</v>
      </c>
      <c r="DK34" s="72">
        <f ca="1">IF(DI34="",TODAY()-DH34,DI34-DH34)</f>
        <v>22</v>
      </c>
      <c r="DL34" s="184">
        <f ca="1">DK34-DJ34</f>
        <v>21</v>
      </c>
      <c r="DM34" s="64"/>
      <c r="DN34" s="202">
        <f>IF(U34="",M34+DS34,U34+DS34)</f>
        <v>46188</v>
      </c>
      <c r="DO34" s="2"/>
      <c r="DP34" s="72">
        <f>$DM$3</f>
        <v>1</v>
      </c>
      <c r="DQ34" s="72">
        <f ca="1">IF(DO34="",TODAY()-DN34,DO34-DN34)</f>
        <v>23</v>
      </c>
      <c r="DR34" s="184">
        <f ca="1">DQ34-DP34</f>
        <v>22</v>
      </c>
      <c r="DS34" s="139">
        <v>10</v>
      </c>
      <c r="DT34" s="140"/>
      <c r="DU34" s="184">
        <f>DT34-DS34</f>
        <v>-10</v>
      </c>
      <c r="DW34" s="142" t="s">
        <v>257</v>
      </c>
      <c r="DZ34" s="231" t="s">
        <v>273</v>
      </c>
    </row>
    <row r="35" spans="1:130" ht="30" customHeight="1">
      <c r="B35" s="103"/>
      <c r="C35" s="104"/>
      <c r="D35" s="214" t="s">
        <v>288</v>
      </c>
      <c r="E35" s="169"/>
      <c r="F35" s="170" t="s">
        <v>244</v>
      </c>
      <c r="G35" s="2" t="str">
        <f>_xlfn.XLOOKUP($D35,'[1]Import Eletra'!$B:$B,'[1]Import Eletra'!$F:$F,,0,1)</f>
        <v>DELIVERED</v>
      </c>
      <c r="H35" s="108"/>
      <c r="I35" s="108"/>
      <c r="J35" s="109">
        <v>30</v>
      </c>
      <c r="K35" s="109">
        <f>L35-I35</f>
        <v>46141</v>
      </c>
      <c r="L35" s="108">
        <f>IF(_xlfn.XLOOKUP($D35,'[1]Import Eletra'!$B:$B,'[1]Import Eletra'!$J:$J,,0,1)=0,"",_xlfn.XLOOKUP($D35,'[1]Import Eletra'!$B:$B,'[1]Import Eletra'!$J:$J,,0,1))</f>
        <v>46141</v>
      </c>
      <c r="M35" s="168">
        <f>IF(_xlfn.XLOOKUP($D35,'[1]Import Eletra'!$B:$B,'[1]Import Eletra'!$L:$L,,0,1)=0,"",_xlfn.XLOOKUP($D35,'[1]Import Eletra'!$B:$B,'[1]Import Eletra'!$L:$L,,0,1))</f>
        <v>46187</v>
      </c>
      <c r="N35" s="85">
        <f>IF(_xlfn.XLOOKUP($D35,'[1]Import Eletra'!$B:$B,'[1]Import Eletra'!$AJ:$AJ,,0,1)=0,"",_xlfn.XLOOKUP($D35,'[1]Import Eletra'!$B:$B,'[1]Import Eletra'!$AJ:$AJ,,0,1))</f>
        <v>545127.78</v>
      </c>
      <c r="O35" s="108">
        <f>IF(_xlfn.XLOOKUP($D35,'[1]Import Eletra'!$B:$B,'[1]Import Eletra'!$AK:$AK,,0,1)=0,"",_xlfn.XLOOKUP($D35,'[1]Import Eletra'!$B:$B,'[1]Import Eletra'!$AK:$AK,,0,1))</f>
        <v>46156</v>
      </c>
      <c r="P35" s="108">
        <f>IF(_xlfn.XLOOKUP($D35,'[1]Import Eletra'!$B:$B,'[1]Import Eletra'!$AL:$AL,,0,1)=0,"",_xlfn.XLOOKUP($D35,'[1]Import Eletra'!$B:$B,'[1]Import Eletra'!$AL:$AL,,0,1))</f>
        <v>46170</v>
      </c>
      <c r="Q35" s="108">
        <f>IF(_xlfn.XLOOKUP($D35,'[1]Import Eletra'!$B:$B,'[1]Import Eletra'!$AM:$AM,,0,1)=0,"",_xlfn.XLOOKUP($D35,'[1]Import Eletra'!$B:$B,'[1]Import Eletra'!$AM:$AM,,0,1))</f>
        <v>46171</v>
      </c>
      <c r="R35" s="108">
        <f>IF(_xlfn.XLOOKUP($D35,'[1]Import Eletra'!$B:$B,'[1]Import Eletra'!$AN:$AN,,0,1)=0,"",_xlfn.XLOOKUP($D35,'[1]Import Eletra'!$B:$B,'[1]Import Eletra'!$AN:$AN,,0,1))</f>
        <v>46171</v>
      </c>
      <c r="S35" s="108">
        <f>IF(_xlfn.XLOOKUP($D35,'[1]Import Eletra'!$B:$B,'[1]Import Eletra'!$AO:$AO,,0,1)=0,"",_xlfn.XLOOKUP($D35,'[1]Import Eletra'!$B:$B,'[1]Import Eletra'!$AO:$AO,,0,1))</f>
        <v>46176</v>
      </c>
      <c r="T35" s="108">
        <f>IF(_xlfn.XLOOKUP($D35,'[1]Import Eletra'!$B:$B,'[1]Import Eletra'!$AP:$AP,,0,1)=0,"",_xlfn.XLOOKUP($D35,'[1]Import Eletra'!$B:$B,'[1]Import Eletra'!$AP:$AP,,0,1))</f>
        <v>46176</v>
      </c>
      <c r="U35" s="111">
        <f>IF(_xlfn.XLOOKUP($D35,'[1]Import Eletra'!$B:$B,'[1]Import Eletra'!$AQ:$AQ,,0,1)=0,"",_xlfn.XLOOKUP($D35,'[1]Import Eletra'!$B:$B,'[1]Import Eletra'!$AQ:$AQ,,0,1))</f>
        <v>46176</v>
      </c>
      <c r="V35" s="110">
        <f>AA35-$AA$4</f>
        <v>46176</v>
      </c>
      <c r="W35" s="104">
        <f>IF(_xlfn.XLOOKUP($D35,'[1]Import Eletra'!$B:$B,'[1]Import Eletra'!$AR:$AR,,0,1)=0,"",_xlfn.XLOOKUP($D35,'[1]Import Eletra'!$B:$B,'[1]Import Eletra'!$AR:$AR,,0,1))</f>
        <v>46189</v>
      </c>
      <c r="X35" s="113">
        <f>$V$3</f>
        <v>0</v>
      </c>
      <c r="Y35" s="113">
        <f ca="1">IF(W35="",TODAY()-V35,W35-V35)</f>
        <v>13</v>
      </c>
      <c r="Z35" s="184">
        <f ca="1">Y35-X35</f>
        <v>13</v>
      </c>
      <c r="AA35" s="164">
        <f>AF35-$AA$4</f>
        <v>46177</v>
      </c>
      <c r="AB35" s="104" t="str">
        <f>IF(_xlfn.XLOOKUP($D35,'[1]Import Eletra'!$B:$B,'[1]Import Eletra'!$AC:$AC,,0,1)=0,"",_xlfn.XLOOKUP($D35,'[1]Import Eletra'!$B:$B,'[1]Import Eletra'!$AC:$AC,,0,1))</f>
        <v/>
      </c>
      <c r="AC35" s="113">
        <f>$AA$3</f>
        <v>0</v>
      </c>
      <c r="AD35" s="113">
        <f ca="1">IF(AB35="",TODAY()-AA35,AB35-AA35)</f>
        <v>34</v>
      </c>
      <c r="AE35" s="184">
        <f ca="1">AD35-AC35</f>
        <v>34</v>
      </c>
      <c r="AF35" s="117">
        <f>AK35-$AK$4</f>
        <v>46178</v>
      </c>
      <c r="AG35" s="104">
        <f>IF(_xlfn.XLOOKUP($D35,'[1]Import Eletra'!$B:$B,'[1]Import Eletra'!$AD:$AD,,0,1)=0,"",_xlfn.XLOOKUP($D35,'[1]Import Eletra'!$B:$B,'[1]Import Eletra'!$AD:$AD,,0,1))</f>
        <v>46189</v>
      </c>
      <c r="AH35" s="113">
        <f>$AF$3</f>
        <v>0</v>
      </c>
      <c r="AI35" s="113">
        <f ca="1">IF(AG35="",TODAY()-AF35,AG35-AF35)</f>
        <v>11</v>
      </c>
      <c r="AJ35" s="184">
        <f ca="1">AI35-AH35</f>
        <v>11</v>
      </c>
      <c r="AK35" s="117">
        <f>AP35-$AP$4</f>
        <v>46178</v>
      </c>
      <c r="AL35" s="104">
        <f>IF(_xlfn.XLOOKUP($D35,'[1]Import Eletra'!$B:$B,'[1]Import Eletra'!$AS:$AS,,0,1)=0,"",_xlfn.XLOOKUP($D35,'[1]Import Eletra'!$B:$B,'[1]Import Eletra'!$AS:$AS,,0,1))</f>
        <v>46189</v>
      </c>
      <c r="AM35" s="113">
        <f>$AK$3</f>
        <v>0</v>
      </c>
      <c r="AN35" s="113">
        <f ca="1">IF(AL35="",TODAY()-AK35,AL35-AK35)</f>
        <v>11</v>
      </c>
      <c r="AO35" s="184">
        <f ca="1">AN35-AM35</f>
        <v>11</v>
      </c>
      <c r="AP35" s="118">
        <f>AU35-$AU$4</f>
        <v>46179</v>
      </c>
      <c r="AQ35" s="104">
        <f>IF(_xlfn.XLOOKUP($D35,'[1]Import Eletra'!$B:$B,'[1]Import Eletra'!$AT:$AT,,0,1)=0,"",_xlfn.XLOOKUP($D35,'[1]Import Eletra'!$B:$B,'[1]Import Eletra'!$AT:$AT,,0,1))</f>
        <v>46189</v>
      </c>
      <c r="AR35" s="113">
        <f>$AP$3</f>
        <v>1</v>
      </c>
      <c r="AS35" s="113">
        <f ca="1">IF(AQ35="",TODAY()-AP35,AQ35-AP35)</f>
        <v>10</v>
      </c>
      <c r="AT35" s="184">
        <f ca="1">AS35-AR35</f>
        <v>9</v>
      </c>
      <c r="AU35" s="117">
        <f>AZ35-$AZ$4</f>
        <v>46179</v>
      </c>
      <c r="AV35" s="104">
        <f>IF(_xlfn.XLOOKUP($D35,'[1]Import Eletra'!$B:$B,'[1]Import Eletra'!$AU:$AU,,0,1)=0,"",_xlfn.XLOOKUP($D35,'[1]Import Eletra'!$B:$B,'[1]Import Eletra'!$AU:$AU,,0,1))</f>
        <v>46190</v>
      </c>
      <c r="AW35" s="113">
        <f>$AU$3</f>
        <v>0</v>
      </c>
      <c r="AX35" s="113">
        <f ca="1">IF(AV35="",TODAY()-AU35,AV35-AU35)</f>
        <v>11</v>
      </c>
      <c r="AY35" s="184">
        <f ca="1">AX35-AW35</f>
        <v>11</v>
      </c>
      <c r="AZ35" s="118">
        <f>BE35-$BE$4</f>
        <v>46179</v>
      </c>
      <c r="BA35" s="104" t="str">
        <f>IF(_xlfn.XLOOKUP($D35,'[1]Import Eletra'!$B:$B,'[1]Import Eletra'!$AV:$AV,,0,1)=0,"",_xlfn.XLOOKUP($D35,'[1]Import Eletra'!$B:$B,'[1]Import Eletra'!$AV:$AV,,0,1))</f>
        <v/>
      </c>
      <c r="BB35" s="113">
        <f>$AZ$3</f>
        <v>0</v>
      </c>
      <c r="BC35" s="113">
        <f ca="1">IF(BA35="",TODAY()-AZ35,BA35-AZ35)</f>
        <v>32</v>
      </c>
      <c r="BD35" s="184">
        <f ca="1">BC35-BB35</f>
        <v>32</v>
      </c>
      <c r="BE35" s="110">
        <f>BJ35-$BJ$4</f>
        <v>46179</v>
      </c>
      <c r="BF35" s="104" t="str">
        <f>IF(_xlfn.XLOOKUP($D35,'[1]Import Eletra'!$B:$B,'[1]Import Eletra'!$AW:$AW,,0,1)=0,"",_xlfn.XLOOKUP($D35,'[1]Import Eletra'!$B:$B,'[1]Import Eletra'!$AW:$AW,,0,1))</f>
        <v/>
      </c>
      <c r="BG35" s="113">
        <f>$BE$3</f>
        <v>0</v>
      </c>
      <c r="BH35" s="113">
        <f ca="1">IF(BF35="",TODAY()-BE35,BF35-BE35)</f>
        <v>32</v>
      </c>
      <c r="BI35" s="184">
        <f ca="1">BH35-BG35</f>
        <v>32</v>
      </c>
      <c r="BJ35" s="120">
        <f>BO35-$BO$4</f>
        <v>46179</v>
      </c>
      <c r="BK35" s="104" t="str">
        <f>IF(_xlfn.XLOOKUP($D35,'[1]Import Eletra'!$B:$B,'[1]Import Eletra'!$AX:$AX,,0,1)=0,"",_xlfn.XLOOKUP($D35,'[1]Import Eletra'!$B:$B,'[1]Import Eletra'!$AX:$AX,,0,1))</f>
        <v/>
      </c>
      <c r="BL35" s="113">
        <f>$BJ$3</f>
        <v>0</v>
      </c>
      <c r="BM35" s="113">
        <f ca="1">IF(BK35="",TODAY()-BJ35,BK35-BJ35)</f>
        <v>32</v>
      </c>
      <c r="BN35" s="184">
        <f ca="1">BM35-BL35</f>
        <v>32</v>
      </c>
      <c r="BO35" s="110">
        <f>BT35-$BT$4</f>
        <v>46179</v>
      </c>
      <c r="BP35" s="104" t="str">
        <f>IF(_xlfn.XLOOKUP($D35,'[1]Import Eletra'!$B:$B,'[1]Import Eletra'!$AY:$AY,,0,1)=0,"",_xlfn.XLOOKUP($D35,'[1]Import Eletra'!$B:$B,'[1]Import Eletra'!$AY:$AY,,0,1))</f>
        <v/>
      </c>
      <c r="BQ35" s="113">
        <f>$BO$3</f>
        <v>0</v>
      </c>
      <c r="BR35" s="113">
        <f ca="1">IF(BP35="",TODAY()-BO35,BP35-BO35)</f>
        <v>32</v>
      </c>
      <c r="BS35" s="184">
        <f ca="1">BR35-BQ35</f>
        <v>32</v>
      </c>
      <c r="BT35" s="120">
        <f>BY35-$BY$4</f>
        <v>46181</v>
      </c>
      <c r="BU35" s="104" t="str">
        <f>IF(_xlfn.XLOOKUP($D35,'[1]Import Eletra'!$B:$B,'[1]Import Eletra'!$AZ:$AZ,,0,1)=0,"",_xlfn.XLOOKUP($D35,'[1]Import Eletra'!$B:$B,'[1]Import Eletra'!$AZ:$AZ,,0,1))</f>
        <v/>
      </c>
      <c r="BV35" s="113">
        <f>$BT$3</f>
        <v>2</v>
      </c>
      <c r="BW35" s="113">
        <f ca="1">IF(BU35="",TODAY()-BT35,BU35-BT35)</f>
        <v>30</v>
      </c>
      <c r="BX35" s="184">
        <f ca="1">BW35-BV35</f>
        <v>28</v>
      </c>
      <c r="BY35" s="110">
        <f>CD35-$CD$4</f>
        <v>46181</v>
      </c>
      <c r="BZ35" s="104">
        <f>IF(_xlfn.XLOOKUP($D35,'[1]Import Eletra'!$B:$B,'[1]Import Eletra'!$BA:$BA,,0,1)=0,"",_xlfn.XLOOKUP($D35,'[1]Import Eletra'!$B:$B,'[1]Import Eletra'!$BA:$BA,,0,1))</f>
        <v>46196</v>
      </c>
      <c r="CA35" s="113">
        <f>$BY$3</f>
        <v>0</v>
      </c>
      <c r="CB35" s="113">
        <f ca="1">IF(BZ35="",TODAY()-BY35,BZ35-BY35)</f>
        <v>15</v>
      </c>
      <c r="CC35" s="184">
        <f ca="1">CB35-CA35</f>
        <v>15</v>
      </c>
      <c r="CD35" s="120">
        <f>CI35-$CI$4</f>
        <v>46181</v>
      </c>
      <c r="CE35" s="104">
        <f>IF(_xlfn.XLOOKUP($D35,'[1]Import Eletra'!$B:$B,'[1]Import Eletra'!$BB:$BB,,0,1)=0,"",_xlfn.XLOOKUP($D35,'[1]Import Eletra'!$B:$B,'[1]Import Eletra'!$BB:$BB,,0,1))</f>
        <v>46196</v>
      </c>
      <c r="CF35" s="113">
        <f>$CD$3</f>
        <v>0</v>
      </c>
      <c r="CG35" s="113">
        <f ca="1">IF(CE35="",TODAY()-CD35,CE35-CD35)</f>
        <v>15</v>
      </c>
      <c r="CH35" s="184">
        <f ca="1">CG35-CF35</f>
        <v>15</v>
      </c>
      <c r="CI35" s="110">
        <f>CN35-$CN$4</f>
        <v>46181</v>
      </c>
      <c r="CJ35" s="104">
        <f>IF(_xlfn.XLOOKUP($D35,'[1]Import Eletra'!$B:$B,'[1]Import Eletra'!$BC:$BC,,0,1)=0,"",_xlfn.XLOOKUP($D35,'[1]Import Eletra'!$B:$B,'[1]Import Eletra'!$BC:$BC,,0,1))</f>
        <v>46196</v>
      </c>
      <c r="CK35" s="113"/>
      <c r="CL35" s="113">
        <f ca="1">IF(CJ35="",TODAY()-CI35,CJ35-CI35)</f>
        <v>15</v>
      </c>
      <c r="CM35" s="184">
        <f ca="1">CL35-CK35</f>
        <v>15</v>
      </c>
      <c r="CN35" s="120">
        <f>CS35-$CS$4</f>
        <v>46182</v>
      </c>
      <c r="CO35" s="104">
        <f>IF(_xlfn.XLOOKUP($D35,'[1]Import Eletra'!$B:$B,'[1]Import Eletra'!$BD:$BD,,0,1)=0,"",_xlfn.XLOOKUP($D35,'[1]Import Eletra'!$B:$B,'[1]Import Eletra'!$BD:$BD,,0,1))</f>
        <v>46190</v>
      </c>
      <c r="CP35" s="113">
        <f>$CN$3</f>
        <v>0</v>
      </c>
      <c r="CQ35" s="113">
        <f ca="1">IF(CO35="",TODAY()-CN35,CO35-CN35)</f>
        <v>8</v>
      </c>
      <c r="CR35" s="184">
        <f ca="1">CQ35-CP35</f>
        <v>8</v>
      </c>
      <c r="CS35" s="110">
        <f>CX35-$CX$4</f>
        <v>46182</v>
      </c>
      <c r="CT35" s="104">
        <f>IF(_xlfn.XLOOKUP($D35,'[1]Import Eletra'!$B:$B,'[1]Import Eletra'!$BE:$BE,,0,1)=0,"",_xlfn.XLOOKUP($D35,'[1]Import Eletra'!$B:$B,'[1]Import Eletra'!$BE:$BE,,0,1))</f>
        <v>46191</v>
      </c>
      <c r="CU35" s="113">
        <f>$CS$3</f>
        <v>0</v>
      </c>
      <c r="CV35" s="113">
        <f ca="1">IF(CT35="",TODAY()-CS35,CT35-CS35)</f>
        <v>9</v>
      </c>
      <c r="CW35" s="184">
        <f ca="1">CV35-CU35</f>
        <v>9</v>
      </c>
      <c r="CX35" s="110">
        <f>DC35-$DC$4</f>
        <v>46182</v>
      </c>
      <c r="CY35" s="104">
        <f>IF(_xlfn.XLOOKUP($D35,'[1]Import Eletra'!$B:$B,'[1]Import Eletra'!$BE:$BE,,0,1)=0,"",_xlfn.XLOOKUP($D35,'[1]Import Eletra'!$B:$B,'[1]Import Eletra'!$BE:$BE,,0,1))</f>
        <v>46191</v>
      </c>
      <c r="CZ35" s="210">
        <f>$CX$3</f>
        <v>0</v>
      </c>
      <c r="DA35" s="113">
        <f ca="1">IF(CY35="",TODAY()-CX35,CY35-CX35)</f>
        <v>9</v>
      </c>
      <c r="DB35" s="184">
        <f ca="1">DA35-CZ35</f>
        <v>9</v>
      </c>
      <c r="DC35" s="110">
        <f>DH35-$DH$4</f>
        <v>46184</v>
      </c>
      <c r="DD35" s="104">
        <f>IF(_xlfn.XLOOKUP($D35,'[1]Import Eletra'!$B:$B,'[1]Import Eletra'!$BF:$BF,,0,1)=0,"",_xlfn.XLOOKUP($D35,'[1]Import Eletra'!$B:$B,'[1]Import Eletra'!$BF:$BF,0,1))</f>
        <v>46191</v>
      </c>
      <c r="DE35" s="113">
        <f>$DC$3</f>
        <v>2</v>
      </c>
      <c r="DF35" s="113">
        <f ca="1">IF(DD35="",TODAY()-DC35,DD35-DC35)</f>
        <v>7</v>
      </c>
      <c r="DG35" s="184">
        <f ca="1">DF35-DE35</f>
        <v>5</v>
      </c>
      <c r="DH35" s="110">
        <f>DN35-$DM$4</f>
        <v>46185</v>
      </c>
      <c r="DI35" s="104">
        <f>IF(_xlfn.XLOOKUP($D35,'[1]Import Eletra'!$B:$B,'[1]Import Eletra'!$BG:$BG,,0,1)=0,"",_xlfn.XLOOKUP($D35,'[1]Import Eletra'!$B:$B,'[1]Import Eletra'!$BG:$BG,0,1))</f>
        <v>46196</v>
      </c>
      <c r="DJ35" s="113">
        <f>$DH$3</f>
        <v>1</v>
      </c>
      <c r="DK35" s="113">
        <f ca="1">IF(DI35="",TODAY()-DH35,DI35-DH35)</f>
        <v>11</v>
      </c>
      <c r="DL35" s="184">
        <f ca="1">DK35-DJ35</f>
        <v>10</v>
      </c>
      <c r="DM35" s="64"/>
      <c r="DN35" s="202">
        <f>IF(U35="",M35+DS35,U35+DS35)</f>
        <v>46186</v>
      </c>
      <c r="DO35" s="104"/>
      <c r="DP35" s="113">
        <f>$DM$3</f>
        <v>1</v>
      </c>
      <c r="DQ35" s="113">
        <f ca="1">IF(DO35="",TODAY()-DN35,DO35-DN35)</f>
        <v>25</v>
      </c>
      <c r="DR35" s="184">
        <f ca="1">DQ35-DP35</f>
        <v>24</v>
      </c>
      <c r="DS35" s="143">
        <v>10</v>
      </c>
      <c r="DT35" s="140"/>
      <c r="DU35" s="184">
        <f>DT35-DS35</f>
        <v>-10</v>
      </c>
      <c r="DV35" s="147"/>
      <c r="DW35" s="142" t="s">
        <v>257</v>
      </c>
      <c r="DZ35" s="232"/>
    </row>
    <row r="36" spans="1:130" ht="30" customHeight="1">
      <c r="A36" s="229"/>
      <c r="B36" s="91"/>
      <c r="C36" s="2"/>
      <c r="D36" s="211" t="s">
        <v>289</v>
      </c>
      <c r="E36" s="98"/>
      <c r="F36" s="73" t="s">
        <v>244</v>
      </c>
      <c r="G36" s="2" t="str">
        <f>_xlfn.XLOOKUP($D36,'[1]Import Eletra'!$B:$B,'[1]Import Eletra'!$F:$F,,0,1)</f>
        <v>DELIVERED</v>
      </c>
      <c r="H36" s="3"/>
      <c r="I36" s="3"/>
      <c r="J36" s="58">
        <v>30</v>
      </c>
      <c r="K36" s="58">
        <f>L36-I36</f>
        <v>46122</v>
      </c>
      <c r="L36" s="3">
        <f>IF(_xlfn.XLOOKUP($D36,'[1]Import Eletra'!$B:$B,'[1]Import Eletra'!$J:$J,,0,1)=0,"",_xlfn.XLOOKUP($D36,'[1]Import Eletra'!$B:$B,'[1]Import Eletra'!$J:$J,,0,1))</f>
        <v>46122</v>
      </c>
      <c r="M36" s="84">
        <f>IF(_xlfn.XLOOKUP($D36,'[1]Import Eletra'!$B:$B,'[1]Import Eletra'!$L:$L,,0,1)=0,"",_xlfn.XLOOKUP($D36,'[1]Import Eletra'!$B:$B,'[1]Import Eletra'!$L:$L,,0,1))</f>
        <v>46169</v>
      </c>
      <c r="N36" s="19">
        <f>IF(_xlfn.XLOOKUP($D36,'[1]Import Eletra'!$B:$B,'[1]Import Eletra'!$AJ:$AJ,,0,1)=0,"",_xlfn.XLOOKUP($D36,'[1]Import Eletra'!$B:$B,'[1]Import Eletra'!$AJ:$AJ,,0,1))</f>
        <v>911552.42</v>
      </c>
      <c r="O36" s="3">
        <f>IF(_xlfn.XLOOKUP($D36,'[1]Import Eletra'!$B:$B,'[1]Import Eletra'!$AK:$AK,,0,1)=0,"",_xlfn.XLOOKUP($D36,'[1]Import Eletra'!$B:$B,'[1]Import Eletra'!$AK:$AK,,0,1))</f>
        <v>46141</v>
      </c>
      <c r="P36" s="3">
        <f>IF(_xlfn.XLOOKUP($D36,'[1]Import Eletra'!$B:$B,'[1]Import Eletra'!$AL:$AL,,0,1)=0,"",_xlfn.XLOOKUP($D36,'[1]Import Eletra'!$B:$B,'[1]Import Eletra'!$AL:$AL,,0,1))</f>
        <v>46147</v>
      </c>
      <c r="Q36" s="4">
        <f>IF(_xlfn.XLOOKUP($D36,'[1]Import Eletra'!$B:$B,'[1]Import Eletra'!$AM:$AM,,0,1)=0,"",_xlfn.XLOOKUP($D36,'[1]Import Eletra'!$B:$B,'[1]Import Eletra'!$AM:$AM,,0,1))</f>
        <v>46156</v>
      </c>
      <c r="R36" s="3">
        <f>IF(_xlfn.XLOOKUP($D36,'[1]Import Eletra'!$B:$B,'[1]Import Eletra'!$AN:$AN,,0,1)=0,"",_xlfn.XLOOKUP($D36,'[1]Import Eletra'!$B:$B,'[1]Import Eletra'!$AN:$AN,,0,1))</f>
        <v>46167</v>
      </c>
      <c r="S36" s="3">
        <f>IF(_xlfn.XLOOKUP($D36,'[1]Import Eletra'!$B:$B,'[1]Import Eletra'!$AO:$AO,,0,1)=0,"",_xlfn.XLOOKUP($D36,'[1]Import Eletra'!$B:$B,'[1]Import Eletra'!$AO:$AO,,0,1))</f>
        <v>46168</v>
      </c>
      <c r="T36" s="3">
        <f>IF(_xlfn.XLOOKUP($D36,'[1]Import Eletra'!$B:$B,'[1]Import Eletra'!$AP:$AP,,0,1)=0,"",_xlfn.XLOOKUP($D36,'[1]Import Eletra'!$B:$B,'[1]Import Eletra'!$AP:$AP,,0,1))</f>
        <v>46168</v>
      </c>
      <c r="U36" s="82">
        <f>IF(_xlfn.XLOOKUP($D36,'[1]Import Eletra'!$B:$B,'[1]Import Eletra'!$AQ:$AQ,,0,1)=0,"",_xlfn.XLOOKUP($D36,'[1]Import Eletra'!$B:$B,'[1]Import Eletra'!$AQ:$AQ,,0,1))</f>
        <v>46168</v>
      </c>
      <c r="V36" s="19">
        <f>AA36-$AA$4</f>
        <v>46168</v>
      </c>
      <c r="W36" s="2">
        <f>IF(_xlfn.XLOOKUP($D36,'[1]Import Eletra'!$B:$B,'[1]Import Eletra'!$AR:$AR,,0,1)=0,"",_xlfn.XLOOKUP($D36,'[1]Import Eletra'!$B:$B,'[1]Import Eletra'!$AR:$AR,,0,1))</f>
        <v>46170</v>
      </c>
      <c r="X36" s="72">
        <f>$V$3</f>
        <v>0</v>
      </c>
      <c r="Y36" s="72">
        <f ca="1">IF(W36="",TODAY()-V36,W36-V36)</f>
        <v>2</v>
      </c>
      <c r="Z36" s="184">
        <f ca="1">Y36-X36</f>
        <v>2</v>
      </c>
      <c r="AA36" s="68">
        <f>AF36-$AA$4</f>
        <v>46169</v>
      </c>
      <c r="AB36" s="2" t="str">
        <f>IF(_xlfn.XLOOKUP($D36,'[1]Import Eletra'!$B:$B,'[1]Import Eletra'!$AC:$AC,,0,1)=0,"",_xlfn.XLOOKUP($D36,'[1]Import Eletra'!$B:$B,'[1]Import Eletra'!$AC:$AC,,0,1))</f>
        <v/>
      </c>
      <c r="AC36" s="72">
        <f>$AA$3</f>
        <v>0</v>
      </c>
      <c r="AD36" s="72">
        <f ca="1">IF(AB36="",TODAY()-AA36,AB36-AA36)</f>
        <v>42</v>
      </c>
      <c r="AE36" s="184">
        <f ca="1">AD36-AC36</f>
        <v>42</v>
      </c>
      <c r="AF36" s="70">
        <f>AK36-$AK$4</f>
        <v>46170</v>
      </c>
      <c r="AG36" s="2">
        <f>IF(_xlfn.XLOOKUP($D36,'[1]Import Eletra'!$B:$B,'[1]Import Eletra'!$AD:$AD,,0,1)=0,"",_xlfn.XLOOKUP($D36,'[1]Import Eletra'!$B:$B,'[1]Import Eletra'!$AD:$AD,,0,1))</f>
        <v>46176</v>
      </c>
      <c r="AH36" s="72">
        <f>$AF$3</f>
        <v>0</v>
      </c>
      <c r="AI36" s="72">
        <f ca="1">IF(AG36="",TODAY()-AF36,AG36-AF36)</f>
        <v>6</v>
      </c>
      <c r="AJ36" s="184">
        <f ca="1">AI36-AH36</f>
        <v>6</v>
      </c>
      <c r="AK36" s="70">
        <f>AP36-$AP$4</f>
        <v>46170</v>
      </c>
      <c r="AL36" s="2">
        <f>IF(_xlfn.XLOOKUP($D36,'[1]Import Eletra'!$B:$B,'[1]Import Eletra'!$AS:$AS,,0,1)=0,"",_xlfn.XLOOKUP($D36,'[1]Import Eletra'!$B:$B,'[1]Import Eletra'!$AS:$AS,,0,1))</f>
        <v>46174</v>
      </c>
      <c r="AM36" s="72">
        <f>$AK$3</f>
        <v>0</v>
      </c>
      <c r="AN36" s="72">
        <f ca="1">IF(AL36="",TODAY()-AK36,AL36-AK36)</f>
        <v>4</v>
      </c>
      <c r="AO36" s="184">
        <f ca="1">AN36-AM36</f>
        <v>4</v>
      </c>
      <c r="AP36" s="71">
        <f>AU36-$AU$4</f>
        <v>46171</v>
      </c>
      <c r="AQ36" s="2">
        <f>IF(_xlfn.XLOOKUP($D36,'[1]Import Eletra'!$B:$B,'[1]Import Eletra'!$AT:$AT,,0,1)=0,"",_xlfn.XLOOKUP($D36,'[1]Import Eletra'!$B:$B,'[1]Import Eletra'!$AT:$AT,,0,1))</f>
        <v>46176</v>
      </c>
      <c r="AR36" s="72">
        <f>$AP$3</f>
        <v>1</v>
      </c>
      <c r="AS36" s="72">
        <f ca="1">IF(AQ36="",TODAY()-AP36,AQ36-AP36)</f>
        <v>5</v>
      </c>
      <c r="AT36" s="184">
        <f ca="1">AS36-AR36</f>
        <v>4</v>
      </c>
      <c r="AU36" s="70">
        <f>AZ36-$AZ$4</f>
        <v>46171</v>
      </c>
      <c r="AV36" s="2">
        <f>IF(_xlfn.XLOOKUP($D36,'[1]Import Eletra'!$B:$B,'[1]Import Eletra'!$AU:$AU,,0,1)=0,"",_xlfn.XLOOKUP($D36,'[1]Import Eletra'!$B:$B,'[1]Import Eletra'!$AU:$AU,,0,1))</f>
        <v>46176</v>
      </c>
      <c r="AW36" s="72">
        <f>$AU$3</f>
        <v>0</v>
      </c>
      <c r="AX36" s="72">
        <f ca="1">IF(AV36="",TODAY()-AU36,AV36-AU36)</f>
        <v>5</v>
      </c>
      <c r="AY36" s="184">
        <f ca="1">AX36-AW36</f>
        <v>5</v>
      </c>
      <c r="AZ36" s="71">
        <f>BE36-$BE$4</f>
        <v>46171</v>
      </c>
      <c r="BA36" s="2" t="str">
        <f>IF(_xlfn.XLOOKUP($D36,'[1]Import Eletra'!$B:$B,'[1]Import Eletra'!$AV:$AV,,0,1)=0,"",_xlfn.XLOOKUP($D36,'[1]Import Eletra'!$B:$B,'[1]Import Eletra'!$AV:$AV,,0,1))</f>
        <v/>
      </c>
      <c r="BB36" s="72">
        <f>$AZ$3</f>
        <v>0</v>
      </c>
      <c r="BC36" s="72">
        <f ca="1">IF(BA36="",TODAY()-AZ36,BA36-AZ36)</f>
        <v>40</v>
      </c>
      <c r="BD36" s="184">
        <f ca="1">BC36-BB36</f>
        <v>40</v>
      </c>
      <c r="BE36" s="19">
        <f>BJ36-$BJ$4</f>
        <v>46171</v>
      </c>
      <c r="BF36" s="2" t="str">
        <f>IF(_xlfn.XLOOKUP($D36,'[1]Import Eletra'!$B:$B,'[1]Import Eletra'!$AW:$AW,,0,1)=0,"",_xlfn.XLOOKUP($D36,'[1]Import Eletra'!$B:$B,'[1]Import Eletra'!$AW:$AW,,0,1))</f>
        <v/>
      </c>
      <c r="BG36" s="72">
        <f>$BE$3</f>
        <v>0</v>
      </c>
      <c r="BH36" s="72">
        <f ca="1">IF(BF36="",TODAY()-BE36,BF36-BE36)</f>
        <v>40</v>
      </c>
      <c r="BI36" s="184">
        <f ca="1">BH36-BG36</f>
        <v>40</v>
      </c>
      <c r="BJ36" s="18">
        <f>BO36-$BO$4</f>
        <v>46171</v>
      </c>
      <c r="BK36" s="2" t="str">
        <f>IF(_xlfn.XLOOKUP($D36,'[1]Import Eletra'!$B:$B,'[1]Import Eletra'!$AX:$AX,,0,1)=0,"",_xlfn.XLOOKUP($D36,'[1]Import Eletra'!$B:$B,'[1]Import Eletra'!$AX:$AX,,0,1))</f>
        <v/>
      </c>
      <c r="BL36" s="72">
        <f>$BJ$3</f>
        <v>0</v>
      </c>
      <c r="BM36" s="72">
        <f ca="1">IF(BK36="",TODAY()-BJ36,BK36-BJ36)</f>
        <v>40</v>
      </c>
      <c r="BN36" s="184">
        <f ca="1">BM36-BL36</f>
        <v>40</v>
      </c>
      <c r="BO36" s="19">
        <f>BT36-$BT$4</f>
        <v>46171</v>
      </c>
      <c r="BP36" s="2" t="str">
        <f>IF(_xlfn.XLOOKUP($D36,'[1]Import Eletra'!$B:$B,'[1]Import Eletra'!$AY:$AY,,0,1)=0,"",_xlfn.XLOOKUP($D36,'[1]Import Eletra'!$B:$B,'[1]Import Eletra'!$AY:$AY,,0,1))</f>
        <v/>
      </c>
      <c r="BQ36" s="72">
        <f>$BO$3</f>
        <v>0</v>
      </c>
      <c r="BR36" s="72">
        <f ca="1">IF(BP36="",TODAY()-BO36,BP36-BO36)</f>
        <v>40</v>
      </c>
      <c r="BS36" s="184">
        <f ca="1">BR36-BQ36</f>
        <v>40</v>
      </c>
      <c r="BT36" s="18">
        <f>BY36-$BY$4</f>
        <v>46173</v>
      </c>
      <c r="BU36" s="2" t="str">
        <f>IF(_xlfn.XLOOKUP($D36,'[1]Import Eletra'!$B:$B,'[1]Import Eletra'!$AZ:$AZ,,0,1)=0,"",_xlfn.XLOOKUP($D36,'[1]Import Eletra'!$B:$B,'[1]Import Eletra'!$AZ:$AZ,,0,1))</f>
        <v/>
      </c>
      <c r="BV36" s="72">
        <f>$BT$3</f>
        <v>2</v>
      </c>
      <c r="BW36" s="72">
        <f ca="1">IF(BU36="",TODAY()-BT36,BU36-BT36)</f>
        <v>38</v>
      </c>
      <c r="BX36" s="184">
        <f ca="1">BW36-BV36</f>
        <v>36</v>
      </c>
      <c r="BY36" s="19">
        <f>CD36-$CD$4</f>
        <v>46173</v>
      </c>
      <c r="BZ36" s="2">
        <f>IF(_xlfn.XLOOKUP($D36,'[1]Import Eletra'!$B:$B,'[1]Import Eletra'!$BA:$BA,,0,1)=0,"",_xlfn.XLOOKUP($D36,'[1]Import Eletra'!$B:$B,'[1]Import Eletra'!$BA:$BA,,0,1))</f>
        <v>46183</v>
      </c>
      <c r="CA36" s="72">
        <f>$BY$3</f>
        <v>0</v>
      </c>
      <c r="CB36" s="72">
        <f ca="1">IF(BZ36="",TODAY()-BY36,BZ36-BY36)</f>
        <v>10</v>
      </c>
      <c r="CC36" s="184">
        <f ca="1">CB36-CA36</f>
        <v>10</v>
      </c>
      <c r="CD36" s="18">
        <f>CI36-$CI$4</f>
        <v>46173</v>
      </c>
      <c r="CE36" s="2">
        <f>IF(_xlfn.XLOOKUP($D36,'[1]Import Eletra'!$B:$B,'[1]Import Eletra'!$BB:$BB,,0,1)=0,"",_xlfn.XLOOKUP($D36,'[1]Import Eletra'!$B:$B,'[1]Import Eletra'!$BB:$BB,,0,1))</f>
        <v>46183</v>
      </c>
      <c r="CF36" s="72">
        <f>$CD$3</f>
        <v>0</v>
      </c>
      <c r="CG36" s="72">
        <f ca="1">IF(CE36="",TODAY()-CD36,CE36-CD36)</f>
        <v>10</v>
      </c>
      <c r="CH36" s="184">
        <f ca="1">CG36-CF36</f>
        <v>10</v>
      </c>
      <c r="CI36" s="19">
        <f>CN36-$CN$4</f>
        <v>46173</v>
      </c>
      <c r="CJ36" s="2">
        <f>IF(_xlfn.XLOOKUP($D36,'[1]Import Eletra'!$B:$B,'[1]Import Eletra'!$BC:$BC,,0,1)=0,"",_xlfn.XLOOKUP($D36,'[1]Import Eletra'!$B:$B,'[1]Import Eletra'!$BC:$BC,,0,1))</f>
        <v>46183</v>
      </c>
      <c r="CK36" s="72"/>
      <c r="CL36" s="72">
        <f ca="1">IF(CJ36="",TODAY()-CI36,CJ36-CI36)</f>
        <v>10</v>
      </c>
      <c r="CM36" s="184">
        <f ca="1">CL36-CK36</f>
        <v>10</v>
      </c>
      <c r="CN36" s="18">
        <f>CS36-$CS$4</f>
        <v>46174</v>
      </c>
      <c r="CO36" s="2">
        <f>IF(_xlfn.XLOOKUP($D36,'[1]Import Eletra'!$B:$B,'[1]Import Eletra'!$BD:$BD,,0,1)=0,"",_xlfn.XLOOKUP($D36,'[1]Import Eletra'!$B:$B,'[1]Import Eletra'!$BD:$BD,,0,1))</f>
        <v>46181</v>
      </c>
      <c r="CP36" s="72">
        <f>$CN$3</f>
        <v>0</v>
      </c>
      <c r="CQ36" s="72">
        <f ca="1">IF(CO36="",TODAY()-CN36,CO36-CN36)</f>
        <v>7</v>
      </c>
      <c r="CR36" s="184">
        <f ca="1">CQ36-CP36</f>
        <v>7</v>
      </c>
      <c r="CS36" s="19">
        <f>CX36-$CX$4</f>
        <v>46174</v>
      </c>
      <c r="CT36" s="2">
        <f>IF(_xlfn.XLOOKUP($D36,'[1]Import Eletra'!$B:$B,'[1]Import Eletra'!$BE:$BE,,0,1)=0,"",_xlfn.XLOOKUP($D36,'[1]Import Eletra'!$B:$B,'[1]Import Eletra'!$BE:$BE,,0,1))</f>
        <v>46181</v>
      </c>
      <c r="CU36" s="72">
        <f>$CS$3</f>
        <v>0</v>
      </c>
      <c r="CV36" s="72">
        <f ca="1">IF(CT36="",TODAY()-CS36,CT36-CS36)</f>
        <v>7</v>
      </c>
      <c r="CW36" s="184">
        <f ca="1">CV36-CU36</f>
        <v>7</v>
      </c>
      <c r="CX36" s="19">
        <f>DC36-$DC$4</f>
        <v>46174</v>
      </c>
      <c r="CY36" s="2">
        <f>IF(_xlfn.XLOOKUP($D36,'[1]Import Eletra'!$B:$B,'[1]Import Eletra'!$BE:$BE,,0,1)=0,"",_xlfn.XLOOKUP($D36,'[1]Import Eletra'!$B:$B,'[1]Import Eletra'!$BE:$BE,,0,1))</f>
        <v>46181</v>
      </c>
      <c r="CZ36" s="209">
        <f>$CX$3</f>
        <v>0</v>
      </c>
      <c r="DA36" s="72">
        <f ca="1">IF(CY36="",TODAY()-CX36,CY36-CX36)</f>
        <v>7</v>
      </c>
      <c r="DB36" s="184">
        <f ca="1">DA36-CZ36</f>
        <v>7</v>
      </c>
      <c r="DC36" s="19">
        <f>DH36-$DH$4</f>
        <v>46176</v>
      </c>
      <c r="DD36" s="2">
        <f>IF(_xlfn.XLOOKUP($D36,'[1]Import Eletra'!$B:$B,'[1]Import Eletra'!$BF:$BF,,0,1)=0,"",_xlfn.XLOOKUP($D36,'[1]Import Eletra'!$B:$B,'[1]Import Eletra'!$BF:$BF,0,1))</f>
        <v>46181</v>
      </c>
      <c r="DE36" s="72">
        <f>$DC$3</f>
        <v>2</v>
      </c>
      <c r="DF36" s="72">
        <f ca="1">IF(DD36="",TODAY()-DC36,DD36-DC36)</f>
        <v>5</v>
      </c>
      <c r="DG36" s="184">
        <f ca="1">DF36-DE36</f>
        <v>3</v>
      </c>
      <c r="DH36" s="19">
        <f>DN36-$DM$4</f>
        <v>46177</v>
      </c>
      <c r="DI36" s="2">
        <f>IF(_xlfn.XLOOKUP($D36,'[1]Import Eletra'!$B:$B,'[1]Import Eletra'!$BG:$BG,,0,1)=0,"",_xlfn.XLOOKUP($D36,'[1]Import Eletra'!$B:$B,'[1]Import Eletra'!$BG:$BG,0,1))</f>
        <v>46183</v>
      </c>
      <c r="DJ36" s="72">
        <f>$DH$3</f>
        <v>1</v>
      </c>
      <c r="DK36" s="72">
        <f ca="1">IF(DI36="",TODAY()-DH36,DI36-DH36)</f>
        <v>6</v>
      </c>
      <c r="DL36" s="184">
        <f ca="1">DK36-DJ36</f>
        <v>5</v>
      </c>
      <c r="DM36" s="64"/>
      <c r="DN36" s="202">
        <f>IF(U36="",M36+DS36,U36+DS36)</f>
        <v>46178</v>
      </c>
      <c r="DO36" s="2"/>
      <c r="DP36" s="72">
        <f>$DM$3</f>
        <v>1</v>
      </c>
      <c r="DQ36" s="72">
        <f ca="1">IF(DO36="",TODAY()-DN36,DO36-DN36)</f>
        <v>33</v>
      </c>
      <c r="DR36" s="184">
        <f ca="1">DQ36-DP36</f>
        <v>32</v>
      </c>
      <c r="DS36" s="139">
        <v>10</v>
      </c>
      <c r="DT36" s="140"/>
      <c r="DU36" s="184">
        <f>DT36-DS36</f>
        <v>-10</v>
      </c>
      <c r="DW36" s="142" t="s">
        <v>257</v>
      </c>
      <c r="DZ36" s="231"/>
    </row>
    <row r="37" spans="1:130" ht="30" customHeight="1">
      <c r="B37" s="103"/>
      <c r="C37" s="104"/>
      <c r="D37" s="214" t="s">
        <v>290</v>
      </c>
      <c r="E37" s="169"/>
      <c r="F37" s="170"/>
      <c r="G37" s="2"/>
      <c r="H37" s="108"/>
      <c r="I37" s="108"/>
      <c r="J37" s="109"/>
      <c r="K37" s="109"/>
      <c r="L37" s="108"/>
      <c r="M37" s="168"/>
      <c r="N37" s="19"/>
      <c r="O37" s="108"/>
      <c r="P37" s="108"/>
      <c r="Q37" s="108"/>
      <c r="R37" s="108"/>
      <c r="S37" s="108"/>
      <c r="T37" s="108"/>
      <c r="U37" s="111"/>
      <c r="V37" s="110"/>
      <c r="W37" s="104"/>
      <c r="X37" s="113"/>
      <c r="Y37" s="113"/>
      <c r="Z37" s="184"/>
      <c r="AA37" s="164"/>
      <c r="AB37" s="104"/>
      <c r="AC37" s="113"/>
      <c r="AD37" s="113"/>
      <c r="AE37" s="184"/>
      <c r="AF37" s="117"/>
      <c r="AG37" s="104"/>
      <c r="AH37" s="113"/>
      <c r="AI37" s="113"/>
      <c r="AJ37" s="184"/>
      <c r="AK37" s="117"/>
      <c r="AL37" s="104"/>
      <c r="AM37" s="113"/>
      <c r="AN37" s="113"/>
      <c r="AO37" s="184"/>
      <c r="AP37" s="118"/>
      <c r="AQ37" s="104"/>
      <c r="AR37" s="113"/>
      <c r="AS37" s="113"/>
      <c r="AT37" s="184"/>
      <c r="AU37" s="117"/>
      <c r="AV37" s="104"/>
      <c r="AW37" s="113"/>
      <c r="AX37" s="113"/>
      <c r="AY37" s="184"/>
      <c r="AZ37" s="118"/>
      <c r="BA37" s="104"/>
      <c r="BB37" s="113"/>
      <c r="BC37" s="113"/>
      <c r="BD37" s="184"/>
      <c r="BE37" s="110"/>
      <c r="BF37" s="104"/>
      <c r="BG37" s="113"/>
      <c r="BH37" s="113"/>
      <c r="BI37" s="184"/>
      <c r="BJ37" s="120"/>
      <c r="BK37" s="104"/>
      <c r="BL37" s="113"/>
      <c r="BM37" s="113"/>
      <c r="BN37" s="184"/>
      <c r="BO37" s="110"/>
      <c r="BP37" s="104"/>
      <c r="BQ37" s="113"/>
      <c r="BR37" s="113"/>
      <c r="BS37" s="184"/>
      <c r="BT37" s="120"/>
      <c r="BU37" s="104"/>
      <c r="BV37" s="113"/>
      <c r="BW37" s="113"/>
      <c r="BX37" s="184"/>
      <c r="BY37" s="110"/>
      <c r="BZ37" s="104"/>
      <c r="CA37" s="113"/>
      <c r="CB37" s="113"/>
      <c r="CC37" s="184"/>
      <c r="CD37" s="120"/>
      <c r="CE37" s="104"/>
      <c r="CF37" s="113"/>
      <c r="CG37" s="113"/>
      <c r="CH37" s="184"/>
      <c r="CI37" s="110"/>
      <c r="CJ37" s="104"/>
      <c r="CK37" s="113"/>
      <c r="CL37" s="113"/>
      <c r="CM37" s="184"/>
      <c r="CN37" s="120"/>
      <c r="CO37" s="104"/>
      <c r="CP37" s="113"/>
      <c r="CQ37" s="113"/>
      <c r="CR37" s="184"/>
      <c r="CS37" s="110"/>
      <c r="CT37" s="104"/>
      <c r="CU37" s="113"/>
      <c r="CV37" s="113"/>
      <c r="CW37" s="184"/>
      <c r="CX37" s="110"/>
      <c r="CY37" s="104"/>
      <c r="CZ37" s="210"/>
      <c r="DA37" s="113"/>
      <c r="DB37" s="184"/>
      <c r="DC37" s="110"/>
      <c r="DD37" s="104"/>
      <c r="DE37" s="113"/>
      <c r="DF37" s="113"/>
      <c r="DG37" s="184"/>
      <c r="DH37" s="110"/>
      <c r="DI37" s="104"/>
      <c r="DJ37" s="113"/>
      <c r="DK37" s="113"/>
      <c r="DL37" s="184"/>
      <c r="DM37" s="64"/>
      <c r="DN37" s="202"/>
      <c r="DO37" s="104"/>
      <c r="DP37" s="113"/>
      <c r="DQ37" s="113"/>
      <c r="DR37" s="184"/>
      <c r="DS37" s="143"/>
      <c r="DT37" s="140"/>
      <c r="DU37" s="184"/>
      <c r="DV37" s="147"/>
      <c r="DW37" s="142"/>
      <c r="DZ37" s="232"/>
    </row>
    <row r="38" spans="1:130" ht="30" customHeight="1">
      <c r="A38" s="229"/>
      <c r="B38" s="91"/>
      <c r="C38" s="2"/>
      <c r="D38" s="211" t="s">
        <v>291</v>
      </c>
      <c r="E38" s="98"/>
      <c r="F38" s="73"/>
      <c r="G38" s="2"/>
      <c r="H38" s="3"/>
      <c r="I38" s="3"/>
      <c r="J38" s="58"/>
      <c r="K38" s="58"/>
      <c r="L38" s="3"/>
      <c r="M38" s="84"/>
      <c r="N38" s="19"/>
      <c r="O38" s="3"/>
      <c r="P38" s="3"/>
      <c r="Q38" s="4"/>
      <c r="R38" s="3"/>
      <c r="S38" s="3"/>
      <c r="T38" s="3"/>
      <c r="U38" s="82"/>
      <c r="V38" s="19"/>
      <c r="W38" s="2"/>
      <c r="X38" s="72"/>
      <c r="Y38" s="72"/>
      <c r="Z38" s="184"/>
      <c r="AA38" s="68"/>
      <c r="AB38" s="2"/>
      <c r="AC38" s="72"/>
      <c r="AD38" s="72"/>
      <c r="AE38" s="184"/>
      <c r="AF38" s="70"/>
      <c r="AG38" s="2"/>
      <c r="AH38" s="72"/>
      <c r="AI38" s="72"/>
      <c r="AJ38" s="184"/>
      <c r="AK38" s="70"/>
      <c r="AL38" s="2"/>
      <c r="AM38" s="72"/>
      <c r="AN38" s="72"/>
      <c r="AO38" s="184"/>
      <c r="AP38" s="71"/>
      <c r="AQ38" s="2"/>
      <c r="AR38" s="72"/>
      <c r="AS38" s="72"/>
      <c r="AT38" s="184"/>
      <c r="AU38" s="70"/>
      <c r="AV38" s="2"/>
      <c r="AW38" s="72"/>
      <c r="AX38" s="72"/>
      <c r="AY38" s="184"/>
      <c r="AZ38" s="71"/>
      <c r="BA38" s="2"/>
      <c r="BB38" s="72"/>
      <c r="BC38" s="72"/>
      <c r="BD38" s="184"/>
      <c r="BE38" s="19"/>
      <c r="BF38" s="2"/>
      <c r="BG38" s="72"/>
      <c r="BH38" s="72"/>
      <c r="BI38" s="184"/>
      <c r="BJ38" s="18"/>
      <c r="BK38" s="2"/>
      <c r="BL38" s="72"/>
      <c r="BM38" s="72"/>
      <c r="BN38" s="184"/>
      <c r="BO38" s="19"/>
      <c r="BP38" s="2"/>
      <c r="BQ38" s="72"/>
      <c r="BR38" s="72"/>
      <c r="BS38" s="184"/>
      <c r="BT38" s="18"/>
      <c r="BU38" s="2"/>
      <c r="BV38" s="72"/>
      <c r="BW38" s="72"/>
      <c r="BX38" s="184"/>
      <c r="BY38" s="19"/>
      <c r="BZ38" s="2"/>
      <c r="CA38" s="72"/>
      <c r="CB38" s="72"/>
      <c r="CC38" s="184"/>
      <c r="CD38" s="18"/>
      <c r="CE38" s="2"/>
      <c r="CF38" s="72"/>
      <c r="CG38" s="72"/>
      <c r="CH38" s="184"/>
      <c r="CI38" s="19"/>
      <c r="CJ38" s="2"/>
      <c r="CK38" s="72"/>
      <c r="CL38" s="72"/>
      <c r="CM38" s="184"/>
      <c r="CN38" s="18"/>
      <c r="CO38" s="2"/>
      <c r="CP38" s="72"/>
      <c r="CQ38" s="72"/>
      <c r="CR38" s="184"/>
      <c r="CS38" s="19"/>
      <c r="CT38" s="2"/>
      <c r="CU38" s="72"/>
      <c r="CV38" s="72"/>
      <c r="CW38" s="184"/>
      <c r="CX38" s="19"/>
      <c r="CY38" s="2"/>
      <c r="CZ38" s="209"/>
      <c r="DA38" s="72"/>
      <c r="DB38" s="184"/>
      <c r="DC38" s="19"/>
      <c r="DD38" s="2"/>
      <c r="DE38" s="72"/>
      <c r="DF38" s="72"/>
      <c r="DG38" s="184"/>
      <c r="DH38" s="19"/>
      <c r="DI38" s="2"/>
      <c r="DJ38" s="72"/>
      <c r="DK38" s="72"/>
      <c r="DL38" s="184"/>
      <c r="DM38" s="64"/>
      <c r="DN38" s="202"/>
      <c r="DO38" s="2"/>
      <c r="DP38" s="72"/>
      <c r="DQ38" s="72"/>
      <c r="DR38" s="184"/>
      <c r="DS38" s="139"/>
      <c r="DT38" s="140"/>
      <c r="DU38" s="184"/>
      <c r="DW38" s="142"/>
      <c r="DZ38" s="231"/>
    </row>
    <row r="39" spans="1:130" ht="30" customHeight="1">
      <c r="B39" s="103"/>
      <c r="C39" s="104"/>
      <c r="D39" s="214" t="s">
        <v>292</v>
      </c>
      <c r="E39" s="169"/>
      <c r="F39" s="170"/>
      <c r="G39" s="2"/>
      <c r="H39" s="108"/>
      <c r="I39" s="108"/>
      <c r="J39" s="109"/>
      <c r="K39" s="109"/>
      <c r="L39" s="108"/>
      <c r="M39" s="168"/>
      <c r="N39" s="19"/>
      <c r="O39" s="108"/>
      <c r="P39" s="108"/>
      <c r="Q39" s="108"/>
      <c r="R39" s="108"/>
      <c r="S39" s="108"/>
      <c r="T39" s="108"/>
      <c r="U39" s="111"/>
      <c r="V39" s="110"/>
      <c r="W39" s="104"/>
      <c r="X39" s="113"/>
      <c r="Y39" s="113"/>
      <c r="Z39" s="184"/>
      <c r="AA39" s="164"/>
      <c r="AB39" s="104"/>
      <c r="AC39" s="113"/>
      <c r="AD39" s="113"/>
      <c r="AE39" s="184"/>
      <c r="AF39" s="117"/>
      <c r="AG39" s="104"/>
      <c r="AH39" s="113"/>
      <c r="AI39" s="113"/>
      <c r="AJ39" s="184"/>
      <c r="AK39" s="117"/>
      <c r="AL39" s="104"/>
      <c r="AM39" s="113"/>
      <c r="AN39" s="113"/>
      <c r="AO39" s="184"/>
      <c r="AP39" s="118"/>
      <c r="AQ39" s="104"/>
      <c r="AR39" s="113"/>
      <c r="AS39" s="113"/>
      <c r="AT39" s="184"/>
      <c r="AU39" s="117"/>
      <c r="AV39" s="104"/>
      <c r="AW39" s="113"/>
      <c r="AX39" s="113"/>
      <c r="AY39" s="184"/>
      <c r="AZ39" s="118"/>
      <c r="BA39" s="104"/>
      <c r="BB39" s="113"/>
      <c r="BC39" s="113"/>
      <c r="BD39" s="184"/>
      <c r="BE39" s="110"/>
      <c r="BF39" s="104"/>
      <c r="BG39" s="113"/>
      <c r="BH39" s="113"/>
      <c r="BI39" s="184"/>
      <c r="BJ39" s="120"/>
      <c r="BK39" s="104"/>
      <c r="BL39" s="113"/>
      <c r="BM39" s="113"/>
      <c r="BN39" s="184"/>
      <c r="BO39" s="110"/>
      <c r="BP39" s="104"/>
      <c r="BQ39" s="113"/>
      <c r="BR39" s="113"/>
      <c r="BS39" s="184"/>
      <c r="BT39" s="120"/>
      <c r="BU39" s="104"/>
      <c r="BV39" s="113"/>
      <c r="BW39" s="113"/>
      <c r="BX39" s="184"/>
      <c r="BY39" s="110"/>
      <c r="BZ39" s="104"/>
      <c r="CA39" s="113"/>
      <c r="CB39" s="113"/>
      <c r="CC39" s="184"/>
      <c r="CD39" s="120"/>
      <c r="CE39" s="104"/>
      <c r="CF39" s="113"/>
      <c r="CG39" s="113"/>
      <c r="CH39" s="184"/>
      <c r="CI39" s="110"/>
      <c r="CJ39" s="104"/>
      <c r="CK39" s="113"/>
      <c r="CL39" s="113"/>
      <c r="CM39" s="184"/>
      <c r="CN39" s="120"/>
      <c r="CO39" s="104"/>
      <c r="CP39" s="113"/>
      <c r="CQ39" s="113"/>
      <c r="CR39" s="184"/>
      <c r="CS39" s="110"/>
      <c r="CT39" s="104"/>
      <c r="CU39" s="113"/>
      <c r="CV39" s="113"/>
      <c r="CW39" s="184"/>
      <c r="CX39" s="110"/>
      <c r="CY39" s="104"/>
      <c r="CZ39" s="210"/>
      <c r="DA39" s="113"/>
      <c r="DB39" s="184"/>
      <c r="DC39" s="110"/>
      <c r="DD39" s="104"/>
      <c r="DE39" s="113"/>
      <c r="DF39" s="113"/>
      <c r="DG39" s="184"/>
      <c r="DH39" s="110"/>
      <c r="DI39" s="104"/>
      <c r="DJ39" s="113"/>
      <c r="DK39" s="113"/>
      <c r="DL39" s="184"/>
      <c r="DM39" s="64"/>
      <c r="DN39" s="202"/>
      <c r="DO39" s="104"/>
      <c r="DP39" s="113"/>
      <c r="DQ39" s="113"/>
      <c r="DR39" s="184"/>
      <c r="DS39" s="143"/>
      <c r="DT39" s="140"/>
      <c r="DU39" s="184"/>
      <c r="DV39" s="147"/>
      <c r="DW39" s="142"/>
      <c r="DZ39" s="232"/>
    </row>
    <row r="40" spans="1:130" ht="30" customHeight="1">
      <c r="A40" s="229"/>
      <c r="B40" s="91"/>
      <c r="C40" s="2"/>
      <c r="D40" s="211" t="s">
        <v>293</v>
      </c>
      <c r="E40" s="98"/>
      <c r="F40" s="73"/>
      <c r="G40" s="2"/>
      <c r="H40" s="3"/>
      <c r="I40" s="3"/>
      <c r="J40" s="58"/>
      <c r="K40" s="58"/>
      <c r="L40" s="3"/>
      <c r="M40" s="84"/>
      <c r="N40" s="19"/>
      <c r="O40" s="3"/>
      <c r="P40" s="3"/>
      <c r="Q40" s="4"/>
      <c r="R40" s="3"/>
      <c r="S40" s="3"/>
      <c r="T40" s="3"/>
      <c r="U40" s="82"/>
      <c r="V40" s="19"/>
      <c r="W40" s="2"/>
      <c r="X40" s="72"/>
      <c r="Y40" s="72"/>
      <c r="Z40" s="184"/>
      <c r="AA40" s="68"/>
      <c r="AB40" s="2"/>
      <c r="AC40" s="72"/>
      <c r="AD40" s="72"/>
      <c r="AE40" s="184"/>
      <c r="AF40" s="70"/>
      <c r="AG40" s="2"/>
      <c r="AH40" s="72"/>
      <c r="AI40" s="72"/>
      <c r="AJ40" s="184"/>
      <c r="AK40" s="70"/>
      <c r="AL40" s="2"/>
      <c r="AM40" s="72"/>
      <c r="AN40" s="72"/>
      <c r="AO40" s="184"/>
      <c r="AP40" s="71"/>
      <c r="AQ40" s="2"/>
      <c r="AR40" s="72"/>
      <c r="AS40" s="72"/>
      <c r="AT40" s="184"/>
      <c r="AU40" s="70"/>
      <c r="AV40" s="2"/>
      <c r="AW40" s="72"/>
      <c r="AX40" s="72"/>
      <c r="AY40" s="184"/>
      <c r="AZ40" s="71"/>
      <c r="BA40" s="2"/>
      <c r="BB40" s="72"/>
      <c r="BC40" s="72"/>
      <c r="BD40" s="184"/>
      <c r="BE40" s="19"/>
      <c r="BF40" s="2"/>
      <c r="BG40" s="72"/>
      <c r="BH40" s="72"/>
      <c r="BI40" s="184"/>
      <c r="BJ40" s="18"/>
      <c r="BK40" s="2"/>
      <c r="BL40" s="72"/>
      <c r="BM40" s="72"/>
      <c r="BN40" s="184"/>
      <c r="BO40" s="19"/>
      <c r="BP40" s="2"/>
      <c r="BQ40" s="72"/>
      <c r="BR40" s="72"/>
      <c r="BS40" s="184"/>
      <c r="BT40" s="18"/>
      <c r="BU40" s="2"/>
      <c r="BV40" s="72"/>
      <c r="BW40" s="72"/>
      <c r="BX40" s="184"/>
      <c r="BY40" s="19"/>
      <c r="BZ40" s="2"/>
      <c r="CA40" s="72"/>
      <c r="CB40" s="72"/>
      <c r="CC40" s="184"/>
      <c r="CD40" s="18"/>
      <c r="CE40" s="2"/>
      <c r="CF40" s="72"/>
      <c r="CG40" s="72"/>
      <c r="CH40" s="184"/>
      <c r="CI40" s="19"/>
      <c r="CJ40" s="2"/>
      <c r="CK40" s="72"/>
      <c r="CL40" s="72"/>
      <c r="CM40" s="184"/>
      <c r="CN40" s="18"/>
      <c r="CO40" s="2"/>
      <c r="CP40" s="72"/>
      <c r="CQ40" s="72"/>
      <c r="CR40" s="184"/>
      <c r="CS40" s="19"/>
      <c r="CT40" s="2"/>
      <c r="CU40" s="72"/>
      <c r="CV40" s="72"/>
      <c r="CW40" s="184"/>
      <c r="CX40" s="19"/>
      <c r="CY40" s="2"/>
      <c r="CZ40" s="209"/>
      <c r="DA40" s="72"/>
      <c r="DB40" s="184"/>
      <c r="DC40" s="19"/>
      <c r="DD40" s="2"/>
      <c r="DE40" s="72"/>
      <c r="DF40" s="72"/>
      <c r="DG40" s="184"/>
      <c r="DH40" s="19"/>
      <c r="DI40" s="2"/>
      <c r="DJ40" s="72"/>
      <c r="DK40" s="72"/>
      <c r="DL40" s="184"/>
      <c r="DM40" s="64"/>
      <c r="DN40" s="202"/>
      <c r="DO40" s="2"/>
      <c r="DP40" s="72"/>
      <c r="DQ40" s="72"/>
      <c r="DR40" s="184"/>
      <c r="DS40" s="139"/>
      <c r="DT40" s="140"/>
      <c r="DU40" s="184"/>
      <c r="DW40" s="142"/>
      <c r="DZ40" s="231" t="s">
        <v>294</v>
      </c>
    </row>
    <row r="41" spans="1:130" ht="30" customHeight="1">
      <c r="B41" s="103"/>
      <c r="C41" s="104"/>
      <c r="D41" s="214" t="s">
        <v>295</v>
      </c>
      <c r="E41" s="169"/>
      <c r="F41" s="170"/>
      <c r="G41" s="2"/>
      <c r="H41" s="108"/>
      <c r="I41" s="108"/>
      <c r="J41" s="109"/>
      <c r="K41" s="109"/>
      <c r="L41" s="108"/>
      <c r="M41" s="168"/>
      <c r="N41" s="19"/>
      <c r="O41" s="108"/>
      <c r="P41" s="108"/>
      <c r="Q41" s="108"/>
      <c r="R41" s="108"/>
      <c r="S41" s="108"/>
      <c r="T41" s="108"/>
      <c r="U41" s="111"/>
      <c r="V41" s="110"/>
      <c r="W41" s="104"/>
      <c r="X41" s="113"/>
      <c r="Y41" s="113"/>
      <c r="Z41" s="184"/>
      <c r="AA41" s="164"/>
      <c r="AB41" s="104"/>
      <c r="AC41" s="113"/>
      <c r="AD41" s="113"/>
      <c r="AE41" s="184"/>
      <c r="AF41" s="117"/>
      <c r="AG41" s="104"/>
      <c r="AH41" s="113"/>
      <c r="AI41" s="113"/>
      <c r="AJ41" s="184"/>
      <c r="AK41" s="117"/>
      <c r="AL41" s="104"/>
      <c r="AM41" s="113"/>
      <c r="AN41" s="113"/>
      <c r="AO41" s="184"/>
      <c r="AP41" s="118"/>
      <c r="AQ41" s="104"/>
      <c r="AR41" s="113"/>
      <c r="AS41" s="113"/>
      <c r="AT41" s="184"/>
      <c r="AU41" s="117"/>
      <c r="AV41" s="104"/>
      <c r="AW41" s="113"/>
      <c r="AX41" s="113"/>
      <c r="AY41" s="184"/>
      <c r="AZ41" s="118"/>
      <c r="BA41" s="104"/>
      <c r="BB41" s="113"/>
      <c r="BC41" s="113"/>
      <c r="BD41" s="184"/>
      <c r="BE41" s="110"/>
      <c r="BF41" s="104"/>
      <c r="BG41" s="113"/>
      <c r="BH41" s="113"/>
      <c r="BI41" s="184"/>
      <c r="BJ41" s="120"/>
      <c r="BK41" s="104"/>
      <c r="BL41" s="113"/>
      <c r="BM41" s="113"/>
      <c r="BN41" s="184"/>
      <c r="BO41" s="110"/>
      <c r="BP41" s="104"/>
      <c r="BQ41" s="113"/>
      <c r="BR41" s="113"/>
      <c r="BS41" s="184"/>
      <c r="BT41" s="120"/>
      <c r="BU41" s="104"/>
      <c r="BV41" s="113"/>
      <c r="BW41" s="113"/>
      <c r="BX41" s="184"/>
      <c r="BY41" s="110"/>
      <c r="BZ41" s="104"/>
      <c r="CA41" s="113"/>
      <c r="CB41" s="113"/>
      <c r="CC41" s="184"/>
      <c r="CD41" s="120"/>
      <c r="CE41" s="104"/>
      <c r="CF41" s="113"/>
      <c r="CG41" s="113"/>
      <c r="CH41" s="184"/>
      <c r="CI41" s="110"/>
      <c r="CJ41" s="104"/>
      <c r="CK41" s="113"/>
      <c r="CL41" s="113"/>
      <c r="CM41" s="184"/>
      <c r="CN41" s="120"/>
      <c r="CO41" s="104"/>
      <c r="CP41" s="113"/>
      <c r="CQ41" s="113"/>
      <c r="CR41" s="184"/>
      <c r="CS41" s="110"/>
      <c r="CT41" s="104"/>
      <c r="CU41" s="113"/>
      <c r="CV41" s="113"/>
      <c r="CW41" s="184"/>
      <c r="CX41" s="110"/>
      <c r="CY41" s="104"/>
      <c r="CZ41" s="210"/>
      <c r="DA41" s="113"/>
      <c r="DB41" s="184"/>
      <c r="DC41" s="110"/>
      <c r="DD41" s="104"/>
      <c r="DE41" s="113"/>
      <c r="DF41" s="113"/>
      <c r="DG41" s="184"/>
      <c r="DH41" s="110"/>
      <c r="DI41" s="104"/>
      <c r="DJ41" s="113"/>
      <c r="DK41" s="113"/>
      <c r="DL41" s="184"/>
      <c r="DM41" s="64"/>
      <c r="DN41" s="202"/>
      <c r="DO41" s="104"/>
      <c r="DP41" s="113"/>
      <c r="DQ41" s="113"/>
      <c r="DR41" s="184"/>
      <c r="DS41" s="143"/>
      <c r="DT41" s="140"/>
      <c r="DU41" s="184"/>
      <c r="DV41" s="147"/>
      <c r="DW41" s="142"/>
      <c r="DZ41" s="231" t="s">
        <v>296</v>
      </c>
    </row>
    <row r="42" spans="1:130" ht="30" customHeight="1">
      <c r="B42" s="103"/>
      <c r="C42" s="104"/>
      <c r="D42" s="214" t="s">
        <v>297</v>
      </c>
      <c r="E42" s="169"/>
      <c r="F42" s="170"/>
      <c r="G42" s="2"/>
      <c r="H42" s="108"/>
      <c r="I42" s="108"/>
      <c r="J42" s="109"/>
      <c r="K42" s="109"/>
      <c r="L42" s="108"/>
      <c r="M42" s="168"/>
      <c r="N42" s="19"/>
      <c r="O42" s="108"/>
      <c r="P42" s="108"/>
      <c r="Q42" s="108"/>
      <c r="R42" s="108"/>
      <c r="S42" s="108"/>
      <c r="T42" s="108"/>
      <c r="U42" s="111"/>
      <c r="V42" s="110"/>
      <c r="W42" s="104"/>
      <c r="X42" s="113"/>
      <c r="Y42" s="113"/>
      <c r="Z42" s="184"/>
      <c r="AA42" s="164"/>
      <c r="AB42" s="104"/>
      <c r="AC42" s="113"/>
      <c r="AD42" s="113"/>
      <c r="AE42" s="184"/>
      <c r="AF42" s="117"/>
      <c r="AG42" s="104"/>
      <c r="AH42" s="113"/>
      <c r="AI42" s="113"/>
      <c r="AJ42" s="184"/>
      <c r="AK42" s="117"/>
      <c r="AL42" s="104"/>
      <c r="AM42" s="113"/>
      <c r="AN42" s="113"/>
      <c r="AO42" s="184"/>
      <c r="AP42" s="118"/>
      <c r="AQ42" s="104"/>
      <c r="AR42" s="113"/>
      <c r="AS42" s="113"/>
      <c r="AT42" s="184"/>
      <c r="AU42" s="117"/>
      <c r="AV42" s="104"/>
      <c r="AW42" s="113"/>
      <c r="AX42" s="113"/>
      <c r="AY42" s="184"/>
      <c r="AZ42" s="118"/>
      <c r="BA42" s="104"/>
      <c r="BB42" s="113"/>
      <c r="BC42" s="113"/>
      <c r="BD42" s="184"/>
      <c r="BE42" s="110"/>
      <c r="BF42" s="104"/>
      <c r="BG42" s="113"/>
      <c r="BH42" s="113"/>
      <c r="BI42" s="184"/>
      <c r="BJ42" s="120"/>
      <c r="BK42" s="104"/>
      <c r="BL42" s="113"/>
      <c r="BM42" s="113"/>
      <c r="BN42" s="184"/>
      <c r="BO42" s="110"/>
      <c r="BP42" s="104"/>
      <c r="BQ42" s="113"/>
      <c r="BR42" s="113"/>
      <c r="BS42" s="184"/>
      <c r="BT42" s="120"/>
      <c r="BU42" s="104"/>
      <c r="BV42" s="113"/>
      <c r="BW42" s="113"/>
      <c r="BX42" s="184"/>
      <c r="BY42" s="110"/>
      <c r="BZ42" s="104"/>
      <c r="CA42" s="113"/>
      <c r="CB42" s="113"/>
      <c r="CC42" s="184"/>
      <c r="CD42" s="120"/>
      <c r="CE42" s="104"/>
      <c r="CF42" s="113"/>
      <c r="CG42" s="113"/>
      <c r="CH42" s="184"/>
      <c r="CI42" s="110"/>
      <c r="CJ42" s="104"/>
      <c r="CK42" s="113"/>
      <c r="CL42" s="113"/>
      <c r="CM42" s="184"/>
      <c r="CN42" s="120"/>
      <c r="CO42" s="104"/>
      <c r="CP42" s="113"/>
      <c r="CQ42" s="113"/>
      <c r="CR42" s="184"/>
      <c r="CS42" s="110"/>
      <c r="CT42" s="104"/>
      <c r="CU42" s="113"/>
      <c r="CV42" s="113"/>
      <c r="CW42" s="184"/>
      <c r="CX42" s="110"/>
      <c r="CY42" s="104"/>
      <c r="CZ42" s="210"/>
      <c r="DA42" s="113"/>
      <c r="DB42" s="184"/>
      <c r="DC42" s="110"/>
      <c r="DD42" s="104"/>
      <c r="DE42" s="113"/>
      <c r="DF42" s="113"/>
      <c r="DG42" s="184"/>
      <c r="DH42" s="110"/>
      <c r="DI42" s="104"/>
      <c r="DJ42" s="113"/>
      <c r="DK42" s="113"/>
      <c r="DL42" s="184"/>
      <c r="DM42" s="64"/>
      <c r="DN42" s="202"/>
      <c r="DO42" s="104"/>
      <c r="DP42" s="113"/>
      <c r="DQ42" s="113"/>
      <c r="DR42" s="184"/>
      <c r="DS42" s="143"/>
      <c r="DT42" s="140"/>
      <c r="DU42" s="184"/>
      <c r="DV42" s="147"/>
      <c r="DW42" s="142"/>
      <c r="DZ42" s="230"/>
    </row>
    <row r="43" spans="1:130" ht="30" customHeight="1">
      <c r="B43" s="103"/>
      <c r="C43" s="104"/>
      <c r="D43" s="214" t="s">
        <v>298</v>
      </c>
      <c r="E43" s="169"/>
      <c r="F43" s="170"/>
      <c r="G43" s="2"/>
      <c r="H43" s="108"/>
      <c r="I43" s="108"/>
      <c r="J43" s="109"/>
      <c r="K43" s="109"/>
      <c r="L43" s="108"/>
      <c r="M43" s="168"/>
      <c r="N43" s="19"/>
      <c r="O43" s="108"/>
      <c r="P43" s="108"/>
      <c r="Q43" s="108"/>
      <c r="R43" s="108"/>
      <c r="S43" s="108"/>
      <c r="T43" s="108"/>
      <c r="U43" s="111"/>
      <c r="V43" s="110"/>
      <c r="W43" s="104"/>
      <c r="X43" s="113"/>
      <c r="Y43" s="113"/>
      <c r="Z43" s="184"/>
      <c r="AA43" s="164"/>
      <c r="AB43" s="104"/>
      <c r="AC43" s="113"/>
      <c r="AD43" s="113"/>
      <c r="AE43" s="184"/>
      <c r="AF43" s="117"/>
      <c r="AG43" s="104"/>
      <c r="AH43" s="113"/>
      <c r="AI43" s="113"/>
      <c r="AJ43" s="184"/>
      <c r="AK43" s="117"/>
      <c r="AL43" s="104"/>
      <c r="AM43" s="113"/>
      <c r="AN43" s="113"/>
      <c r="AO43" s="184"/>
      <c r="AP43" s="118"/>
      <c r="AQ43" s="104"/>
      <c r="AR43" s="113"/>
      <c r="AS43" s="113"/>
      <c r="AT43" s="184"/>
      <c r="AU43" s="117"/>
      <c r="AV43" s="104"/>
      <c r="AW43" s="113"/>
      <c r="AX43" s="113"/>
      <c r="AY43" s="184"/>
      <c r="AZ43" s="118"/>
      <c r="BA43" s="104"/>
      <c r="BB43" s="113"/>
      <c r="BC43" s="113"/>
      <c r="BD43" s="184"/>
      <c r="BE43" s="110"/>
      <c r="BF43" s="104"/>
      <c r="BG43" s="113"/>
      <c r="BH43" s="113"/>
      <c r="BI43" s="184"/>
      <c r="BJ43" s="120"/>
      <c r="BK43" s="104"/>
      <c r="BL43" s="113"/>
      <c r="BM43" s="113"/>
      <c r="BN43" s="184"/>
      <c r="BO43" s="110"/>
      <c r="BP43" s="104"/>
      <c r="BQ43" s="113"/>
      <c r="BR43" s="113"/>
      <c r="BS43" s="184"/>
      <c r="BT43" s="120"/>
      <c r="BU43" s="104"/>
      <c r="BV43" s="113"/>
      <c r="BW43" s="113"/>
      <c r="BX43" s="184"/>
      <c r="BY43" s="110"/>
      <c r="BZ43" s="104"/>
      <c r="CA43" s="113"/>
      <c r="CB43" s="113"/>
      <c r="CC43" s="184"/>
      <c r="CD43" s="120"/>
      <c r="CE43" s="104"/>
      <c r="CF43" s="113"/>
      <c r="CG43" s="113"/>
      <c r="CH43" s="184"/>
      <c r="CI43" s="110"/>
      <c r="CJ43" s="104"/>
      <c r="CK43" s="113"/>
      <c r="CL43" s="113"/>
      <c r="CM43" s="184"/>
      <c r="CN43" s="120"/>
      <c r="CO43" s="104"/>
      <c r="CP43" s="113"/>
      <c r="CQ43" s="113"/>
      <c r="CR43" s="184"/>
      <c r="CS43" s="110"/>
      <c r="CT43" s="104"/>
      <c r="CU43" s="113"/>
      <c r="CV43" s="113"/>
      <c r="CW43" s="184"/>
      <c r="CX43" s="110"/>
      <c r="CY43" s="104"/>
      <c r="CZ43" s="210"/>
      <c r="DA43" s="113"/>
      <c r="DB43" s="184"/>
      <c r="DC43" s="110"/>
      <c r="DD43" s="104"/>
      <c r="DE43" s="113"/>
      <c r="DF43" s="113"/>
      <c r="DG43" s="184"/>
      <c r="DH43" s="110"/>
      <c r="DI43" s="104"/>
      <c r="DJ43" s="113"/>
      <c r="DK43" s="113"/>
      <c r="DL43" s="184"/>
      <c r="DM43" s="64"/>
      <c r="DN43" s="202"/>
      <c r="DO43" s="104"/>
      <c r="DP43" s="113"/>
      <c r="DQ43" s="113"/>
      <c r="DR43" s="184"/>
      <c r="DS43" s="143"/>
      <c r="DT43" s="140"/>
      <c r="DU43" s="184"/>
      <c r="DV43" s="147"/>
      <c r="DW43" s="142"/>
      <c r="DZ43" s="230"/>
    </row>
    <row r="44" spans="1:130" ht="30" customHeight="1">
      <c r="B44" s="103"/>
      <c r="C44" s="104"/>
      <c r="D44" s="214" t="s">
        <v>299</v>
      </c>
      <c r="E44" s="169"/>
      <c r="F44" s="170"/>
      <c r="G44" s="2"/>
      <c r="H44" s="108"/>
      <c r="I44" s="108"/>
      <c r="J44" s="109"/>
      <c r="K44" s="109"/>
      <c r="L44" s="108"/>
      <c r="M44" s="168"/>
      <c r="N44" s="19"/>
      <c r="O44" s="108"/>
      <c r="P44" s="108"/>
      <c r="Q44" s="108"/>
      <c r="R44" s="108"/>
      <c r="S44" s="108"/>
      <c r="T44" s="108"/>
      <c r="U44" s="111"/>
      <c r="V44" s="110"/>
      <c r="W44" s="104"/>
      <c r="X44" s="113"/>
      <c r="Y44" s="113"/>
      <c r="Z44" s="184"/>
      <c r="AA44" s="164"/>
      <c r="AB44" s="104"/>
      <c r="AC44" s="113"/>
      <c r="AD44" s="113"/>
      <c r="AE44" s="184"/>
      <c r="AF44" s="117"/>
      <c r="AG44" s="104"/>
      <c r="AH44" s="113"/>
      <c r="AI44" s="113"/>
      <c r="AJ44" s="184"/>
      <c r="AK44" s="117"/>
      <c r="AL44" s="104"/>
      <c r="AM44" s="113"/>
      <c r="AN44" s="113"/>
      <c r="AO44" s="184"/>
      <c r="AP44" s="118"/>
      <c r="AQ44" s="104"/>
      <c r="AR44" s="113"/>
      <c r="AS44" s="113"/>
      <c r="AT44" s="184"/>
      <c r="AU44" s="117"/>
      <c r="AV44" s="104"/>
      <c r="AW44" s="113"/>
      <c r="AX44" s="113"/>
      <c r="AY44" s="184"/>
      <c r="AZ44" s="118"/>
      <c r="BA44" s="104"/>
      <c r="BB44" s="113"/>
      <c r="BC44" s="113"/>
      <c r="BD44" s="184"/>
      <c r="BE44" s="110"/>
      <c r="BF44" s="104"/>
      <c r="BG44" s="113"/>
      <c r="BH44" s="113"/>
      <c r="BI44" s="184"/>
      <c r="BJ44" s="120"/>
      <c r="BK44" s="104"/>
      <c r="BL44" s="113"/>
      <c r="BM44" s="113"/>
      <c r="BN44" s="184"/>
      <c r="BO44" s="110"/>
      <c r="BP44" s="104"/>
      <c r="BQ44" s="113"/>
      <c r="BR44" s="113"/>
      <c r="BS44" s="184"/>
      <c r="BT44" s="120"/>
      <c r="BU44" s="104"/>
      <c r="BV44" s="113"/>
      <c r="BW44" s="113"/>
      <c r="BX44" s="184"/>
      <c r="BY44" s="110"/>
      <c r="BZ44" s="104"/>
      <c r="CA44" s="113"/>
      <c r="CB44" s="113"/>
      <c r="CC44" s="184"/>
      <c r="CD44" s="120"/>
      <c r="CE44" s="104"/>
      <c r="CF44" s="113"/>
      <c r="CG44" s="113"/>
      <c r="CH44" s="184"/>
      <c r="CI44" s="110"/>
      <c r="CJ44" s="104"/>
      <c r="CK44" s="113"/>
      <c r="CL44" s="113"/>
      <c r="CM44" s="184"/>
      <c r="CN44" s="120"/>
      <c r="CO44" s="104"/>
      <c r="CP44" s="113"/>
      <c r="CQ44" s="113"/>
      <c r="CR44" s="184"/>
      <c r="CS44" s="110"/>
      <c r="CT44" s="104"/>
      <c r="CU44" s="113"/>
      <c r="CV44" s="113"/>
      <c r="CW44" s="184"/>
      <c r="CX44" s="110"/>
      <c r="CY44" s="104"/>
      <c r="CZ44" s="210"/>
      <c r="DA44" s="113"/>
      <c r="DB44" s="184"/>
      <c r="DC44" s="110"/>
      <c r="DD44" s="104"/>
      <c r="DE44" s="113"/>
      <c r="DF44" s="113"/>
      <c r="DG44" s="184"/>
      <c r="DH44" s="110"/>
      <c r="DI44" s="104"/>
      <c r="DJ44" s="113"/>
      <c r="DK44" s="113"/>
      <c r="DL44" s="184"/>
      <c r="DM44" s="64"/>
      <c r="DN44" s="202"/>
      <c r="DO44" s="104"/>
      <c r="DP44" s="113"/>
      <c r="DQ44" s="113"/>
      <c r="DR44" s="184"/>
      <c r="DS44" s="143"/>
      <c r="DT44" s="140"/>
      <c r="DU44" s="184"/>
      <c r="DV44" s="147"/>
      <c r="DW44" s="142"/>
      <c r="DZ44" s="230"/>
    </row>
    <row r="45" spans="1:130" ht="30" customHeight="1">
      <c r="B45" s="103"/>
      <c r="C45" s="104"/>
      <c r="D45" s="214" t="s">
        <v>300</v>
      </c>
      <c r="E45" s="169"/>
      <c r="F45" s="170"/>
      <c r="G45" s="2"/>
      <c r="H45" s="108"/>
      <c r="I45" s="108"/>
      <c r="J45" s="109"/>
      <c r="K45" s="109"/>
      <c r="L45" s="108"/>
      <c r="M45" s="168"/>
      <c r="N45" s="19"/>
      <c r="O45" s="108"/>
      <c r="P45" s="108"/>
      <c r="Q45" s="108"/>
      <c r="R45" s="108"/>
      <c r="S45" s="108"/>
      <c r="T45" s="108"/>
      <c r="U45" s="111"/>
      <c r="V45" s="110"/>
      <c r="W45" s="104"/>
      <c r="X45" s="113"/>
      <c r="Y45" s="113"/>
      <c r="Z45" s="184"/>
      <c r="AA45" s="164"/>
      <c r="AB45" s="104"/>
      <c r="AC45" s="113"/>
      <c r="AD45" s="113"/>
      <c r="AE45" s="184"/>
      <c r="AF45" s="117"/>
      <c r="AG45" s="104"/>
      <c r="AH45" s="113"/>
      <c r="AI45" s="113"/>
      <c r="AJ45" s="184"/>
      <c r="AK45" s="117"/>
      <c r="AL45" s="104"/>
      <c r="AM45" s="113"/>
      <c r="AN45" s="113"/>
      <c r="AO45" s="184"/>
      <c r="AP45" s="118"/>
      <c r="AQ45" s="104"/>
      <c r="AR45" s="113"/>
      <c r="AS45" s="113"/>
      <c r="AT45" s="184"/>
      <c r="AU45" s="117"/>
      <c r="AV45" s="104"/>
      <c r="AW45" s="113"/>
      <c r="AX45" s="113"/>
      <c r="AY45" s="184"/>
      <c r="AZ45" s="118"/>
      <c r="BA45" s="104"/>
      <c r="BB45" s="113"/>
      <c r="BC45" s="113"/>
      <c r="BD45" s="184"/>
      <c r="BE45" s="110"/>
      <c r="BF45" s="104"/>
      <c r="BG45" s="113"/>
      <c r="BH45" s="113"/>
      <c r="BI45" s="184"/>
      <c r="BJ45" s="120"/>
      <c r="BK45" s="104"/>
      <c r="BL45" s="113"/>
      <c r="BM45" s="113"/>
      <c r="BN45" s="184"/>
      <c r="BO45" s="110"/>
      <c r="BP45" s="104"/>
      <c r="BQ45" s="113"/>
      <c r="BR45" s="113"/>
      <c r="BS45" s="184"/>
      <c r="BT45" s="120"/>
      <c r="BU45" s="104"/>
      <c r="BV45" s="113"/>
      <c r="BW45" s="113"/>
      <c r="BX45" s="184"/>
      <c r="BY45" s="110"/>
      <c r="BZ45" s="104"/>
      <c r="CA45" s="113"/>
      <c r="CB45" s="113"/>
      <c r="CC45" s="184"/>
      <c r="CD45" s="120"/>
      <c r="CE45" s="104"/>
      <c r="CF45" s="113"/>
      <c r="CG45" s="113"/>
      <c r="CH45" s="184"/>
      <c r="CI45" s="110"/>
      <c r="CJ45" s="104"/>
      <c r="CK45" s="113"/>
      <c r="CL45" s="113"/>
      <c r="CM45" s="184"/>
      <c r="CN45" s="120"/>
      <c r="CO45" s="104"/>
      <c r="CP45" s="113"/>
      <c r="CQ45" s="113"/>
      <c r="CR45" s="184"/>
      <c r="CS45" s="110"/>
      <c r="CT45" s="104"/>
      <c r="CU45" s="113"/>
      <c r="CV45" s="113"/>
      <c r="CW45" s="184"/>
      <c r="CX45" s="110"/>
      <c r="CY45" s="104"/>
      <c r="CZ45" s="210"/>
      <c r="DA45" s="113"/>
      <c r="DB45" s="184"/>
      <c r="DC45" s="110"/>
      <c r="DD45" s="104"/>
      <c r="DE45" s="113"/>
      <c r="DF45" s="113"/>
      <c r="DG45" s="184"/>
      <c r="DH45" s="110"/>
      <c r="DI45" s="104"/>
      <c r="DJ45" s="113"/>
      <c r="DK45" s="113"/>
      <c r="DL45" s="184"/>
      <c r="DM45" s="64"/>
      <c r="DN45" s="202"/>
      <c r="DO45" s="104"/>
      <c r="DP45" s="113"/>
      <c r="DQ45" s="113"/>
      <c r="DR45" s="184"/>
      <c r="DS45" s="143"/>
      <c r="DT45" s="140"/>
      <c r="DU45" s="184"/>
      <c r="DV45" s="147"/>
      <c r="DW45" s="142"/>
      <c r="DZ45" s="230"/>
    </row>
    <row r="46" spans="1:130" ht="30" customHeight="1">
      <c r="B46" s="103"/>
      <c r="C46" s="104"/>
      <c r="D46" s="214" t="s">
        <v>301</v>
      </c>
      <c r="E46" s="169"/>
      <c r="F46" s="170"/>
      <c r="G46" s="2"/>
      <c r="H46" s="108"/>
      <c r="I46" s="108"/>
      <c r="J46" s="109"/>
      <c r="K46" s="109"/>
      <c r="L46" s="108"/>
      <c r="M46" s="168"/>
      <c r="N46" s="19"/>
      <c r="O46" s="108"/>
      <c r="P46" s="108"/>
      <c r="Q46" s="108"/>
      <c r="R46" s="108"/>
      <c r="S46" s="108"/>
      <c r="T46" s="108"/>
      <c r="U46" s="111"/>
      <c r="V46" s="110"/>
      <c r="W46" s="104"/>
      <c r="X46" s="113"/>
      <c r="Y46" s="113"/>
      <c r="Z46" s="184"/>
      <c r="AA46" s="164"/>
      <c r="AB46" s="104"/>
      <c r="AC46" s="113"/>
      <c r="AD46" s="113"/>
      <c r="AE46" s="184"/>
      <c r="AF46" s="117"/>
      <c r="AG46" s="104"/>
      <c r="AH46" s="113"/>
      <c r="AI46" s="113"/>
      <c r="AJ46" s="184"/>
      <c r="AK46" s="117"/>
      <c r="AL46" s="104"/>
      <c r="AM46" s="113"/>
      <c r="AN46" s="113"/>
      <c r="AO46" s="184"/>
      <c r="AP46" s="118"/>
      <c r="AQ46" s="104"/>
      <c r="AR46" s="113"/>
      <c r="AS46" s="113"/>
      <c r="AT46" s="184"/>
      <c r="AU46" s="117"/>
      <c r="AV46" s="104"/>
      <c r="AW46" s="113"/>
      <c r="AX46" s="113"/>
      <c r="AY46" s="184"/>
      <c r="AZ46" s="118"/>
      <c r="BA46" s="104"/>
      <c r="BB46" s="113"/>
      <c r="BC46" s="113"/>
      <c r="BD46" s="184"/>
      <c r="BE46" s="110"/>
      <c r="BF46" s="104"/>
      <c r="BG46" s="113"/>
      <c r="BH46" s="113"/>
      <c r="BI46" s="184"/>
      <c r="BJ46" s="120"/>
      <c r="BK46" s="104"/>
      <c r="BL46" s="113"/>
      <c r="BM46" s="113"/>
      <c r="BN46" s="184"/>
      <c r="BO46" s="110"/>
      <c r="BP46" s="104"/>
      <c r="BQ46" s="113"/>
      <c r="BR46" s="113"/>
      <c r="BS46" s="184"/>
      <c r="BT46" s="120"/>
      <c r="BU46" s="104"/>
      <c r="BV46" s="113"/>
      <c r="BW46" s="113"/>
      <c r="BX46" s="184"/>
      <c r="BY46" s="110"/>
      <c r="BZ46" s="104"/>
      <c r="CA46" s="113"/>
      <c r="CB46" s="113"/>
      <c r="CC46" s="184"/>
      <c r="CD46" s="120"/>
      <c r="CE46" s="104"/>
      <c r="CF46" s="113"/>
      <c r="CG46" s="113"/>
      <c r="CH46" s="184"/>
      <c r="CI46" s="110"/>
      <c r="CJ46" s="104"/>
      <c r="CK46" s="113"/>
      <c r="CL46" s="113"/>
      <c r="CM46" s="184"/>
      <c r="CN46" s="120"/>
      <c r="CO46" s="104"/>
      <c r="CP46" s="113"/>
      <c r="CQ46" s="113"/>
      <c r="CR46" s="184"/>
      <c r="CS46" s="110"/>
      <c r="CT46" s="104"/>
      <c r="CU46" s="113"/>
      <c r="CV46" s="113"/>
      <c r="CW46" s="184"/>
      <c r="CX46" s="110"/>
      <c r="CY46" s="104"/>
      <c r="CZ46" s="210"/>
      <c r="DA46" s="113"/>
      <c r="DB46" s="184"/>
      <c r="DC46" s="110"/>
      <c r="DD46" s="104"/>
      <c r="DE46" s="113"/>
      <c r="DF46" s="113"/>
      <c r="DG46" s="184"/>
      <c r="DH46" s="110"/>
      <c r="DI46" s="104"/>
      <c r="DJ46" s="113"/>
      <c r="DK46" s="113"/>
      <c r="DL46" s="184"/>
      <c r="DM46" s="64"/>
      <c r="DN46" s="202"/>
      <c r="DO46" s="104"/>
      <c r="DP46" s="113"/>
      <c r="DQ46" s="113"/>
      <c r="DR46" s="184"/>
      <c r="DS46" s="143"/>
      <c r="DT46" s="140"/>
      <c r="DU46" s="184"/>
      <c r="DV46" s="147"/>
      <c r="DW46" s="142"/>
      <c r="DZ46" s="230"/>
    </row>
    <row r="47" spans="1:130" ht="30" customHeight="1">
      <c r="B47" s="103"/>
      <c r="C47" s="104"/>
      <c r="D47" s="214" t="s">
        <v>302</v>
      </c>
      <c r="E47" s="169"/>
      <c r="F47" s="170" t="s">
        <v>244</v>
      </c>
      <c r="G47" s="2" t="str">
        <f>_xlfn.XLOOKUP($D47,'[1]Import Eletra'!$B:$B,'[1]Import Eletra'!$F:$F,,0,1)</f>
        <v>DELIVERED</v>
      </c>
      <c r="H47" s="108"/>
      <c r="I47" s="108"/>
      <c r="J47" s="109">
        <v>30</v>
      </c>
      <c r="K47" s="109">
        <f>L47-I47</f>
        <v>46147</v>
      </c>
      <c r="L47" s="108">
        <f>IF(_xlfn.XLOOKUP($D47,'[1]Import Eletra'!$B:$B,'[1]Import Eletra'!$J:$J,,0,1)=0,"",_xlfn.XLOOKUP($D47,'[1]Import Eletra'!$B:$B,'[1]Import Eletra'!$J:$J,,0,1))</f>
        <v>46147</v>
      </c>
      <c r="M47" s="168">
        <f>IF(_xlfn.XLOOKUP($D47,'[1]Import Eletra'!$B:$B,'[1]Import Eletra'!$L:$L,,0,1)=0,"",_xlfn.XLOOKUP($D47,'[1]Import Eletra'!$B:$B,'[1]Import Eletra'!$L:$L,,0,1))</f>
        <v>46187</v>
      </c>
      <c r="N47" s="19">
        <f>IF(_xlfn.XLOOKUP($D47,'[1]Import Eletra'!$B:$B,'[1]Import Eletra'!$AJ:$AJ,,0,1)=0,"",_xlfn.XLOOKUP($D47,'[1]Import Eletra'!$B:$B,'[1]Import Eletra'!$AJ:$AJ,,0,1))</f>
        <v>806833.98</v>
      </c>
      <c r="O47" s="108">
        <f>IF(_xlfn.XLOOKUP($D47,'[1]Import Eletra'!$B:$B,'[1]Import Eletra'!$AK:$AK,,0,1)=0,"",_xlfn.XLOOKUP($D47,'[1]Import Eletra'!$B:$B,'[1]Import Eletra'!$AK:$AK,,0,1))</f>
        <v>46175</v>
      </c>
      <c r="P47" s="108">
        <f>IF(_xlfn.XLOOKUP($D47,'[1]Import Eletra'!$B:$B,'[1]Import Eletra'!$AL:$AL,,0,1)=0,"",_xlfn.XLOOKUP($D47,'[1]Import Eletra'!$B:$B,'[1]Import Eletra'!$AL:$AL,,0,1))</f>
        <v>46175</v>
      </c>
      <c r="Q47" s="108">
        <f>IF(_xlfn.XLOOKUP($D47,'[1]Import Eletra'!$B:$B,'[1]Import Eletra'!$AM:$AM,,0,1)=0,"",_xlfn.XLOOKUP($D47,'[1]Import Eletra'!$B:$B,'[1]Import Eletra'!$AM:$AM,,0,1))</f>
        <v>46181</v>
      </c>
      <c r="R47" s="108">
        <f>IF(_xlfn.XLOOKUP($D47,'[1]Import Eletra'!$B:$B,'[1]Import Eletra'!$AN:$AN,,0,1)=0,"",_xlfn.XLOOKUP($D47,'[1]Import Eletra'!$B:$B,'[1]Import Eletra'!$AN:$AN,,0,1))</f>
        <v>46181</v>
      </c>
      <c r="S47" s="108">
        <f>IF(_xlfn.XLOOKUP($D47,'[1]Import Eletra'!$B:$B,'[1]Import Eletra'!$AO:$AO,,0,1)=0,"",_xlfn.XLOOKUP($D47,'[1]Import Eletra'!$B:$B,'[1]Import Eletra'!$AO:$AO,,0,1))</f>
        <v>46181</v>
      </c>
      <c r="T47" s="108">
        <f>IF(_xlfn.XLOOKUP($D47,'[1]Import Eletra'!$B:$B,'[1]Import Eletra'!$AP:$AP,,0,1)=0,"",_xlfn.XLOOKUP($D47,'[1]Import Eletra'!$B:$B,'[1]Import Eletra'!$AP:$AP,,0,1))</f>
        <v>46181</v>
      </c>
      <c r="U47" s="111">
        <f>IF(_xlfn.XLOOKUP($D47,'[1]Import Eletra'!$B:$B,'[1]Import Eletra'!$AQ:$AQ,,0,1)=0,"",_xlfn.XLOOKUP($D47,'[1]Import Eletra'!$B:$B,'[1]Import Eletra'!$AQ:$AQ,,0,1))</f>
        <v>46182</v>
      </c>
      <c r="V47" s="110">
        <f>AA47-$AA$4</f>
        <v>46182</v>
      </c>
      <c r="W47" s="104">
        <f>IF(_xlfn.XLOOKUP($D47,'[1]Import Eletra'!$B:$B,'[1]Import Eletra'!$AR:$AR,,0,1)=0,"",_xlfn.XLOOKUP($D47,'[1]Import Eletra'!$B:$B,'[1]Import Eletra'!$AR:$AR,,0,1))</f>
        <v>46189</v>
      </c>
      <c r="X47" s="113">
        <f>$V$3</f>
        <v>0</v>
      </c>
      <c r="Y47" s="113">
        <f ca="1">IF(W47="",TODAY()-V47,W47-V47)</f>
        <v>7</v>
      </c>
      <c r="Z47" s="184">
        <f ca="1">Y47-X47</f>
        <v>7</v>
      </c>
      <c r="AA47" s="164">
        <f>AF47-$AA$4</f>
        <v>46183</v>
      </c>
      <c r="AB47" s="104" t="str">
        <f>IF(_xlfn.XLOOKUP($D47,'[1]Import Eletra'!$B:$B,'[1]Import Eletra'!$AC:$AC,,0,1)=0,"",_xlfn.XLOOKUP($D47,'[1]Import Eletra'!$B:$B,'[1]Import Eletra'!$AC:$AC,,0,1))</f>
        <v/>
      </c>
      <c r="AC47" s="113">
        <f>$AA$3</f>
        <v>0</v>
      </c>
      <c r="AD47" s="113">
        <f ca="1">IF(AB47="",TODAY()-AA47,AB47-AA47)</f>
        <v>28</v>
      </c>
      <c r="AE47" s="184">
        <f ca="1">AD47-AC47</f>
        <v>28</v>
      </c>
      <c r="AF47" s="117">
        <f>AK47-$AK$4</f>
        <v>46184</v>
      </c>
      <c r="AG47" s="104">
        <f>IF(_xlfn.XLOOKUP($D47,'[1]Import Eletra'!$B:$B,'[1]Import Eletra'!$AD:$AD,,0,1)=0,"",_xlfn.XLOOKUP($D47,'[1]Import Eletra'!$B:$B,'[1]Import Eletra'!$AD:$AD,,0,1))</f>
        <v>46189</v>
      </c>
      <c r="AH47" s="113">
        <f>$AF$3</f>
        <v>0</v>
      </c>
      <c r="AI47" s="113">
        <f ca="1">IF(AG47="",TODAY()-AF47,AG47-AF47)</f>
        <v>5</v>
      </c>
      <c r="AJ47" s="184">
        <f ca="1">AI47-AH47</f>
        <v>5</v>
      </c>
      <c r="AK47" s="117">
        <f>AP47-$AP$4</f>
        <v>46184</v>
      </c>
      <c r="AL47" s="104">
        <f>IF(_xlfn.XLOOKUP($D47,'[1]Import Eletra'!$B:$B,'[1]Import Eletra'!$AS:$AS,,0,1)=0,"",_xlfn.XLOOKUP($D47,'[1]Import Eletra'!$B:$B,'[1]Import Eletra'!$AS:$AS,,0,1))</f>
        <v>46189</v>
      </c>
      <c r="AM47" s="113">
        <f>$AK$3</f>
        <v>0</v>
      </c>
      <c r="AN47" s="113">
        <f ca="1">IF(AL47="",TODAY()-AK47,AL47-AK47)</f>
        <v>5</v>
      </c>
      <c r="AO47" s="184">
        <f ca="1">AN47-AM47</f>
        <v>5</v>
      </c>
      <c r="AP47" s="118">
        <f>AU47-$AU$4</f>
        <v>46185</v>
      </c>
      <c r="AQ47" s="104">
        <f>IF(_xlfn.XLOOKUP($D47,'[1]Import Eletra'!$B:$B,'[1]Import Eletra'!$AT:$AT,,0,1)=0,"",_xlfn.XLOOKUP($D47,'[1]Import Eletra'!$B:$B,'[1]Import Eletra'!$AT:$AT,,0,1))</f>
        <v>46189</v>
      </c>
      <c r="AR47" s="113">
        <f>$AP$3</f>
        <v>1</v>
      </c>
      <c r="AS47" s="113">
        <f ca="1">IF(AQ47="",TODAY()-AP47,AQ47-AP47)</f>
        <v>4</v>
      </c>
      <c r="AT47" s="184">
        <f ca="1">AS47-AR47</f>
        <v>3</v>
      </c>
      <c r="AU47" s="117">
        <f>AZ47-$AZ$4</f>
        <v>46185</v>
      </c>
      <c r="AV47" s="104">
        <f>IF(_xlfn.XLOOKUP($D47,'[1]Import Eletra'!$B:$B,'[1]Import Eletra'!$AU:$AU,,0,1)=0,"",_xlfn.XLOOKUP($D47,'[1]Import Eletra'!$B:$B,'[1]Import Eletra'!$AU:$AU,,0,1))</f>
        <v>46190</v>
      </c>
      <c r="AW47" s="113">
        <f>$AU$3</f>
        <v>0</v>
      </c>
      <c r="AX47" s="113">
        <f ca="1">IF(AV47="",TODAY()-AU47,AV47-AU47)</f>
        <v>5</v>
      </c>
      <c r="AY47" s="184">
        <f ca="1">AX47-AW47</f>
        <v>5</v>
      </c>
      <c r="AZ47" s="118">
        <f>BE47-$BE$4</f>
        <v>46185</v>
      </c>
      <c r="BA47" s="104" t="str">
        <f>IF(_xlfn.XLOOKUP($D47,'[1]Import Eletra'!$B:$B,'[1]Import Eletra'!$AV:$AV,,0,1)=0,"",_xlfn.XLOOKUP($D47,'[1]Import Eletra'!$B:$B,'[1]Import Eletra'!$AV:$AV,,0,1))</f>
        <v/>
      </c>
      <c r="BB47" s="113">
        <f>$AZ$3</f>
        <v>0</v>
      </c>
      <c r="BC47" s="113">
        <f ca="1">IF(BA47="",TODAY()-AZ47,BA47-AZ47)</f>
        <v>26</v>
      </c>
      <c r="BD47" s="184">
        <f ca="1">BC47-BB47</f>
        <v>26</v>
      </c>
      <c r="BE47" s="110">
        <f>BJ47-$BJ$4</f>
        <v>46185</v>
      </c>
      <c r="BF47" s="104" t="str">
        <f>IF(_xlfn.XLOOKUP($D47,'[1]Import Eletra'!$B:$B,'[1]Import Eletra'!$AW:$AW,,0,1)=0,"",_xlfn.XLOOKUP($D47,'[1]Import Eletra'!$B:$B,'[1]Import Eletra'!$AW:$AW,,0,1))</f>
        <v/>
      </c>
      <c r="BG47" s="113">
        <f>$BE$3</f>
        <v>0</v>
      </c>
      <c r="BH47" s="113">
        <f ca="1">IF(BF47="",TODAY()-BE47,BF47-BE47)</f>
        <v>26</v>
      </c>
      <c r="BI47" s="184">
        <f ca="1">BH47-BG47</f>
        <v>26</v>
      </c>
      <c r="BJ47" s="120">
        <f>BO47-$BO$4</f>
        <v>46185</v>
      </c>
      <c r="BK47" s="104" t="str">
        <f>IF(_xlfn.XLOOKUP($D47,'[1]Import Eletra'!$B:$B,'[1]Import Eletra'!$AX:$AX,,0,1)=0,"",_xlfn.XLOOKUP($D47,'[1]Import Eletra'!$B:$B,'[1]Import Eletra'!$AX:$AX,,0,1))</f>
        <v/>
      </c>
      <c r="BL47" s="113">
        <f>$BJ$3</f>
        <v>0</v>
      </c>
      <c r="BM47" s="113">
        <f ca="1">IF(BK47="",TODAY()-BJ47,BK47-BJ47)</f>
        <v>26</v>
      </c>
      <c r="BN47" s="184">
        <f ca="1">BM47-BL47</f>
        <v>26</v>
      </c>
      <c r="BO47" s="110">
        <f>BT47-$BT$4</f>
        <v>46185</v>
      </c>
      <c r="BP47" s="104" t="str">
        <f>IF(_xlfn.XLOOKUP($D47,'[1]Import Eletra'!$B:$B,'[1]Import Eletra'!$AY:$AY,,0,1)=0,"",_xlfn.XLOOKUP($D47,'[1]Import Eletra'!$B:$B,'[1]Import Eletra'!$AY:$AY,,0,1))</f>
        <v/>
      </c>
      <c r="BQ47" s="113">
        <f>$BO$3</f>
        <v>0</v>
      </c>
      <c r="BR47" s="113">
        <f ca="1">IF(BP47="",TODAY()-BO47,BP47-BO47)</f>
        <v>26</v>
      </c>
      <c r="BS47" s="184">
        <f ca="1">BR47-BQ47</f>
        <v>26</v>
      </c>
      <c r="BT47" s="120">
        <f>BY47-$BY$4</f>
        <v>46187</v>
      </c>
      <c r="BU47" s="104" t="str">
        <f>IF(_xlfn.XLOOKUP($D47,'[1]Import Eletra'!$B:$B,'[1]Import Eletra'!$AZ:$AZ,,0,1)=0,"",_xlfn.XLOOKUP($D47,'[1]Import Eletra'!$B:$B,'[1]Import Eletra'!$AZ:$AZ,,0,1))</f>
        <v/>
      </c>
      <c r="BV47" s="113">
        <f>$BT$3</f>
        <v>2</v>
      </c>
      <c r="BW47" s="113">
        <f ca="1">IF(BU47="",TODAY()-BT47,BU47-BT47)</f>
        <v>24</v>
      </c>
      <c r="BX47" s="184">
        <f ca="1">BW47-BV47</f>
        <v>22</v>
      </c>
      <c r="BY47" s="110">
        <f>CD47-$CD$4</f>
        <v>46187</v>
      </c>
      <c r="BZ47" s="104">
        <f>IF(_xlfn.XLOOKUP($D47,'[1]Import Eletra'!$B:$B,'[1]Import Eletra'!$BA:$BA,,0,1)=0,"",_xlfn.XLOOKUP($D47,'[1]Import Eletra'!$B:$B,'[1]Import Eletra'!$BA:$BA,,0,1))</f>
        <v>46196</v>
      </c>
      <c r="CA47" s="113">
        <f>$BY$3</f>
        <v>0</v>
      </c>
      <c r="CB47" s="113">
        <f ca="1">IF(BZ47="",TODAY()-BY47,BZ47-BY47)</f>
        <v>9</v>
      </c>
      <c r="CC47" s="184">
        <f ca="1">CB47-CA47</f>
        <v>9</v>
      </c>
      <c r="CD47" s="120">
        <f>CI47-$CI$4</f>
        <v>46187</v>
      </c>
      <c r="CE47" s="104">
        <f>IF(_xlfn.XLOOKUP($D47,'[1]Import Eletra'!$B:$B,'[1]Import Eletra'!$BB:$BB,,0,1)=0,"",_xlfn.XLOOKUP($D47,'[1]Import Eletra'!$B:$B,'[1]Import Eletra'!$BB:$BB,,0,1))</f>
        <v>46196</v>
      </c>
      <c r="CF47" s="113">
        <f>$CD$3</f>
        <v>0</v>
      </c>
      <c r="CG47" s="113">
        <f ca="1">IF(CE47="",TODAY()-CD47,CE47-CD47)</f>
        <v>9</v>
      </c>
      <c r="CH47" s="184">
        <f ca="1">CG47-CF47</f>
        <v>9</v>
      </c>
      <c r="CI47" s="110">
        <f>CN47-$CN$4</f>
        <v>46187</v>
      </c>
      <c r="CJ47" s="104" t="str">
        <f>IF(_xlfn.XLOOKUP($D47,'[1]Import Eletra'!$B:$B,'[1]Import Eletra'!$BC:$BC,,0,1)=0,"",_xlfn.XLOOKUP($D47,'[1]Import Eletra'!$B:$B,'[1]Import Eletra'!$BC:$BC,,0,1))</f>
        <v/>
      </c>
      <c r="CK47" s="113"/>
      <c r="CL47" s="113">
        <f ca="1">IF(CJ47="",TODAY()-CI47,CJ47-CI47)</f>
        <v>24</v>
      </c>
      <c r="CM47" s="184">
        <f ca="1">CL47-CK47</f>
        <v>24</v>
      </c>
      <c r="CN47" s="120">
        <f>CS47-$CS$4</f>
        <v>46188</v>
      </c>
      <c r="CO47" s="104">
        <f>IF(_xlfn.XLOOKUP($D47,'[1]Import Eletra'!$B:$B,'[1]Import Eletra'!$BD:$BD,,0,1)=0,"",_xlfn.XLOOKUP($D47,'[1]Import Eletra'!$B:$B,'[1]Import Eletra'!$BD:$BD,,0,1))</f>
        <v>46190</v>
      </c>
      <c r="CP47" s="113">
        <f>$CN$3</f>
        <v>0</v>
      </c>
      <c r="CQ47" s="113">
        <f ca="1">IF(CO47="",TODAY()-CN47,CO47-CN47)</f>
        <v>2</v>
      </c>
      <c r="CR47" s="184">
        <f ca="1">CQ47-CP47</f>
        <v>2</v>
      </c>
      <c r="CS47" s="110">
        <f>CX47-$CX$4</f>
        <v>46188</v>
      </c>
      <c r="CT47" s="104">
        <f>IF(_xlfn.XLOOKUP($D47,'[1]Import Eletra'!$B:$B,'[1]Import Eletra'!$BE:$BE,,0,1)=0,"",_xlfn.XLOOKUP($D47,'[1]Import Eletra'!$B:$B,'[1]Import Eletra'!$BE:$BE,,0,1))</f>
        <v>46191</v>
      </c>
      <c r="CU47" s="113">
        <f>$CS$3</f>
        <v>0</v>
      </c>
      <c r="CV47" s="113">
        <f ca="1">IF(CT47="",TODAY()-CS47,CT47-CS47)</f>
        <v>3</v>
      </c>
      <c r="CW47" s="184">
        <f ca="1">CV47-CU47</f>
        <v>3</v>
      </c>
      <c r="CX47" s="110">
        <f>DC47-$DC$4</f>
        <v>46188</v>
      </c>
      <c r="CY47" s="104">
        <f>IF(_xlfn.XLOOKUP($D47,'[1]Import Eletra'!$B:$B,'[1]Import Eletra'!$BE:$BE,,0,1)=0,"",_xlfn.XLOOKUP($D47,'[1]Import Eletra'!$B:$B,'[1]Import Eletra'!$BE:$BE,,0,1))</f>
        <v>46191</v>
      </c>
      <c r="CZ47" s="210">
        <f>$CX$3</f>
        <v>0</v>
      </c>
      <c r="DA47" s="113">
        <f ca="1">IF(CY47="",TODAY()-CX47,CY47-CX47)</f>
        <v>3</v>
      </c>
      <c r="DB47" s="184">
        <f ca="1">DA47-CZ47</f>
        <v>3</v>
      </c>
      <c r="DC47" s="110">
        <f>DH47-$DH$4</f>
        <v>46190</v>
      </c>
      <c r="DD47" s="104">
        <f>IF(_xlfn.XLOOKUP($D47,'[1]Import Eletra'!$B:$B,'[1]Import Eletra'!$BF:$BF,,0,1)=0,"",_xlfn.XLOOKUP($D47,'[1]Import Eletra'!$B:$B,'[1]Import Eletra'!$BF:$BF,0,1))</f>
        <v>46191</v>
      </c>
      <c r="DE47" s="113">
        <f>$DC$3</f>
        <v>2</v>
      </c>
      <c r="DF47" s="113">
        <f ca="1">IF(DD47="",TODAY()-DC47,DD47-DC47)</f>
        <v>1</v>
      </c>
      <c r="DG47" s="184">
        <f ca="1">DF47-DE47</f>
        <v>-1</v>
      </c>
      <c r="DH47" s="110">
        <f>DN47-$DM$4</f>
        <v>46191</v>
      </c>
      <c r="DI47" s="104">
        <f>IF(_xlfn.XLOOKUP($D47,'[1]Import Eletra'!$B:$B,'[1]Import Eletra'!$BG:$BG,,0,1)=0,"",_xlfn.XLOOKUP($D47,'[1]Import Eletra'!$B:$B,'[1]Import Eletra'!$BG:$BG,0,1))</f>
        <v>46196</v>
      </c>
      <c r="DJ47" s="113">
        <f>$DH$3</f>
        <v>1</v>
      </c>
      <c r="DK47" s="113">
        <f ca="1">IF(DI47="",TODAY()-DH47,DI47-DH47)</f>
        <v>5</v>
      </c>
      <c r="DL47" s="184">
        <f ca="1">DK47-DJ47</f>
        <v>4</v>
      </c>
      <c r="DM47" s="64"/>
      <c r="DN47" s="202">
        <f>IF(U47="",M47+DS47,U47+DS47)</f>
        <v>46192</v>
      </c>
      <c r="DO47" s="104"/>
      <c r="DP47" s="113">
        <f>$DM$3</f>
        <v>1</v>
      </c>
      <c r="DQ47" s="113">
        <f ca="1">IF(DO47="",TODAY()-DN47,DO47-DN47)</f>
        <v>19</v>
      </c>
      <c r="DR47" s="184">
        <f ca="1">DQ47-DP47</f>
        <v>18</v>
      </c>
      <c r="DS47" s="143">
        <v>10</v>
      </c>
      <c r="DT47" s="140"/>
      <c r="DU47" s="184">
        <f>DT47-DS47</f>
        <v>-10</v>
      </c>
      <c r="DV47" s="147"/>
      <c r="DW47" s="142" t="s">
        <v>257</v>
      </c>
      <c r="DZ47" s="230"/>
    </row>
    <row r="48" spans="1:130" ht="30" customHeight="1">
      <c r="B48" s="103"/>
      <c r="C48" s="104"/>
      <c r="D48" s="214" t="s">
        <v>303</v>
      </c>
      <c r="E48" s="169"/>
      <c r="F48" s="170" t="s">
        <v>244</v>
      </c>
      <c r="G48" s="2">
        <f>_xlfn.XLOOKUP($D48,'[1]Import Eletra'!$B:$B,'[1]Import Eletra'!$F:$F,,0,1)</f>
        <v>0</v>
      </c>
      <c r="H48" s="108"/>
      <c r="I48" s="108"/>
      <c r="J48" s="109">
        <v>30</v>
      </c>
      <c r="K48" s="109" t="e">
        <f>L48-I48</f>
        <v>#VALUE!</v>
      </c>
      <c r="L48" s="108" t="str">
        <f>IF(_xlfn.XLOOKUP($D48,'[1]Import Eletra'!$B:$B,'[1]Import Eletra'!$J:$J,,0,1)=0,"",_xlfn.XLOOKUP($D48,'[1]Import Eletra'!$B:$B,'[1]Import Eletra'!$J:$J,,0,1))</f>
        <v/>
      </c>
      <c r="M48" s="168" t="str">
        <f>IF(_xlfn.XLOOKUP($D48,'[1]Import Eletra'!$B:$B,'[1]Import Eletra'!$L:$L,,0,1)=0,"",_xlfn.XLOOKUP($D48,'[1]Import Eletra'!$B:$B,'[1]Import Eletra'!$L:$L,,0,1))</f>
        <v/>
      </c>
      <c r="N48" s="19" t="str">
        <f>IF(_xlfn.XLOOKUP($D48,'[1]Import Eletra'!$B:$B,'[1]Import Eletra'!$AJ:$AJ,,0,1)=0,"",_xlfn.XLOOKUP($D48,'[1]Import Eletra'!$B:$B,'[1]Import Eletra'!$AJ:$AJ,,0,1))</f>
        <v/>
      </c>
      <c r="O48" s="108" t="str">
        <f>IF(_xlfn.XLOOKUP($D48,'[1]Import Eletra'!$B:$B,'[1]Import Eletra'!$AK:$AK,,0,1)=0,"",_xlfn.XLOOKUP($D48,'[1]Import Eletra'!$B:$B,'[1]Import Eletra'!$AK:$AK,,0,1))</f>
        <v/>
      </c>
      <c r="P48" s="108" t="str">
        <f>IF(_xlfn.XLOOKUP($D48,'[1]Import Eletra'!$B:$B,'[1]Import Eletra'!$AL:$AL,,0,1)=0,"",_xlfn.XLOOKUP($D48,'[1]Import Eletra'!$B:$B,'[1]Import Eletra'!$AL:$AL,,0,1))</f>
        <v/>
      </c>
      <c r="Q48" s="108" t="str">
        <f>IF(_xlfn.XLOOKUP($D48,'[1]Import Eletra'!$B:$B,'[1]Import Eletra'!$AM:$AM,,0,1)=0,"",_xlfn.XLOOKUP($D48,'[1]Import Eletra'!$B:$B,'[1]Import Eletra'!$AM:$AM,,0,1))</f>
        <v/>
      </c>
      <c r="R48" s="108" t="str">
        <f>IF(_xlfn.XLOOKUP($D48,'[1]Import Eletra'!$B:$B,'[1]Import Eletra'!$AN:$AN,,0,1)=0,"",_xlfn.XLOOKUP($D48,'[1]Import Eletra'!$B:$B,'[1]Import Eletra'!$AN:$AN,,0,1))</f>
        <v/>
      </c>
      <c r="S48" s="108" t="str">
        <f>IF(_xlfn.XLOOKUP($D48,'[1]Import Eletra'!$B:$B,'[1]Import Eletra'!$AO:$AO,,0,1)=0,"",_xlfn.XLOOKUP($D48,'[1]Import Eletra'!$B:$B,'[1]Import Eletra'!$AO:$AO,,0,1))</f>
        <v/>
      </c>
      <c r="T48" s="108" t="str">
        <f>IF(_xlfn.XLOOKUP($D48,'[1]Import Eletra'!$B:$B,'[1]Import Eletra'!$AP:$AP,,0,1)=0,"",_xlfn.XLOOKUP($D48,'[1]Import Eletra'!$B:$B,'[1]Import Eletra'!$AP:$AP,,0,1))</f>
        <v/>
      </c>
      <c r="U48" s="111" t="str">
        <f>IF(_xlfn.XLOOKUP($D48,'[1]Import Eletra'!$B:$B,'[1]Import Eletra'!$AQ:$AQ,,0,1)=0,"",_xlfn.XLOOKUP($D48,'[1]Import Eletra'!$B:$B,'[1]Import Eletra'!$AQ:$AQ,,0,1))</f>
        <v/>
      </c>
      <c r="V48" s="110" t="e">
        <f>AA48-$AA$4</f>
        <v>#VALUE!</v>
      </c>
      <c r="W48" s="104" t="str">
        <f>IF(_xlfn.XLOOKUP($D48,'[1]Import Eletra'!$B:$B,'[1]Import Eletra'!$AR:$AR,,0,1)=0,"",_xlfn.XLOOKUP($D48,'[1]Import Eletra'!$B:$B,'[1]Import Eletra'!$AR:$AR,,0,1))</f>
        <v/>
      </c>
      <c r="X48" s="113">
        <f>$V$3</f>
        <v>0</v>
      </c>
      <c r="Y48" s="113" t="e">
        <f ca="1">IF(W48="",TODAY()-V48,W48-V48)</f>
        <v>#VALUE!</v>
      </c>
      <c r="Z48" s="184" t="e">
        <f ca="1">Y48-X48</f>
        <v>#VALUE!</v>
      </c>
      <c r="AA48" s="164" t="e">
        <f>AF48-$AA$4</f>
        <v>#VALUE!</v>
      </c>
      <c r="AB48" s="104" t="str">
        <f>IF(_xlfn.XLOOKUP($D48,'[1]Import Eletra'!$B:$B,'[1]Import Eletra'!$AC:$AC,,0,1)=0,"",_xlfn.XLOOKUP($D48,'[1]Import Eletra'!$B:$B,'[1]Import Eletra'!$AC:$AC,,0,1))</f>
        <v/>
      </c>
      <c r="AC48" s="113">
        <f>$AA$3</f>
        <v>0</v>
      </c>
      <c r="AD48" s="113" t="e">
        <f ca="1">IF(AB48="",TODAY()-AA48,AB48-AA48)</f>
        <v>#VALUE!</v>
      </c>
      <c r="AE48" s="184" t="e">
        <f ca="1">AD48-AC48</f>
        <v>#VALUE!</v>
      </c>
      <c r="AF48" s="117" t="e">
        <f>AK48-$AK$4</f>
        <v>#VALUE!</v>
      </c>
      <c r="AG48" s="104" t="str">
        <f>IF(_xlfn.XLOOKUP($D48,'[1]Import Eletra'!$B:$B,'[1]Import Eletra'!$AD:$AD,,0,1)=0,"",_xlfn.XLOOKUP($D48,'[1]Import Eletra'!$B:$B,'[1]Import Eletra'!$AD:$AD,,0,1))</f>
        <v/>
      </c>
      <c r="AH48" s="113">
        <f>$AF$3</f>
        <v>0</v>
      </c>
      <c r="AI48" s="113" t="e">
        <f ca="1">IF(AG48="",TODAY()-AF48,AG48-AF48)</f>
        <v>#VALUE!</v>
      </c>
      <c r="AJ48" s="184" t="e">
        <f ca="1">AI48-AH48</f>
        <v>#VALUE!</v>
      </c>
      <c r="AK48" s="117" t="e">
        <f>AP48-$AP$4</f>
        <v>#VALUE!</v>
      </c>
      <c r="AL48" s="104" t="str">
        <f>IF(_xlfn.XLOOKUP($D48,'[1]Import Eletra'!$B:$B,'[1]Import Eletra'!$AS:$AS,,0,1)=0,"",_xlfn.XLOOKUP($D48,'[1]Import Eletra'!$B:$B,'[1]Import Eletra'!$AS:$AS,,0,1))</f>
        <v/>
      </c>
      <c r="AM48" s="113">
        <f>$AK$3</f>
        <v>0</v>
      </c>
      <c r="AN48" s="113" t="e">
        <f ca="1">IF(AL48="",TODAY()-AK48,AL48-AK48)</f>
        <v>#VALUE!</v>
      </c>
      <c r="AO48" s="184" t="e">
        <f ca="1">AN48-AM48</f>
        <v>#VALUE!</v>
      </c>
      <c r="AP48" s="118" t="e">
        <f>AU48-$AU$4</f>
        <v>#VALUE!</v>
      </c>
      <c r="AQ48" s="104" t="str">
        <f>IF(_xlfn.XLOOKUP($D48,'[1]Import Eletra'!$B:$B,'[1]Import Eletra'!$AT:$AT,,0,1)=0,"",_xlfn.XLOOKUP($D48,'[1]Import Eletra'!$B:$B,'[1]Import Eletra'!$AT:$AT,,0,1))</f>
        <v/>
      </c>
      <c r="AR48" s="113">
        <f>$AP$3</f>
        <v>1</v>
      </c>
      <c r="AS48" s="113" t="e">
        <f ca="1">IF(AQ48="",TODAY()-AP48,AQ48-AP48)</f>
        <v>#VALUE!</v>
      </c>
      <c r="AT48" s="184" t="e">
        <f ca="1">AS48-AR48</f>
        <v>#VALUE!</v>
      </c>
      <c r="AU48" s="117" t="e">
        <f>AZ48-$AZ$4</f>
        <v>#VALUE!</v>
      </c>
      <c r="AV48" s="104" t="str">
        <f>IF(_xlfn.XLOOKUP($D48,'[1]Import Eletra'!$B:$B,'[1]Import Eletra'!$AU:$AU,,0,1)=0,"",_xlfn.XLOOKUP($D48,'[1]Import Eletra'!$B:$B,'[1]Import Eletra'!$AU:$AU,,0,1))</f>
        <v/>
      </c>
      <c r="AW48" s="113">
        <f>$AU$3</f>
        <v>0</v>
      </c>
      <c r="AX48" s="113" t="e">
        <f ca="1">IF(AV48="",TODAY()-AU48,AV48-AU48)</f>
        <v>#VALUE!</v>
      </c>
      <c r="AY48" s="184" t="e">
        <f ca="1">AX48-AW48</f>
        <v>#VALUE!</v>
      </c>
      <c r="AZ48" s="118" t="e">
        <f>BE48-$BE$4</f>
        <v>#VALUE!</v>
      </c>
      <c r="BA48" s="104" t="str">
        <f>IF(_xlfn.XLOOKUP($D48,'[1]Import Eletra'!$B:$B,'[1]Import Eletra'!$AV:$AV,,0,1)=0,"",_xlfn.XLOOKUP($D48,'[1]Import Eletra'!$B:$B,'[1]Import Eletra'!$AV:$AV,,0,1))</f>
        <v/>
      </c>
      <c r="BB48" s="113">
        <f>$AZ$3</f>
        <v>0</v>
      </c>
      <c r="BC48" s="113" t="e">
        <f ca="1">IF(BA48="",TODAY()-AZ48,BA48-AZ48)</f>
        <v>#VALUE!</v>
      </c>
      <c r="BD48" s="184" t="e">
        <f ca="1">BC48-BB48</f>
        <v>#VALUE!</v>
      </c>
      <c r="BE48" s="110" t="e">
        <f>BJ48-$BJ$4</f>
        <v>#VALUE!</v>
      </c>
      <c r="BF48" s="104" t="str">
        <f>IF(_xlfn.XLOOKUP($D48,'[1]Import Eletra'!$B:$B,'[1]Import Eletra'!$AW:$AW,,0,1)=0,"",_xlfn.XLOOKUP($D48,'[1]Import Eletra'!$B:$B,'[1]Import Eletra'!$AW:$AW,,0,1))</f>
        <v/>
      </c>
      <c r="BG48" s="113">
        <f>$BE$3</f>
        <v>0</v>
      </c>
      <c r="BH48" s="113" t="e">
        <f ca="1">IF(BF48="",TODAY()-BE48,BF48-BE48)</f>
        <v>#VALUE!</v>
      </c>
      <c r="BI48" s="184" t="e">
        <f ca="1">BH48-BG48</f>
        <v>#VALUE!</v>
      </c>
      <c r="BJ48" s="120" t="e">
        <f>BO48-$BO$4</f>
        <v>#VALUE!</v>
      </c>
      <c r="BK48" s="104" t="str">
        <f>IF(_xlfn.XLOOKUP($D48,'[1]Import Eletra'!$B:$B,'[1]Import Eletra'!$AX:$AX,,0,1)=0,"",_xlfn.XLOOKUP($D48,'[1]Import Eletra'!$B:$B,'[1]Import Eletra'!$AX:$AX,,0,1))</f>
        <v/>
      </c>
      <c r="BL48" s="113">
        <f>$BJ$3</f>
        <v>0</v>
      </c>
      <c r="BM48" s="113" t="e">
        <f ca="1">IF(BK48="",TODAY()-BJ48,BK48-BJ48)</f>
        <v>#VALUE!</v>
      </c>
      <c r="BN48" s="184" t="e">
        <f ca="1">BM48-BL48</f>
        <v>#VALUE!</v>
      </c>
      <c r="BO48" s="110" t="e">
        <f>BT48-$BT$4</f>
        <v>#VALUE!</v>
      </c>
      <c r="BP48" s="104" t="str">
        <f>IF(_xlfn.XLOOKUP($D48,'[1]Import Eletra'!$B:$B,'[1]Import Eletra'!$AY:$AY,,0,1)=0,"",_xlfn.XLOOKUP($D48,'[1]Import Eletra'!$B:$B,'[1]Import Eletra'!$AY:$AY,,0,1))</f>
        <v/>
      </c>
      <c r="BQ48" s="113">
        <f>$BO$3</f>
        <v>0</v>
      </c>
      <c r="BR48" s="113" t="e">
        <f ca="1">IF(BP48="",TODAY()-BO48,BP48-BO48)</f>
        <v>#VALUE!</v>
      </c>
      <c r="BS48" s="184" t="e">
        <f ca="1">BR48-BQ48</f>
        <v>#VALUE!</v>
      </c>
      <c r="BT48" s="120" t="e">
        <f>BY48-$BY$4</f>
        <v>#VALUE!</v>
      </c>
      <c r="BU48" s="104" t="str">
        <f>IF(_xlfn.XLOOKUP($D48,'[1]Import Eletra'!$B:$B,'[1]Import Eletra'!$AZ:$AZ,,0,1)=0,"",_xlfn.XLOOKUP($D48,'[1]Import Eletra'!$B:$B,'[1]Import Eletra'!$AZ:$AZ,,0,1))</f>
        <v/>
      </c>
      <c r="BV48" s="113">
        <f>$BT$3</f>
        <v>2</v>
      </c>
      <c r="BW48" s="113" t="e">
        <f ca="1">IF(BU48="",TODAY()-BT48,BU48-BT48)</f>
        <v>#VALUE!</v>
      </c>
      <c r="BX48" s="184" t="e">
        <f ca="1">BW48-BV48</f>
        <v>#VALUE!</v>
      </c>
      <c r="BY48" s="110" t="e">
        <f>CD48-$CD$4</f>
        <v>#VALUE!</v>
      </c>
      <c r="BZ48" s="104" t="str">
        <f>IF(_xlfn.XLOOKUP($D48,'[1]Import Eletra'!$B:$B,'[1]Import Eletra'!$BA:$BA,,0,1)=0,"",_xlfn.XLOOKUP($D48,'[1]Import Eletra'!$B:$B,'[1]Import Eletra'!$BA:$BA,,0,1))</f>
        <v/>
      </c>
      <c r="CA48" s="113">
        <f>$BY$3</f>
        <v>0</v>
      </c>
      <c r="CB48" s="113" t="e">
        <f ca="1">IF(BZ48="",TODAY()-BY48,BZ48-BY48)</f>
        <v>#VALUE!</v>
      </c>
      <c r="CC48" s="184" t="e">
        <f ca="1">CB48-CA48</f>
        <v>#VALUE!</v>
      </c>
      <c r="CD48" s="120" t="e">
        <f>CI48-$CI$4</f>
        <v>#VALUE!</v>
      </c>
      <c r="CE48" s="104" t="str">
        <f>IF(_xlfn.XLOOKUP($D48,'[1]Import Eletra'!$B:$B,'[1]Import Eletra'!$BB:$BB,,0,1)=0,"",_xlfn.XLOOKUP($D48,'[1]Import Eletra'!$B:$B,'[1]Import Eletra'!$BB:$BB,,0,1))</f>
        <v/>
      </c>
      <c r="CF48" s="113">
        <f>$CD$3</f>
        <v>0</v>
      </c>
      <c r="CG48" s="113" t="e">
        <f ca="1">IF(CE48="",TODAY()-CD48,CE48-CD48)</f>
        <v>#VALUE!</v>
      </c>
      <c r="CH48" s="184" t="e">
        <f ca="1">CG48-CF48</f>
        <v>#VALUE!</v>
      </c>
      <c r="CI48" s="110" t="e">
        <f>CN48-$CN$4</f>
        <v>#VALUE!</v>
      </c>
      <c r="CJ48" s="104" t="str">
        <f>IF(_xlfn.XLOOKUP($D48,'[1]Import Eletra'!$B:$B,'[1]Import Eletra'!$BC:$BC,,0,1)=0,"",_xlfn.XLOOKUP($D48,'[1]Import Eletra'!$B:$B,'[1]Import Eletra'!$BC:$BC,,0,1))</f>
        <v/>
      </c>
      <c r="CK48" s="113"/>
      <c r="CL48" s="113" t="e">
        <f ca="1">IF(CJ48="",TODAY()-CI48,CJ48-CI48)</f>
        <v>#VALUE!</v>
      </c>
      <c r="CM48" s="184" t="e">
        <f ca="1">CL48-CK48</f>
        <v>#VALUE!</v>
      </c>
      <c r="CN48" s="120" t="e">
        <f>CS48-$CS$4</f>
        <v>#VALUE!</v>
      </c>
      <c r="CO48" s="104" t="str">
        <f>IF(_xlfn.XLOOKUP($D48,'[1]Import Eletra'!$B:$B,'[1]Import Eletra'!$BD:$BD,,0,1)=0,"",_xlfn.XLOOKUP($D48,'[1]Import Eletra'!$B:$B,'[1]Import Eletra'!$BD:$BD,,0,1))</f>
        <v/>
      </c>
      <c r="CP48" s="113">
        <f>$CN$3</f>
        <v>0</v>
      </c>
      <c r="CQ48" s="113" t="e">
        <f ca="1">IF(CO48="",TODAY()-CN48,CO48-CN48)</f>
        <v>#VALUE!</v>
      </c>
      <c r="CR48" s="184" t="e">
        <f ca="1">CQ48-CP48</f>
        <v>#VALUE!</v>
      </c>
      <c r="CS48" s="110" t="e">
        <f>CX48-$CX$4</f>
        <v>#VALUE!</v>
      </c>
      <c r="CT48" s="104" t="str">
        <f>IF(_xlfn.XLOOKUP($D48,'[1]Import Eletra'!$B:$B,'[1]Import Eletra'!$BE:$BE,,0,1)=0,"",_xlfn.XLOOKUP($D48,'[1]Import Eletra'!$B:$B,'[1]Import Eletra'!$BE:$BE,,0,1))</f>
        <v/>
      </c>
      <c r="CU48" s="113">
        <f>$CS$3</f>
        <v>0</v>
      </c>
      <c r="CV48" s="113" t="e">
        <f ca="1">IF(CT48="",TODAY()-CS48,CT48-CS48)</f>
        <v>#VALUE!</v>
      </c>
      <c r="CW48" s="184" t="e">
        <f ca="1">CV48-CU48</f>
        <v>#VALUE!</v>
      </c>
      <c r="CX48" s="110" t="e">
        <f>DC48-$DC$4</f>
        <v>#VALUE!</v>
      </c>
      <c r="CY48" s="104" t="str">
        <f>IF(_xlfn.XLOOKUP($D48,'[1]Import Eletra'!$B:$B,'[1]Import Eletra'!$BE:$BE,,0,1)=0,"",_xlfn.XLOOKUP($D48,'[1]Import Eletra'!$B:$B,'[1]Import Eletra'!$BE:$BE,,0,1))</f>
        <v/>
      </c>
      <c r="CZ48" s="210">
        <f>$CX$3</f>
        <v>0</v>
      </c>
      <c r="DA48" s="113" t="e">
        <f ca="1">IF(CY48="",TODAY()-CX48,CY48-CX48)</f>
        <v>#VALUE!</v>
      </c>
      <c r="DB48" s="184" t="e">
        <f ca="1">DA48-CZ48</f>
        <v>#VALUE!</v>
      </c>
      <c r="DC48" s="110" t="e">
        <f>DH48-$DH$4</f>
        <v>#VALUE!</v>
      </c>
      <c r="DD48" s="104" t="str">
        <f>IF(_xlfn.XLOOKUP($D48,'[1]Import Eletra'!$B:$B,'[1]Import Eletra'!$BF:$BF,,0,1)=0,"",_xlfn.XLOOKUP($D48,'[1]Import Eletra'!$B:$B,'[1]Import Eletra'!$BF:$BF,0,1))</f>
        <v/>
      </c>
      <c r="DE48" s="113">
        <f>$DC$3</f>
        <v>2</v>
      </c>
      <c r="DF48" s="113" t="e">
        <f ca="1">IF(DD48="",TODAY()-DC48,DD48-DC48)</f>
        <v>#VALUE!</v>
      </c>
      <c r="DG48" s="184" t="e">
        <f ca="1">DF48-DE48</f>
        <v>#VALUE!</v>
      </c>
      <c r="DH48" s="110" t="e">
        <f>DN48-$DM$4</f>
        <v>#VALUE!</v>
      </c>
      <c r="DI48" s="104" t="str">
        <f>IF(_xlfn.XLOOKUP($D48,'[1]Import Eletra'!$B:$B,'[1]Import Eletra'!$BG:$BG,,0,1)=0,"",_xlfn.XLOOKUP($D48,'[1]Import Eletra'!$B:$B,'[1]Import Eletra'!$BG:$BG,0,1))</f>
        <v/>
      </c>
      <c r="DJ48" s="113">
        <f>$DH$3</f>
        <v>1</v>
      </c>
      <c r="DK48" s="113" t="e">
        <f ca="1">IF(DI48="",TODAY()-DH48,DI48-DH48)</f>
        <v>#VALUE!</v>
      </c>
      <c r="DL48" s="184" t="e">
        <f ca="1">DK48-DJ48</f>
        <v>#VALUE!</v>
      </c>
      <c r="DM48" s="64"/>
      <c r="DN48" s="202" t="e">
        <f>IF(U48="",M48+DS48,U48+DS48)</f>
        <v>#VALUE!</v>
      </c>
      <c r="DO48" s="104"/>
      <c r="DP48" s="113">
        <f>$DM$3</f>
        <v>1</v>
      </c>
      <c r="DQ48" s="113" t="e">
        <f ca="1">IF(DO48="",TODAY()-DN48,DO48-DN48)</f>
        <v>#VALUE!</v>
      </c>
      <c r="DR48" s="184" t="e">
        <f ca="1">DQ48-DP48</f>
        <v>#VALUE!</v>
      </c>
      <c r="DS48" s="143">
        <v>10</v>
      </c>
      <c r="DT48" s="140"/>
      <c r="DU48" s="184">
        <f>DT48-DS48</f>
        <v>-10</v>
      </c>
      <c r="DV48" s="147"/>
      <c r="DW48" s="142" t="s">
        <v>257</v>
      </c>
      <c r="DZ48" s="230"/>
    </row>
    <row r="49" spans="1:130" ht="30" customHeight="1">
      <c r="B49" s="103"/>
      <c r="C49" s="104"/>
      <c r="D49" s="214" t="s">
        <v>304</v>
      </c>
      <c r="E49" s="169"/>
      <c r="F49" s="170" t="s">
        <v>244</v>
      </c>
      <c r="G49" s="2" t="str">
        <f>_xlfn.XLOOKUP($D49,'[1]Import Eletra'!$B:$B,'[1]Import Eletra'!$F:$F,,0,1)</f>
        <v>DELIVERED</v>
      </c>
      <c r="H49" s="108"/>
      <c r="I49" s="108"/>
      <c r="J49" s="109">
        <v>30</v>
      </c>
      <c r="K49" s="109">
        <f>L49-I49</f>
        <v>46099</v>
      </c>
      <c r="L49" s="108">
        <f>IF(_xlfn.XLOOKUP($D49,'[1]Import Eletra'!$B:$B,'[1]Import Eletra'!$J:$J,,0,1)=0,"",_xlfn.XLOOKUP($D49,'[1]Import Eletra'!$B:$B,'[1]Import Eletra'!$J:$J,,0,1))</f>
        <v>46099</v>
      </c>
      <c r="M49" s="168">
        <f>IF(_xlfn.XLOOKUP($D49,'[1]Import Eletra'!$B:$B,'[1]Import Eletra'!$L:$L,,0,1)=0,"",_xlfn.XLOOKUP($D49,'[1]Import Eletra'!$B:$B,'[1]Import Eletra'!$L:$L,,0,1))</f>
        <v>46107</v>
      </c>
      <c r="N49" s="19" t="str">
        <f>IF(_xlfn.XLOOKUP($D49,'[1]Import Eletra'!$B:$B,'[1]Import Eletra'!$AJ:$AJ,,0,1)=0,"",_xlfn.XLOOKUP($D49,'[1]Import Eletra'!$B:$B,'[1]Import Eletra'!$AJ:$AJ,,0,1))</f>
        <v/>
      </c>
      <c r="O49" s="108" t="str">
        <f>IF(_xlfn.XLOOKUP($D49,'[1]Import Eletra'!$B:$B,'[1]Import Eletra'!$AK:$AK,,0,1)=0,"",_xlfn.XLOOKUP($D49,'[1]Import Eletra'!$B:$B,'[1]Import Eletra'!$AK:$AK,,0,1))</f>
        <v/>
      </c>
      <c r="P49" s="108" t="str">
        <f>IF(_xlfn.XLOOKUP($D49,'[1]Import Eletra'!$B:$B,'[1]Import Eletra'!$AL:$AL,,0,1)=0,"",_xlfn.XLOOKUP($D49,'[1]Import Eletra'!$B:$B,'[1]Import Eletra'!$AL:$AL,,0,1))</f>
        <v/>
      </c>
      <c r="Q49" s="108" t="str">
        <f>IF(_xlfn.XLOOKUP($D49,'[1]Import Eletra'!$B:$B,'[1]Import Eletra'!$AM:$AM,,0,1)=0,"",_xlfn.XLOOKUP($D49,'[1]Import Eletra'!$B:$B,'[1]Import Eletra'!$AM:$AM,,0,1))</f>
        <v/>
      </c>
      <c r="R49" s="108" t="str">
        <f>IF(_xlfn.XLOOKUP($D49,'[1]Import Eletra'!$B:$B,'[1]Import Eletra'!$AN:$AN,,0,1)=0,"",_xlfn.XLOOKUP($D49,'[1]Import Eletra'!$B:$B,'[1]Import Eletra'!$AN:$AN,,0,1))</f>
        <v/>
      </c>
      <c r="S49" s="108" t="str">
        <f>IF(_xlfn.XLOOKUP($D49,'[1]Import Eletra'!$B:$B,'[1]Import Eletra'!$AO:$AO,,0,1)=0,"",_xlfn.XLOOKUP($D49,'[1]Import Eletra'!$B:$B,'[1]Import Eletra'!$AO:$AO,,0,1))</f>
        <v/>
      </c>
      <c r="T49" s="108" t="str">
        <f>IF(_xlfn.XLOOKUP($D49,'[1]Import Eletra'!$B:$B,'[1]Import Eletra'!$AP:$AP,,0,1)=0,"",_xlfn.XLOOKUP($D49,'[1]Import Eletra'!$B:$B,'[1]Import Eletra'!$AP:$AP,,0,1))</f>
        <v/>
      </c>
      <c r="U49" s="111" t="str">
        <f>IF(_xlfn.XLOOKUP($D49,'[1]Import Eletra'!$B:$B,'[1]Import Eletra'!$AQ:$AQ,,0,1)=0,"",_xlfn.XLOOKUP($D49,'[1]Import Eletra'!$B:$B,'[1]Import Eletra'!$AQ:$AQ,,0,1))</f>
        <v/>
      </c>
      <c r="V49" s="110">
        <f>AA49-$AA$4</f>
        <v>46107</v>
      </c>
      <c r="W49" s="104" t="str">
        <f>IF(_xlfn.XLOOKUP($D49,'[1]Import Eletra'!$B:$B,'[1]Import Eletra'!$AR:$AR,,0,1)=0,"",_xlfn.XLOOKUP($D49,'[1]Import Eletra'!$B:$B,'[1]Import Eletra'!$AR:$AR,,0,1))</f>
        <v/>
      </c>
      <c r="X49" s="113">
        <f>$V$3</f>
        <v>0</v>
      </c>
      <c r="Y49" s="113">
        <f ca="1">IF(W49="",TODAY()-V49,W49-V49)</f>
        <v>104</v>
      </c>
      <c r="Z49" s="184">
        <f ca="1">Y49-X49</f>
        <v>104</v>
      </c>
      <c r="AA49" s="164">
        <f>AF49-$AA$4</f>
        <v>46108</v>
      </c>
      <c r="AB49" s="104" t="str">
        <f>IF(_xlfn.XLOOKUP($D49,'[1]Import Eletra'!$B:$B,'[1]Import Eletra'!$AC:$AC,,0,1)=0,"",_xlfn.XLOOKUP($D49,'[1]Import Eletra'!$B:$B,'[1]Import Eletra'!$AC:$AC,,0,1))</f>
        <v/>
      </c>
      <c r="AC49" s="113">
        <f>$AA$3</f>
        <v>0</v>
      </c>
      <c r="AD49" s="113">
        <f ca="1">IF(AB49="",TODAY()-AA49,AB49-AA49)</f>
        <v>103</v>
      </c>
      <c r="AE49" s="184">
        <f ca="1">AD49-AC49</f>
        <v>103</v>
      </c>
      <c r="AF49" s="117">
        <f>AK49-$AK$4</f>
        <v>46109</v>
      </c>
      <c r="AG49" s="104" t="str">
        <f>IF(_xlfn.XLOOKUP($D49,'[1]Import Eletra'!$B:$B,'[1]Import Eletra'!$AD:$AD,,0,1)=0,"",_xlfn.XLOOKUP($D49,'[1]Import Eletra'!$B:$B,'[1]Import Eletra'!$AD:$AD,,0,1))</f>
        <v/>
      </c>
      <c r="AH49" s="113">
        <f>$AF$3</f>
        <v>0</v>
      </c>
      <c r="AI49" s="113">
        <f ca="1">IF(AG49="",TODAY()-AF49,AG49-AF49)</f>
        <v>102</v>
      </c>
      <c r="AJ49" s="184">
        <f ca="1">AI49-AH49</f>
        <v>102</v>
      </c>
      <c r="AK49" s="117">
        <f>AP49-$AP$4</f>
        <v>46109</v>
      </c>
      <c r="AL49" s="104" t="str">
        <f>IF(_xlfn.XLOOKUP($D49,'[1]Import Eletra'!$B:$B,'[1]Import Eletra'!$AS:$AS,,0,1)=0,"",_xlfn.XLOOKUP($D49,'[1]Import Eletra'!$B:$B,'[1]Import Eletra'!$AS:$AS,,0,1))</f>
        <v/>
      </c>
      <c r="AM49" s="113">
        <f>$AK$3</f>
        <v>0</v>
      </c>
      <c r="AN49" s="113">
        <f ca="1">IF(AL49="",TODAY()-AK49,AL49-AK49)</f>
        <v>102</v>
      </c>
      <c r="AO49" s="184">
        <f ca="1">AN49-AM49</f>
        <v>102</v>
      </c>
      <c r="AP49" s="118">
        <f>AU49-$AU$4</f>
        <v>46110</v>
      </c>
      <c r="AQ49" s="104" t="str">
        <f>IF(_xlfn.XLOOKUP($D49,'[1]Import Eletra'!$B:$B,'[1]Import Eletra'!$AT:$AT,,0,1)=0,"",_xlfn.XLOOKUP($D49,'[1]Import Eletra'!$B:$B,'[1]Import Eletra'!$AT:$AT,,0,1))</f>
        <v/>
      </c>
      <c r="AR49" s="113">
        <f>$AP$3</f>
        <v>1</v>
      </c>
      <c r="AS49" s="113">
        <f ca="1">IF(AQ49="",TODAY()-AP49,AQ49-AP49)</f>
        <v>101</v>
      </c>
      <c r="AT49" s="184">
        <f ca="1">AS49-AR49</f>
        <v>100</v>
      </c>
      <c r="AU49" s="117">
        <f>AZ49-$AZ$4</f>
        <v>46110</v>
      </c>
      <c r="AV49" s="104" t="str">
        <f>IF(_xlfn.XLOOKUP($D49,'[1]Import Eletra'!$B:$B,'[1]Import Eletra'!$AU:$AU,,0,1)=0,"",_xlfn.XLOOKUP($D49,'[1]Import Eletra'!$B:$B,'[1]Import Eletra'!$AU:$AU,,0,1))</f>
        <v/>
      </c>
      <c r="AW49" s="113">
        <f>$AU$3</f>
        <v>0</v>
      </c>
      <c r="AX49" s="113">
        <f ca="1">IF(AV49="",TODAY()-AU49,AV49-AU49)</f>
        <v>101</v>
      </c>
      <c r="AY49" s="184">
        <f ca="1">AX49-AW49</f>
        <v>101</v>
      </c>
      <c r="AZ49" s="118">
        <f>BE49-$BE$4</f>
        <v>46110</v>
      </c>
      <c r="BA49" s="104" t="str">
        <f>IF(_xlfn.XLOOKUP($D49,'[1]Import Eletra'!$B:$B,'[1]Import Eletra'!$AV:$AV,,0,1)=0,"",_xlfn.XLOOKUP($D49,'[1]Import Eletra'!$B:$B,'[1]Import Eletra'!$AV:$AV,,0,1))</f>
        <v/>
      </c>
      <c r="BB49" s="113">
        <f>$AZ$3</f>
        <v>0</v>
      </c>
      <c r="BC49" s="113">
        <f ca="1">IF(BA49="",TODAY()-AZ49,BA49-AZ49)</f>
        <v>101</v>
      </c>
      <c r="BD49" s="184">
        <f ca="1">BC49-BB49</f>
        <v>101</v>
      </c>
      <c r="BE49" s="110">
        <f>BJ49-$BJ$4</f>
        <v>46110</v>
      </c>
      <c r="BF49" s="104" t="str">
        <f>IF(_xlfn.XLOOKUP($D49,'[1]Import Eletra'!$B:$B,'[1]Import Eletra'!$AW:$AW,,0,1)=0,"",_xlfn.XLOOKUP($D49,'[1]Import Eletra'!$B:$B,'[1]Import Eletra'!$AW:$AW,,0,1))</f>
        <v/>
      </c>
      <c r="BG49" s="113">
        <f>$BE$3</f>
        <v>0</v>
      </c>
      <c r="BH49" s="113">
        <f ca="1">IF(BF49="",TODAY()-BE49,BF49-BE49)</f>
        <v>101</v>
      </c>
      <c r="BI49" s="184">
        <f ca="1">BH49-BG49</f>
        <v>101</v>
      </c>
      <c r="BJ49" s="120">
        <f>BO49-$BO$4</f>
        <v>46110</v>
      </c>
      <c r="BK49" s="104" t="str">
        <f>IF(_xlfn.XLOOKUP($D49,'[1]Import Eletra'!$B:$B,'[1]Import Eletra'!$AX:$AX,,0,1)=0,"",_xlfn.XLOOKUP($D49,'[1]Import Eletra'!$B:$B,'[1]Import Eletra'!$AX:$AX,,0,1))</f>
        <v/>
      </c>
      <c r="BL49" s="113">
        <f>$BJ$3</f>
        <v>0</v>
      </c>
      <c r="BM49" s="113">
        <f ca="1">IF(BK49="",TODAY()-BJ49,BK49-BJ49)</f>
        <v>101</v>
      </c>
      <c r="BN49" s="184">
        <f ca="1">BM49-BL49</f>
        <v>101</v>
      </c>
      <c r="BO49" s="110">
        <f>BT49-$BT$4</f>
        <v>46110</v>
      </c>
      <c r="BP49" s="104" t="str">
        <f>IF(_xlfn.XLOOKUP($D49,'[1]Import Eletra'!$B:$B,'[1]Import Eletra'!$AY:$AY,,0,1)=0,"",_xlfn.XLOOKUP($D49,'[1]Import Eletra'!$B:$B,'[1]Import Eletra'!$AY:$AY,,0,1))</f>
        <v/>
      </c>
      <c r="BQ49" s="113">
        <f>$BO$3</f>
        <v>0</v>
      </c>
      <c r="BR49" s="113">
        <f ca="1">IF(BP49="",TODAY()-BO49,BP49-BO49)</f>
        <v>101</v>
      </c>
      <c r="BS49" s="184">
        <f ca="1">BR49-BQ49</f>
        <v>101</v>
      </c>
      <c r="BT49" s="120">
        <f>BY49-$BY$4</f>
        <v>46112</v>
      </c>
      <c r="BU49" s="104" t="str">
        <f>IF(_xlfn.XLOOKUP($D49,'[1]Import Eletra'!$B:$B,'[1]Import Eletra'!$AZ:$AZ,,0,1)=0,"",_xlfn.XLOOKUP($D49,'[1]Import Eletra'!$B:$B,'[1]Import Eletra'!$AZ:$AZ,,0,1))</f>
        <v/>
      </c>
      <c r="BV49" s="113">
        <f>$BT$3</f>
        <v>2</v>
      </c>
      <c r="BW49" s="113">
        <f ca="1">IF(BU49="",TODAY()-BT49,BU49-BT49)</f>
        <v>99</v>
      </c>
      <c r="BX49" s="184">
        <f ca="1">BW49-BV49</f>
        <v>97</v>
      </c>
      <c r="BY49" s="110">
        <f>CD49-$CD$4</f>
        <v>46112</v>
      </c>
      <c r="BZ49" s="104" t="str">
        <f>IF(_xlfn.XLOOKUP($D49,'[1]Import Eletra'!$B:$B,'[1]Import Eletra'!$BA:$BA,,0,1)=0,"",_xlfn.XLOOKUP($D49,'[1]Import Eletra'!$B:$B,'[1]Import Eletra'!$BA:$BA,,0,1))</f>
        <v/>
      </c>
      <c r="CA49" s="113">
        <f>$BY$3</f>
        <v>0</v>
      </c>
      <c r="CB49" s="113">
        <f ca="1">IF(BZ49="",TODAY()-BY49,BZ49-BY49)</f>
        <v>99</v>
      </c>
      <c r="CC49" s="184">
        <f ca="1">CB49-CA49</f>
        <v>99</v>
      </c>
      <c r="CD49" s="120">
        <f>CI49-$CI$4</f>
        <v>46112</v>
      </c>
      <c r="CE49" s="104" t="str">
        <f>IF(_xlfn.XLOOKUP($D49,'[1]Import Eletra'!$B:$B,'[1]Import Eletra'!$BB:$BB,,0,1)=0,"",_xlfn.XLOOKUP($D49,'[1]Import Eletra'!$B:$B,'[1]Import Eletra'!$BB:$BB,,0,1))</f>
        <v/>
      </c>
      <c r="CF49" s="113">
        <f>$CD$3</f>
        <v>0</v>
      </c>
      <c r="CG49" s="113">
        <f ca="1">IF(CE49="",TODAY()-CD49,CE49-CD49)</f>
        <v>99</v>
      </c>
      <c r="CH49" s="184">
        <f ca="1">CG49-CF49</f>
        <v>99</v>
      </c>
      <c r="CI49" s="110">
        <f>CN49-$CN$4</f>
        <v>46112</v>
      </c>
      <c r="CJ49" s="104" t="str">
        <f>IF(_xlfn.XLOOKUP($D49,'[1]Import Eletra'!$B:$B,'[1]Import Eletra'!$BC:$BC,,0,1)=0,"",_xlfn.XLOOKUP($D49,'[1]Import Eletra'!$B:$B,'[1]Import Eletra'!$BC:$BC,,0,1))</f>
        <v/>
      </c>
      <c r="CK49" s="113"/>
      <c r="CL49" s="113">
        <f ca="1">IF(CJ49="",TODAY()-CI49,CJ49-CI49)</f>
        <v>99</v>
      </c>
      <c r="CM49" s="184">
        <f ca="1">CL49-CK49</f>
        <v>99</v>
      </c>
      <c r="CN49" s="120">
        <f>CS49-$CS$4</f>
        <v>46113</v>
      </c>
      <c r="CO49" s="104" t="str">
        <f>IF(_xlfn.XLOOKUP($D49,'[1]Import Eletra'!$B:$B,'[1]Import Eletra'!$BD:$BD,,0,1)=0,"",_xlfn.XLOOKUP($D49,'[1]Import Eletra'!$B:$B,'[1]Import Eletra'!$BD:$BD,,0,1))</f>
        <v/>
      </c>
      <c r="CP49" s="113">
        <f>$CN$3</f>
        <v>0</v>
      </c>
      <c r="CQ49" s="113">
        <f ca="1">IF(CO49="",TODAY()-CN49,CO49-CN49)</f>
        <v>98</v>
      </c>
      <c r="CR49" s="184">
        <f ca="1">CQ49-CP49</f>
        <v>98</v>
      </c>
      <c r="CS49" s="110">
        <f>CX49-$CX$4</f>
        <v>46113</v>
      </c>
      <c r="CT49" s="104" t="str">
        <f>IF(_xlfn.XLOOKUP($D49,'[1]Import Eletra'!$B:$B,'[1]Import Eletra'!$BE:$BE,,0,1)=0,"",_xlfn.XLOOKUP($D49,'[1]Import Eletra'!$B:$B,'[1]Import Eletra'!$BE:$BE,,0,1))</f>
        <v/>
      </c>
      <c r="CU49" s="113">
        <f>$CS$3</f>
        <v>0</v>
      </c>
      <c r="CV49" s="113">
        <f ca="1">IF(CT49="",TODAY()-CS49,CT49-CS49)</f>
        <v>98</v>
      </c>
      <c r="CW49" s="184">
        <f ca="1">CV49-CU49</f>
        <v>98</v>
      </c>
      <c r="CX49" s="110">
        <f>DC49-$DC$4</f>
        <v>46113</v>
      </c>
      <c r="CY49" s="104" t="str">
        <f>IF(_xlfn.XLOOKUP($D49,'[1]Import Eletra'!$B:$B,'[1]Import Eletra'!$BE:$BE,,0,1)=0,"",_xlfn.XLOOKUP($D49,'[1]Import Eletra'!$B:$B,'[1]Import Eletra'!$BE:$BE,,0,1))</f>
        <v/>
      </c>
      <c r="CZ49" s="210">
        <f>$CX$3</f>
        <v>0</v>
      </c>
      <c r="DA49" s="113">
        <f ca="1">IF(CY49="",TODAY()-CX49,CY49-CX49)</f>
        <v>98</v>
      </c>
      <c r="DB49" s="184">
        <f ca="1">DA49-CZ49</f>
        <v>98</v>
      </c>
      <c r="DC49" s="110">
        <f>DH49-$DH$4</f>
        <v>46115</v>
      </c>
      <c r="DD49" s="104" t="str">
        <f>IF(_xlfn.XLOOKUP($D49,'[1]Import Eletra'!$B:$B,'[1]Import Eletra'!$BF:$BF,,0,1)=0,"",_xlfn.XLOOKUP($D49,'[1]Import Eletra'!$B:$B,'[1]Import Eletra'!$BF:$BF,0,1))</f>
        <v/>
      </c>
      <c r="DE49" s="113">
        <f>$DC$3</f>
        <v>2</v>
      </c>
      <c r="DF49" s="113">
        <f ca="1">IF(DD49="",TODAY()-DC49,DD49-DC49)</f>
        <v>96</v>
      </c>
      <c r="DG49" s="184">
        <f ca="1">DF49-DE49</f>
        <v>94</v>
      </c>
      <c r="DH49" s="110">
        <f>DN49-$DM$4</f>
        <v>46116</v>
      </c>
      <c r="DI49" s="104" t="str">
        <f>IF(_xlfn.XLOOKUP($D49,'[1]Import Eletra'!$B:$B,'[1]Import Eletra'!$BG:$BG,,0,1)=0,"",_xlfn.XLOOKUP($D49,'[1]Import Eletra'!$B:$B,'[1]Import Eletra'!$BG:$BG,0,1))</f>
        <v/>
      </c>
      <c r="DJ49" s="113">
        <f>$DH$3</f>
        <v>1</v>
      </c>
      <c r="DK49" s="113">
        <f ca="1">IF(DI49="",TODAY()-DH49,DI49-DH49)</f>
        <v>95</v>
      </c>
      <c r="DL49" s="184">
        <f ca="1">DK49-DJ49</f>
        <v>94</v>
      </c>
      <c r="DM49" s="64"/>
      <c r="DN49" s="202">
        <f>IF(U49="",M49+DS49,U49+DS49)</f>
        <v>46117</v>
      </c>
      <c r="DO49" s="104"/>
      <c r="DP49" s="113">
        <f>$DM$3</f>
        <v>1</v>
      </c>
      <c r="DQ49" s="113">
        <f ca="1">IF(DO49="",TODAY()-DN49,DO49-DN49)</f>
        <v>94</v>
      </c>
      <c r="DR49" s="184">
        <f ca="1">DQ49-DP49</f>
        <v>93</v>
      </c>
      <c r="DS49" s="143">
        <v>10</v>
      </c>
      <c r="DT49" s="140"/>
      <c r="DU49" s="184">
        <f>DT49-DS49</f>
        <v>-10</v>
      </c>
      <c r="DV49" s="147"/>
      <c r="DW49" s="142" t="s">
        <v>257</v>
      </c>
      <c r="DZ49" s="230"/>
    </row>
    <row r="50" spans="1:130" s="147" customFormat="1" ht="30" customHeight="1">
      <c r="A50" s="227"/>
      <c r="B50" s="122"/>
      <c r="C50" s="123"/>
      <c r="D50" s="215"/>
      <c r="E50" s="124"/>
      <c r="F50" s="125"/>
      <c r="G50" s="123"/>
      <c r="H50" s="126"/>
      <c r="I50" s="126"/>
      <c r="J50" s="127"/>
      <c r="K50" s="127"/>
      <c r="L50" s="126"/>
      <c r="M50" s="126"/>
      <c r="N50" s="126"/>
      <c r="O50" s="126"/>
      <c r="P50" s="126"/>
      <c r="Q50" s="126"/>
      <c r="R50" s="126"/>
      <c r="S50" s="126"/>
      <c r="T50" s="126"/>
      <c r="U50" s="123"/>
      <c r="V50" s="126"/>
      <c r="W50" s="123"/>
      <c r="X50" s="128"/>
      <c r="Y50" s="129"/>
      <c r="Z50" s="128"/>
      <c r="AA50" s="130"/>
      <c r="AB50" s="123"/>
      <c r="AC50" s="128"/>
      <c r="AD50" s="128"/>
      <c r="AE50" s="128"/>
      <c r="AF50" s="130"/>
      <c r="AG50" s="123"/>
      <c r="AH50" s="128"/>
      <c r="AI50" s="128"/>
      <c r="AJ50" s="128"/>
      <c r="AK50" s="131"/>
      <c r="AL50" s="123"/>
      <c r="AM50" s="128"/>
      <c r="AN50" s="128"/>
      <c r="AO50" s="128"/>
      <c r="AP50" s="131"/>
      <c r="AQ50" s="123"/>
      <c r="AR50" s="128"/>
      <c r="AS50" s="128"/>
      <c r="AT50" s="128"/>
      <c r="AU50" s="131"/>
      <c r="AV50" s="123"/>
      <c r="AW50" s="128"/>
      <c r="AX50" s="129"/>
      <c r="AY50" s="129"/>
      <c r="AZ50" s="131"/>
      <c r="BA50" s="123"/>
      <c r="BB50" s="128"/>
      <c r="BC50" s="128"/>
      <c r="BD50" s="129"/>
      <c r="BE50" s="126"/>
      <c r="BF50" s="123"/>
      <c r="BG50" s="128"/>
      <c r="BH50" s="128"/>
      <c r="BI50" s="129"/>
      <c r="BJ50" s="126"/>
      <c r="BK50" s="123"/>
      <c r="BL50" s="128"/>
      <c r="BM50" s="128"/>
      <c r="BN50" s="128"/>
      <c r="BO50" s="126"/>
      <c r="BP50" s="123"/>
      <c r="BQ50" s="128"/>
      <c r="BR50" s="128"/>
      <c r="BS50" s="128"/>
      <c r="BT50" s="126"/>
      <c r="BU50" s="123"/>
      <c r="BV50" s="128"/>
      <c r="BW50" s="128"/>
      <c r="BX50" s="128"/>
      <c r="BY50" s="126"/>
      <c r="BZ50" s="123"/>
      <c r="CA50" s="128"/>
      <c r="CB50" s="128"/>
      <c r="CC50" s="128"/>
      <c r="CD50" s="126"/>
      <c r="CE50" s="123"/>
      <c r="CF50" s="128"/>
      <c r="CG50" s="128"/>
      <c r="CH50" s="128"/>
      <c r="CI50" s="126"/>
      <c r="CJ50" s="123"/>
      <c r="CK50" s="128"/>
      <c r="CL50" s="128"/>
      <c r="CM50" s="128"/>
      <c r="CN50" s="126"/>
      <c r="CO50" s="123"/>
      <c r="CP50" s="128"/>
      <c r="CQ50" s="128"/>
      <c r="CR50" s="128"/>
      <c r="CS50" s="126"/>
      <c r="CT50" s="123"/>
      <c r="CU50" s="128"/>
      <c r="CV50" s="128"/>
      <c r="CW50" s="128"/>
      <c r="CX50" s="126"/>
      <c r="CY50" s="123"/>
      <c r="CZ50" s="128"/>
      <c r="DA50" s="128"/>
      <c r="DB50" s="128"/>
      <c r="DC50" s="126"/>
      <c r="DD50" s="123"/>
      <c r="DE50" s="128"/>
      <c r="DF50" s="128"/>
      <c r="DG50" s="128"/>
      <c r="DH50" s="126"/>
      <c r="DI50" s="123"/>
      <c r="DJ50" s="128"/>
      <c r="DK50" s="128"/>
      <c r="DL50" s="128"/>
      <c r="DM50" s="123"/>
      <c r="DN50" s="132"/>
      <c r="DO50" s="123"/>
      <c r="DP50" s="128"/>
      <c r="DQ50" s="128"/>
      <c r="DR50" s="145"/>
      <c r="DS50" s="146"/>
      <c r="DT50" s="146"/>
      <c r="DU50" s="146"/>
      <c r="DW50" s="148"/>
      <c r="DZ50" s="233"/>
    </row>
    <row r="51" spans="1:130" s="147" customFormat="1" ht="30" customHeight="1">
      <c r="A51" s="227"/>
      <c r="B51" s="196" t="s">
        <v>305</v>
      </c>
      <c r="C51" s="197"/>
      <c r="D51" s="216"/>
      <c r="E51" s="124"/>
      <c r="F51" s="125"/>
      <c r="G51" s="123"/>
      <c r="H51" s="126"/>
      <c r="I51" s="126"/>
      <c r="J51" s="127"/>
      <c r="K51" s="127"/>
      <c r="L51" s="126"/>
      <c r="M51" s="126"/>
      <c r="N51" s="126"/>
      <c r="O51" s="126"/>
      <c r="P51" s="126"/>
      <c r="Q51" s="126"/>
      <c r="R51" s="126"/>
      <c r="S51" s="126"/>
      <c r="T51" s="126"/>
      <c r="U51" s="123"/>
      <c r="V51" s="126"/>
      <c r="W51" s="123"/>
      <c r="X51" s="128"/>
      <c r="Y51" s="129"/>
      <c r="Z51" s="128"/>
      <c r="AA51" s="130"/>
      <c r="AB51" s="123"/>
      <c r="AC51" s="128"/>
      <c r="AD51" s="128"/>
      <c r="AE51" s="128"/>
      <c r="AF51" s="130"/>
      <c r="AG51" s="123"/>
      <c r="AH51" s="128"/>
      <c r="AI51" s="128"/>
      <c r="AJ51" s="128"/>
      <c r="AK51" s="131"/>
      <c r="AL51" s="123"/>
      <c r="AM51" s="128"/>
      <c r="AN51" s="128"/>
      <c r="AO51" s="128"/>
      <c r="AP51" s="131"/>
      <c r="AQ51" s="123"/>
      <c r="AR51" s="128"/>
      <c r="AS51" s="128"/>
      <c r="AT51" s="128"/>
      <c r="AU51" s="131"/>
      <c r="AV51" s="123"/>
      <c r="AW51" s="128"/>
      <c r="AX51" s="129"/>
      <c r="AY51" s="129"/>
      <c r="AZ51" s="131"/>
      <c r="BA51" s="123"/>
      <c r="BB51" s="128"/>
      <c r="BC51" s="128"/>
      <c r="BD51" s="129"/>
      <c r="BE51" s="126"/>
      <c r="BF51" s="123"/>
      <c r="BG51" s="128"/>
      <c r="BH51" s="128"/>
      <c r="BI51" s="129"/>
      <c r="BJ51" s="126"/>
      <c r="BK51" s="123"/>
      <c r="BL51" s="128"/>
      <c r="BM51" s="128"/>
      <c r="BN51" s="128"/>
      <c r="BO51" s="126"/>
      <c r="BP51" s="123"/>
      <c r="BQ51" s="128"/>
      <c r="BR51" s="128"/>
      <c r="BS51" s="128"/>
      <c r="BT51" s="126"/>
      <c r="BU51" s="123"/>
      <c r="BV51" s="128"/>
      <c r="BW51" s="128"/>
      <c r="BX51" s="128"/>
      <c r="BY51" s="126"/>
      <c r="BZ51" s="123"/>
      <c r="CA51" s="128"/>
      <c r="CB51" s="128"/>
      <c r="CC51" s="128"/>
      <c r="CD51" s="126"/>
      <c r="CE51" s="123"/>
      <c r="CF51" s="128"/>
      <c r="CG51" s="128"/>
      <c r="CH51" s="128"/>
      <c r="CI51" s="126"/>
      <c r="CJ51" s="123"/>
      <c r="CK51" s="128"/>
      <c r="CL51" s="128"/>
      <c r="CM51" s="128"/>
      <c r="CN51" s="126"/>
      <c r="CO51" s="123"/>
      <c r="CP51" s="128"/>
      <c r="CQ51" s="128"/>
      <c r="CR51" s="128"/>
      <c r="CS51" s="126"/>
      <c r="CT51" s="123"/>
      <c r="CU51" s="128"/>
      <c r="CV51" s="128"/>
      <c r="CW51" s="128"/>
      <c r="CX51" s="126"/>
      <c r="CY51" s="123"/>
      <c r="CZ51" s="128"/>
      <c r="DA51" s="128"/>
      <c r="DB51" s="128"/>
      <c r="DC51" s="126"/>
      <c r="DD51" s="123"/>
      <c r="DE51" s="128"/>
      <c r="DF51" s="128"/>
      <c r="DG51" s="128"/>
      <c r="DH51" s="126"/>
      <c r="DI51" s="123"/>
      <c r="DJ51" s="128"/>
      <c r="DK51" s="128"/>
      <c r="DL51" s="128"/>
      <c r="DM51" s="123"/>
      <c r="DN51" s="132"/>
      <c r="DO51" s="123"/>
      <c r="DP51" s="128"/>
      <c r="DQ51" s="128"/>
      <c r="DR51" s="145"/>
      <c r="DS51" s="146"/>
      <c r="DT51" s="146"/>
      <c r="DU51" s="146"/>
      <c r="DW51" s="148"/>
      <c r="DZ51" s="233"/>
    </row>
    <row r="52" spans="1:130" ht="30" customHeight="1">
      <c r="B52" s="91">
        <v>1</v>
      </c>
      <c r="C52" s="2"/>
      <c r="D52" s="217" t="s">
        <v>306</v>
      </c>
      <c r="E52" s="98">
        <f>IF(_xlfn.XLOOKUP($D52,'[1]Import Eletra'!$B:$B,'[1]Import Eletra'!$U:$U,,0,1)=0,"",_xlfn.XLOOKUP($D52,'[1]Import Eletra'!$B:$B,'[1]Import Eletra'!$U:$U,,0,1))</f>
        <v>1</v>
      </c>
      <c r="F52" s="198" t="s">
        <v>307</v>
      </c>
      <c r="G52" s="2" t="str">
        <f>_xlfn.XLOOKUP($D52,'[1]Import Eletra'!$B:$B,'[1]Import Eletra'!$F:$F,,0,1)</f>
        <v>DELIVERED</v>
      </c>
      <c r="H52" s="3" t="str">
        <f>_xlfn.XLOOKUP($D52,'[1]Import Eletra'!$B:$B,'[1]Import Eletra'!$G:$G,,0,1)</f>
        <v>SEA</v>
      </c>
      <c r="I52" s="3"/>
      <c r="J52" s="58"/>
      <c r="K52" s="58"/>
      <c r="L52" s="3">
        <f>IF(_xlfn.XLOOKUP($D52,'[1]Import Eletra'!$B:$B,'[1]Import Eletra'!$J:$J,,0,1)=0,"",_xlfn.XLOOKUP($D52,'[1]Import Eletra'!$B:$B,'[1]Import Eletra'!$J:$J,,0,1))</f>
        <v>46060</v>
      </c>
      <c r="M52" s="2">
        <f>IF(_xlfn.XLOOKUP($D52,'[1]Import Eletra'!$B:$B,'[1]Import Eletra'!$L:$L,,0,1)=0,"",_xlfn.XLOOKUP($D52,'[1]Import Eletra'!$B:$B,'[1]Import Eletra'!$L:$L,,0,1))</f>
        <v>46112</v>
      </c>
      <c r="N52" s="19">
        <f>IF(_xlfn.XLOOKUP($D52,'[1]Import Eletra'!$B:$B,'[1]Import Eletra'!$AJ:$AJ,,0,1)=0,"",_xlfn.XLOOKUP($D52,'[1]Import Eletra'!$B:$B,'[1]Import Eletra'!$AJ:$AJ,,0,1))</f>
        <v>603684.59</v>
      </c>
      <c r="O52" s="3" t="str">
        <f>IF(_xlfn.XLOOKUP($D52,'[1]Import Eletra'!$B:$B,'[1]Import Eletra'!$AK:$AK,,0,1)=0,"",_xlfn.XLOOKUP($D52,'[1]Import Eletra'!$B:$B,'[1]Import Eletra'!$AK:$AK,,0,1))</f>
        <v/>
      </c>
      <c r="P52" s="3">
        <f>IF(_xlfn.XLOOKUP($D52,'[1]Import Eletra'!$B:$B,'[1]Import Eletra'!$AL:$AL,,0,1)=0,"",_xlfn.XLOOKUP($D52,'[1]Import Eletra'!$B:$B,'[1]Import Eletra'!$AL:$AL,,0,1))</f>
        <v>46134</v>
      </c>
      <c r="Q52" s="3">
        <f>IF(_xlfn.XLOOKUP($D52,'[1]Import Eletra'!$B:$B,'[1]Import Eletra'!$AM:$AM,,0,1)=0,"",_xlfn.XLOOKUP($D52,'[1]Import Eletra'!$B:$B,'[1]Import Eletra'!$AM:$AM,,0,1))</f>
        <v>46134</v>
      </c>
      <c r="R52" s="3">
        <f>IF(_xlfn.XLOOKUP($D52,'[1]Import Eletra'!$B:$B,'[1]Import Eletra'!$AN:$AN,,0,1)=0,"",_xlfn.XLOOKUP($D52,'[1]Import Eletra'!$B:$B,'[1]Import Eletra'!$AN:$AN,,0,1))</f>
        <v>46134</v>
      </c>
      <c r="S52" s="3">
        <f>IF(_xlfn.XLOOKUP($D52,'[1]Import Eletra'!$B:$B,'[1]Import Eletra'!$AO:$AO,,0,1)=0,"",_xlfn.XLOOKUP($D52,'[1]Import Eletra'!$B:$B,'[1]Import Eletra'!$AO:$AO,,0,1))</f>
        <v>46135</v>
      </c>
      <c r="T52" s="3">
        <f>IF(_xlfn.XLOOKUP($D52,'[1]Import Eletra'!$B:$B,'[1]Import Eletra'!$AP:$AP,,0,1)=0,"",_xlfn.XLOOKUP($D52,'[1]Import Eletra'!$B:$B,'[1]Import Eletra'!$AP:$AP,,0,1))</f>
        <v>46135</v>
      </c>
      <c r="U52" s="82">
        <f>M52</f>
        <v>46112</v>
      </c>
      <c r="V52" s="19">
        <f>AA52-$AA$3</f>
        <v>46115</v>
      </c>
      <c r="W52" s="2">
        <f>IF(_xlfn.XLOOKUP($D52,'[1]Import Eletra'!$B:$B,'[1]Import Eletra'!$AR:$AR,,0,1)=0,"",_xlfn.XLOOKUP($D52,'[1]Import Eletra'!$B:$B,'[1]Import Eletra'!$AR:$AR,,0,1))</f>
        <v>46112</v>
      </c>
      <c r="X52" s="1">
        <f t="shared" si="1"/>
        <v>0</v>
      </c>
      <c r="Y52" s="72">
        <f ca="1">IF(W52="",TODAY()-V52,W52-V52)</f>
        <v>-3</v>
      </c>
      <c r="Z52" s="184" t="str">
        <f ca="1">IF(AND(ISNUMBER($Y52),$Y52&gt;0),$Y52-$X52,"")</f>
        <v/>
      </c>
      <c r="AA52" s="33">
        <f t="shared" ref="AA52:AA61" si="84">AF52-$AA$3</f>
        <v>46115</v>
      </c>
      <c r="AB52" s="2" t="str">
        <f>IF(_xlfn.XLOOKUP($D52,'[1]Import Eletra'!$B:$B,'[1]Import Eletra'!$AC:$AC,,0,1)=0,"",_xlfn.XLOOKUP($D52,'[1]Import Eletra'!$B:$B,'[1]Import Eletra'!$AC:$AC,,0,1))</f>
        <v/>
      </c>
      <c r="AC52" s="1">
        <f t="shared" si="3"/>
        <v>0</v>
      </c>
      <c r="AD52" s="1">
        <f t="shared" ref="AD52:AD61" ca="1" si="85">IF(AB52="",TODAY()-AA52,AB52-AA52)</f>
        <v>96</v>
      </c>
      <c r="AE52" s="184">
        <f ca="1">AD52-AC52</f>
        <v>96</v>
      </c>
      <c r="AF52" s="35">
        <f t="shared" ref="AF52:AF61" si="86">AK52-$AK$3</f>
        <v>46115</v>
      </c>
      <c r="AG52" s="2">
        <f>IF(_xlfn.XLOOKUP($D52,'[1]Import Eletra'!$B:$B,'[1]Import Eletra'!$AD:$AD,,0,1)=0,"",_xlfn.XLOOKUP($D52,'[1]Import Eletra'!$B:$B,'[1]Import Eletra'!$AD:$AD,,0,1))</f>
        <v>46136</v>
      </c>
      <c r="AH52" s="1">
        <f t="shared" si="4"/>
        <v>0</v>
      </c>
      <c r="AI52" s="1">
        <f t="shared" ref="AI52:AI61" ca="1" si="87">IF(AG52="",TODAY()-AF52,AG52-AF52)</f>
        <v>21</v>
      </c>
      <c r="AJ52" s="184">
        <f ca="1">IF(AND(ISNUMBER($AI52),$AI52&gt;0),$AI52-$AH52,"")</f>
        <v>21</v>
      </c>
      <c r="AK52" s="70">
        <f t="shared" ref="AK52:AK61" si="88">AP52-$AP$3</f>
        <v>46115</v>
      </c>
      <c r="AL52" s="2">
        <f>IF(_xlfn.XLOOKUP($D52,'[1]Import Eletra'!$B:$B,'[1]Import Eletra'!$AS:$AS,,0,1)=0,"",_xlfn.XLOOKUP($D52,'[1]Import Eletra'!$B:$B,'[1]Import Eletra'!$AS:$AS,,0,1))</f>
        <v>46135</v>
      </c>
      <c r="AM52" s="1">
        <f t="shared" si="5"/>
        <v>0</v>
      </c>
      <c r="AN52" s="1">
        <f t="shared" ref="AN52:AN61" ca="1" si="89">IF(AL52="",TODAY()-AK52,AL52-AK52)</f>
        <v>20</v>
      </c>
      <c r="AO52" s="184">
        <f ca="1">IF(AND(ISNUMBER($AN52),$AN52&gt;0),$AN52-$AM52,"")</f>
        <v>20</v>
      </c>
      <c r="AP52" s="71">
        <f t="shared" ref="AP52:AP61" si="90">AU52-$AU$3</f>
        <v>46116</v>
      </c>
      <c r="AQ52" s="2">
        <f>IF(_xlfn.XLOOKUP($D52,'[1]Import Eletra'!$B:$B,'[1]Import Eletra'!$AT:$AT,,0,1)=0,"",_xlfn.XLOOKUP($D52,'[1]Import Eletra'!$B:$B,'[1]Import Eletra'!$AT:$AT,,0,1))</f>
        <v>46136</v>
      </c>
      <c r="AR52" s="1">
        <f t="shared" si="6"/>
        <v>1</v>
      </c>
      <c r="AS52" s="1">
        <f t="shared" ref="AS52:AS61" ca="1" si="91">IF(AQ52="",TODAY()-AP52,AQ52-AP52)</f>
        <v>20</v>
      </c>
      <c r="AT52" s="184">
        <f ca="1">IF(AND(ISNUMBER($AS52),$AS52&gt;0),$AS52-$AR52,"")</f>
        <v>19</v>
      </c>
      <c r="AU52" s="70">
        <f t="shared" ref="AU52:AU61" si="92">AZ52-$AZ$3</f>
        <v>46116</v>
      </c>
      <c r="AV52" s="2">
        <f>IF(_xlfn.XLOOKUP($D52,'[1]Import Eletra'!$B:$B,'[1]Import Eletra'!$AU:$AU,,0,1)=0,"",_xlfn.XLOOKUP($D52,'[1]Import Eletra'!$B:$B,'[1]Import Eletra'!$AU:$AU,,0,1))</f>
        <v>46136</v>
      </c>
      <c r="AW52" s="1">
        <f t="shared" si="38"/>
        <v>0</v>
      </c>
      <c r="AX52" s="72">
        <f t="shared" ref="AX52:AX61" ca="1" si="93">IF(AV52="",TODAY()-AU52,AV52-AU52)</f>
        <v>20</v>
      </c>
      <c r="AY52" s="184">
        <f ca="1">IF(AND(ISNUMBER($AX52),$AX52&gt;0),$AX52-$AW52,"")</f>
        <v>20</v>
      </c>
      <c r="AZ52" s="71">
        <f t="shared" ref="AZ52:AZ61" si="94">BE52-$BE$3</f>
        <v>46116</v>
      </c>
      <c r="BA52" s="2" t="str">
        <f>IF(_xlfn.XLOOKUP($D52,'[1]Import Eletra'!$B:$B,'[1]Import Eletra'!$AV:$AV,,0,1)=0,"",_xlfn.XLOOKUP($D52,'[1]Import Eletra'!$B:$B,'[1]Import Eletra'!$AV:$AV,,0,1))</f>
        <v/>
      </c>
      <c r="BB52" s="1">
        <f t="shared" si="39"/>
        <v>0</v>
      </c>
      <c r="BC52" s="1">
        <f t="shared" ref="BC52:BC61" ca="1" si="95">IF(BA52="",TODAY()-AZ52,BA52-AZ52)</f>
        <v>95</v>
      </c>
      <c r="BD52" s="184">
        <f ca="1">BC52-BB52</f>
        <v>95</v>
      </c>
      <c r="BE52" s="19">
        <f t="shared" ref="BE52:BE61" si="96">BJ52-$BJ$3</f>
        <v>46116</v>
      </c>
      <c r="BF52" s="2" t="str">
        <f>IF(_xlfn.XLOOKUP($D52,'[1]Import Eletra'!$B:$B,'[1]Import Eletra'!$AW:$AW,,0,1)=0,"",_xlfn.XLOOKUP($D52,'[1]Import Eletra'!$B:$B,'[1]Import Eletra'!$AW:$AW,,0,1))</f>
        <v/>
      </c>
      <c r="BG52" s="1">
        <f t="shared" si="40"/>
        <v>0</v>
      </c>
      <c r="BH52" s="1">
        <f t="shared" ref="BH52:BH61" ca="1" si="97">IF(BF52="",TODAY()-BE52,BF52-BE52)</f>
        <v>95</v>
      </c>
      <c r="BI52" s="184">
        <f ca="1">IF(AND(ISNUMBER($BH52),$BH52&gt;0),$BH52-$BG52,"")</f>
        <v>95</v>
      </c>
      <c r="BJ52" s="18">
        <f t="shared" ref="BJ52:BJ61" si="98">BO52-$BO$3</f>
        <v>46116</v>
      </c>
      <c r="BK52" s="2" t="str">
        <f>IF(_xlfn.XLOOKUP($D52,'[1]Import Eletra'!$B:$B,'[1]Import Eletra'!$AX:$AX,,0,1)=0,"",_xlfn.XLOOKUP($D52,'[1]Import Eletra'!$B:$B,'[1]Import Eletra'!$AX:$AX,,0,1))</f>
        <v/>
      </c>
      <c r="BL52" s="1">
        <f t="shared" si="7"/>
        <v>0</v>
      </c>
      <c r="BM52" s="1">
        <f t="shared" ref="BM52:BM61" ca="1" si="99">IF(BK52="",TODAY()-BJ52,BK52-BJ52)</f>
        <v>95</v>
      </c>
      <c r="BN52" s="184">
        <f ca="1">BM52-BL52</f>
        <v>95</v>
      </c>
      <c r="BO52" s="19">
        <f t="shared" ref="BO52:BO61" si="100">BT52-$BT$3</f>
        <v>46116</v>
      </c>
      <c r="BP52" s="2">
        <f>IF(_xlfn.XLOOKUP($D52,'[1]Import Eletra'!$B:$B,'[1]Import Eletra'!$AY:$AY,,0,1)=0,"",_xlfn.XLOOKUP($D52,'[1]Import Eletra'!$B:$B,'[1]Import Eletra'!$AY:$AY,,0,1))</f>
        <v>46136</v>
      </c>
      <c r="BQ52" s="1">
        <f t="shared" si="8"/>
        <v>0</v>
      </c>
      <c r="BR52" s="1">
        <f t="shared" ref="BR52:BR61" ca="1" si="101">IF(BP52="",TODAY()-BO52,BP52-BO52)</f>
        <v>20</v>
      </c>
      <c r="BS52" s="184">
        <f ca="1">IF(AND(ISNUMBER($BR52),$BR52&gt;0),$BR52-$BQ52,"")</f>
        <v>20</v>
      </c>
      <c r="BT52" s="18">
        <f t="shared" ref="BT52:BT61" si="102">BY52-$BY$3</f>
        <v>46118</v>
      </c>
      <c r="BU52" s="2">
        <f>IF(_xlfn.XLOOKUP($D52,'[1]Import Eletra'!$B:$B,'[1]Import Eletra'!$AZ:$AZ,,0,1)=0,"",_xlfn.XLOOKUP($D52,'[1]Import Eletra'!$B:$B,'[1]Import Eletra'!$AZ:$AZ,,0,1))</f>
        <v>46136</v>
      </c>
      <c r="BV52" s="1">
        <f t="shared" si="9"/>
        <v>2</v>
      </c>
      <c r="BW52" s="1">
        <f t="shared" ref="BW52:BW61" ca="1" si="103">IF(BU52="",TODAY()-BT52,BU52-BT52)</f>
        <v>18</v>
      </c>
      <c r="BX52" s="184">
        <f ca="1">IF(AND(ISNUMBER($BW52),$BW52&gt;0),$BW52-$BV52,"")</f>
        <v>16</v>
      </c>
      <c r="BY52" s="19">
        <f t="shared" ref="BY52:BY61" si="104">CD52-$CD$3</f>
        <v>46118</v>
      </c>
      <c r="BZ52" s="2">
        <f>IF(_xlfn.XLOOKUP($D52,'[1]Import Eletra'!$B:$B,'[1]Import Eletra'!$BA:$BA,,0,1)=0,"",_xlfn.XLOOKUP($D52,'[1]Import Eletra'!$B:$B,'[1]Import Eletra'!$BA:$BA,,0,1))</f>
        <v>46139</v>
      </c>
      <c r="CA52" s="1">
        <f t="shared" si="10"/>
        <v>0</v>
      </c>
      <c r="CB52" s="1">
        <f t="shared" ref="CB52:CB61" ca="1" si="105">IF(BZ52="",TODAY()-BY52,BZ52-BY52)</f>
        <v>21</v>
      </c>
      <c r="CC52" s="184">
        <f ca="1">IF(AND(ISNUMBER($CB52),$CB52&gt;0),$CB52-$CA52,"")</f>
        <v>21</v>
      </c>
      <c r="CD52" s="18">
        <f t="shared" ref="CD52:CD61" si="106">CI52-$CI$3</f>
        <v>46118</v>
      </c>
      <c r="CE52" s="2">
        <f>IF(_xlfn.XLOOKUP($D52,'[1]Import Eletra'!$B:$B,'[1]Import Eletra'!$BB:$BB,,0,1)=0,"",_xlfn.XLOOKUP($D52,'[1]Import Eletra'!$B:$B,'[1]Import Eletra'!$BB:$BB,,0,1))</f>
        <v>46139</v>
      </c>
      <c r="CF52" s="1">
        <f t="shared" si="11"/>
        <v>0</v>
      </c>
      <c r="CG52" s="1">
        <f t="shared" ref="CG52:CG61" ca="1" si="107">IF(CE52="",TODAY()-CD52,CE52-CD52)</f>
        <v>21</v>
      </c>
      <c r="CH52" s="184">
        <f ca="1">IF(AND(ISNUMBER($CG52),$CG52&gt;0),$CG52-$CF52,"")</f>
        <v>21</v>
      </c>
      <c r="CI52" s="19">
        <f t="shared" ref="CI52:CI61" si="108">CN52-$CN$3</f>
        <v>46118</v>
      </c>
      <c r="CJ52" s="2">
        <f>IF(_xlfn.XLOOKUP($D52,'[1]Import Eletra'!$B:$B,'[1]Import Eletra'!$BC:$BC,,0,1)=0,"",_xlfn.XLOOKUP($D52,'[1]Import Eletra'!$B:$B,'[1]Import Eletra'!$BC:$BC,,0,1))</f>
        <v>46139</v>
      </c>
      <c r="CK52" s="1"/>
      <c r="CL52" s="1">
        <f t="shared" ref="CL52:CL61" ca="1" si="109">IF(CJ52="",TODAY()-CI52,CJ52-CI52)</f>
        <v>21</v>
      </c>
      <c r="CM52" s="184">
        <f ca="1">IF(AND(ISNUMBER($CL52),$CL52&gt;0),$CL52-$CK52,"")</f>
        <v>21</v>
      </c>
      <c r="CN52" s="18">
        <f t="shared" ref="CN52:CN61" si="110">CS52-$CS$3</f>
        <v>46118</v>
      </c>
      <c r="CO52" s="2">
        <f>IF(_xlfn.XLOOKUP($D52,'[1]Import Eletra'!$B:$B,'[1]Import Eletra'!$BD:$BD,,0,1)=0,"",_xlfn.XLOOKUP($D52,'[1]Import Eletra'!$B:$B,'[1]Import Eletra'!$BD:$BD,,0,1))</f>
        <v>46139</v>
      </c>
      <c r="CP52" s="1">
        <f t="shared" si="12"/>
        <v>0</v>
      </c>
      <c r="CQ52" s="1">
        <f t="shared" ref="CQ52:CQ61" ca="1" si="111">IF(CO52="",TODAY()-CN52,CO52-CN52)</f>
        <v>21</v>
      </c>
      <c r="CR52" s="184">
        <f ca="1">IF(AND(ISNUMBER($CQ52),$CQ52&gt;0),$CQ52-$CP52,"")</f>
        <v>21</v>
      </c>
      <c r="CS52" s="19">
        <f t="shared" ref="CS52:CS61" si="112">CX52-$CX$3</f>
        <v>46118</v>
      </c>
      <c r="CT52" s="2">
        <f>IF(_xlfn.XLOOKUP($D52,'[1]Import Eletra'!$B:$B,'[1]Import Eletra'!$BE:$BE,,0,1)=0,"",_xlfn.XLOOKUP($D52,'[1]Import Eletra'!$B:$B,'[1]Import Eletra'!$BE:$BE,,0,1))</f>
        <v>46139</v>
      </c>
      <c r="CU52" s="1">
        <f t="shared" si="13"/>
        <v>0</v>
      </c>
      <c r="CV52" s="1">
        <f t="shared" ref="CV52:CV61" ca="1" si="113">IF(CT52="",TODAY()-CS52,CT52-CS52)</f>
        <v>21</v>
      </c>
      <c r="CW52" s="184">
        <f ca="1">IF(AND(ISNUMBER($CV52),$CV52&gt;0),$CV52-$CU52,"")</f>
        <v>21</v>
      </c>
      <c r="CX52" s="19">
        <f t="shared" ref="CX52:CX61" si="114">DC52-$DC$3</f>
        <v>46118</v>
      </c>
      <c r="CY52" s="2">
        <f>IF(_xlfn.XLOOKUP($D52,'[1]Import Eletra'!$B:$B,'[1]Import Eletra'!$BE:$BE,,0,1)=0,"",_xlfn.XLOOKUP($D52,'[1]Import Eletra'!$B:$B,'[1]Import Eletra'!$BE:$BE,,0,1))</f>
        <v>46139</v>
      </c>
      <c r="CZ52" s="40">
        <f t="shared" si="14"/>
        <v>0</v>
      </c>
      <c r="DA52" s="1">
        <f t="shared" ref="DA52:DA61" ca="1" si="115">IF(CY52="",TODAY()-CX52,CY52-CX52)</f>
        <v>21</v>
      </c>
      <c r="DB52" s="184">
        <f ca="1">IF(AND(ISNUMBER($DA52),$DA52&gt;0),$DA52-$CZ52,"")</f>
        <v>21</v>
      </c>
      <c r="DC52" s="19">
        <f t="shared" ref="DC52:DC61" si="116">DH52-$DH$3</f>
        <v>46120</v>
      </c>
      <c r="DD52" s="2">
        <f>IF(_xlfn.XLOOKUP($D52,'[1]Import Eletra'!$B:$B,'[1]Import Eletra'!$BF:$BF,,0,1)=0,"",_xlfn.XLOOKUP($D52,'[1]Import Eletra'!$B:$B,'[1]Import Eletra'!$BF:$BF,0,1))</f>
        <v>46139</v>
      </c>
      <c r="DE52" s="1">
        <f t="shared" si="15"/>
        <v>2</v>
      </c>
      <c r="DF52" s="1">
        <f t="shared" ref="DF52:DF61" ca="1" si="117">IF(DD52="",TODAY()-DC52,DD52-DC52)</f>
        <v>19</v>
      </c>
      <c r="DG52" s="184">
        <f ca="1">IF(AND(ISNUMBER($DF52),$DF52&gt;0),$DF52-$DE52,"")</f>
        <v>17</v>
      </c>
      <c r="DH52" s="19">
        <f>DN52-$DM$3</f>
        <v>46121</v>
      </c>
      <c r="DI52" s="2">
        <f>IF(_xlfn.XLOOKUP($D52,'[1]Import Eletra'!$B:$B,'[1]Import Eletra'!$BG:$BG,,0,1)=0,"",_xlfn.XLOOKUP($D52,'[1]Import Eletra'!$B:$B,'[1]Import Eletra'!$BG:$BG,0,1))</f>
        <v>46140</v>
      </c>
      <c r="DJ52" s="1">
        <f t="shared" si="16"/>
        <v>1</v>
      </c>
      <c r="DK52" s="1">
        <f t="shared" ref="DK52:DK61" ca="1" si="118">IF(DI52="",TODAY()-DH52,DI52-DH52)</f>
        <v>19</v>
      </c>
      <c r="DL52" s="184">
        <f ca="1">IF(AND(ISNUMBER($DK52),$DK52&gt;0),$DK52-$DJ52,"")</f>
        <v>18</v>
      </c>
      <c r="DM52" s="64"/>
      <c r="DN52" s="202">
        <f>IF(U52="",M52+DS52,U52+DS52)</f>
        <v>46122</v>
      </c>
      <c r="DO52" s="87">
        <v>46141</v>
      </c>
      <c r="DP52" s="1">
        <f>$DM$3</f>
        <v>1</v>
      </c>
      <c r="DQ52" s="1">
        <f t="shared" ref="DQ52:DQ61" ca="1" si="119">IF(DO52="",TODAY()-DN52,DO52-DN52)</f>
        <v>19</v>
      </c>
      <c r="DR52" s="184">
        <f t="shared" ref="DR52:DR61" ca="1" si="120">DQ52-DP52</f>
        <v>18</v>
      </c>
      <c r="DS52" s="139">
        <v>10</v>
      </c>
      <c r="DT52" s="140">
        <f ca="1">IF(DO52="",TODAY()-U52,DO52-U52)</f>
        <v>29</v>
      </c>
      <c r="DU52" s="184">
        <f t="shared" ref="DU52:DU61" ca="1" si="121">DT52-DS52</f>
        <v>19</v>
      </c>
      <c r="DW52" s="185" t="s">
        <v>245</v>
      </c>
      <c r="DZ52" s="230"/>
    </row>
    <row r="53" spans="1:130" ht="30" customHeight="1">
      <c r="B53" s="103">
        <v>1</v>
      </c>
      <c r="C53" s="104"/>
      <c r="D53" s="218" t="s">
        <v>308</v>
      </c>
      <c r="E53" s="203" t="str">
        <f>IF(_xlfn.XLOOKUP($D53,'[1]Import Eletra'!$B:$B,'[1]Import Eletra'!$U:$U,,0,1)=0,"",_xlfn.XLOOKUP($D53,'[1]Import Eletra'!$B:$B,'[1]Import Eletra'!$U:$U,,0,1))</f>
        <v/>
      </c>
      <c r="F53" s="199" t="s">
        <v>309</v>
      </c>
      <c r="G53" s="2" t="str">
        <f>_xlfn.XLOOKUP($D53,'[1]Import Eletra'!$B:$B,'[1]Import Eletra'!$F:$F,,0,1)</f>
        <v>DELIVERED</v>
      </c>
      <c r="H53" s="108" t="str">
        <f>_xlfn.XLOOKUP($D53,'[1]Import Eletra'!$B:$B,'[1]Import Eletra'!$G:$G,,0,1)</f>
        <v>AIR</v>
      </c>
      <c r="I53" s="108"/>
      <c r="J53" s="109"/>
      <c r="K53" s="109"/>
      <c r="L53" s="108">
        <f>IF(_xlfn.XLOOKUP($D53,'[1]Import Eletra'!$B:$B,'[1]Import Eletra'!$J:$J,,0,1)=0,"",_xlfn.XLOOKUP($D53,'[1]Import Eletra'!$B:$B,'[1]Import Eletra'!$J:$J,,0,1))</f>
        <v>46119</v>
      </c>
      <c r="M53" s="104">
        <f>IF(_xlfn.XLOOKUP($D53,'[1]Import Eletra'!$B:$B,'[1]Import Eletra'!$L:$L,,0,1)=0,"",_xlfn.XLOOKUP($D53,'[1]Import Eletra'!$B:$B,'[1]Import Eletra'!$L:$L,,0,1))</f>
        <v>46124</v>
      </c>
      <c r="N53" s="110">
        <f>IF(_xlfn.XLOOKUP($D53,'[1]Import Eletra'!$B:$B,'[1]Import Eletra'!$AJ:$AJ,,0,1)=0,"",_xlfn.XLOOKUP($D53,'[1]Import Eletra'!$B:$B,'[1]Import Eletra'!$AJ:$AJ,,0,1))</f>
        <v>9741.09</v>
      </c>
      <c r="O53" s="108">
        <f>IF(_xlfn.XLOOKUP($D53,'[1]Import Eletra'!$B:$B,'[1]Import Eletra'!$AK:$AK,,0,1)=0,"",_xlfn.XLOOKUP($D53,'[1]Import Eletra'!$B:$B,'[1]Import Eletra'!$AK:$AK,,0,1))</f>
        <v>46139</v>
      </c>
      <c r="P53" s="108">
        <f>IF(_xlfn.XLOOKUP($D53,'[1]Import Eletra'!$B:$B,'[1]Import Eletra'!$AL:$AL,,0,1)=0,"",_xlfn.XLOOKUP($D53,'[1]Import Eletra'!$B:$B,'[1]Import Eletra'!$AL:$AL,,0,1))</f>
        <v>46139</v>
      </c>
      <c r="Q53" s="108">
        <f>IF(_xlfn.XLOOKUP($D53,'[1]Import Eletra'!$B:$B,'[1]Import Eletra'!$AM:$AM,,0,1)=0,"",_xlfn.XLOOKUP($D53,'[1]Import Eletra'!$B:$B,'[1]Import Eletra'!$AM:$AM,,0,1))</f>
        <v>46139</v>
      </c>
      <c r="R53" s="108">
        <f>IF(_xlfn.XLOOKUP($D53,'[1]Import Eletra'!$B:$B,'[1]Import Eletra'!$AN:$AN,,0,1)=0,"",_xlfn.XLOOKUP($D53,'[1]Import Eletra'!$B:$B,'[1]Import Eletra'!$AN:$AN,,0,1))</f>
        <v>46139</v>
      </c>
      <c r="S53" s="108">
        <f>IF(_xlfn.XLOOKUP($D53,'[1]Import Eletra'!$B:$B,'[1]Import Eletra'!$AO:$AO,,0,1)=0,"",_xlfn.XLOOKUP($D53,'[1]Import Eletra'!$B:$B,'[1]Import Eletra'!$AO:$AO,,0,1))</f>
        <v>46139</v>
      </c>
      <c r="T53" s="108">
        <f>IF(_xlfn.XLOOKUP($D53,'[1]Import Eletra'!$B:$B,'[1]Import Eletra'!$AP:$AP,,0,1)=0,"",_xlfn.XLOOKUP($D53,'[1]Import Eletra'!$B:$B,'[1]Import Eletra'!$AP:$AP,,0,1))</f>
        <v>46139</v>
      </c>
      <c r="U53" s="111">
        <f>M53</f>
        <v>46124</v>
      </c>
      <c r="V53" s="110">
        <f>AA53-$AA$3</f>
        <v>46127</v>
      </c>
      <c r="W53" s="104">
        <f>IF(_xlfn.XLOOKUP($D53,'[1]Import Eletra'!$B:$B,'[1]Import Eletra'!$AR:$AR,,0,1)=0,"",_xlfn.XLOOKUP($D53,'[1]Import Eletra'!$B:$B,'[1]Import Eletra'!$AR:$AR,,0,1))</f>
        <v>46124</v>
      </c>
      <c r="X53" s="112">
        <f t="shared" si="1"/>
        <v>0</v>
      </c>
      <c r="Y53" s="113">
        <f ca="1">IF(W53="",TODAY()-V53,W53-V53)</f>
        <v>-3</v>
      </c>
      <c r="Z53" s="184" t="str">
        <f ca="1">IF(AND(ISNUMBER($Y53),$Y53&gt;0),$Y53-$X53,"")</f>
        <v/>
      </c>
      <c r="AA53" s="114">
        <f t="shared" si="84"/>
        <v>46127</v>
      </c>
      <c r="AB53" s="104" t="str">
        <f>IF(_xlfn.XLOOKUP($D53,'[1]Import Eletra'!$B:$B,'[1]Import Eletra'!$AC:$AC,,0,1)=0,"",_xlfn.XLOOKUP($D53,'[1]Import Eletra'!$B:$B,'[1]Import Eletra'!$AC:$AC,,0,1))</f>
        <v/>
      </c>
      <c r="AC53" s="112">
        <f t="shared" si="3"/>
        <v>0</v>
      </c>
      <c r="AD53" s="112">
        <f t="shared" ca="1" si="85"/>
        <v>84</v>
      </c>
      <c r="AE53" s="184">
        <f ca="1">AD53-AC53</f>
        <v>84</v>
      </c>
      <c r="AF53" s="117">
        <f t="shared" si="86"/>
        <v>46127</v>
      </c>
      <c r="AG53" s="104">
        <f>IF(_xlfn.XLOOKUP($D53,'[1]Import Eletra'!$B:$B,'[1]Import Eletra'!$AD:$AD,,0,1)=0,"",_xlfn.XLOOKUP($D53,'[1]Import Eletra'!$B:$B,'[1]Import Eletra'!$AD:$AD,,0,1))</f>
        <v>46141</v>
      </c>
      <c r="AH53" s="112">
        <f t="shared" si="4"/>
        <v>0</v>
      </c>
      <c r="AI53" s="112">
        <f t="shared" ca="1" si="87"/>
        <v>14</v>
      </c>
      <c r="AJ53" s="184">
        <f ca="1">IF(AND(ISNUMBER($AI53),$AI53&gt;0),$AI53-$AH53,"")</f>
        <v>14</v>
      </c>
      <c r="AK53" s="117">
        <f t="shared" si="88"/>
        <v>46127</v>
      </c>
      <c r="AL53" s="104">
        <f>IF(_xlfn.XLOOKUP($D53,'[1]Import Eletra'!$B:$B,'[1]Import Eletra'!$AS:$AS,,0,1)=0,"",_xlfn.XLOOKUP($D53,'[1]Import Eletra'!$B:$B,'[1]Import Eletra'!$AS:$AS,,0,1))</f>
        <v>46140</v>
      </c>
      <c r="AM53" s="112">
        <f t="shared" si="5"/>
        <v>0</v>
      </c>
      <c r="AN53" s="112">
        <f t="shared" ca="1" si="89"/>
        <v>13</v>
      </c>
      <c r="AO53" s="184">
        <f ca="1">IF(AND(ISNUMBER($AN53),$AN53&gt;0),$AN53-$AM53,"")</f>
        <v>13</v>
      </c>
      <c r="AP53" s="118">
        <f t="shared" si="90"/>
        <v>46128</v>
      </c>
      <c r="AQ53" s="59">
        <f>IF(_xlfn.XLOOKUP($D53,'[1]Import Eletra'!$B:$B,'[1]Import Eletra'!$AT:$AT,,0,1)=0,"",_xlfn.XLOOKUP($D53,'[1]Import Eletra'!$B:$B,'[1]Import Eletra'!$AT:$AT,,0,1))</f>
        <v>46141</v>
      </c>
      <c r="AR53" s="112">
        <f t="shared" si="6"/>
        <v>1</v>
      </c>
      <c r="AS53" s="112">
        <f t="shared" ca="1" si="91"/>
        <v>13</v>
      </c>
      <c r="AT53" s="184">
        <f ca="1">IF(AND(ISNUMBER($AS53),$AS53&gt;0),$AS53-$AR53,"")</f>
        <v>12</v>
      </c>
      <c r="AU53" s="117">
        <f t="shared" si="92"/>
        <v>46128</v>
      </c>
      <c r="AV53" s="104">
        <f>IF(_xlfn.XLOOKUP($D53,'[1]Import Eletra'!$B:$B,'[1]Import Eletra'!$AU:$AU,,0,1)=0,"",_xlfn.XLOOKUP($D53,'[1]Import Eletra'!$B:$B,'[1]Import Eletra'!$AU:$AU,,0,1))</f>
        <v>46142</v>
      </c>
      <c r="AW53" s="112">
        <f t="shared" si="38"/>
        <v>0</v>
      </c>
      <c r="AX53" s="113">
        <f t="shared" ca="1" si="93"/>
        <v>14</v>
      </c>
      <c r="AY53" s="184">
        <f ca="1">IF(AND(ISNUMBER($AX53),$AX53&gt;0),$AX53-$AW53,"")</f>
        <v>14</v>
      </c>
      <c r="AZ53" s="118">
        <f t="shared" si="94"/>
        <v>46128</v>
      </c>
      <c r="BA53" s="104" t="str">
        <f>IF(_xlfn.XLOOKUP($D53,'[1]Import Eletra'!$B:$B,'[1]Import Eletra'!$AV:$AV,,0,1)=0,"",_xlfn.XLOOKUP($D53,'[1]Import Eletra'!$B:$B,'[1]Import Eletra'!$AV:$AV,,0,1))</f>
        <v/>
      </c>
      <c r="BB53" s="112">
        <f t="shared" si="39"/>
        <v>0</v>
      </c>
      <c r="BC53" s="112">
        <f t="shared" ca="1" si="95"/>
        <v>83</v>
      </c>
      <c r="BD53" s="184">
        <f ca="1">BC53-BB53</f>
        <v>83</v>
      </c>
      <c r="BE53" s="110">
        <f t="shared" si="96"/>
        <v>46128</v>
      </c>
      <c r="BF53" s="104" t="str">
        <f>IF(_xlfn.XLOOKUP($D53,'[1]Import Eletra'!$B:$B,'[1]Import Eletra'!$AW:$AW,,0,1)=0,"",_xlfn.XLOOKUP($D53,'[1]Import Eletra'!$B:$B,'[1]Import Eletra'!$AW:$AW,,0,1))</f>
        <v/>
      </c>
      <c r="BG53" s="112">
        <f t="shared" si="40"/>
        <v>0</v>
      </c>
      <c r="BH53" s="112">
        <f t="shared" ca="1" si="97"/>
        <v>83</v>
      </c>
      <c r="BI53" s="184">
        <f ca="1">IF(AND(ISNUMBER($BH53),$BH53&gt;0),$BH53-$BG53,"")</f>
        <v>83</v>
      </c>
      <c r="BJ53" s="120">
        <f t="shared" si="98"/>
        <v>46128</v>
      </c>
      <c r="BK53" s="104" t="str">
        <f>IF(_xlfn.XLOOKUP($D53,'[1]Import Eletra'!$B:$B,'[1]Import Eletra'!$AX:$AX,,0,1)=0,"",_xlfn.XLOOKUP($D53,'[1]Import Eletra'!$B:$B,'[1]Import Eletra'!$AX:$AX,,0,1))</f>
        <v/>
      </c>
      <c r="BL53" s="112">
        <f t="shared" si="7"/>
        <v>0</v>
      </c>
      <c r="BM53" s="112">
        <f t="shared" ca="1" si="99"/>
        <v>83</v>
      </c>
      <c r="BN53" s="184">
        <f ca="1">BM53-BL53</f>
        <v>83</v>
      </c>
      <c r="BO53" s="110">
        <f t="shared" si="100"/>
        <v>46128</v>
      </c>
      <c r="BP53" s="104">
        <f>IF(_xlfn.XLOOKUP($D53,'[1]Import Eletra'!$B:$B,'[1]Import Eletra'!$AY:$AY,,0,1)=0,"",_xlfn.XLOOKUP($D53,'[1]Import Eletra'!$B:$B,'[1]Import Eletra'!$AY:$AY,,0,1))</f>
        <v>46141</v>
      </c>
      <c r="BQ53" s="112">
        <f t="shared" si="8"/>
        <v>0</v>
      </c>
      <c r="BR53" s="112">
        <f t="shared" ca="1" si="101"/>
        <v>13</v>
      </c>
      <c r="BS53" s="184">
        <f ca="1">IF(AND(ISNUMBER($BR53),$BR53&gt;0),$BR53-$BQ53,"")</f>
        <v>13</v>
      </c>
      <c r="BT53" s="120">
        <f t="shared" si="102"/>
        <v>46130</v>
      </c>
      <c r="BU53" s="104">
        <f>IF(_xlfn.XLOOKUP($D53,'[1]Import Eletra'!$B:$B,'[1]Import Eletra'!$AZ:$AZ,,0,1)=0,"",_xlfn.XLOOKUP($D53,'[1]Import Eletra'!$B:$B,'[1]Import Eletra'!$AZ:$AZ,,0,1))</f>
        <v>46141</v>
      </c>
      <c r="BV53" s="112">
        <f t="shared" si="9"/>
        <v>2</v>
      </c>
      <c r="BW53" s="112">
        <f t="shared" ca="1" si="103"/>
        <v>11</v>
      </c>
      <c r="BX53" s="184">
        <f ca="1">IF(AND(ISNUMBER($BW53),$BW53&gt;0),$BW53-$BV53,"")</f>
        <v>9</v>
      </c>
      <c r="BY53" s="110">
        <f t="shared" si="104"/>
        <v>46130</v>
      </c>
      <c r="BZ53" s="104">
        <f>IF(_xlfn.XLOOKUP($D53,'[1]Import Eletra'!$B:$B,'[1]Import Eletra'!$BA:$BA,,0,1)=0,"",_xlfn.XLOOKUP($D53,'[1]Import Eletra'!$B:$B,'[1]Import Eletra'!$BA:$BA,,0,1))</f>
        <v>46146</v>
      </c>
      <c r="CA53" s="112">
        <f t="shared" si="10"/>
        <v>0</v>
      </c>
      <c r="CB53" s="112">
        <f t="shared" ca="1" si="105"/>
        <v>16</v>
      </c>
      <c r="CC53" s="184">
        <f ca="1">IF(AND(ISNUMBER($CB53),$CB53&gt;0),$CB53-$CA53,"")</f>
        <v>16</v>
      </c>
      <c r="CD53" s="120">
        <f t="shared" si="106"/>
        <v>46130</v>
      </c>
      <c r="CE53" s="104">
        <f>IF(_xlfn.XLOOKUP($D53,'[1]Import Eletra'!$B:$B,'[1]Import Eletra'!$BB:$BB,,0,1)=0,"",_xlfn.XLOOKUP($D53,'[1]Import Eletra'!$B:$B,'[1]Import Eletra'!$BB:$BB,,0,1))</f>
        <v>46146</v>
      </c>
      <c r="CF53" s="112">
        <f t="shared" si="11"/>
        <v>0</v>
      </c>
      <c r="CG53" s="112">
        <f t="shared" ca="1" si="107"/>
        <v>16</v>
      </c>
      <c r="CH53" s="184">
        <f ca="1">IF(AND(ISNUMBER($CG53),$CG53&gt;0),$CG53-$CF53,"")</f>
        <v>16</v>
      </c>
      <c r="CI53" s="110">
        <f t="shared" si="108"/>
        <v>46130</v>
      </c>
      <c r="CJ53" s="104" t="str">
        <f>IF(_xlfn.XLOOKUP($D53,'[1]Import Eletra'!$B:$B,'[1]Import Eletra'!$BC:$BC,,0,1)=0,"",_xlfn.XLOOKUP($D53,'[1]Import Eletra'!$B:$B,'[1]Import Eletra'!$BC:$BC,,0,1))</f>
        <v/>
      </c>
      <c r="CK53" s="112"/>
      <c r="CL53" s="112">
        <f t="shared" ca="1" si="109"/>
        <v>81</v>
      </c>
      <c r="CM53" s="184">
        <f ca="1">IF(AND(ISNUMBER($CL53),$CL53&gt;0),$CL53-$CK53,"")</f>
        <v>81</v>
      </c>
      <c r="CN53" s="120">
        <f t="shared" si="110"/>
        <v>46130</v>
      </c>
      <c r="CO53" s="104">
        <f>IF(_xlfn.XLOOKUP($D53,'[1]Import Eletra'!$B:$B,'[1]Import Eletra'!$BD:$BD,,0,1)=0,"",_xlfn.XLOOKUP($D53,'[1]Import Eletra'!$B:$B,'[1]Import Eletra'!$BD:$BD,,0,1))</f>
        <v>46146</v>
      </c>
      <c r="CP53" s="112">
        <f t="shared" si="12"/>
        <v>0</v>
      </c>
      <c r="CQ53" s="112">
        <f t="shared" ca="1" si="111"/>
        <v>16</v>
      </c>
      <c r="CR53" s="184">
        <f ca="1">IF(AND(ISNUMBER($CQ53),$CQ53&gt;0),$CQ53-$CP53,"")</f>
        <v>16</v>
      </c>
      <c r="CS53" s="110">
        <f t="shared" si="112"/>
        <v>46130</v>
      </c>
      <c r="CT53" s="104">
        <f>IF(_xlfn.XLOOKUP($D53,'[1]Import Eletra'!$B:$B,'[1]Import Eletra'!$BE:$BE,,0,1)=0,"",_xlfn.XLOOKUP($D53,'[1]Import Eletra'!$B:$B,'[1]Import Eletra'!$BE:$BE,,0,1))</f>
        <v>46148</v>
      </c>
      <c r="CU53" s="112">
        <f t="shared" si="13"/>
        <v>0</v>
      </c>
      <c r="CV53" s="112">
        <f t="shared" ca="1" si="113"/>
        <v>18</v>
      </c>
      <c r="CW53" s="184">
        <f ca="1">IF(AND(ISNUMBER($CV53),$CV53&gt;0),$CV53-$CU53,"")</f>
        <v>18</v>
      </c>
      <c r="CX53" s="110">
        <f t="shared" si="114"/>
        <v>46130</v>
      </c>
      <c r="CY53" s="104">
        <f>IF(_xlfn.XLOOKUP($D53,'[1]Import Eletra'!$B:$B,'[1]Import Eletra'!$BE:$BE,,0,1)=0,"",_xlfn.XLOOKUP($D53,'[1]Import Eletra'!$B:$B,'[1]Import Eletra'!$BE:$BE,,0,1))</f>
        <v>46148</v>
      </c>
      <c r="CZ53" s="121">
        <f t="shared" si="14"/>
        <v>0</v>
      </c>
      <c r="DA53" s="112">
        <f t="shared" ca="1" si="115"/>
        <v>18</v>
      </c>
      <c r="DB53" s="184">
        <f ca="1">IF(AND(ISNUMBER($DA53),$DA53&gt;0),$DA53-$CZ53,"")</f>
        <v>18</v>
      </c>
      <c r="DC53" s="110">
        <f t="shared" si="116"/>
        <v>46132</v>
      </c>
      <c r="DD53" s="104">
        <f>IF(_xlfn.XLOOKUP($D53,'[1]Import Eletra'!$B:$B,'[1]Import Eletra'!$BF:$BF,,0,1)=0,"",_xlfn.XLOOKUP($D53,'[1]Import Eletra'!$B:$B,'[1]Import Eletra'!$BF:$BF,0,1))</f>
        <v>46148</v>
      </c>
      <c r="DE53" s="112">
        <f t="shared" si="15"/>
        <v>2</v>
      </c>
      <c r="DF53" s="112">
        <f t="shared" ca="1" si="117"/>
        <v>16</v>
      </c>
      <c r="DG53" s="184">
        <f ca="1">IF(AND(ISNUMBER($DF53),$DF53&gt;0),$DF53-$DE53,"")</f>
        <v>14</v>
      </c>
      <c r="DH53" s="110">
        <f>DN53-$DM$3</f>
        <v>46133</v>
      </c>
      <c r="DI53" s="104">
        <f>IF(_xlfn.XLOOKUP($D53,'[1]Import Eletra'!$B:$B,'[1]Import Eletra'!$BG:$BG,,0,1)=0,"",_xlfn.XLOOKUP($D53,'[1]Import Eletra'!$B:$B,'[1]Import Eletra'!$BG:$BG,0,1))</f>
        <v>46148</v>
      </c>
      <c r="DJ53" s="112">
        <f t="shared" si="16"/>
        <v>1</v>
      </c>
      <c r="DK53" s="112">
        <f t="shared" ca="1" si="118"/>
        <v>15</v>
      </c>
      <c r="DL53" s="184">
        <f ca="1">IF(AND(ISNUMBER($DK53),$DK53&gt;0),$DK53-$DJ53,"")</f>
        <v>14</v>
      </c>
      <c r="DM53" s="64"/>
      <c r="DN53" s="202">
        <f>IF(U53="",M53+DS53,U53+DS53)</f>
        <v>46134</v>
      </c>
      <c r="DO53" s="87">
        <v>46147</v>
      </c>
      <c r="DP53" s="112">
        <f>$DM$3</f>
        <v>1</v>
      </c>
      <c r="DQ53" s="112">
        <f t="shared" ca="1" si="119"/>
        <v>13</v>
      </c>
      <c r="DR53" s="184">
        <f t="shared" ca="1" si="120"/>
        <v>12</v>
      </c>
      <c r="DS53" s="143">
        <v>10</v>
      </c>
      <c r="DT53" s="140">
        <f ca="1">IF(DO53="",TODAY()-U53,DO53-U53)</f>
        <v>23</v>
      </c>
      <c r="DU53" s="184">
        <f t="shared" ca="1" si="121"/>
        <v>13</v>
      </c>
      <c r="DW53" s="220" t="s">
        <v>310</v>
      </c>
      <c r="DZ53" s="230"/>
    </row>
    <row r="54" spans="1:130" ht="30" customHeight="1">
      <c r="B54" s="91">
        <v>1</v>
      </c>
      <c r="C54" s="2"/>
      <c r="D54" s="211" t="s">
        <v>311</v>
      </c>
      <c r="E54" s="98">
        <f>IF(_xlfn.XLOOKUP($D54,'[1]Import Eletra'!$B:$B,'[1]Import Eletra'!$U:$U,,0,1)=0,"",_xlfn.XLOOKUP($D54,'[1]Import Eletra'!$B:$B,'[1]Import Eletra'!$U:$U,,0,1))</f>
        <v>1</v>
      </c>
      <c r="F54" s="90" t="s">
        <v>307</v>
      </c>
      <c r="G54" s="2" t="str">
        <f>_xlfn.XLOOKUP($D54,'[1]Import Eletra'!$B:$B,'[1]Import Eletra'!$F:$F,,0,1)</f>
        <v>DELIVERED</v>
      </c>
      <c r="H54" s="3" t="str">
        <f>_xlfn.XLOOKUP($D54,'[1]Import Eletra'!$B:$B,'[1]Import Eletra'!$G:$G,,0,1)</f>
        <v>SEA</v>
      </c>
      <c r="I54" s="3"/>
      <c r="J54" s="58"/>
      <c r="K54" s="58"/>
      <c r="L54" s="3">
        <f>IF(_xlfn.XLOOKUP($D54,'[1]Import Eletra'!$B:$B,'[1]Import Eletra'!$J:$J,,0,1)=0,"",_xlfn.XLOOKUP($D54,'[1]Import Eletra'!$B:$B,'[1]Import Eletra'!$J:$J,,0,1))</f>
        <v>46060</v>
      </c>
      <c r="M54" s="2">
        <f>IF(_xlfn.XLOOKUP($D54,'[1]Import Eletra'!$B:$B,'[1]Import Eletra'!$L:$L,,0,1)=0,"",_xlfn.XLOOKUP($D54,'[1]Import Eletra'!$B:$B,'[1]Import Eletra'!$L:$L,,0,1))</f>
        <v>46126</v>
      </c>
      <c r="N54" s="19">
        <f>IF(_xlfn.XLOOKUP($D54,'[1]Import Eletra'!$B:$B,'[1]Import Eletra'!$AJ:$AJ,,0,1)=0,"",_xlfn.XLOOKUP($D54,'[1]Import Eletra'!$B:$B,'[1]Import Eletra'!$AJ:$AJ,,0,1))</f>
        <v>543486.71999999997</v>
      </c>
      <c r="O54" s="3" t="str">
        <f>IF(_xlfn.XLOOKUP($D54,'[1]Import Eletra'!$B:$B,'[1]Import Eletra'!$AK:$AK,,0,1)=0,"",_xlfn.XLOOKUP($D54,'[1]Import Eletra'!$B:$B,'[1]Import Eletra'!$AK:$AK,,0,1))</f>
        <v/>
      </c>
      <c r="P54" s="3">
        <f>IF(_xlfn.XLOOKUP($D54,'[1]Import Eletra'!$B:$B,'[1]Import Eletra'!$AL:$AL,,0,1)=0,"",_xlfn.XLOOKUP($D54,'[1]Import Eletra'!$B:$B,'[1]Import Eletra'!$AL:$AL,,0,1))</f>
        <v>46140</v>
      </c>
      <c r="Q54" s="3">
        <f>IF(_xlfn.XLOOKUP($D54,'[1]Import Eletra'!$B:$B,'[1]Import Eletra'!$AM:$AM,,0,1)=0,"",_xlfn.XLOOKUP($D54,'[1]Import Eletra'!$B:$B,'[1]Import Eletra'!$AM:$AM,,0,1))</f>
        <v>46141</v>
      </c>
      <c r="R54" s="3">
        <f>IF(_xlfn.XLOOKUP($D54,'[1]Import Eletra'!$B:$B,'[1]Import Eletra'!$AN:$AN,,0,1)=0,"",_xlfn.XLOOKUP($D54,'[1]Import Eletra'!$B:$B,'[1]Import Eletra'!$AN:$AN,,0,1))</f>
        <v>46141</v>
      </c>
      <c r="S54" s="3">
        <f>IF(_xlfn.XLOOKUP($D54,'[1]Import Eletra'!$B:$B,'[1]Import Eletra'!$AO:$AO,,0,1)=0,"",_xlfn.XLOOKUP($D54,'[1]Import Eletra'!$B:$B,'[1]Import Eletra'!$AO:$AO,,0,1))</f>
        <v>46141</v>
      </c>
      <c r="T54" s="3">
        <f>IF(_xlfn.XLOOKUP($D54,'[1]Import Eletra'!$B:$B,'[1]Import Eletra'!$AP:$AP,,0,1)=0,"",_xlfn.XLOOKUP($D54,'[1]Import Eletra'!$B:$B,'[1]Import Eletra'!$AP:$AP,,0,1))</f>
        <v>46141</v>
      </c>
      <c r="U54" s="82">
        <f>M54</f>
        <v>46126</v>
      </c>
      <c r="V54" s="19">
        <f>AA54-$AA$3</f>
        <v>46129</v>
      </c>
      <c r="W54" s="2">
        <f>IF(_xlfn.XLOOKUP($D54,'[1]Import Eletra'!$B:$B,'[1]Import Eletra'!$AR:$AR,,0,1)=0,"",_xlfn.XLOOKUP($D54,'[1]Import Eletra'!$B:$B,'[1]Import Eletra'!$AR:$AR,,0,1))</f>
        <v>46126</v>
      </c>
      <c r="X54" s="1">
        <f t="shared" si="1"/>
        <v>0</v>
      </c>
      <c r="Y54" s="72">
        <f ca="1">IF(W54="",TODAY()-V54,W54-V54)</f>
        <v>-3</v>
      </c>
      <c r="Z54" s="184" t="str">
        <f ca="1">IF(AND(ISNUMBER($Y54),$Y54&gt;0),$Y54-$X54,"")</f>
        <v/>
      </c>
      <c r="AA54" s="33">
        <f t="shared" si="84"/>
        <v>46129</v>
      </c>
      <c r="AB54" s="2" t="str">
        <f>IF(_xlfn.XLOOKUP($D54,'[1]Import Eletra'!$B:$B,'[1]Import Eletra'!$AC:$AC,,0,1)=0,"",_xlfn.XLOOKUP($D54,'[1]Import Eletra'!$B:$B,'[1]Import Eletra'!$AC:$AC,,0,1))</f>
        <v/>
      </c>
      <c r="AC54" s="1">
        <f t="shared" si="3"/>
        <v>0</v>
      </c>
      <c r="AD54" s="1">
        <f t="shared" ca="1" si="85"/>
        <v>82</v>
      </c>
      <c r="AE54" s="184">
        <f ca="1">AD54-AC54</f>
        <v>82</v>
      </c>
      <c r="AF54" s="35">
        <f t="shared" si="86"/>
        <v>46129</v>
      </c>
      <c r="AG54" s="2">
        <f>IF(_xlfn.XLOOKUP($D54,'[1]Import Eletra'!$B:$B,'[1]Import Eletra'!$AD:$AD,,0,1)=0,"",_xlfn.XLOOKUP($D54,'[1]Import Eletra'!$B:$B,'[1]Import Eletra'!$AD:$AD,,0,1))</f>
        <v>46141</v>
      </c>
      <c r="AH54" s="1">
        <f t="shared" si="4"/>
        <v>0</v>
      </c>
      <c r="AI54" s="1">
        <f t="shared" ca="1" si="87"/>
        <v>12</v>
      </c>
      <c r="AJ54" s="184">
        <f ca="1">IF(AND(ISNUMBER($AI54),$AI54&gt;0),$AI54-$AH54,"")</f>
        <v>12</v>
      </c>
      <c r="AK54" s="70">
        <f t="shared" si="88"/>
        <v>46129</v>
      </c>
      <c r="AL54" s="2">
        <f>IF(_xlfn.XLOOKUP($D54,'[1]Import Eletra'!$B:$B,'[1]Import Eletra'!$AS:$AS,,0,1)=0,"",_xlfn.XLOOKUP($D54,'[1]Import Eletra'!$B:$B,'[1]Import Eletra'!$AS:$AS,,0,1))</f>
        <v>46141</v>
      </c>
      <c r="AM54" s="1">
        <f t="shared" si="5"/>
        <v>0</v>
      </c>
      <c r="AN54" s="1">
        <f t="shared" ca="1" si="89"/>
        <v>12</v>
      </c>
      <c r="AO54" s="184">
        <f ca="1">IF(AND(ISNUMBER($AN54),$AN54&gt;0),$AN54-$AM54,"")</f>
        <v>12</v>
      </c>
      <c r="AP54" s="71">
        <f t="shared" si="90"/>
        <v>46130</v>
      </c>
      <c r="AQ54" s="2">
        <f>IF(_xlfn.XLOOKUP($D54,'[1]Import Eletra'!$B:$B,'[1]Import Eletra'!$AT:$AT,,0,1)=0,"",_xlfn.XLOOKUP($D54,'[1]Import Eletra'!$B:$B,'[1]Import Eletra'!$AT:$AT,,0,1))</f>
        <v>46142</v>
      </c>
      <c r="AR54" s="1">
        <f t="shared" si="6"/>
        <v>1</v>
      </c>
      <c r="AS54" s="1">
        <f t="shared" ca="1" si="91"/>
        <v>12</v>
      </c>
      <c r="AT54" s="184">
        <f ca="1">IF(AND(ISNUMBER($AS54),$AS54&gt;0),$AS54-$AR54,"")</f>
        <v>11</v>
      </c>
      <c r="AU54" s="70">
        <f t="shared" si="92"/>
        <v>46130</v>
      </c>
      <c r="AV54" s="2">
        <f>IF(_xlfn.XLOOKUP($D54,'[1]Import Eletra'!$B:$B,'[1]Import Eletra'!$AU:$AU,,0,1)=0,"",_xlfn.XLOOKUP($D54,'[1]Import Eletra'!$B:$B,'[1]Import Eletra'!$AU:$AU,,0,1))</f>
        <v>46142</v>
      </c>
      <c r="AW54" s="1">
        <f t="shared" si="38"/>
        <v>0</v>
      </c>
      <c r="AX54" s="72">
        <f t="shared" ca="1" si="93"/>
        <v>12</v>
      </c>
      <c r="AY54" s="184">
        <f ca="1">IF(AND(ISNUMBER($AX54),$AX54&gt;0),$AX54-$AW54,"")</f>
        <v>12</v>
      </c>
      <c r="AZ54" s="71">
        <f t="shared" si="94"/>
        <v>46130</v>
      </c>
      <c r="BA54" s="2" t="str">
        <f>IF(_xlfn.XLOOKUP($D54,'[1]Import Eletra'!$B:$B,'[1]Import Eletra'!$AV:$AV,,0,1)=0,"",_xlfn.XLOOKUP($D54,'[1]Import Eletra'!$B:$B,'[1]Import Eletra'!$AV:$AV,,0,1))</f>
        <v/>
      </c>
      <c r="BB54" s="1">
        <f t="shared" si="39"/>
        <v>0</v>
      </c>
      <c r="BC54" s="1">
        <f t="shared" ca="1" si="95"/>
        <v>81</v>
      </c>
      <c r="BD54" s="184">
        <f ca="1">BC54-BB54</f>
        <v>81</v>
      </c>
      <c r="BE54" s="19">
        <f t="shared" si="96"/>
        <v>46130</v>
      </c>
      <c r="BF54" s="2" t="str">
        <f>IF(_xlfn.XLOOKUP($D54,'[1]Import Eletra'!$B:$B,'[1]Import Eletra'!$AW:$AW,,0,1)=0,"",_xlfn.XLOOKUP($D54,'[1]Import Eletra'!$B:$B,'[1]Import Eletra'!$AW:$AW,,0,1))</f>
        <v/>
      </c>
      <c r="BG54" s="1">
        <f t="shared" si="40"/>
        <v>0</v>
      </c>
      <c r="BH54" s="1">
        <f t="shared" ca="1" si="97"/>
        <v>81</v>
      </c>
      <c r="BI54" s="184">
        <f ca="1">IF(AND(ISNUMBER($BH54),$BH54&gt;0),$BH54-$BG54,"")</f>
        <v>81</v>
      </c>
      <c r="BJ54" s="18">
        <f t="shared" si="98"/>
        <v>46130</v>
      </c>
      <c r="BK54" s="2" t="str">
        <f>IF(_xlfn.XLOOKUP($D54,'[1]Import Eletra'!$B:$B,'[1]Import Eletra'!$AX:$AX,,0,1)=0,"",_xlfn.XLOOKUP($D54,'[1]Import Eletra'!$B:$B,'[1]Import Eletra'!$AX:$AX,,0,1))</f>
        <v/>
      </c>
      <c r="BL54" s="1">
        <f t="shared" si="7"/>
        <v>0</v>
      </c>
      <c r="BM54" s="1">
        <f t="shared" ca="1" si="99"/>
        <v>81</v>
      </c>
      <c r="BN54" s="184">
        <f ca="1">BM54-BL54</f>
        <v>81</v>
      </c>
      <c r="BO54" s="19">
        <f t="shared" si="100"/>
        <v>46130</v>
      </c>
      <c r="BP54" s="2" t="str">
        <f>IF(_xlfn.XLOOKUP($D54,'[1]Import Eletra'!$B:$B,'[1]Import Eletra'!$AY:$AY,,0,1)=0,"",_xlfn.XLOOKUP($D54,'[1]Import Eletra'!$B:$B,'[1]Import Eletra'!$AY:$AY,,0,1))</f>
        <v/>
      </c>
      <c r="BQ54" s="1">
        <f t="shared" si="8"/>
        <v>0</v>
      </c>
      <c r="BR54" s="1">
        <f t="shared" ca="1" si="101"/>
        <v>81</v>
      </c>
      <c r="BS54" s="184">
        <f ca="1">IF(AND(ISNUMBER($BR54),$BR54&gt;0),$BR54-$BQ54,"")</f>
        <v>81</v>
      </c>
      <c r="BT54" s="18">
        <f t="shared" si="102"/>
        <v>46132</v>
      </c>
      <c r="BU54" s="2" t="str">
        <f>IF(_xlfn.XLOOKUP($D54,'[1]Import Eletra'!$B:$B,'[1]Import Eletra'!$AZ:$AZ,,0,1)=0,"",_xlfn.XLOOKUP($D54,'[1]Import Eletra'!$B:$B,'[1]Import Eletra'!$AZ:$AZ,,0,1))</f>
        <v/>
      </c>
      <c r="BV54" s="1">
        <f t="shared" si="9"/>
        <v>2</v>
      </c>
      <c r="BW54" s="1">
        <f t="shared" ca="1" si="103"/>
        <v>79</v>
      </c>
      <c r="BX54" s="184">
        <f ca="1">IF(AND(ISNUMBER($BW54),$BW54&gt;0),$BW54-$BV54,"")</f>
        <v>77</v>
      </c>
      <c r="BY54" s="19">
        <f t="shared" si="104"/>
        <v>46132</v>
      </c>
      <c r="BZ54" s="2">
        <f>IF(_xlfn.XLOOKUP($D54,'[1]Import Eletra'!$B:$B,'[1]Import Eletra'!$BA:$BA,,0,1)=0,"",_xlfn.XLOOKUP($D54,'[1]Import Eletra'!$B:$B,'[1]Import Eletra'!$BA:$BA,,0,1))</f>
        <v>46146</v>
      </c>
      <c r="CA54" s="1">
        <f t="shared" si="10"/>
        <v>0</v>
      </c>
      <c r="CB54" s="1">
        <f t="shared" ca="1" si="105"/>
        <v>14</v>
      </c>
      <c r="CC54" s="184">
        <f ca="1">IF(AND(ISNUMBER($CB54),$CB54&gt;0),$CB54-$CA54,"")</f>
        <v>14</v>
      </c>
      <c r="CD54" s="18">
        <f t="shared" si="106"/>
        <v>46132</v>
      </c>
      <c r="CE54" s="2">
        <f>IF(_xlfn.XLOOKUP($D54,'[1]Import Eletra'!$B:$B,'[1]Import Eletra'!$BB:$BB,,0,1)=0,"",_xlfn.XLOOKUP($D54,'[1]Import Eletra'!$B:$B,'[1]Import Eletra'!$BB:$BB,,0,1))</f>
        <v>46146</v>
      </c>
      <c r="CF54" s="1">
        <f t="shared" si="11"/>
        <v>0</v>
      </c>
      <c r="CG54" s="1">
        <f t="shared" ca="1" si="107"/>
        <v>14</v>
      </c>
      <c r="CH54" s="184">
        <f ca="1">IF(AND(ISNUMBER($CG54),$CG54&gt;0),$CG54-$CF54,"")</f>
        <v>14</v>
      </c>
      <c r="CI54" s="19">
        <f t="shared" si="108"/>
        <v>46132</v>
      </c>
      <c r="CJ54" s="2">
        <f>IF(_xlfn.XLOOKUP($D54,'[1]Import Eletra'!$B:$B,'[1]Import Eletra'!$BC:$BC,,0,1)=0,"",_xlfn.XLOOKUP($D54,'[1]Import Eletra'!$B:$B,'[1]Import Eletra'!$BC:$BC,,0,1))</f>
        <v>46146</v>
      </c>
      <c r="CK54" s="1"/>
      <c r="CL54" s="1">
        <f t="shared" ca="1" si="109"/>
        <v>14</v>
      </c>
      <c r="CM54" s="184">
        <f ca="1">IF(AND(ISNUMBER($CL54),$CL54&gt;0),$CL54-$CK54,"")</f>
        <v>14</v>
      </c>
      <c r="CN54" s="18">
        <f t="shared" si="110"/>
        <v>46132</v>
      </c>
      <c r="CO54" s="2">
        <f>IF(_xlfn.XLOOKUP($D54,'[1]Import Eletra'!$B:$B,'[1]Import Eletra'!$BD:$BD,,0,1)=0,"",_xlfn.XLOOKUP($D54,'[1]Import Eletra'!$B:$B,'[1]Import Eletra'!$BD:$BD,,0,1))</f>
        <v>46146</v>
      </c>
      <c r="CP54" s="1">
        <f t="shared" si="12"/>
        <v>0</v>
      </c>
      <c r="CQ54" s="1">
        <f t="shared" ca="1" si="111"/>
        <v>14</v>
      </c>
      <c r="CR54" s="184">
        <f ca="1">IF(AND(ISNUMBER($CQ54),$CQ54&gt;0),$CQ54-$CP54,"")</f>
        <v>14</v>
      </c>
      <c r="CS54" s="19">
        <f t="shared" si="112"/>
        <v>46132</v>
      </c>
      <c r="CT54" s="2">
        <f>IF(_xlfn.XLOOKUP($D54,'[1]Import Eletra'!$B:$B,'[1]Import Eletra'!$BE:$BE,,0,1)=0,"",_xlfn.XLOOKUP($D54,'[1]Import Eletra'!$B:$B,'[1]Import Eletra'!$BE:$BE,,0,1))</f>
        <v>46147</v>
      </c>
      <c r="CU54" s="1">
        <f t="shared" si="13"/>
        <v>0</v>
      </c>
      <c r="CV54" s="1">
        <f t="shared" ca="1" si="113"/>
        <v>15</v>
      </c>
      <c r="CW54" s="184">
        <f ca="1">IF(AND(ISNUMBER($CV54),$CV54&gt;0),$CV54-$CU54,"")</f>
        <v>15</v>
      </c>
      <c r="CX54" s="19">
        <f t="shared" si="114"/>
        <v>46132</v>
      </c>
      <c r="CY54" s="2">
        <f>IF(_xlfn.XLOOKUP($D54,'[1]Import Eletra'!$B:$B,'[1]Import Eletra'!$BE:$BE,,0,1)=0,"",_xlfn.XLOOKUP($D54,'[1]Import Eletra'!$B:$B,'[1]Import Eletra'!$BE:$BE,,0,1))</f>
        <v>46147</v>
      </c>
      <c r="CZ54" s="40">
        <f t="shared" si="14"/>
        <v>0</v>
      </c>
      <c r="DA54" s="1">
        <f t="shared" ca="1" si="115"/>
        <v>15</v>
      </c>
      <c r="DB54" s="184">
        <f ca="1">IF(AND(ISNUMBER($DA54),$DA54&gt;0),$DA54-$CZ54,"")</f>
        <v>15</v>
      </c>
      <c r="DC54" s="19">
        <f t="shared" si="116"/>
        <v>46134</v>
      </c>
      <c r="DD54" s="2">
        <f>IF(_xlfn.XLOOKUP($D54,'[1]Import Eletra'!$B:$B,'[1]Import Eletra'!$BF:$BF,,0,1)=0,"",_xlfn.XLOOKUP($D54,'[1]Import Eletra'!$B:$B,'[1]Import Eletra'!$BF:$BF,0,1))</f>
        <v>46147</v>
      </c>
      <c r="DE54" s="1">
        <f t="shared" si="15"/>
        <v>2</v>
      </c>
      <c r="DF54" s="1">
        <f t="shared" ca="1" si="117"/>
        <v>13</v>
      </c>
      <c r="DG54" s="184">
        <f ca="1">IF(AND(ISNUMBER($DF54),$DF54&gt;0),$DF54-$DE54,"")</f>
        <v>11</v>
      </c>
      <c r="DH54" s="19">
        <f>DN54-$DM$3</f>
        <v>46135</v>
      </c>
      <c r="DI54" s="2">
        <f>IF(_xlfn.XLOOKUP($D54,'[1]Import Eletra'!$B:$B,'[1]Import Eletra'!$BG:$BG,,0,1)=0,"",_xlfn.XLOOKUP($D54,'[1]Import Eletra'!$B:$B,'[1]Import Eletra'!$BG:$BG,0,1))</f>
        <v>46148</v>
      </c>
      <c r="DJ54" s="1">
        <f t="shared" si="16"/>
        <v>1</v>
      </c>
      <c r="DK54" s="1">
        <f t="shared" ca="1" si="118"/>
        <v>13</v>
      </c>
      <c r="DL54" s="20"/>
      <c r="DM54" s="64"/>
      <c r="DN54" s="202">
        <f t="shared" ref="DN54:DN61" si="122">IF(U54="",M54+DS54,U54+DS54)</f>
        <v>46136</v>
      </c>
      <c r="DO54" s="2"/>
      <c r="DP54" s="1">
        <f>$DM$3</f>
        <v>1</v>
      </c>
      <c r="DQ54" s="1">
        <f t="shared" ca="1" si="119"/>
        <v>75</v>
      </c>
      <c r="DR54" s="184">
        <f t="shared" ca="1" si="120"/>
        <v>74</v>
      </c>
      <c r="DS54" s="139">
        <v>10</v>
      </c>
      <c r="DT54" s="140">
        <f ca="1">IF(DO54="",TODAY()-U54,DO54-U54)</f>
        <v>85</v>
      </c>
      <c r="DU54" s="184">
        <f t="shared" ca="1" si="121"/>
        <v>75</v>
      </c>
      <c r="DW54" s="142"/>
      <c r="DZ54" s="230"/>
    </row>
    <row r="55" spans="1:130" ht="30" customHeight="1">
      <c r="B55" s="103">
        <v>1</v>
      </c>
      <c r="C55" s="104"/>
      <c r="D55" s="214" t="s">
        <v>312</v>
      </c>
      <c r="E55" s="203">
        <f>IF(_xlfn.XLOOKUP($D55,'[1]Import Eletra'!$B:$B,'[1]Import Eletra'!$U:$U,,0,1)=0,"",_xlfn.XLOOKUP($D55,'[1]Import Eletra'!$B:$B,'[1]Import Eletra'!$U:$U,,0,1))</f>
        <v>1</v>
      </c>
      <c r="F55" s="199" t="s">
        <v>307</v>
      </c>
      <c r="G55" s="2" t="str">
        <f>_xlfn.XLOOKUP($D55,'[1]Import Eletra'!$B:$B,'[1]Import Eletra'!$F:$F,,0,1)</f>
        <v>DELIVERED</v>
      </c>
      <c r="H55" s="108" t="str">
        <f>_xlfn.XLOOKUP($D55,'[1]Import Eletra'!$B:$B,'[1]Import Eletra'!$G:$G,,0,1)</f>
        <v>SEA</v>
      </c>
      <c r="I55" s="108"/>
      <c r="J55" s="109"/>
      <c r="K55" s="109"/>
      <c r="L55" s="108">
        <f>IF(_xlfn.XLOOKUP($D55,'[1]Import Eletra'!$B:$B,'[1]Import Eletra'!$J:$J,,0,1)=0,"",_xlfn.XLOOKUP($D55,'[1]Import Eletra'!$B:$B,'[1]Import Eletra'!$J:$J,,0,1))</f>
        <v>46075</v>
      </c>
      <c r="M55" s="104">
        <f>IF(_xlfn.XLOOKUP($D55,'[1]Import Eletra'!$B:$B,'[1]Import Eletra'!$L:$L,,0,1)=0,"",_xlfn.XLOOKUP($D55,'[1]Import Eletra'!$B:$B,'[1]Import Eletra'!$L:$L,,0,1))</f>
        <v>46126</v>
      </c>
      <c r="N55" s="110">
        <f>IF(_xlfn.XLOOKUP($D55,'[1]Import Eletra'!$B:$B,'[1]Import Eletra'!$AJ:$AJ,,0,1)=0,"",_xlfn.XLOOKUP($D55,'[1]Import Eletra'!$B:$B,'[1]Import Eletra'!$AJ:$AJ,,0,1))</f>
        <v>321400.19</v>
      </c>
      <c r="O55" s="108">
        <f>IF(_xlfn.XLOOKUP($D55,'[1]Import Eletra'!$B:$B,'[1]Import Eletra'!$AK:$AK,,0,1)=0,"",_xlfn.XLOOKUP($D55,'[1]Import Eletra'!$B:$B,'[1]Import Eletra'!$AK:$AK,,0,1))</f>
        <v>46139</v>
      </c>
      <c r="P55" s="108">
        <f>IF(_xlfn.XLOOKUP($D55,'[1]Import Eletra'!$B:$B,'[1]Import Eletra'!$AL:$AL,,0,1)=0,"",_xlfn.XLOOKUP($D55,'[1]Import Eletra'!$B:$B,'[1]Import Eletra'!$AL:$AL,,0,1))</f>
        <v>46139</v>
      </c>
      <c r="Q55" s="108">
        <f>IF(_xlfn.XLOOKUP($D55,'[1]Import Eletra'!$B:$B,'[1]Import Eletra'!$AM:$AM,,0,1)=0,"",_xlfn.XLOOKUP($D55,'[1]Import Eletra'!$B:$B,'[1]Import Eletra'!$AM:$AM,,0,1))</f>
        <v>46141</v>
      </c>
      <c r="R55" s="108">
        <f>IF(_xlfn.XLOOKUP($D55,'[1]Import Eletra'!$B:$B,'[1]Import Eletra'!$AN:$AN,,0,1)=0,"",_xlfn.XLOOKUP($D55,'[1]Import Eletra'!$B:$B,'[1]Import Eletra'!$AN:$AN,,0,1))</f>
        <v>46141</v>
      </c>
      <c r="S55" s="108">
        <f>IF(_xlfn.XLOOKUP($D55,'[1]Import Eletra'!$B:$B,'[1]Import Eletra'!$AO:$AO,,0,1)=0,"",_xlfn.XLOOKUP($D55,'[1]Import Eletra'!$B:$B,'[1]Import Eletra'!$AO:$AO,,0,1))</f>
        <v>46142</v>
      </c>
      <c r="T55" s="4">
        <f>IF(_xlfn.XLOOKUP($D55,'[1]Import Eletra'!$B:$B,'[1]Import Eletra'!$AP:$AP,,0,1)=0,"",_xlfn.XLOOKUP($D55,'[1]Import Eletra'!$B:$B,'[1]Import Eletra'!$AP:$AP,,0,1))</f>
        <v>46142</v>
      </c>
      <c r="U55" s="111">
        <f>M55</f>
        <v>46126</v>
      </c>
      <c r="V55" s="110">
        <f>AA55-$AA$3</f>
        <v>46129</v>
      </c>
      <c r="W55" s="104">
        <f>IF(_xlfn.XLOOKUP($D55,'[1]Import Eletra'!$B:$B,'[1]Import Eletra'!$AR:$AR,,0,1)=0,"",_xlfn.XLOOKUP($D55,'[1]Import Eletra'!$B:$B,'[1]Import Eletra'!$AR:$AR,,0,1))</f>
        <v>46126</v>
      </c>
      <c r="X55" s="112">
        <f t="shared" si="1"/>
        <v>0</v>
      </c>
      <c r="Y55" s="113">
        <f ca="1">IF(W55="",TODAY()-V55,W55-V55)</f>
        <v>-3</v>
      </c>
      <c r="Z55" s="184" t="str">
        <f ca="1">IF(AND(ISNUMBER($Y55),$Y55&gt;0),$Y55-$X55,"")</f>
        <v/>
      </c>
      <c r="AA55" s="114">
        <f t="shared" si="84"/>
        <v>46129</v>
      </c>
      <c r="AB55" s="104" t="str">
        <f>IF(_xlfn.XLOOKUP($D55,'[1]Import Eletra'!$B:$B,'[1]Import Eletra'!$AC:$AC,,0,1)=0,"",_xlfn.XLOOKUP($D55,'[1]Import Eletra'!$B:$B,'[1]Import Eletra'!$AC:$AC,,0,1))</f>
        <v/>
      </c>
      <c r="AC55" s="112">
        <f t="shared" si="3"/>
        <v>0</v>
      </c>
      <c r="AD55" s="112">
        <f t="shared" ca="1" si="85"/>
        <v>82</v>
      </c>
      <c r="AE55" s="184">
        <f ca="1">AD55-AC55</f>
        <v>82</v>
      </c>
      <c r="AF55" s="116">
        <f t="shared" si="86"/>
        <v>46129</v>
      </c>
      <c r="AG55" s="104">
        <f>IF(_xlfn.XLOOKUP($D55,'[1]Import Eletra'!$B:$B,'[1]Import Eletra'!$AD:$AD,,0,1)=0,"",_xlfn.XLOOKUP($D55,'[1]Import Eletra'!$B:$B,'[1]Import Eletra'!$AD:$AD,,0,1))</f>
        <v>46147</v>
      </c>
      <c r="AH55" s="112">
        <f t="shared" si="4"/>
        <v>0</v>
      </c>
      <c r="AI55" s="112">
        <f t="shared" ca="1" si="87"/>
        <v>18</v>
      </c>
      <c r="AJ55" s="184">
        <f ca="1">IF(AND(ISNUMBER($AI55),$AI55&gt;0),$AI55-$AH55,"")</f>
        <v>18</v>
      </c>
      <c r="AK55" s="117">
        <f t="shared" si="88"/>
        <v>46129</v>
      </c>
      <c r="AL55" s="104">
        <f>IF(_xlfn.XLOOKUP($D55,'[1]Import Eletra'!$B:$B,'[1]Import Eletra'!$AS:$AS,,0,1)=0,"",_xlfn.XLOOKUP($D55,'[1]Import Eletra'!$B:$B,'[1]Import Eletra'!$AS:$AS,,0,1))</f>
        <v>46146</v>
      </c>
      <c r="AM55" s="112">
        <f t="shared" si="5"/>
        <v>0</v>
      </c>
      <c r="AN55" s="112">
        <f t="shared" ca="1" si="89"/>
        <v>17</v>
      </c>
      <c r="AO55" s="184">
        <f ca="1">IF(AND(ISNUMBER($AN55),$AN55&gt;0),$AN55-$AM55,"")</f>
        <v>17</v>
      </c>
      <c r="AP55" s="118">
        <f t="shared" si="90"/>
        <v>46130</v>
      </c>
      <c r="AQ55" s="104">
        <f>IF(_xlfn.XLOOKUP($D55,'[1]Import Eletra'!$B:$B,'[1]Import Eletra'!$AT:$AT,,0,1)=0,"",_xlfn.XLOOKUP($D55,'[1]Import Eletra'!$B:$B,'[1]Import Eletra'!$AT:$AT,,0,1))</f>
        <v>46147</v>
      </c>
      <c r="AR55" s="112">
        <f t="shared" si="6"/>
        <v>1</v>
      </c>
      <c r="AS55" s="112">
        <f t="shared" ca="1" si="91"/>
        <v>17</v>
      </c>
      <c r="AT55" s="184">
        <f ca="1">IF(AND(ISNUMBER($AS55),$AS55&gt;0),$AS55-$AR55,"")</f>
        <v>16</v>
      </c>
      <c r="AU55" s="117">
        <f t="shared" si="92"/>
        <v>46130</v>
      </c>
      <c r="AV55" s="104">
        <f>IF(_xlfn.XLOOKUP($D55,'[1]Import Eletra'!$B:$B,'[1]Import Eletra'!$AU:$AU,,0,1)=0,"",_xlfn.XLOOKUP($D55,'[1]Import Eletra'!$B:$B,'[1]Import Eletra'!$AU:$AU,,0,1))</f>
        <v>46147</v>
      </c>
      <c r="AW55" s="112">
        <f t="shared" si="38"/>
        <v>0</v>
      </c>
      <c r="AX55" s="113">
        <f t="shared" ca="1" si="93"/>
        <v>17</v>
      </c>
      <c r="AY55" s="184">
        <f ca="1">IF(AND(ISNUMBER($AX55),$AX55&gt;0),$AX55-$AW55,"")</f>
        <v>17</v>
      </c>
      <c r="AZ55" s="118">
        <f t="shared" si="94"/>
        <v>46130</v>
      </c>
      <c r="BA55" s="104" t="str">
        <f>IF(_xlfn.XLOOKUP($D55,'[1]Import Eletra'!$B:$B,'[1]Import Eletra'!$AV:$AV,,0,1)=0,"",_xlfn.XLOOKUP($D55,'[1]Import Eletra'!$B:$B,'[1]Import Eletra'!$AV:$AV,,0,1))</f>
        <v/>
      </c>
      <c r="BB55" s="112">
        <f t="shared" si="39"/>
        <v>0</v>
      </c>
      <c r="BC55" s="112">
        <f t="shared" ca="1" si="95"/>
        <v>81</v>
      </c>
      <c r="BD55" s="184">
        <f ca="1">BC55-BB55</f>
        <v>81</v>
      </c>
      <c r="BE55" s="110">
        <f t="shared" si="96"/>
        <v>46130</v>
      </c>
      <c r="BF55" s="104" t="str">
        <f>IF(_xlfn.XLOOKUP($D55,'[1]Import Eletra'!$B:$B,'[1]Import Eletra'!$AW:$AW,,0,1)=0,"",_xlfn.XLOOKUP($D55,'[1]Import Eletra'!$B:$B,'[1]Import Eletra'!$AW:$AW,,0,1))</f>
        <v/>
      </c>
      <c r="BG55" s="112">
        <f t="shared" si="40"/>
        <v>0</v>
      </c>
      <c r="BH55" s="112">
        <f t="shared" ca="1" si="97"/>
        <v>81</v>
      </c>
      <c r="BI55" s="184">
        <f ca="1">IF(AND(ISNUMBER($BH55),$BH55&gt;0),$BH55-$BG55,"")</f>
        <v>81</v>
      </c>
      <c r="BJ55" s="120">
        <f t="shared" si="98"/>
        <v>46130</v>
      </c>
      <c r="BK55" s="104" t="str">
        <f>IF(_xlfn.XLOOKUP($D55,'[1]Import Eletra'!$B:$B,'[1]Import Eletra'!$AX:$AX,,0,1)=0,"",_xlfn.XLOOKUP($D55,'[1]Import Eletra'!$B:$B,'[1]Import Eletra'!$AX:$AX,,0,1))</f>
        <v/>
      </c>
      <c r="BL55" s="112">
        <f t="shared" si="7"/>
        <v>0</v>
      </c>
      <c r="BM55" s="112">
        <f t="shared" ca="1" si="99"/>
        <v>81</v>
      </c>
      <c r="BN55" s="184">
        <f ca="1">BM55-BL55</f>
        <v>81</v>
      </c>
      <c r="BO55" s="110">
        <f t="shared" si="100"/>
        <v>46130</v>
      </c>
      <c r="BP55" s="104">
        <f>IF(_xlfn.XLOOKUP($D55,'[1]Import Eletra'!$B:$B,'[1]Import Eletra'!$AY:$AY,,0,1)=0,"",_xlfn.XLOOKUP($D55,'[1]Import Eletra'!$B:$B,'[1]Import Eletra'!$AY:$AY,,0,1))</f>
        <v>46147</v>
      </c>
      <c r="BQ55" s="112">
        <f t="shared" si="8"/>
        <v>0</v>
      </c>
      <c r="BR55" s="112">
        <f t="shared" ca="1" si="101"/>
        <v>17</v>
      </c>
      <c r="BS55" s="184">
        <f ca="1">IF(AND(ISNUMBER($BR55),$BR55&gt;0),$BR55-$BQ55,"")</f>
        <v>17</v>
      </c>
      <c r="BT55" s="120">
        <f t="shared" si="102"/>
        <v>46132</v>
      </c>
      <c r="BU55" s="104">
        <f>IF(_xlfn.XLOOKUP($D55,'[1]Import Eletra'!$B:$B,'[1]Import Eletra'!$AZ:$AZ,,0,1)=0,"",_xlfn.XLOOKUP($D55,'[1]Import Eletra'!$B:$B,'[1]Import Eletra'!$AZ:$AZ,,0,1))</f>
        <v>46147</v>
      </c>
      <c r="BV55" s="112">
        <f t="shared" si="9"/>
        <v>2</v>
      </c>
      <c r="BW55" s="112">
        <f t="shared" ca="1" si="103"/>
        <v>15</v>
      </c>
      <c r="BX55" s="184">
        <f ca="1">IF(AND(ISNUMBER($BW55),$BW55&gt;0),$BW55-$BV55,"")</f>
        <v>13</v>
      </c>
      <c r="BY55" s="110">
        <f t="shared" si="104"/>
        <v>46132</v>
      </c>
      <c r="BZ55" s="104">
        <f>IF(_xlfn.XLOOKUP($D55,'[1]Import Eletra'!$B:$B,'[1]Import Eletra'!$BA:$BA,,0,1)=0,"",_xlfn.XLOOKUP($D55,'[1]Import Eletra'!$B:$B,'[1]Import Eletra'!$BA:$BA,,0,1))</f>
        <v>46149</v>
      </c>
      <c r="CA55" s="112">
        <f t="shared" si="10"/>
        <v>0</v>
      </c>
      <c r="CB55" s="112">
        <f t="shared" ca="1" si="105"/>
        <v>17</v>
      </c>
      <c r="CC55" s="184">
        <f ca="1">IF(AND(ISNUMBER($CB55),$CB55&gt;0),$CB55-$CA55,"")</f>
        <v>17</v>
      </c>
      <c r="CD55" s="120">
        <f t="shared" si="106"/>
        <v>46132</v>
      </c>
      <c r="CE55" s="104">
        <f>IF(_xlfn.XLOOKUP($D55,'[1]Import Eletra'!$B:$B,'[1]Import Eletra'!$BB:$BB,,0,1)=0,"",_xlfn.XLOOKUP($D55,'[1]Import Eletra'!$B:$B,'[1]Import Eletra'!$BB:$BB,,0,1))</f>
        <v>46150</v>
      </c>
      <c r="CF55" s="112">
        <f t="shared" si="11"/>
        <v>0</v>
      </c>
      <c r="CG55" s="112">
        <f t="shared" ca="1" si="107"/>
        <v>18</v>
      </c>
      <c r="CH55" s="184">
        <f ca="1">IF(AND(ISNUMBER($CG55),$CG55&gt;0),$CG55-$CF55,"")</f>
        <v>18</v>
      </c>
      <c r="CI55" s="110">
        <f t="shared" si="108"/>
        <v>46132</v>
      </c>
      <c r="CJ55" s="104">
        <f>IF(_xlfn.XLOOKUP($D55,'[1]Import Eletra'!$B:$B,'[1]Import Eletra'!$BC:$BC,,0,1)=0,"",_xlfn.XLOOKUP($D55,'[1]Import Eletra'!$B:$B,'[1]Import Eletra'!$BC:$BC,,0,1))</f>
        <v>46150</v>
      </c>
      <c r="CK55" s="112"/>
      <c r="CL55" s="112">
        <f t="shared" ca="1" si="109"/>
        <v>18</v>
      </c>
      <c r="CM55" s="184">
        <f ca="1">IF(AND(ISNUMBER($CL55),$CL55&gt;0),$CL55-$CK55,"")</f>
        <v>18</v>
      </c>
      <c r="CN55" s="120">
        <f t="shared" si="110"/>
        <v>46132</v>
      </c>
      <c r="CO55" s="104">
        <f>IF(_xlfn.XLOOKUP($D55,'[1]Import Eletra'!$B:$B,'[1]Import Eletra'!$BD:$BD,,0,1)=0,"",_xlfn.XLOOKUP($D55,'[1]Import Eletra'!$B:$B,'[1]Import Eletra'!$BD:$BD,,0,1))</f>
        <v>46150</v>
      </c>
      <c r="CP55" s="112">
        <f t="shared" si="12"/>
        <v>0</v>
      </c>
      <c r="CQ55" s="112">
        <f t="shared" ca="1" si="111"/>
        <v>18</v>
      </c>
      <c r="CR55" s="184">
        <f ca="1">IF(AND(ISNUMBER($CQ55),$CQ55&gt;0),$CQ55-$CP55,"")</f>
        <v>18</v>
      </c>
      <c r="CS55" s="110">
        <f t="shared" si="112"/>
        <v>46132</v>
      </c>
      <c r="CT55" s="104">
        <f>IF(_xlfn.XLOOKUP($D55,'[1]Import Eletra'!$B:$B,'[1]Import Eletra'!$BE:$BE,,0,1)=0,"",_xlfn.XLOOKUP($D55,'[1]Import Eletra'!$B:$B,'[1]Import Eletra'!$BE:$BE,,0,1))</f>
        <v>46150</v>
      </c>
      <c r="CU55" s="112">
        <f t="shared" si="13"/>
        <v>0</v>
      </c>
      <c r="CV55" s="112">
        <f t="shared" ca="1" si="113"/>
        <v>18</v>
      </c>
      <c r="CW55" s="184">
        <f ca="1">IF(AND(ISNUMBER($CV55),$CV55&gt;0),$CV55-$CU55,"")</f>
        <v>18</v>
      </c>
      <c r="CX55" s="110">
        <f t="shared" si="114"/>
        <v>46132</v>
      </c>
      <c r="CY55" s="104">
        <f>IF(_xlfn.XLOOKUP($D55,'[1]Import Eletra'!$B:$B,'[1]Import Eletra'!$BE:$BE,,0,1)=0,"",_xlfn.XLOOKUP($D55,'[1]Import Eletra'!$B:$B,'[1]Import Eletra'!$BE:$BE,,0,1))</f>
        <v>46150</v>
      </c>
      <c r="CZ55" s="121">
        <f t="shared" si="14"/>
        <v>0</v>
      </c>
      <c r="DA55" s="112">
        <f t="shared" ca="1" si="115"/>
        <v>18</v>
      </c>
      <c r="DB55" s="184">
        <f ca="1">IF(AND(ISNUMBER($DA55),$DA55&gt;0),$DA55-$CZ55,"")</f>
        <v>18</v>
      </c>
      <c r="DC55" s="110">
        <f t="shared" si="116"/>
        <v>46134</v>
      </c>
      <c r="DD55" s="104">
        <f>IF(_xlfn.XLOOKUP($D55,'[1]Import Eletra'!$B:$B,'[1]Import Eletra'!$BF:$BF,,0,1)=0,"",_xlfn.XLOOKUP($D55,'[1]Import Eletra'!$B:$B,'[1]Import Eletra'!$BF:$BF,0,1))</f>
        <v>46150</v>
      </c>
      <c r="DE55" s="112">
        <f t="shared" si="15"/>
        <v>2</v>
      </c>
      <c r="DF55" s="112">
        <f t="shared" ca="1" si="117"/>
        <v>16</v>
      </c>
      <c r="DG55" s="184">
        <f ca="1">IF(AND(ISNUMBER($DF55),$DF55&gt;0),$DF55-$DE55,"")</f>
        <v>14</v>
      </c>
      <c r="DH55" s="110">
        <f>DN55-$DM$3</f>
        <v>46135</v>
      </c>
      <c r="DI55" s="104">
        <f>IF(_xlfn.XLOOKUP($D55,'[1]Import Eletra'!$B:$B,'[1]Import Eletra'!$BG:$BG,,0,1)=0,"",_xlfn.XLOOKUP($D55,'[1]Import Eletra'!$B:$B,'[1]Import Eletra'!$BG:$BG,0,1))</f>
        <v>46153</v>
      </c>
      <c r="DJ55" s="112">
        <f t="shared" si="16"/>
        <v>1</v>
      </c>
      <c r="DK55" s="112">
        <f t="shared" ca="1" si="118"/>
        <v>18</v>
      </c>
      <c r="DL55" s="184"/>
      <c r="DM55" s="64"/>
      <c r="DN55" s="202">
        <f>IF(U55="",M55+DS55,U55+DS55)</f>
        <v>46136</v>
      </c>
      <c r="DO55" s="104"/>
      <c r="DP55" s="112">
        <f>$DM$3</f>
        <v>1</v>
      </c>
      <c r="DQ55" s="112">
        <f t="shared" ca="1" si="119"/>
        <v>75</v>
      </c>
      <c r="DR55" s="184">
        <f t="shared" ca="1" si="120"/>
        <v>74</v>
      </c>
      <c r="DS55" s="143">
        <v>10</v>
      </c>
      <c r="DT55" s="140">
        <f ca="1">IF(DO55="",TODAY()-U55,DO55-U55)</f>
        <v>85</v>
      </c>
      <c r="DU55" s="184">
        <f t="shared" ca="1" si="121"/>
        <v>75</v>
      </c>
      <c r="DW55" s="142"/>
      <c r="DZ55" s="230"/>
    </row>
    <row r="56" spans="1:130" ht="30" customHeight="1">
      <c r="B56" s="91">
        <v>1</v>
      </c>
      <c r="C56" s="2"/>
      <c r="D56" s="212" t="s">
        <v>313</v>
      </c>
      <c r="E56" s="98">
        <f>IF(_xlfn.XLOOKUP($D56,'[1]Import Eletra'!$B:$B,'[1]Import Eletra'!$U:$U,,0,1)=0,"",_xlfn.XLOOKUP($D56,'[1]Import Eletra'!$B:$B,'[1]Import Eletra'!$U:$U,,0,1))</f>
        <v>1</v>
      </c>
      <c r="F56" s="198" t="s">
        <v>309</v>
      </c>
      <c r="G56" s="2" t="str">
        <f>_xlfn.XLOOKUP($D56,'[1]Import Eletra'!$B:$B,'[1]Import Eletra'!$F:$F,,0,1)</f>
        <v>DELIVERED</v>
      </c>
      <c r="H56" s="3" t="str">
        <f>_xlfn.XLOOKUP($D56,'[1]Import Eletra'!$B:$B,'[1]Import Eletra'!$G:$G,,0,1)</f>
        <v>SEA</v>
      </c>
      <c r="I56" s="3"/>
      <c r="J56" s="58"/>
      <c r="K56" s="58"/>
      <c r="L56" s="3">
        <f>IF(_xlfn.XLOOKUP($D56,'[1]Import Eletra'!$B:$B,'[1]Import Eletra'!$J:$J,,0,1)=0,"",_xlfn.XLOOKUP($D56,'[1]Import Eletra'!$B:$B,'[1]Import Eletra'!$J:$J,,0,1))</f>
        <v>46061</v>
      </c>
      <c r="M56" s="2">
        <f>IF(_xlfn.XLOOKUP($D56,'[1]Import Eletra'!$B:$B,'[1]Import Eletra'!$L:$L,,0,1)=0,"",_xlfn.XLOOKUP($D56,'[1]Import Eletra'!$B:$B,'[1]Import Eletra'!$L:$L,,0,1))</f>
        <v>46131</v>
      </c>
      <c r="N56" s="19">
        <f>IF(_xlfn.XLOOKUP($D56,'[1]Import Eletra'!$B:$B,'[1]Import Eletra'!$AJ:$AJ,,0,1)=0,"",_xlfn.XLOOKUP($D56,'[1]Import Eletra'!$B:$B,'[1]Import Eletra'!$AJ:$AJ,,0,1))</f>
        <v>15216.88</v>
      </c>
      <c r="O56" s="3">
        <f>IF(_xlfn.XLOOKUP($D56,'[1]Import Eletra'!$B:$B,'[1]Import Eletra'!$AK:$AK,,0,1)=0,"",_xlfn.XLOOKUP($D56,'[1]Import Eletra'!$B:$B,'[1]Import Eletra'!$AK:$AK,,0,1))</f>
        <v>46140</v>
      </c>
      <c r="P56" s="3">
        <f>IF(_xlfn.XLOOKUP($D56,'[1]Import Eletra'!$B:$B,'[1]Import Eletra'!$AL:$AL,,0,1)=0,"",_xlfn.XLOOKUP($D56,'[1]Import Eletra'!$B:$B,'[1]Import Eletra'!$AL:$AL,,0,1))</f>
        <v>46091</v>
      </c>
      <c r="Q56" s="3">
        <f>IF(_xlfn.XLOOKUP($D56,'[1]Import Eletra'!$B:$B,'[1]Import Eletra'!$AM:$AM,,0,1)=0,"",_xlfn.XLOOKUP($D56,'[1]Import Eletra'!$B:$B,'[1]Import Eletra'!$AM:$AM,,0,1))</f>
        <v>46091</v>
      </c>
      <c r="R56" s="3">
        <f>IF(_xlfn.XLOOKUP($D56,'[1]Import Eletra'!$B:$B,'[1]Import Eletra'!$AN:$AN,,0,1)=0,"",_xlfn.XLOOKUP($D56,'[1]Import Eletra'!$B:$B,'[1]Import Eletra'!$AN:$AN,,0,1))</f>
        <v>46091</v>
      </c>
      <c r="S56" s="3">
        <f>IF(_xlfn.XLOOKUP($D56,'[1]Import Eletra'!$B:$B,'[1]Import Eletra'!$AO:$AO,,0,1)=0,"",_xlfn.XLOOKUP($D56,'[1]Import Eletra'!$B:$B,'[1]Import Eletra'!$AO:$AO,,0,1))</f>
        <v>46092</v>
      </c>
      <c r="T56" s="3">
        <f>IF(_xlfn.XLOOKUP($D56,'[1]Import Eletra'!$B:$B,'[1]Import Eletra'!$AP:$AP,,0,1)=0,"",_xlfn.XLOOKUP($D56,'[1]Import Eletra'!$B:$B,'[1]Import Eletra'!$AP:$AP,,0,1))</f>
        <v>46092</v>
      </c>
      <c r="U56" s="82">
        <f>M56</f>
        <v>46131</v>
      </c>
      <c r="V56" s="19">
        <f>AA56-$AA$3</f>
        <v>46134</v>
      </c>
      <c r="W56" s="2">
        <f>IF(_xlfn.XLOOKUP($D56,'[1]Import Eletra'!$B:$B,'[1]Import Eletra'!$AR:$AR,,0,1)=0,"",_xlfn.XLOOKUP($D56,'[1]Import Eletra'!$B:$B,'[1]Import Eletra'!$AR:$AR,,0,1))</f>
        <v>46135</v>
      </c>
      <c r="X56" s="1">
        <f t="shared" si="1"/>
        <v>0</v>
      </c>
      <c r="Y56" s="72">
        <f ca="1">IF(W56="",TODAY()-V56,W56-V56)</f>
        <v>1</v>
      </c>
      <c r="Z56" s="184">
        <f ca="1">IF(AND(ISNUMBER($Y56),$Y56&gt;0),$Y56-$X56,"")</f>
        <v>1</v>
      </c>
      <c r="AA56" s="33">
        <f t="shared" si="84"/>
        <v>46134</v>
      </c>
      <c r="AB56" s="2" t="str">
        <f>IF(_xlfn.XLOOKUP($D56,'[1]Import Eletra'!$B:$B,'[1]Import Eletra'!$AC:$AC,,0,1)=0,"",_xlfn.XLOOKUP($D56,'[1]Import Eletra'!$B:$B,'[1]Import Eletra'!$AC:$AC,,0,1))</f>
        <v/>
      </c>
      <c r="AC56" s="1">
        <f t="shared" si="3"/>
        <v>0</v>
      </c>
      <c r="AD56" s="1">
        <f t="shared" ca="1" si="85"/>
        <v>77</v>
      </c>
      <c r="AE56" s="184">
        <f ca="1">AD56-AC56</f>
        <v>77</v>
      </c>
      <c r="AF56" s="35">
        <f t="shared" si="86"/>
        <v>46134</v>
      </c>
      <c r="AG56" s="2">
        <f>IF(_xlfn.XLOOKUP($D56,'[1]Import Eletra'!$B:$B,'[1]Import Eletra'!$AD:$AD,,0,1)=0,"",_xlfn.XLOOKUP($D56,'[1]Import Eletra'!$B:$B,'[1]Import Eletra'!$AD:$AD,,0,1))</f>
        <v>46141</v>
      </c>
      <c r="AH56" s="1">
        <f t="shared" si="4"/>
        <v>0</v>
      </c>
      <c r="AI56" s="1">
        <f t="shared" ca="1" si="87"/>
        <v>7</v>
      </c>
      <c r="AJ56" s="184">
        <f ca="1">IF(AND(ISNUMBER($AI56),$AI56&gt;0),$AI56-$AH56,"")</f>
        <v>7</v>
      </c>
      <c r="AK56" s="70">
        <f t="shared" si="88"/>
        <v>46134</v>
      </c>
      <c r="AL56" s="2">
        <f>IF(_xlfn.XLOOKUP($D56,'[1]Import Eletra'!$B:$B,'[1]Import Eletra'!$AS:$AS,,0,1)=0,"",_xlfn.XLOOKUP($D56,'[1]Import Eletra'!$B:$B,'[1]Import Eletra'!$AS:$AS,,0,1))</f>
        <v>46141</v>
      </c>
      <c r="AM56" s="1">
        <f t="shared" si="5"/>
        <v>0</v>
      </c>
      <c r="AN56" s="1">
        <f t="shared" ca="1" si="89"/>
        <v>7</v>
      </c>
      <c r="AO56" s="184">
        <f ca="1">IF(AND(ISNUMBER($AN56),$AN56&gt;0),$AN56-$AM56,"")</f>
        <v>7</v>
      </c>
      <c r="AP56" s="71">
        <f t="shared" si="90"/>
        <v>46135</v>
      </c>
      <c r="AQ56" s="59">
        <f>IF(_xlfn.XLOOKUP($D56,'[1]Import Eletra'!$B:$B,'[1]Import Eletra'!$AT:$AT,,0,1)=0,"",_xlfn.XLOOKUP($D56,'[1]Import Eletra'!$B:$B,'[1]Import Eletra'!$AT:$AT,,0,1))</f>
        <v>46141</v>
      </c>
      <c r="AR56" s="1">
        <f t="shared" si="6"/>
        <v>1</v>
      </c>
      <c r="AS56" s="1">
        <f t="shared" ca="1" si="91"/>
        <v>6</v>
      </c>
      <c r="AT56" s="184">
        <f ca="1">IF(AND(ISNUMBER($AS56),$AS56&gt;0),$AS56-$AR56,"")</f>
        <v>5</v>
      </c>
      <c r="AU56" s="70">
        <f t="shared" si="92"/>
        <v>46135</v>
      </c>
      <c r="AV56" s="2">
        <f>IF(_xlfn.XLOOKUP($D56,'[1]Import Eletra'!$B:$B,'[1]Import Eletra'!$AU:$AU,,0,1)=0,"",_xlfn.XLOOKUP($D56,'[1]Import Eletra'!$B:$B,'[1]Import Eletra'!$AU:$AU,,0,1))</f>
        <v>46142</v>
      </c>
      <c r="AW56" s="1">
        <f t="shared" si="38"/>
        <v>0</v>
      </c>
      <c r="AX56" s="72">
        <f t="shared" ca="1" si="93"/>
        <v>7</v>
      </c>
      <c r="AY56" s="184">
        <f ca="1">IF(AND(ISNUMBER($AX56),$AX56&gt;0),$AX56-$AW56,"")</f>
        <v>7</v>
      </c>
      <c r="AZ56" s="71">
        <f t="shared" si="94"/>
        <v>46135</v>
      </c>
      <c r="BA56" s="2" t="str">
        <f>IF(_xlfn.XLOOKUP($D56,'[1]Import Eletra'!$B:$B,'[1]Import Eletra'!$AV:$AV,,0,1)=0,"",_xlfn.XLOOKUP($D56,'[1]Import Eletra'!$B:$B,'[1]Import Eletra'!$AV:$AV,,0,1))</f>
        <v/>
      </c>
      <c r="BB56" s="1">
        <f t="shared" si="39"/>
        <v>0</v>
      </c>
      <c r="BC56" s="1">
        <f t="shared" ca="1" si="95"/>
        <v>76</v>
      </c>
      <c r="BD56" s="184">
        <f ca="1">BC56-BB56</f>
        <v>76</v>
      </c>
      <c r="BE56" s="19">
        <f t="shared" si="96"/>
        <v>46135</v>
      </c>
      <c r="BF56" s="2" t="str">
        <f>IF(_xlfn.XLOOKUP($D56,'[1]Import Eletra'!$B:$B,'[1]Import Eletra'!$AW:$AW,,0,1)=0,"",_xlfn.XLOOKUP($D56,'[1]Import Eletra'!$B:$B,'[1]Import Eletra'!$AW:$AW,,0,1))</f>
        <v/>
      </c>
      <c r="BG56" s="1">
        <f t="shared" si="40"/>
        <v>0</v>
      </c>
      <c r="BH56" s="1">
        <f t="shared" ca="1" si="97"/>
        <v>76</v>
      </c>
      <c r="BI56" s="184">
        <f ca="1">IF(AND(ISNUMBER($BH56),$BH56&gt;0),$BH56-$BG56,"")</f>
        <v>76</v>
      </c>
      <c r="BJ56" s="18">
        <f t="shared" si="98"/>
        <v>46135</v>
      </c>
      <c r="BK56" s="2" t="str">
        <f>IF(_xlfn.XLOOKUP($D56,'[1]Import Eletra'!$B:$B,'[1]Import Eletra'!$AX:$AX,,0,1)=0,"",_xlfn.XLOOKUP($D56,'[1]Import Eletra'!$B:$B,'[1]Import Eletra'!$AX:$AX,,0,1))</f>
        <v/>
      </c>
      <c r="BL56" s="1">
        <f t="shared" si="7"/>
        <v>0</v>
      </c>
      <c r="BM56" s="1">
        <f t="shared" ca="1" si="99"/>
        <v>76</v>
      </c>
      <c r="BN56" s="184">
        <f ca="1">BM56-BL56</f>
        <v>76</v>
      </c>
      <c r="BO56" s="19">
        <f t="shared" si="100"/>
        <v>46135</v>
      </c>
      <c r="BP56" s="2">
        <f>IF(_xlfn.XLOOKUP($D56,'[1]Import Eletra'!$B:$B,'[1]Import Eletra'!$AY:$AY,,0,1)=0,"",_xlfn.XLOOKUP($D56,'[1]Import Eletra'!$B:$B,'[1]Import Eletra'!$AY:$AY,,0,1))</f>
        <v>46141</v>
      </c>
      <c r="BQ56" s="1">
        <f t="shared" si="8"/>
        <v>0</v>
      </c>
      <c r="BR56" s="1">
        <f t="shared" ca="1" si="101"/>
        <v>6</v>
      </c>
      <c r="BS56" s="184">
        <f ca="1">IF(AND(ISNUMBER($BR56),$BR56&gt;0),$BR56-$BQ56,"")</f>
        <v>6</v>
      </c>
      <c r="BT56" s="18">
        <f t="shared" si="102"/>
        <v>46137</v>
      </c>
      <c r="BU56" s="2">
        <f>IF(_xlfn.XLOOKUP($D56,'[1]Import Eletra'!$B:$B,'[1]Import Eletra'!$AZ:$AZ,,0,1)=0,"",_xlfn.XLOOKUP($D56,'[1]Import Eletra'!$B:$B,'[1]Import Eletra'!$AZ:$AZ,,0,1))</f>
        <v>46141</v>
      </c>
      <c r="BV56" s="1">
        <f t="shared" si="9"/>
        <v>2</v>
      </c>
      <c r="BW56" s="1">
        <f t="shared" ca="1" si="103"/>
        <v>4</v>
      </c>
      <c r="BX56" s="184">
        <f ca="1">IF(AND(ISNUMBER($BW56),$BW56&gt;0),$BW56-$BV56,"")</f>
        <v>2</v>
      </c>
      <c r="BY56" s="19">
        <f t="shared" si="104"/>
        <v>46137</v>
      </c>
      <c r="BZ56" s="2">
        <f>IF(_xlfn.XLOOKUP($D56,'[1]Import Eletra'!$B:$B,'[1]Import Eletra'!$BA:$BA,,0,1)=0,"",_xlfn.XLOOKUP($D56,'[1]Import Eletra'!$B:$B,'[1]Import Eletra'!$BA:$BA,,0,1))</f>
        <v>46142</v>
      </c>
      <c r="CA56" s="1">
        <f t="shared" si="10"/>
        <v>0</v>
      </c>
      <c r="CB56" s="1">
        <f t="shared" ca="1" si="105"/>
        <v>5</v>
      </c>
      <c r="CC56" s="184">
        <f ca="1">IF(AND(ISNUMBER($CB56),$CB56&gt;0),$CB56-$CA56,"")</f>
        <v>5</v>
      </c>
      <c r="CD56" s="18">
        <f t="shared" si="106"/>
        <v>46137</v>
      </c>
      <c r="CE56" s="2">
        <f>IF(_xlfn.XLOOKUP($D56,'[1]Import Eletra'!$B:$B,'[1]Import Eletra'!$BB:$BB,,0,1)=0,"",_xlfn.XLOOKUP($D56,'[1]Import Eletra'!$B:$B,'[1]Import Eletra'!$BB:$BB,,0,1))</f>
        <v>46146</v>
      </c>
      <c r="CF56" s="1">
        <f t="shared" si="11"/>
        <v>0</v>
      </c>
      <c r="CG56" s="1">
        <f t="shared" ca="1" si="107"/>
        <v>9</v>
      </c>
      <c r="CH56" s="184">
        <f ca="1">IF(AND(ISNUMBER($CG56),$CG56&gt;0),$CG56-$CF56,"")</f>
        <v>9</v>
      </c>
      <c r="CI56" s="19">
        <f t="shared" si="108"/>
        <v>46137</v>
      </c>
      <c r="CJ56" s="2">
        <f>IF(_xlfn.XLOOKUP($D56,'[1]Import Eletra'!$B:$B,'[1]Import Eletra'!$BC:$BC,,0,1)=0,"",_xlfn.XLOOKUP($D56,'[1]Import Eletra'!$B:$B,'[1]Import Eletra'!$BC:$BC,,0,1))</f>
        <v>46146</v>
      </c>
      <c r="CK56" s="1"/>
      <c r="CL56" s="1">
        <f t="shared" ca="1" si="109"/>
        <v>9</v>
      </c>
      <c r="CM56" s="184">
        <f ca="1">IF(AND(ISNUMBER($CL56),$CL56&gt;0),$CL56-$CK56,"")</f>
        <v>9</v>
      </c>
      <c r="CN56" s="18">
        <f t="shared" si="110"/>
        <v>46137</v>
      </c>
      <c r="CO56" s="2">
        <f>IF(_xlfn.XLOOKUP($D56,'[1]Import Eletra'!$B:$B,'[1]Import Eletra'!$BD:$BD,,0,1)=0,"",_xlfn.XLOOKUP($D56,'[1]Import Eletra'!$B:$B,'[1]Import Eletra'!$BD:$BD,,0,1))</f>
        <v>46146</v>
      </c>
      <c r="CP56" s="1">
        <f t="shared" si="12"/>
        <v>0</v>
      </c>
      <c r="CQ56" s="1">
        <f t="shared" ca="1" si="111"/>
        <v>9</v>
      </c>
      <c r="CR56" s="184">
        <f ca="1">IF(AND(ISNUMBER($CQ56),$CQ56&gt;0),$CQ56-$CP56,"")</f>
        <v>9</v>
      </c>
      <c r="CS56" s="19">
        <f t="shared" si="112"/>
        <v>46137</v>
      </c>
      <c r="CT56" s="2">
        <f>IF(_xlfn.XLOOKUP($D56,'[1]Import Eletra'!$B:$B,'[1]Import Eletra'!$BE:$BE,,0,1)=0,"",_xlfn.XLOOKUP($D56,'[1]Import Eletra'!$B:$B,'[1]Import Eletra'!$BE:$BE,,0,1))</f>
        <v>46146</v>
      </c>
      <c r="CU56" s="1">
        <f t="shared" si="13"/>
        <v>0</v>
      </c>
      <c r="CV56" s="1">
        <f t="shared" ca="1" si="113"/>
        <v>9</v>
      </c>
      <c r="CW56" s="184">
        <f ca="1">IF(AND(ISNUMBER($CV56),$CV56&gt;0),$CV56-$CU56,"")</f>
        <v>9</v>
      </c>
      <c r="CX56" s="19">
        <f t="shared" si="114"/>
        <v>46137</v>
      </c>
      <c r="CY56" s="2">
        <f>IF(_xlfn.XLOOKUP($D56,'[1]Import Eletra'!$B:$B,'[1]Import Eletra'!$BE:$BE,,0,1)=0,"",_xlfn.XLOOKUP($D56,'[1]Import Eletra'!$B:$B,'[1]Import Eletra'!$BE:$BE,,0,1))</f>
        <v>46146</v>
      </c>
      <c r="CZ56" s="40">
        <f t="shared" si="14"/>
        <v>0</v>
      </c>
      <c r="DA56" s="1">
        <f t="shared" ca="1" si="115"/>
        <v>9</v>
      </c>
      <c r="DB56" s="184">
        <f ca="1">IF(AND(ISNUMBER($DA56),$DA56&gt;0),$DA56-$CZ56,"")</f>
        <v>9</v>
      </c>
      <c r="DC56" s="19">
        <f t="shared" si="116"/>
        <v>46139</v>
      </c>
      <c r="DD56" s="2">
        <f>IF(_xlfn.XLOOKUP($D56,'[1]Import Eletra'!$B:$B,'[1]Import Eletra'!$BF:$BF,,0,1)=0,"",_xlfn.XLOOKUP($D56,'[1]Import Eletra'!$B:$B,'[1]Import Eletra'!$BF:$BF,0,1))</f>
        <v>46146</v>
      </c>
      <c r="DE56" s="1">
        <f t="shared" si="15"/>
        <v>2</v>
      </c>
      <c r="DF56" s="1">
        <f t="shared" ca="1" si="117"/>
        <v>7</v>
      </c>
      <c r="DG56" s="184">
        <f ca="1">IF(AND(ISNUMBER($DF56),$DF56&gt;0),$DF56-$DE56,"")</f>
        <v>5</v>
      </c>
      <c r="DH56" s="19">
        <f>DN56-$DM$3</f>
        <v>46140</v>
      </c>
      <c r="DI56" s="2" t="str">
        <f>IF(_xlfn.XLOOKUP($D56,'[1]Import Eletra'!$B:$B,'[1]Import Eletra'!$BG:$BG,,0,1)=0,"",_xlfn.XLOOKUP($D56,'[1]Import Eletra'!$B:$B,'[1]Import Eletra'!$BG:$BG,0,1))</f>
        <v/>
      </c>
      <c r="DJ56" s="1">
        <f t="shared" si="16"/>
        <v>1</v>
      </c>
      <c r="DK56" s="1">
        <f t="shared" ca="1" si="118"/>
        <v>71</v>
      </c>
      <c r="DL56" s="184"/>
      <c r="DM56" s="64"/>
      <c r="DN56" s="202">
        <f t="shared" si="122"/>
        <v>46141</v>
      </c>
      <c r="DO56" s="2"/>
      <c r="DP56" s="1">
        <f>$DM$3</f>
        <v>1</v>
      </c>
      <c r="DQ56" s="1">
        <f t="shared" ca="1" si="119"/>
        <v>70</v>
      </c>
      <c r="DR56" s="184">
        <f t="shared" ca="1" si="120"/>
        <v>69</v>
      </c>
      <c r="DS56" s="139">
        <v>10</v>
      </c>
      <c r="DT56" s="140">
        <f ca="1">IF(DO56="",TODAY()-U56,DO56-U56)</f>
        <v>80</v>
      </c>
      <c r="DU56" s="184">
        <f t="shared" ca="1" si="121"/>
        <v>70</v>
      </c>
      <c r="DW56" s="142"/>
      <c r="DZ56" s="230"/>
    </row>
    <row r="57" spans="1:130" ht="30" customHeight="1">
      <c r="B57" s="103">
        <v>1</v>
      </c>
      <c r="C57" s="104"/>
      <c r="D57" s="219" t="s">
        <v>314</v>
      </c>
      <c r="E57" s="203" t="str">
        <f>IF(_xlfn.XLOOKUP($D57,'[1]Import Eletra'!$B:$B,'[1]Import Eletra'!$U:$U,,0,1)=0,"",_xlfn.XLOOKUP($D57,'[1]Import Eletra'!$B:$B,'[1]Import Eletra'!$U:$U,,0,1))</f>
        <v/>
      </c>
      <c r="F57" s="199" t="s">
        <v>307</v>
      </c>
      <c r="G57" s="2" t="str">
        <f>_xlfn.XLOOKUP($D57,'[1]Import Eletra'!$B:$B,'[1]Import Eletra'!$F:$F,,0,1)</f>
        <v>DELIVERED</v>
      </c>
      <c r="H57" s="207" t="str">
        <f>_xlfn.XLOOKUP($D57,'[1]Import Eletra'!$B:$B,'[1]Import Eletra'!$G:$G,,0,1)</f>
        <v>COURIER</v>
      </c>
      <c r="I57" s="108"/>
      <c r="J57" s="109"/>
      <c r="K57" s="109"/>
      <c r="L57" s="108">
        <f>IF(_xlfn.XLOOKUP($D57,'[1]Import Eletra'!$B:$B,'[1]Import Eletra'!$J:$J,,0,1)=0,"",_xlfn.XLOOKUP($D57,'[1]Import Eletra'!$B:$B,'[1]Import Eletra'!$J:$J,,0,1))</f>
        <v>46119</v>
      </c>
      <c r="M57" s="104">
        <f>IF(_xlfn.XLOOKUP($D57,'[1]Import Eletra'!$B:$B,'[1]Import Eletra'!$L:$L,,0,1)=0,"",_xlfn.XLOOKUP($D57,'[1]Import Eletra'!$B:$B,'[1]Import Eletra'!$L:$L,,0,1))</f>
        <v>46123</v>
      </c>
      <c r="N57" s="85">
        <f>IF(_xlfn.XLOOKUP($D57,'[1]Import Eletra'!$B:$B,'[1]Import Eletra'!$AJ:$AJ,,0,1)=0,"",_xlfn.XLOOKUP($D57,'[1]Import Eletra'!$B:$B,'[1]Import Eletra'!$AJ:$AJ,,0,1))</f>
        <v>12204.91</v>
      </c>
      <c r="O57" s="108">
        <f>IF(_xlfn.XLOOKUP($D57,'[1]Import Eletra'!$B:$B,'[1]Import Eletra'!$AK:$AK,,0,1)=0,"",_xlfn.XLOOKUP($D57,'[1]Import Eletra'!$B:$B,'[1]Import Eletra'!$AK:$AK,,0,1))</f>
        <v>46147</v>
      </c>
      <c r="P57" s="108">
        <f>IF(_xlfn.XLOOKUP($D57,'[1]Import Eletra'!$B:$B,'[1]Import Eletra'!$AL:$AL,,0,1)=0,"",_xlfn.XLOOKUP($D57,'[1]Import Eletra'!$B:$B,'[1]Import Eletra'!$AL:$AL,,0,1))</f>
        <v>46147</v>
      </c>
      <c r="Q57" s="108">
        <f>IF(_xlfn.XLOOKUP($D57,'[1]Import Eletra'!$B:$B,'[1]Import Eletra'!$AM:$AM,,0,1)=0,"",_xlfn.XLOOKUP($D57,'[1]Import Eletra'!$B:$B,'[1]Import Eletra'!$AM:$AM,,0,1))</f>
        <v>46153</v>
      </c>
      <c r="R57" s="108">
        <f>IF(_xlfn.XLOOKUP($D57,'[1]Import Eletra'!$B:$B,'[1]Import Eletra'!$AN:$AN,,0,1)=0,"",_xlfn.XLOOKUP($D57,'[1]Import Eletra'!$B:$B,'[1]Import Eletra'!$AN:$AN,,0,1))</f>
        <v>46153</v>
      </c>
      <c r="S57" s="108">
        <f>IF(_xlfn.XLOOKUP($D57,'[1]Import Eletra'!$B:$B,'[1]Import Eletra'!$AO:$AO,,0,1)=0,"",_xlfn.XLOOKUP($D57,'[1]Import Eletra'!$B:$B,'[1]Import Eletra'!$AO:$AO,,0,1))</f>
        <v>46153</v>
      </c>
      <c r="T57" s="108">
        <f>IF(_xlfn.XLOOKUP($D57,'[1]Import Eletra'!$B:$B,'[1]Import Eletra'!$AP:$AP,,0,1)=0,"",_xlfn.XLOOKUP($D57,'[1]Import Eletra'!$B:$B,'[1]Import Eletra'!$AP:$AP,,0,1))</f>
        <v>46153</v>
      </c>
      <c r="U57" s="111">
        <f>M57</f>
        <v>46123</v>
      </c>
      <c r="V57" s="110">
        <f>AA57-$AA$3</f>
        <v>46135</v>
      </c>
      <c r="W57" s="104">
        <f>IF(_xlfn.XLOOKUP($D57,'[1]Import Eletra'!$B:$B,'[1]Import Eletra'!$AR:$AR,,0,1)=0,"",_xlfn.XLOOKUP($D57,'[1]Import Eletra'!$B:$B,'[1]Import Eletra'!$AR:$AR,,0,1))</f>
        <v>46123</v>
      </c>
      <c r="X57" s="112">
        <f t="shared" si="1"/>
        <v>0</v>
      </c>
      <c r="Y57" s="113">
        <f ca="1">IF(W57="",TODAY()-V57,W57-V57)</f>
        <v>-12</v>
      </c>
      <c r="Z57" s="184" t="str">
        <f ca="1">IF(AND(ISNUMBER($Y57),$Y57&gt;0),$Y57-$X57,"")</f>
        <v/>
      </c>
      <c r="AA57" s="114">
        <f t="shared" si="84"/>
        <v>46135</v>
      </c>
      <c r="AB57" s="104" t="str">
        <f>IF(_xlfn.XLOOKUP($D57,'[1]Import Eletra'!$B:$B,'[1]Import Eletra'!$AC:$AC,,0,1)=0,"",_xlfn.XLOOKUP($D57,'[1]Import Eletra'!$B:$B,'[1]Import Eletra'!$AC:$AC,,0,1))</f>
        <v/>
      </c>
      <c r="AC57" s="112">
        <f t="shared" si="3"/>
        <v>0</v>
      </c>
      <c r="AD57" s="112">
        <f t="shared" ca="1" si="85"/>
        <v>76</v>
      </c>
      <c r="AE57" s="184">
        <f ca="1">AD57-AC57</f>
        <v>76</v>
      </c>
      <c r="AF57" s="116">
        <f t="shared" si="86"/>
        <v>46135</v>
      </c>
      <c r="AG57" s="104">
        <f>IF(_xlfn.XLOOKUP($D57,'[1]Import Eletra'!$B:$B,'[1]Import Eletra'!$AD:$AD,,0,1)=0,"",_xlfn.XLOOKUP($D57,'[1]Import Eletra'!$B:$B,'[1]Import Eletra'!$AD:$AD,,0,1))</f>
        <v>46157</v>
      </c>
      <c r="AH57" s="112">
        <f t="shared" si="4"/>
        <v>0</v>
      </c>
      <c r="AI57" s="112">
        <f t="shared" ca="1" si="87"/>
        <v>22</v>
      </c>
      <c r="AJ57" s="184">
        <f ca="1">IF(AND(ISNUMBER($AI57),$AI57&gt;0),$AI57-$AH57,"")</f>
        <v>22</v>
      </c>
      <c r="AK57" s="117">
        <f t="shared" si="88"/>
        <v>46135</v>
      </c>
      <c r="AL57" s="104">
        <f>IF(_xlfn.XLOOKUP($D57,'[1]Import Eletra'!$B:$B,'[1]Import Eletra'!$AS:$AS,,0,1)=0,"",_xlfn.XLOOKUP($D57,'[1]Import Eletra'!$B:$B,'[1]Import Eletra'!$AS:$AS,,0,1))</f>
        <v>46155</v>
      </c>
      <c r="AM57" s="112">
        <f t="shared" si="5"/>
        <v>0</v>
      </c>
      <c r="AN57" s="112">
        <f t="shared" ca="1" si="89"/>
        <v>20</v>
      </c>
      <c r="AO57" s="184">
        <f ca="1">IF(AND(ISNUMBER($AN57),$AN57&gt;0),$AN57-$AM57,"")</f>
        <v>20</v>
      </c>
      <c r="AP57" s="118">
        <f t="shared" si="90"/>
        <v>46136</v>
      </c>
      <c r="AQ57" s="104">
        <f>IF(_xlfn.XLOOKUP($D57,'[1]Import Eletra'!$B:$B,'[1]Import Eletra'!$AT:$AT,,0,1)=0,"",_xlfn.XLOOKUP($D57,'[1]Import Eletra'!$B:$B,'[1]Import Eletra'!$AT:$AT,,0,1))</f>
        <v>46157</v>
      </c>
      <c r="AR57" s="112">
        <f t="shared" si="6"/>
        <v>1</v>
      </c>
      <c r="AS57" s="112">
        <f t="shared" ca="1" si="91"/>
        <v>21</v>
      </c>
      <c r="AT57" s="184">
        <f ca="1">IF(AND(ISNUMBER($AS57),$AS57&gt;0),$AS57-$AR57,"")</f>
        <v>20</v>
      </c>
      <c r="AU57" s="117">
        <f t="shared" si="92"/>
        <v>46136</v>
      </c>
      <c r="AV57" s="104">
        <f>IF(_xlfn.XLOOKUP($D57,'[1]Import Eletra'!$B:$B,'[1]Import Eletra'!$AU:$AU,,0,1)=0,"",_xlfn.XLOOKUP($D57,'[1]Import Eletra'!$B:$B,'[1]Import Eletra'!$AU:$AU,,0,1))</f>
        <v>46157</v>
      </c>
      <c r="AW57" s="112">
        <f t="shared" si="38"/>
        <v>0</v>
      </c>
      <c r="AX57" s="113">
        <f t="shared" ca="1" si="93"/>
        <v>21</v>
      </c>
      <c r="AY57" s="184">
        <f ca="1">IF(AND(ISNUMBER($AX57),$AX57&gt;0),$AX57-$AW57,"")</f>
        <v>21</v>
      </c>
      <c r="AZ57" s="118">
        <f t="shared" si="94"/>
        <v>46136</v>
      </c>
      <c r="BA57" s="104" t="str">
        <f>IF(_xlfn.XLOOKUP($D57,'[1]Import Eletra'!$B:$B,'[1]Import Eletra'!$AV:$AV,,0,1)=0,"",_xlfn.XLOOKUP($D57,'[1]Import Eletra'!$B:$B,'[1]Import Eletra'!$AV:$AV,,0,1))</f>
        <v/>
      </c>
      <c r="BB57" s="112">
        <f t="shared" si="39"/>
        <v>0</v>
      </c>
      <c r="BC57" s="112">
        <f t="shared" ca="1" si="95"/>
        <v>75</v>
      </c>
      <c r="BD57" s="184">
        <f ca="1">BC57-BB57</f>
        <v>75</v>
      </c>
      <c r="BE57" s="110">
        <f t="shared" si="96"/>
        <v>46136</v>
      </c>
      <c r="BF57" s="104" t="str">
        <f>IF(_xlfn.XLOOKUP($D57,'[1]Import Eletra'!$B:$B,'[1]Import Eletra'!$AW:$AW,,0,1)=0,"",_xlfn.XLOOKUP($D57,'[1]Import Eletra'!$B:$B,'[1]Import Eletra'!$AW:$AW,,0,1))</f>
        <v/>
      </c>
      <c r="BG57" s="112">
        <f t="shared" si="40"/>
        <v>0</v>
      </c>
      <c r="BH57" s="112">
        <f t="shared" ca="1" si="97"/>
        <v>75</v>
      </c>
      <c r="BI57" s="184">
        <f ca="1">IF(AND(ISNUMBER($BH57),$BH57&gt;0),$BH57-$BG57,"")</f>
        <v>75</v>
      </c>
      <c r="BJ57" s="120">
        <f t="shared" si="98"/>
        <v>46136</v>
      </c>
      <c r="BK57" s="104" t="str">
        <f>IF(_xlfn.XLOOKUP($D57,'[1]Import Eletra'!$B:$B,'[1]Import Eletra'!$AX:$AX,,0,1)=0,"",_xlfn.XLOOKUP($D57,'[1]Import Eletra'!$B:$B,'[1]Import Eletra'!$AX:$AX,,0,1))</f>
        <v/>
      </c>
      <c r="BL57" s="112">
        <f t="shared" si="7"/>
        <v>0</v>
      </c>
      <c r="BM57" s="112">
        <f t="shared" ca="1" si="99"/>
        <v>75</v>
      </c>
      <c r="BN57" s="184">
        <f ca="1">BM57-BL57</f>
        <v>75</v>
      </c>
      <c r="BO57" s="110">
        <f t="shared" si="100"/>
        <v>46136</v>
      </c>
      <c r="BP57" s="104">
        <f>IF(_xlfn.XLOOKUP($D57,'[1]Import Eletra'!$B:$B,'[1]Import Eletra'!$AY:$AY,,0,1)=0,"",_xlfn.XLOOKUP($D57,'[1]Import Eletra'!$B:$B,'[1]Import Eletra'!$AY:$AY,,0,1))</f>
        <v>46157</v>
      </c>
      <c r="BQ57" s="112">
        <f t="shared" si="8"/>
        <v>0</v>
      </c>
      <c r="BR57" s="112">
        <f t="shared" ca="1" si="101"/>
        <v>21</v>
      </c>
      <c r="BS57" s="184">
        <f ca="1">IF(AND(ISNUMBER($BR57),$BR57&gt;0),$BR57-$BQ57,"")</f>
        <v>21</v>
      </c>
      <c r="BT57" s="120">
        <f t="shared" si="102"/>
        <v>46138</v>
      </c>
      <c r="BU57" s="104">
        <f>IF(_xlfn.XLOOKUP($D57,'[1]Import Eletra'!$B:$B,'[1]Import Eletra'!$AZ:$AZ,,0,1)=0,"",_xlfn.XLOOKUP($D57,'[1]Import Eletra'!$B:$B,'[1]Import Eletra'!$AZ:$AZ,,0,1))</f>
        <v>46157</v>
      </c>
      <c r="BV57" s="112">
        <f t="shared" si="9"/>
        <v>2</v>
      </c>
      <c r="BW57" s="112">
        <f t="shared" ca="1" si="103"/>
        <v>19</v>
      </c>
      <c r="BX57" s="184">
        <f ca="1">IF(AND(ISNUMBER($BW57),$BW57&gt;0),$BW57-$BV57,"")</f>
        <v>17</v>
      </c>
      <c r="BY57" s="110">
        <f t="shared" si="104"/>
        <v>46138</v>
      </c>
      <c r="BZ57" s="104">
        <f>IF(_xlfn.XLOOKUP($D57,'[1]Import Eletra'!$B:$B,'[1]Import Eletra'!$BA:$BA,,0,1)=0,"",_xlfn.XLOOKUP($D57,'[1]Import Eletra'!$B:$B,'[1]Import Eletra'!$BA:$BA,,0,1))</f>
        <v>46163</v>
      </c>
      <c r="CA57" s="112">
        <f t="shared" si="10"/>
        <v>0</v>
      </c>
      <c r="CB57" s="112">
        <f t="shared" ca="1" si="105"/>
        <v>25</v>
      </c>
      <c r="CC57" s="184">
        <f ca="1">IF(AND(ISNUMBER($CB57),$CB57&gt;0),$CB57-$CA57,"")</f>
        <v>25</v>
      </c>
      <c r="CD57" s="120">
        <f t="shared" si="106"/>
        <v>46138</v>
      </c>
      <c r="CE57" s="104">
        <f>IF(_xlfn.XLOOKUP($D57,'[1]Import Eletra'!$B:$B,'[1]Import Eletra'!$BB:$BB,,0,1)=0,"",_xlfn.XLOOKUP($D57,'[1]Import Eletra'!$B:$B,'[1]Import Eletra'!$BB:$BB,,0,1))</f>
        <v>46163</v>
      </c>
      <c r="CF57" s="112">
        <f t="shared" si="11"/>
        <v>0</v>
      </c>
      <c r="CG57" s="112">
        <f t="shared" ca="1" si="107"/>
        <v>25</v>
      </c>
      <c r="CH57" s="184">
        <f ca="1">IF(AND(ISNUMBER($CG57),$CG57&gt;0),$CG57-$CF57,"")</f>
        <v>25</v>
      </c>
      <c r="CI57" s="110">
        <f t="shared" si="108"/>
        <v>46138</v>
      </c>
      <c r="CJ57" s="104">
        <f>IF(_xlfn.XLOOKUP($D57,'[1]Import Eletra'!$B:$B,'[1]Import Eletra'!$BC:$BC,,0,1)=0,"",_xlfn.XLOOKUP($D57,'[1]Import Eletra'!$B:$B,'[1]Import Eletra'!$BC:$BC,,0,1))</f>
        <v>46163</v>
      </c>
      <c r="CK57" s="112"/>
      <c r="CL57" s="112">
        <f t="shared" ca="1" si="109"/>
        <v>25</v>
      </c>
      <c r="CM57" s="184">
        <f ca="1">IF(AND(ISNUMBER($CL57),$CL57&gt;0),$CL57-$CK57,"")</f>
        <v>25</v>
      </c>
      <c r="CN57" s="120">
        <f t="shared" si="110"/>
        <v>46138</v>
      </c>
      <c r="CO57" s="104">
        <f>IF(_xlfn.XLOOKUP($D57,'[1]Import Eletra'!$B:$B,'[1]Import Eletra'!$BD:$BD,,0,1)=0,"",_xlfn.XLOOKUP($D57,'[1]Import Eletra'!$B:$B,'[1]Import Eletra'!$BD:$BD,,0,1))</f>
        <v>46160</v>
      </c>
      <c r="CP57" s="112">
        <f t="shared" si="12"/>
        <v>0</v>
      </c>
      <c r="CQ57" s="112">
        <f t="shared" ca="1" si="111"/>
        <v>22</v>
      </c>
      <c r="CR57" s="184">
        <f ca="1">IF(AND(ISNUMBER($CQ57),$CQ57&gt;0),$CQ57-$CP57,"")</f>
        <v>22</v>
      </c>
      <c r="CS57" s="110">
        <f t="shared" si="112"/>
        <v>46138</v>
      </c>
      <c r="CT57" s="104">
        <f>IF(_xlfn.XLOOKUP($D57,'[1]Import Eletra'!$B:$B,'[1]Import Eletra'!$BE:$BE,,0,1)=0,"",_xlfn.XLOOKUP($D57,'[1]Import Eletra'!$B:$B,'[1]Import Eletra'!$BE:$BE,,0,1))</f>
        <v>46162</v>
      </c>
      <c r="CU57" s="112">
        <f t="shared" si="13"/>
        <v>0</v>
      </c>
      <c r="CV57" s="112">
        <f t="shared" ca="1" si="113"/>
        <v>24</v>
      </c>
      <c r="CW57" s="184">
        <f ca="1">IF(AND(ISNUMBER($CV57),$CV57&gt;0),$CV57-$CU57,"")</f>
        <v>24</v>
      </c>
      <c r="CX57" s="110">
        <f t="shared" si="114"/>
        <v>46138</v>
      </c>
      <c r="CY57" s="104">
        <f>IF(_xlfn.XLOOKUP($D57,'[1]Import Eletra'!$B:$B,'[1]Import Eletra'!$BE:$BE,,0,1)=0,"",_xlfn.XLOOKUP($D57,'[1]Import Eletra'!$B:$B,'[1]Import Eletra'!$BE:$BE,,0,1))</f>
        <v>46162</v>
      </c>
      <c r="CZ57" s="121">
        <f t="shared" si="14"/>
        <v>0</v>
      </c>
      <c r="DA57" s="112">
        <f t="shared" ca="1" si="115"/>
        <v>24</v>
      </c>
      <c r="DB57" s="184">
        <f ca="1">IF(AND(ISNUMBER($DA57),$DA57&gt;0),$DA57-$CZ57,"")</f>
        <v>24</v>
      </c>
      <c r="DC57" s="110">
        <f t="shared" si="116"/>
        <v>46140</v>
      </c>
      <c r="DD57" s="104">
        <f>IF(_xlfn.XLOOKUP($D57,'[1]Import Eletra'!$B:$B,'[1]Import Eletra'!$BF:$BF,,0,1)=0,"",_xlfn.XLOOKUP($D57,'[1]Import Eletra'!$B:$B,'[1]Import Eletra'!$BF:$BF,0,1))</f>
        <v>46162</v>
      </c>
      <c r="DE57" s="112">
        <f t="shared" si="15"/>
        <v>2</v>
      </c>
      <c r="DF57" s="112">
        <f t="shared" ca="1" si="117"/>
        <v>22</v>
      </c>
      <c r="DG57" s="184">
        <f ca="1">IF(AND(ISNUMBER($DF57),$DF57&gt;0),$DF57-$DE57,"")</f>
        <v>20</v>
      </c>
      <c r="DH57" s="110">
        <f>DN57-$DM$3</f>
        <v>46141</v>
      </c>
      <c r="DI57" s="104">
        <f>IF(_xlfn.XLOOKUP($D57,'[1]Import Eletra'!$B:$B,'[1]Import Eletra'!$BG:$BG,,0,1)=0,"",_xlfn.XLOOKUP($D57,'[1]Import Eletra'!$B:$B,'[1]Import Eletra'!$BG:$BG,0,1))</f>
        <v>46163</v>
      </c>
      <c r="DJ57" s="112">
        <f t="shared" si="16"/>
        <v>1</v>
      </c>
      <c r="DK57" s="112">
        <f t="shared" ca="1" si="118"/>
        <v>22</v>
      </c>
      <c r="DL57" s="184"/>
      <c r="DM57" s="64"/>
      <c r="DN57" s="202">
        <v>46142</v>
      </c>
      <c r="DO57" s="104"/>
      <c r="DP57" s="112">
        <f>$DM$3</f>
        <v>1</v>
      </c>
      <c r="DQ57" s="112">
        <f ca="1">IF(DO57="",TODAY()-DN57,DO57-DN57)</f>
        <v>69</v>
      </c>
      <c r="DR57" s="184">
        <f ca="1">DQ57-DP57</f>
        <v>68</v>
      </c>
      <c r="DS57" s="143">
        <v>10</v>
      </c>
      <c r="DT57" s="140"/>
      <c r="DU57" s="184">
        <f>DT57-DS57</f>
        <v>-10</v>
      </c>
      <c r="DW57" s="142"/>
      <c r="DZ57" s="230"/>
    </row>
    <row r="58" spans="1:130" ht="30" customHeight="1">
      <c r="B58" s="91">
        <v>2</v>
      </c>
      <c r="C58" s="2"/>
      <c r="D58" s="212" t="s">
        <v>315</v>
      </c>
      <c r="E58" s="98">
        <f>IF(_xlfn.XLOOKUP($D58,'[1]Import Eletra'!$B:$B,'[1]Import Eletra'!$U:$U,,0,1)=0,"",_xlfn.XLOOKUP($D58,'[1]Import Eletra'!$B:$B,'[1]Import Eletra'!$U:$U,,0,1))</f>
        <v>1</v>
      </c>
      <c r="F58" s="198" t="s">
        <v>307</v>
      </c>
      <c r="G58" s="2" t="str">
        <f>_xlfn.XLOOKUP($D58,'[1]Import Eletra'!$B:$B,'[1]Import Eletra'!$F:$F,,0,1)</f>
        <v>DELIVERED</v>
      </c>
      <c r="H58" s="3" t="str">
        <f>_xlfn.XLOOKUP($D58,'[1]Import Eletra'!$B:$B,'[1]Import Eletra'!$G:$G,,0,1)</f>
        <v>SEA</v>
      </c>
      <c r="I58" s="3"/>
      <c r="J58" s="58"/>
      <c r="K58" s="58"/>
      <c r="L58" s="3">
        <f>IF(_xlfn.XLOOKUP($D58,'[1]Import Eletra'!$B:$B,'[1]Import Eletra'!$J:$J,,0,1)=0,"",_xlfn.XLOOKUP($D58,'[1]Import Eletra'!$B:$B,'[1]Import Eletra'!$J:$J,,0,1))</f>
        <v>46059</v>
      </c>
      <c r="M58" s="2">
        <f>IF(_xlfn.XLOOKUP($D58,'[1]Import Eletra'!$B:$B,'[1]Import Eletra'!$L:$L,,0,1)=0,"",_xlfn.XLOOKUP($D58,'[1]Import Eletra'!$B:$B,'[1]Import Eletra'!$L:$L,,0,1))</f>
        <v>46139</v>
      </c>
      <c r="N58" s="19">
        <f>IF(_xlfn.XLOOKUP($D58,'[1]Import Eletra'!$B:$B,'[1]Import Eletra'!$AJ:$AJ,,0,1)=0,"",_xlfn.XLOOKUP($D58,'[1]Import Eletra'!$B:$B,'[1]Import Eletra'!$AJ:$AJ,,0,1))</f>
        <v>314292.23</v>
      </c>
      <c r="O58" s="4">
        <f>IF(_xlfn.XLOOKUP($D58,'[1]Import Eletra'!$B:$B,'[1]Import Eletra'!$AK:$AK,,0,1)=0,"",_xlfn.XLOOKUP($D58,'[1]Import Eletra'!$B:$B,'[1]Import Eletra'!$AK:$AK,,0,1))</f>
        <v>46141</v>
      </c>
      <c r="P58" s="3">
        <f>IF(_xlfn.XLOOKUP($D58,'[1]Import Eletra'!$B:$B,'[1]Import Eletra'!$AL:$AL,,0,1)=0,"",_xlfn.XLOOKUP($D58,'[1]Import Eletra'!$B:$B,'[1]Import Eletra'!$AL:$AL,,0,1))</f>
        <v>46146</v>
      </c>
      <c r="Q58" s="3">
        <f>IF(_xlfn.XLOOKUP($D58,'[1]Import Eletra'!$B:$B,'[1]Import Eletra'!$AM:$AM,,0,1)=0,"",_xlfn.XLOOKUP($D58,'[1]Import Eletra'!$B:$B,'[1]Import Eletra'!$AM:$AM,,0,1))</f>
        <v>46149</v>
      </c>
      <c r="R58" s="3">
        <f>IF(_xlfn.XLOOKUP($D58,'[1]Import Eletra'!$B:$B,'[1]Import Eletra'!$AN:$AN,,0,1)=0,"",_xlfn.XLOOKUP($D58,'[1]Import Eletra'!$B:$B,'[1]Import Eletra'!$AN:$AN,,0,1))</f>
        <v>46149</v>
      </c>
      <c r="S58" s="3">
        <f>IF(_xlfn.XLOOKUP($D58,'[1]Import Eletra'!$B:$B,'[1]Import Eletra'!$AO:$AO,,0,1)=0,"",_xlfn.XLOOKUP($D58,'[1]Import Eletra'!$B:$B,'[1]Import Eletra'!$AO:$AO,,0,1))</f>
        <v>46153</v>
      </c>
      <c r="T58" s="3">
        <f>IF(_xlfn.XLOOKUP($D58,'[1]Import Eletra'!$B:$B,'[1]Import Eletra'!$AP:$AP,,0,1)=0,"",_xlfn.XLOOKUP($D58,'[1]Import Eletra'!$B:$B,'[1]Import Eletra'!$AP:$AP,,0,1))</f>
        <v>46153</v>
      </c>
      <c r="U58" s="206"/>
      <c r="V58" s="19">
        <f>AA58-$AA$3</f>
        <v>46142</v>
      </c>
      <c r="W58" s="2">
        <f>IF(_xlfn.XLOOKUP($D58,'[1]Import Eletra'!$B:$B,'[1]Import Eletra'!$AR:$AR,,0,1)=0,"",_xlfn.XLOOKUP($D58,'[1]Import Eletra'!$B:$B,'[1]Import Eletra'!$AR:$AR,,0,1))</f>
        <v>46140</v>
      </c>
      <c r="X58" s="1">
        <f t="shared" si="1"/>
        <v>0</v>
      </c>
      <c r="Y58" s="72">
        <f ca="1">IF(W58="",TODAY()-V58,W58-V58)</f>
        <v>-2</v>
      </c>
      <c r="Z58" s="184" t="str">
        <f ca="1">IF(AND(ISNUMBER($Y58),$Y58&gt;0),$Y58-$X58,"")</f>
        <v/>
      </c>
      <c r="AA58" s="33">
        <f t="shared" si="84"/>
        <v>46142</v>
      </c>
      <c r="AB58" s="2" t="str">
        <f>IF(_xlfn.XLOOKUP($D58,'[1]Import Eletra'!$B:$B,'[1]Import Eletra'!$AC:$AC,,0,1)=0,"",_xlfn.XLOOKUP($D58,'[1]Import Eletra'!$B:$B,'[1]Import Eletra'!$AC:$AC,,0,1))</f>
        <v/>
      </c>
      <c r="AC58" s="1">
        <f t="shared" si="3"/>
        <v>0</v>
      </c>
      <c r="AD58" s="1">
        <f t="shared" ca="1" si="85"/>
        <v>69</v>
      </c>
      <c r="AE58" s="184">
        <f ca="1">AD58-AC58</f>
        <v>69</v>
      </c>
      <c r="AF58" s="35">
        <f t="shared" si="86"/>
        <v>46142</v>
      </c>
      <c r="AG58" s="2">
        <f>IF(_xlfn.XLOOKUP($D58,'[1]Import Eletra'!$B:$B,'[1]Import Eletra'!$AD:$AD,,0,1)=0,"",_xlfn.XLOOKUP($D58,'[1]Import Eletra'!$B:$B,'[1]Import Eletra'!$AD:$AD,,0,1))</f>
        <v>46154</v>
      </c>
      <c r="AH58" s="1">
        <f t="shared" si="4"/>
        <v>0</v>
      </c>
      <c r="AI58" s="1">
        <f t="shared" ca="1" si="87"/>
        <v>12</v>
      </c>
      <c r="AJ58" s="184">
        <f ca="1">IF(AND(ISNUMBER($AI58),$AI58&gt;0),$AI58-$AH58,"")</f>
        <v>12</v>
      </c>
      <c r="AK58" s="70">
        <f t="shared" si="88"/>
        <v>46142</v>
      </c>
      <c r="AL58" s="2">
        <f>IF(_xlfn.XLOOKUP($D58,'[1]Import Eletra'!$B:$B,'[1]Import Eletra'!$AS:$AS,,0,1)=0,"",_xlfn.XLOOKUP($D58,'[1]Import Eletra'!$B:$B,'[1]Import Eletra'!$AS:$AS,,0,1))</f>
        <v>46153</v>
      </c>
      <c r="AM58" s="1">
        <f t="shared" si="5"/>
        <v>0</v>
      </c>
      <c r="AN58" s="1">
        <f t="shared" ca="1" si="89"/>
        <v>11</v>
      </c>
      <c r="AO58" s="184">
        <f ca="1">IF(AND(ISNUMBER($AN58),$AN58&gt;0),$AN58-$AM58,"")</f>
        <v>11</v>
      </c>
      <c r="AP58" s="71">
        <f t="shared" si="90"/>
        <v>46143</v>
      </c>
      <c r="AQ58" s="2">
        <f>IF(_xlfn.XLOOKUP($D58,'[1]Import Eletra'!$B:$B,'[1]Import Eletra'!$AT:$AT,,0,1)=0,"",_xlfn.XLOOKUP($D58,'[1]Import Eletra'!$B:$B,'[1]Import Eletra'!$AT:$AT,,0,1))</f>
        <v>46154</v>
      </c>
      <c r="AR58" s="1">
        <f t="shared" si="6"/>
        <v>1</v>
      </c>
      <c r="AS58" s="1">
        <f t="shared" ca="1" si="91"/>
        <v>11</v>
      </c>
      <c r="AT58" s="184">
        <f ca="1">IF(AND(ISNUMBER($AS58),$AS58&gt;0),$AS58-$AR58,"")</f>
        <v>10</v>
      </c>
      <c r="AU58" s="70">
        <f t="shared" si="92"/>
        <v>46143</v>
      </c>
      <c r="AV58" s="2">
        <f>IF(_xlfn.XLOOKUP($D58,'[1]Import Eletra'!$B:$B,'[1]Import Eletra'!$AU:$AU,,0,1)=0,"",_xlfn.XLOOKUP($D58,'[1]Import Eletra'!$B:$B,'[1]Import Eletra'!$AU:$AU,,0,1))</f>
        <v>46155</v>
      </c>
      <c r="AW58" s="1">
        <f t="shared" si="38"/>
        <v>0</v>
      </c>
      <c r="AX58" s="72">
        <f t="shared" ca="1" si="93"/>
        <v>12</v>
      </c>
      <c r="AY58" s="184">
        <f ca="1">IF(AND(ISNUMBER($AX58),$AX58&gt;0),$AX58-$AW58,"")</f>
        <v>12</v>
      </c>
      <c r="AZ58" s="71">
        <f t="shared" si="94"/>
        <v>46143</v>
      </c>
      <c r="BA58" s="2" t="str">
        <f>IF(_xlfn.XLOOKUP($D58,'[1]Import Eletra'!$B:$B,'[1]Import Eletra'!$AV:$AV,,0,1)=0,"",_xlfn.XLOOKUP($D58,'[1]Import Eletra'!$B:$B,'[1]Import Eletra'!$AV:$AV,,0,1))</f>
        <v/>
      </c>
      <c r="BB58" s="1">
        <f t="shared" si="39"/>
        <v>0</v>
      </c>
      <c r="BC58" s="1">
        <f t="shared" ca="1" si="95"/>
        <v>68</v>
      </c>
      <c r="BD58" s="184">
        <f ca="1">BC58-BB58</f>
        <v>68</v>
      </c>
      <c r="BE58" s="19">
        <f t="shared" si="96"/>
        <v>46143</v>
      </c>
      <c r="BF58" s="2" t="str">
        <f>IF(_xlfn.XLOOKUP($D58,'[1]Import Eletra'!$B:$B,'[1]Import Eletra'!$AW:$AW,,0,1)=0,"",_xlfn.XLOOKUP($D58,'[1]Import Eletra'!$B:$B,'[1]Import Eletra'!$AW:$AW,,0,1))</f>
        <v/>
      </c>
      <c r="BG58" s="1">
        <f t="shared" si="40"/>
        <v>0</v>
      </c>
      <c r="BH58" s="1">
        <f t="shared" ca="1" si="97"/>
        <v>68</v>
      </c>
      <c r="BI58" s="184">
        <f ca="1">IF(AND(ISNUMBER($BH58),$BH58&gt;0),$BH58-$BG58,"")</f>
        <v>68</v>
      </c>
      <c r="BJ58" s="18">
        <f t="shared" si="98"/>
        <v>46143</v>
      </c>
      <c r="BK58" s="2" t="str">
        <f>IF(_xlfn.XLOOKUP($D58,'[1]Import Eletra'!$B:$B,'[1]Import Eletra'!$AX:$AX,,0,1)=0,"",_xlfn.XLOOKUP($D58,'[1]Import Eletra'!$B:$B,'[1]Import Eletra'!$AX:$AX,,0,1))</f>
        <v/>
      </c>
      <c r="BL58" s="1">
        <f t="shared" si="7"/>
        <v>0</v>
      </c>
      <c r="BM58" s="1">
        <f t="shared" ca="1" si="99"/>
        <v>68</v>
      </c>
      <c r="BN58" s="184">
        <f ca="1">BM58-BL58</f>
        <v>68</v>
      </c>
      <c r="BO58" s="19">
        <f t="shared" si="100"/>
        <v>46143</v>
      </c>
      <c r="BP58" s="2">
        <f>IF(_xlfn.XLOOKUP($D58,'[1]Import Eletra'!$B:$B,'[1]Import Eletra'!$AY:$AY,,0,1)=0,"",_xlfn.XLOOKUP($D58,'[1]Import Eletra'!$B:$B,'[1]Import Eletra'!$AY:$AY,,0,1))</f>
        <v>46154</v>
      </c>
      <c r="BQ58" s="1">
        <f t="shared" si="8"/>
        <v>0</v>
      </c>
      <c r="BR58" s="1">
        <f t="shared" ca="1" si="101"/>
        <v>11</v>
      </c>
      <c r="BS58" s="184">
        <f ca="1">IF(AND(ISNUMBER($BR58),$BR58&gt;0),$BR58-$BQ58,"")</f>
        <v>11</v>
      </c>
      <c r="BT58" s="18">
        <f t="shared" si="102"/>
        <v>46145</v>
      </c>
      <c r="BU58" s="2">
        <f>IF(_xlfn.XLOOKUP($D58,'[1]Import Eletra'!$B:$B,'[1]Import Eletra'!$AZ:$AZ,,0,1)=0,"",_xlfn.XLOOKUP($D58,'[1]Import Eletra'!$B:$B,'[1]Import Eletra'!$AZ:$AZ,,0,1))</f>
        <v>46154</v>
      </c>
      <c r="BV58" s="1">
        <f t="shared" si="9"/>
        <v>2</v>
      </c>
      <c r="BW58" s="1">
        <f t="shared" ca="1" si="103"/>
        <v>9</v>
      </c>
      <c r="BX58" s="184">
        <f ca="1">IF(AND(ISNUMBER($BW58),$BW58&gt;0),$BW58-$BV58,"")</f>
        <v>7</v>
      </c>
      <c r="BY58" s="19">
        <f t="shared" si="104"/>
        <v>46145</v>
      </c>
      <c r="BZ58" s="2">
        <f>IF(_xlfn.XLOOKUP($D58,'[1]Import Eletra'!$B:$B,'[1]Import Eletra'!$BA:$BA,,0,1)=0,"",_xlfn.XLOOKUP($D58,'[1]Import Eletra'!$B:$B,'[1]Import Eletra'!$BA:$BA,,0,1))</f>
        <v>46155</v>
      </c>
      <c r="CA58" s="1">
        <f t="shared" si="10"/>
        <v>0</v>
      </c>
      <c r="CB58" s="1">
        <f t="shared" ca="1" si="105"/>
        <v>10</v>
      </c>
      <c r="CC58" s="184">
        <f ca="1">IF(AND(ISNUMBER($CB58),$CB58&gt;0),$CB58-$CA58,"")</f>
        <v>10</v>
      </c>
      <c r="CD58" s="18">
        <f t="shared" si="106"/>
        <v>46145</v>
      </c>
      <c r="CE58" s="2">
        <f>IF(_xlfn.XLOOKUP($D58,'[1]Import Eletra'!$B:$B,'[1]Import Eletra'!$BB:$BB,,0,1)=0,"",_xlfn.XLOOKUP($D58,'[1]Import Eletra'!$B:$B,'[1]Import Eletra'!$BB:$BB,,0,1))</f>
        <v>46155</v>
      </c>
      <c r="CF58" s="1">
        <f t="shared" si="11"/>
        <v>0</v>
      </c>
      <c r="CG58" s="1">
        <f t="shared" ca="1" si="107"/>
        <v>10</v>
      </c>
      <c r="CH58" s="184">
        <f ca="1">IF(AND(ISNUMBER($CG58),$CG58&gt;0),$CG58-$CF58,"")</f>
        <v>10</v>
      </c>
      <c r="CI58" s="19">
        <f t="shared" si="108"/>
        <v>46145</v>
      </c>
      <c r="CJ58" s="2">
        <f>IF(_xlfn.XLOOKUP($D58,'[1]Import Eletra'!$B:$B,'[1]Import Eletra'!$BC:$BC,,0,1)=0,"",_xlfn.XLOOKUP($D58,'[1]Import Eletra'!$B:$B,'[1]Import Eletra'!$BC:$BC,,0,1))</f>
        <v>46155</v>
      </c>
      <c r="CK58" s="1"/>
      <c r="CL58" s="1">
        <f t="shared" ca="1" si="109"/>
        <v>10</v>
      </c>
      <c r="CM58" s="184">
        <f ca="1">IF(AND(ISNUMBER($CL58),$CL58&gt;0),$CL58-$CK58,"")</f>
        <v>10</v>
      </c>
      <c r="CN58" s="18">
        <f t="shared" si="110"/>
        <v>46145</v>
      </c>
      <c r="CO58" s="2">
        <f>IF(_xlfn.XLOOKUP($D58,'[1]Import Eletra'!$B:$B,'[1]Import Eletra'!$BD:$BD,,0,1)=0,"",_xlfn.XLOOKUP($D58,'[1]Import Eletra'!$B:$B,'[1]Import Eletra'!$BD:$BD,,0,1))</f>
        <v>46155</v>
      </c>
      <c r="CP58" s="1">
        <f t="shared" si="12"/>
        <v>0</v>
      </c>
      <c r="CQ58" s="1">
        <f t="shared" ca="1" si="111"/>
        <v>10</v>
      </c>
      <c r="CR58" s="184">
        <f ca="1">IF(AND(ISNUMBER($CQ58),$CQ58&gt;0),$CQ58-$CP58,"")</f>
        <v>10</v>
      </c>
      <c r="CS58" s="19">
        <f t="shared" si="112"/>
        <v>46145</v>
      </c>
      <c r="CT58" s="2">
        <f>IF(_xlfn.XLOOKUP($D58,'[1]Import Eletra'!$B:$B,'[1]Import Eletra'!$BE:$BE,,0,1)=0,"",_xlfn.XLOOKUP($D58,'[1]Import Eletra'!$B:$B,'[1]Import Eletra'!$BE:$BE,,0,1))</f>
        <v>46155</v>
      </c>
      <c r="CU58" s="1">
        <f t="shared" si="13"/>
        <v>0</v>
      </c>
      <c r="CV58" s="1">
        <f t="shared" ca="1" si="113"/>
        <v>10</v>
      </c>
      <c r="CW58" s="184">
        <f ca="1">IF(AND(ISNUMBER($CV58),$CV58&gt;0),$CV58-$CU58,"")</f>
        <v>10</v>
      </c>
      <c r="CX58" s="19">
        <f t="shared" si="114"/>
        <v>46145</v>
      </c>
      <c r="CY58" s="2">
        <f>IF(_xlfn.XLOOKUP($D58,'[1]Import Eletra'!$B:$B,'[1]Import Eletra'!$BE:$BE,,0,1)=0,"",_xlfn.XLOOKUP($D58,'[1]Import Eletra'!$B:$B,'[1]Import Eletra'!$BE:$BE,,0,1))</f>
        <v>46155</v>
      </c>
      <c r="CZ58" s="40">
        <f t="shared" si="14"/>
        <v>0</v>
      </c>
      <c r="DA58" s="1">
        <f t="shared" ca="1" si="115"/>
        <v>10</v>
      </c>
      <c r="DB58" s="184">
        <f ca="1">IF(AND(ISNUMBER($DA58),$DA58&gt;0),$DA58-$CZ58,"")</f>
        <v>10</v>
      </c>
      <c r="DC58" s="19">
        <f t="shared" si="116"/>
        <v>46147</v>
      </c>
      <c r="DD58" s="2">
        <f>IF(_xlfn.XLOOKUP($D58,'[1]Import Eletra'!$B:$B,'[1]Import Eletra'!$BF:$BF,,0,1)=0,"",_xlfn.XLOOKUP($D58,'[1]Import Eletra'!$B:$B,'[1]Import Eletra'!$BF:$BF,0,1))</f>
        <v>46155</v>
      </c>
      <c r="DE58" s="1">
        <f t="shared" si="15"/>
        <v>2</v>
      </c>
      <c r="DF58" s="1">
        <f t="shared" ca="1" si="117"/>
        <v>8</v>
      </c>
      <c r="DG58" s="184">
        <f ca="1">IF(AND(ISNUMBER($DF58),$DF58&gt;0),$DF58-$DE58,"")</f>
        <v>6</v>
      </c>
      <c r="DH58" s="19">
        <f>DN58-$DM$3</f>
        <v>46148</v>
      </c>
      <c r="DI58" s="2">
        <f>IF(_xlfn.XLOOKUP($D58,'[1]Import Eletra'!$B:$B,'[1]Import Eletra'!$BG:$BG,,0,1)=0,"",_xlfn.XLOOKUP($D58,'[1]Import Eletra'!$B:$B,'[1]Import Eletra'!$BG:$BG,0,1))</f>
        <v>46156</v>
      </c>
      <c r="DJ58" s="1">
        <f t="shared" si="16"/>
        <v>1</v>
      </c>
      <c r="DK58" s="1">
        <f t="shared" ca="1" si="118"/>
        <v>8</v>
      </c>
      <c r="DL58" s="184"/>
      <c r="DM58" s="64"/>
      <c r="DN58" s="202">
        <f t="shared" si="122"/>
        <v>46149</v>
      </c>
      <c r="DO58" s="2"/>
      <c r="DP58" s="1">
        <f>$DM$3</f>
        <v>1</v>
      </c>
      <c r="DQ58" s="1">
        <f t="shared" ca="1" si="119"/>
        <v>62</v>
      </c>
      <c r="DR58" s="184">
        <f t="shared" ca="1" si="120"/>
        <v>61</v>
      </c>
      <c r="DS58" s="139">
        <v>10</v>
      </c>
      <c r="DT58" s="140"/>
      <c r="DU58" s="184">
        <f t="shared" si="121"/>
        <v>-10</v>
      </c>
      <c r="DW58" s="142"/>
      <c r="DZ58" s="230"/>
    </row>
    <row r="59" spans="1:130" ht="30" customHeight="1">
      <c r="B59" s="103">
        <v>2</v>
      </c>
      <c r="C59" s="104"/>
      <c r="D59" s="219" t="s">
        <v>316</v>
      </c>
      <c r="E59" s="203">
        <f>IF(_xlfn.XLOOKUP($D59,'[1]Import Eletra'!$B:$B,'[1]Import Eletra'!$U:$U,,0,1)=0,"",_xlfn.XLOOKUP($D59,'[1]Import Eletra'!$B:$B,'[1]Import Eletra'!$U:$U,,0,1))</f>
        <v>3</v>
      </c>
      <c r="F59" s="199" t="s">
        <v>307</v>
      </c>
      <c r="G59" s="2" t="str">
        <f>_xlfn.XLOOKUP($D59,'[1]Import Eletra'!$B:$B,'[1]Import Eletra'!$F:$F,,0,1)</f>
        <v>DELIVERED</v>
      </c>
      <c r="H59" s="108" t="str">
        <f>_xlfn.XLOOKUP($D59,'[1]Import Eletra'!$B:$B,'[1]Import Eletra'!$G:$G,,0,1)</f>
        <v>SEA</v>
      </c>
      <c r="I59" s="108"/>
      <c r="J59" s="109"/>
      <c r="K59" s="109"/>
      <c r="L59" s="108">
        <f>IF(_xlfn.XLOOKUP($D59,'[1]Import Eletra'!$B:$B,'[1]Import Eletra'!$J:$J,,0,1)=0,"",_xlfn.XLOOKUP($D59,'[1]Import Eletra'!$B:$B,'[1]Import Eletra'!$J:$J,,0,1))</f>
        <v>46090</v>
      </c>
      <c r="M59" s="168">
        <f>IF(_xlfn.XLOOKUP($D59,'[1]Import Eletra'!$B:$B,'[1]Import Eletra'!$L:$L,,0,1)=0,"",_xlfn.XLOOKUP($D59,'[1]Import Eletra'!$B:$B,'[1]Import Eletra'!$L:$L,,0,1))</f>
        <v>46140</v>
      </c>
      <c r="N59" s="85">
        <f>IF(_xlfn.XLOOKUP($D59,'[1]Import Eletra'!$B:$B,'[1]Import Eletra'!$AJ:$AJ,,0,1)=0,"",_xlfn.XLOOKUP($D59,'[1]Import Eletra'!$B:$B,'[1]Import Eletra'!$AJ:$AJ,,0,1))</f>
        <v>791485.04</v>
      </c>
      <c r="O59" s="108">
        <f>IF(_xlfn.XLOOKUP($D59,'[1]Import Eletra'!$B:$B,'[1]Import Eletra'!$AK:$AK,,0,1)=0,"",_xlfn.XLOOKUP($D59,'[1]Import Eletra'!$B:$B,'[1]Import Eletra'!$AK:$AK,,0,1))</f>
        <v>46147</v>
      </c>
      <c r="P59" s="108">
        <f>IF(_xlfn.XLOOKUP($D59,'[1]Import Eletra'!$B:$B,'[1]Import Eletra'!$AL:$AL,,0,1)=0,"",_xlfn.XLOOKUP($D59,'[1]Import Eletra'!$B:$B,'[1]Import Eletra'!$AL:$AL,,0,1))</f>
        <v>46148</v>
      </c>
      <c r="Q59" s="108">
        <f>IF(_xlfn.XLOOKUP($D59,'[1]Import Eletra'!$B:$B,'[1]Import Eletra'!$AM:$AM,,0,1)=0,"",_xlfn.XLOOKUP($D59,'[1]Import Eletra'!$B:$B,'[1]Import Eletra'!$AM:$AM,,0,1))</f>
        <v>46150</v>
      </c>
      <c r="R59" s="108">
        <f>IF(_xlfn.XLOOKUP($D59,'[1]Import Eletra'!$B:$B,'[1]Import Eletra'!$AN:$AN,,0,1)=0,"",_xlfn.XLOOKUP($D59,'[1]Import Eletra'!$B:$B,'[1]Import Eletra'!$AN:$AN,,0,1))</f>
        <v>46150</v>
      </c>
      <c r="S59" s="108">
        <f>IF(_xlfn.XLOOKUP($D59,'[1]Import Eletra'!$B:$B,'[1]Import Eletra'!$AO:$AO,,0,1)=0,"",_xlfn.XLOOKUP($D59,'[1]Import Eletra'!$B:$B,'[1]Import Eletra'!$AO:$AO,,0,1))</f>
        <v>46150</v>
      </c>
      <c r="T59" s="108">
        <f>IF(_xlfn.XLOOKUP($D59,'[1]Import Eletra'!$B:$B,'[1]Import Eletra'!$AP:$AP,,0,1)=0,"",_xlfn.XLOOKUP($D59,'[1]Import Eletra'!$B:$B,'[1]Import Eletra'!$AP:$AP,,0,1))</f>
        <v>46150</v>
      </c>
      <c r="U59" s="205"/>
      <c r="V59" s="110">
        <f>AA59-$AA$3</f>
        <v>46143</v>
      </c>
      <c r="W59" s="104">
        <f>IF(_xlfn.XLOOKUP($D59,'[1]Import Eletra'!$B:$B,'[1]Import Eletra'!$AR:$AR,,0,1)=0,"",_xlfn.XLOOKUP($D59,'[1]Import Eletra'!$B:$B,'[1]Import Eletra'!$AR:$AR,,0,1))</f>
        <v>46141</v>
      </c>
      <c r="X59" s="112">
        <f t="shared" si="1"/>
        <v>0</v>
      </c>
      <c r="Y59" s="113">
        <f ca="1">IF(W59="",TODAY()-V59,W59-V59)</f>
        <v>-2</v>
      </c>
      <c r="Z59" s="184" t="str">
        <f ca="1">IF(AND(ISNUMBER($Y59),$Y59&gt;0),$Y59-$X59,"")</f>
        <v/>
      </c>
      <c r="AA59" s="114">
        <f t="shared" si="84"/>
        <v>46143</v>
      </c>
      <c r="AB59" s="104" t="str">
        <f>IF(_xlfn.XLOOKUP($D59,'[1]Import Eletra'!$B:$B,'[1]Import Eletra'!$AC:$AC,,0,1)=0,"",_xlfn.XLOOKUP($D59,'[1]Import Eletra'!$B:$B,'[1]Import Eletra'!$AC:$AC,,0,1))</f>
        <v/>
      </c>
      <c r="AC59" s="112">
        <f t="shared" si="3"/>
        <v>0</v>
      </c>
      <c r="AD59" s="112">
        <f t="shared" ca="1" si="85"/>
        <v>68</v>
      </c>
      <c r="AE59" s="184">
        <f ca="1">AD59-AC59</f>
        <v>68</v>
      </c>
      <c r="AF59" s="116">
        <f t="shared" si="86"/>
        <v>46143</v>
      </c>
      <c r="AG59" s="104">
        <f>IF(_xlfn.XLOOKUP($D59,'[1]Import Eletra'!$B:$B,'[1]Import Eletra'!$AD:$AD,,0,1)=0,"",_xlfn.XLOOKUP($D59,'[1]Import Eletra'!$B:$B,'[1]Import Eletra'!$AD:$AD,,0,1))</f>
        <v>46153</v>
      </c>
      <c r="AH59" s="112">
        <f t="shared" si="4"/>
        <v>0</v>
      </c>
      <c r="AI59" s="112">
        <f t="shared" ca="1" si="87"/>
        <v>10</v>
      </c>
      <c r="AJ59" s="184">
        <f ca="1">IF(AND(ISNUMBER($AI59),$AI59&gt;0),$AI59-$AH59,"")</f>
        <v>10</v>
      </c>
      <c r="AK59" s="117">
        <f t="shared" si="88"/>
        <v>46143</v>
      </c>
      <c r="AL59" s="104">
        <f>IF(_xlfn.XLOOKUP($D59,'[1]Import Eletra'!$B:$B,'[1]Import Eletra'!$AS:$AS,,0,1)=0,"",_xlfn.XLOOKUP($D59,'[1]Import Eletra'!$B:$B,'[1]Import Eletra'!$AS:$AS,,0,1))</f>
        <v>46153</v>
      </c>
      <c r="AM59" s="112">
        <f t="shared" si="5"/>
        <v>0</v>
      </c>
      <c r="AN59" s="112">
        <f t="shared" ca="1" si="89"/>
        <v>10</v>
      </c>
      <c r="AO59" s="184">
        <f ca="1">IF(AND(ISNUMBER($AN59),$AN59&gt;0),$AN59-$AM59,"")</f>
        <v>10</v>
      </c>
      <c r="AP59" s="118">
        <f t="shared" si="90"/>
        <v>46144</v>
      </c>
      <c r="AQ59" s="104">
        <f>IF(_xlfn.XLOOKUP($D59,'[1]Import Eletra'!$B:$B,'[1]Import Eletra'!$AT:$AT,,0,1)=0,"",_xlfn.XLOOKUP($D59,'[1]Import Eletra'!$B:$B,'[1]Import Eletra'!$AT:$AT,,0,1))</f>
        <v>46154</v>
      </c>
      <c r="AR59" s="112">
        <f t="shared" si="6"/>
        <v>1</v>
      </c>
      <c r="AS59" s="112">
        <f t="shared" ca="1" si="91"/>
        <v>10</v>
      </c>
      <c r="AT59" s="184">
        <f ca="1">IF(AND(ISNUMBER($AS59),$AS59&gt;0),$AS59-$AR59,"")</f>
        <v>9</v>
      </c>
      <c r="AU59" s="117">
        <f t="shared" si="92"/>
        <v>46144</v>
      </c>
      <c r="AV59" s="104">
        <f>IF(_xlfn.XLOOKUP($D59,'[1]Import Eletra'!$B:$B,'[1]Import Eletra'!$AU:$AU,,0,1)=0,"",_xlfn.XLOOKUP($D59,'[1]Import Eletra'!$B:$B,'[1]Import Eletra'!$AU:$AU,,0,1))</f>
        <v>46155</v>
      </c>
      <c r="AW59" s="112">
        <f t="shared" si="38"/>
        <v>0</v>
      </c>
      <c r="AX59" s="113">
        <f t="shared" ca="1" si="93"/>
        <v>11</v>
      </c>
      <c r="AY59" s="184">
        <f ca="1">IF(AND(ISNUMBER($AX59),$AX59&gt;0),$AX59-$AW59,"")</f>
        <v>11</v>
      </c>
      <c r="AZ59" s="118">
        <f t="shared" si="94"/>
        <v>46144</v>
      </c>
      <c r="BA59" s="104" t="str">
        <f>IF(_xlfn.XLOOKUP($D59,'[1]Import Eletra'!$B:$B,'[1]Import Eletra'!$AV:$AV,,0,1)=0,"",_xlfn.XLOOKUP($D59,'[1]Import Eletra'!$B:$B,'[1]Import Eletra'!$AV:$AV,,0,1))</f>
        <v/>
      </c>
      <c r="BB59" s="112">
        <f t="shared" si="39"/>
        <v>0</v>
      </c>
      <c r="BC59" s="112">
        <f t="shared" ca="1" si="95"/>
        <v>67</v>
      </c>
      <c r="BD59" s="184">
        <f ca="1">BC59-BB59</f>
        <v>67</v>
      </c>
      <c r="BE59" s="110">
        <f t="shared" si="96"/>
        <v>46144</v>
      </c>
      <c r="BF59" s="104" t="str">
        <f>IF(_xlfn.XLOOKUP($D59,'[1]Import Eletra'!$B:$B,'[1]Import Eletra'!$AW:$AW,,0,1)=0,"",_xlfn.XLOOKUP($D59,'[1]Import Eletra'!$B:$B,'[1]Import Eletra'!$AW:$AW,,0,1))</f>
        <v/>
      </c>
      <c r="BG59" s="112">
        <f t="shared" si="40"/>
        <v>0</v>
      </c>
      <c r="BH59" s="112">
        <f t="shared" ca="1" si="97"/>
        <v>67</v>
      </c>
      <c r="BI59" s="184">
        <f ca="1">IF(AND(ISNUMBER($BH59),$BH59&gt;0),$BH59-$BG59,"")</f>
        <v>67</v>
      </c>
      <c r="BJ59" s="120">
        <f t="shared" si="98"/>
        <v>46144</v>
      </c>
      <c r="BK59" s="104" t="str">
        <f>IF(_xlfn.XLOOKUP($D59,'[1]Import Eletra'!$B:$B,'[1]Import Eletra'!$AX:$AX,,0,1)=0,"",_xlfn.XLOOKUP($D59,'[1]Import Eletra'!$B:$B,'[1]Import Eletra'!$AX:$AX,,0,1))</f>
        <v/>
      </c>
      <c r="BL59" s="112">
        <f t="shared" si="7"/>
        <v>0</v>
      </c>
      <c r="BM59" s="112">
        <f t="shared" ca="1" si="99"/>
        <v>67</v>
      </c>
      <c r="BN59" s="184">
        <f ca="1">BM59-BL59</f>
        <v>67</v>
      </c>
      <c r="BO59" s="110">
        <f t="shared" si="100"/>
        <v>46144</v>
      </c>
      <c r="BP59" s="104">
        <f>IF(_xlfn.XLOOKUP($D59,'[1]Import Eletra'!$B:$B,'[1]Import Eletra'!$AY:$AY,,0,1)=0,"",_xlfn.XLOOKUP($D59,'[1]Import Eletra'!$B:$B,'[1]Import Eletra'!$AY:$AY,,0,1))</f>
        <v>46154</v>
      </c>
      <c r="BQ59" s="112">
        <f t="shared" si="8"/>
        <v>0</v>
      </c>
      <c r="BR59" s="112">
        <f t="shared" ca="1" si="101"/>
        <v>10</v>
      </c>
      <c r="BS59" s="184">
        <f ca="1">IF(AND(ISNUMBER($BR59),$BR59&gt;0),$BR59-$BQ59,"")</f>
        <v>10</v>
      </c>
      <c r="BT59" s="120">
        <f t="shared" si="102"/>
        <v>46146</v>
      </c>
      <c r="BU59" s="104">
        <f>IF(_xlfn.XLOOKUP($D59,'[1]Import Eletra'!$B:$B,'[1]Import Eletra'!$AZ:$AZ,,0,1)=0,"",_xlfn.XLOOKUP($D59,'[1]Import Eletra'!$B:$B,'[1]Import Eletra'!$AZ:$AZ,,0,1))</f>
        <v>46154</v>
      </c>
      <c r="BV59" s="112">
        <f t="shared" si="9"/>
        <v>2</v>
      </c>
      <c r="BW59" s="112">
        <f t="shared" ca="1" si="103"/>
        <v>8</v>
      </c>
      <c r="BX59" s="184">
        <f ca="1">IF(AND(ISNUMBER($BW59),$BW59&gt;0),$BW59-$BV59,"")</f>
        <v>6</v>
      </c>
      <c r="BY59" s="110">
        <f t="shared" si="104"/>
        <v>46146</v>
      </c>
      <c r="BZ59" s="104">
        <f>IF(_xlfn.XLOOKUP($D59,'[1]Import Eletra'!$B:$B,'[1]Import Eletra'!$BA:$BA,,0,1)=0,"",_xlfn.XLOOKUP($D59,'[1]Import Eletra'!$B:$B,'[1]Import Eletra'!$BA:$BA,,0,1))</f>
        <v>46155</v>
      </c>
      <c r="CA59" s="112">
        <f t="shared" si="10"/>
        <v>0</v>
      </c>
      <c r="CB59" s="112">
        <f t="shared" ca="1" si="105"/>
        <v>9</v>
      </c>
      <c r="CC59" s="184">
        <f ca="1">IF(AND(ISNUMBER($CB59),$CB59&gt;0),$CB59-$CA59,"")</f>
        <v>9</v>
      </c>
      <c r="CD59" s="120">
        <f t="shared" si="106"/>
        <v>46146</v>
      </c>
      <c r="CE59" s="104">
        <f>IF(_xlfn.XLOOKUP($D59,'[1]Import Eletra'!$B:$B,'[1]Import Eletra'!$BB:$BB,,0,1)=0,"",_xlfn.XLOOKUP($D59,'[1]Import Eletra'!$B:$B,'[1]Import Eletra'!$BB:$BB,,0,1))</f>
        <v>46155</v>
      </c>
      <c r="CF59" s="112">
        <f t="shared" si="11"/>
        <v>0</v>
      </c>
      <c r="CG59" s="112">
        <f t="shared" ca="1" si="107"/>
        <v>9</v>
      </c>
      <c r="CH59" s="184">
        <f ca="1">IF(AND(ISNUMBER($CG59),$CG59&gt;0),$CG59-$CF59,"")</f>
        <v>9</v>
      </c>
      <c r="CI59" s="110">
        <f t="shared" si="108"/>
        <v>46146</v>
      </c>
      <c r="CJ59" s="104">
        <f>IF(_xlfn.XLOOKUP($D59,'[1]Import Eletra'!$B:$B,'[1]Import Eletra'!$BC:$BC,,0,1)=0,"",_xlfn.XLOOKUP($D59,'[1]Import Eletra'!$B:$B,'[1]Import Eletra'!$BC:$BC,,0,1))</f>
        <v>46155</v>
      </c>
      <c r="CK59" s="112"/>
      <c r="CL59" s="112">
        <f t="shared" ca="1" si="109"/>
        <v>9</v>
      </c>
      <c r="CM59" s="184">
        <f ca="1">IF(AND(ISNUMBER($CL59),$CL59&gt;0),$CL59-$CK59,"")</f>
        <v>9</v>
      </c>
      <c r="CN59" s="120">
        <f t="shared" si="110"/>
        <v>46146</v>
      </c>
      <c r="CO59" s="104">
        <f>IF(_xlfn.XLOOKUP($D59,'[1]Import Eletra'!$B:$B,'[1]Import Eletra'!$BD:$BD,,0,1)=0,"",_xlfn.XLOOKUP($D59,'[1]Import Eletra'!$B:$B,'[1]Import Eletra'!$BD:$BD,,0,1))</f>
        <v>46155</v>
      </c>
      <c r="CP59" s="112">
        <f t="shared" si="12"/>
        <v>0</v>
      </c>
      <c r="CQ59" s="112">
        <f t="shared" ca="1" si="111"/>
        <v>9</v>
      </c>
      <c r="CR59" s="184">
        <f ca="1">IF(AND(ISNUMBER($CQ59),$CQ59&gt;0),$CQ59-$CP59,"")</f>
        <v>9</v>
      </c>
      <c r="CS59" s="110">
        <f t="shared" si="112"/>
        <v>46146</v>
      </c>
      <c r="CT59" s="104">
        <f>IF(_xlfn.XLOOKUP($D59,'[1]Import Eletra'!$B:$B,'[1]Import Eletra'!$BE:$BE,,0,1)=0,"",_xlfn.XLOOKUP($D59,'[1]Import Eletra'!$B:$B,'[1]Import Eletra'!$BE:$BE,,0,1))</f>
        <v>46155</v>
      </c>
      <c r="CU59" s="112">
        <f t="shared" si="13"/>
        <v>0</v>
      </c>
      <c r="CV59" s="112">
        <f t="shared" ca="1" si="113"/>
        <v>9</v>
      </c>
      <c r="CW59" s="184">
        <f ca="1">IF(AND(ISNUMBER($CV59),$CV59&gt;0),$CV59-$CU59,"")</f>
        <v>9</v>
      </c>
      <c r="CX59" s="110">
        <f t="shared" si="114"/>
        <v>46146</v>
      </c>
      <c r="CY59" s="104">
        <f>IF(_xlfn.XLOOKUP($D59,'[1]Import Eletra'!$B:$B,'[1]Import Eletra'!$BE:$BE,,0,1)=0,"",_xlfn.XLOOKUP($D59,'[1]Import Eletra'!$B:$B,'[1]Import Eletra'!$BE:$BE,,0,1))</f>
        <v>46155</v>
      </c>
      <c r="CZ59" s="121">
        <f t="shared" si="14"/>
        <v>0</v>
      </c>
      <c r="DA59" s="112">
        <f t="shared" ca="1" si="115"/>
        <v>9</v>
      </c>
      <c r="DB59" s="184">
        <f ca="1">IF(AND(ISNUMBER($DA59),$DA59&gt;0),$DA59-$CZ59,"")</f>
        <v>9</v>
      </c>
      <c r="DC59" s="110">
        <f t="shared" si="116"/>
        <v>46148</v>
      </c>
      <c r="DD59" s="104">
        <f>IF(_xlfn.XLOOKUP($D59,'[1]Import Eletra'!$B:$B,'[1]Import Eletra'!$BF:$BF,,0,1)=0,"",_xlfn.XLOOKUP($D59,'[1]Import Eletra'!$B:$B,'[1]Import Eletra'!$BF:$BF,0,1))</f>
        <v>46155</v>
      </c>
      <c r="DE59" s="112">
        <f t="shared" si="15"/>
        <v>2</v>
      </c>
      <c r="DF59" s="112">
        <f t="shared" ca="1" si="117"/>
        <v>7</v>
      </c>
      <c r="DG59" s="184">
        <f ca="1">IF(AND(ISNUMBER($DF59),$DF59&gt;0),$DF59-$DE59,"")</f>
        <v>5</v>
      </c>
      <c r="DH59" s="110">
        <f>DN59-$DM$3</f>
        <v>46149</v>
      </c>
      <c r="DI59" s="104">
        <f>IF(_xlfn.XLOOKUP($D59,'[1]Import Eletra'!$B:$B,'[1]Import Eletra'!$BG:$BG,,0,1)=0,"",_xlfn.XLOOKUP($D59,'[1]Import Eletra'!$B:$B,'[1]Import Eletra'!$BG:$BG,0,1))</f>
        <v>46156</v>
      </c>
      <c r="DJ59" s="112">
        <f t="shared" si="16"/>
        <v>1</v>
      </c>
      <c r="DK59" s="112">
        <f t="shared" ca="1" si="118"/>
        <v>7</v>
      </c>
      <c r="DL59" s="184"/>
      <c r="DM59" s="64"/>
      <c r="DN59" s="202">
        <f t="shared" si="122"/>
        <v>46150</v>
      </c>
      <c r="DO59" s="104"/>
      <c r="DP59" s="112">
        <f>$DM$3</f>
        <v>1</v>
      </c>
      <c r="DQ59" s="112">
        <f t="shared" ca="1" si="119"/>
        <v>61</v>
      </c>
      <c r="DR59" s="184">
        <f t="shared" ca="1" si="120"/>
        <v>60</v>
      </c>
      <c r="DS59" s="143">
        <v>10</v>
      </c>
      <c r="DT59" s="140"/>
      <c r="DU59" s="184">
        <f t="shared" si="121"/>
        <v>-10</v>
      </c>
      <c r="DW59" s="142"/>
      <c r="DZ59" s="230"/>
    </row>
    <row r="60" spans="1:130" ht="30" customHeight="1">
      <c r="B60" s="91">
        <v>2</v>
      </c>
      <c r="C60" s="2"/>
      <c r="D60" s="211" t="s">
        <v>317</v>
      </c>
      <c r="E60" s="98">
        <f>IF(_xlfn.XLOOKUP($D60,'[1]Import Eletra'!$B:$B,'[1]Import Eletra'!$U:$U,,0,1)=0,"",_xlfn.XLOOKUP($D60,'[1]Import Eletra'!$B:$B,'[1]Import Eletra'!$U:$U,,0,1))</f>
        <v>2</v>
      </c>
      <c r="F60" s="90" t="s">
        <v>307</v>
      </c>
      <c r="G60" s="2" t="str">
        <f>_xlfn.XLOOKUP($D60,'[1]Import Eletra'!$B:$B,'[1]Import Eletra'!$F:$F,,0,1)</f>
        <v>DELIVERED</v>
      </c>
      <c r="H60" s="3" t="str">
        <f>_xlfn.XLOOKUP($D60,'[1]Import Eletra'!$B:$B,'[1]Import Eletra'!$G:$G,,0,1)</f>
        <v>SEA</v>
      </c>
      <c r="I60" s="3"/>
      <c r="J60" s="58"/>
      <c r="K60" s="58"/>
      <c r="L60" s="3">
        <f>IF(_xlfn.XLOOKUP($D60,'[1]Import Eletra'!$B:$B,'[1]Import Eletra'!$J:$J,,0,1)=0,"",_xlfn.XLOOKUP($D60,'[1]Import Eletra'!$B:$B,'[1]Import Eletra'!$J:$J,,0,1))</f>
        <v>46105</v>
      </c>
      <c r="M60" s="84">
        <f>IF(_xlfn.XLOOKUP($D60,'[1]Import Eletra'!$B:$B,'[1]Import Eletra'!$L:$L,,0,1)=0,"",_xlfn.XLOOKUP($D60,'[1]Import Eletra'!$B:$B,'[1]Import Eletra'!$L:$L,,0,1))</f>
        <v>46161</v>
      </c>
      <c r="N60" s="85">
        <f>IF(_xlfn.XLOOKUP($D60,'[1]Import Eletra'!$B:$B,'[1]Import Eletra'!$AJ:$AJ,,0,1)=0,"",_xlfn.XLOOKUP($D60,'[1]Import Eletra'!$B:$B,'[1]Import Eletra'!$AJ:$AJ,,0,1))</f>
        <v>887903.91</v>
      </c>
      <c r="O60" s="3">
        <f>IF(_xlfn.XLOOKUP($D60,'[1]Import Eletra'!$B:$B,'[1]Import Eletra'!$AK:$AK,,0,1)=0,"",_xlfn.XLOOKUP($D60,'[1]Import Eletra'!$B:$B,'[1]Import Eletra'!$AK:$AK,,0,1))</f>
        <v>46149</v>
      </c>
      <c r="P60" s="3">
        <f>IF(_xlfn.XLOOKUP($D60,'[1]Import Eletra'!$B:$B,'[1]Import Eletra'!$AL:$AL,,0,1)=0,"",_xlfn.XLOOKUP($D60,'[1]Import Eletra'!$B:$B,'[1]Import Eletra'!$AL:$AL,,0,1))</f>
        <v>46149</v>
      </c>
      <c r="Q60" s="3">
        <f>IF(_xlfn.XLOOKUP($D60,'[1]Import Eletra'!$B:$B,'[1]Import Eletra'!$AM:$AM,,0,1)=0,"",_xlfn.XLOOKUP($D60,'[1]Import Eletra'!$B:$B,'[1]Import Eletra'!$AM:$AM,,0,1))</f>
        <v>46157</v>
      </c>
      <c r="R60" s="3">
        <f>IF(_xlfn.XLOOKUP($D60,'[1]Import Eletra'!$B:$B,'[1]Import Eletra'!$AN:$AN,,0,1)=0,"",_xlfn.XLOOKUP($D60,'[1]Import Eletra'!$B:$B,'[1]Import Eletra'!$AN:$AN,,0,1))</f>
        <v>46157</v>
      </c>
      <c r="S60" s="3">
        <f>IF(_xlfn.XLOOKUP($D60,'[1]Import Eletra'!$B:$B,'[1]Import Eletra'!$AO:$AO,,0,1)=0,"",_xlfn.XLOOKUP($D60,'[1]Import Eletra'!$B:$B,'[1]Import Eletra'!$AO:$AO,,0,1))</f>
        <v>46162</v>
      </c>
      <c r="T60" s="3">
        <f>IF(_xlfn.XLOOKUP($D60,'[1]Import Eletra'!$B:$B,'[1]Import Eletra'!$AP:$AP,,0,1)=0,"",_xlfn.XLOOKUP($D60,'[1]Import Eletra'!$B:$B,'[1]Import Eletra'!$AP:$AP,,0,1))</f>
        <v>46162</v>
      </c>
      <c r="U60" s="206"/>
      <c r="V60" s="19">
        <f>AA60-$AA$3</f>
        <v>46164</v>
      </c>
      <c r="W60" s="2">
        <f>IF(_xlfn.XLOOKUP($D60,'[1]Import Eletra'!$B:$B,'[1]Import Eletra'!$AR:$AR,,0,1)=0,"",_xlfn.XLOOKUP($D60,'[1]Import Eletra'!$B:$B,'[1]Import Eletra'!$AR:$AR,,0,1))</f>
        <v>46162</v>
      </c>
      <c r="X60" s="1">
        <f t="shared" si="1"/>
        <v>0</v>
      </c>
      <c r="Y60" s="72">
        <f ca="1">IF(W60="",TODAY()-V60,W60-V60)</f>
        <v>-2</v>
      </c>
      <c r="Z60" s="184" t="str">
        <f ca="1">IF(AND(ISNUMBER($Y60),$Y60&gt;0),$Y60-$X60,"")</f>
        <v/>
      </c>
      <c r="AA60" s="33">
        <f t="shared" si="84"/>
        <v>46164</v>
      </c>
      <c r="AB60" s="2" t="str">
        <f>IF(_xlfn.XLOOKUP($D60,'[1]Import Eletra'!$B:$B,'[1]Import Eletra'!$AC:$AC,,0,1)=0,"",_xlfn.XLOOKUP($D60,'[1]Import Eletra'!$B:$B,'[1]Import Eletra'!$AC:$AC,,0,1))</f>
        <v/>
      </c>
      <c r="AC60" s="1">
        <f t="shared" si="3"/>
        <v>0</v>
      </c>
      <c r="AD60" s="1">
        <f t="shared" ca="1" si="85"/>
        <v>47</v>
      </c>
      <c r="AE60" s="184">
        <f ca="1">AD60-AC60</f>
        <v>47</v>
      </c>
      <c r="AF60" s="35">
        <f t="shared" si="86"/>
        <v>46164</v>
      </c>
      <c r="AG60" s="2">
        <f>IF(_xlfn.XLOOKUP($D60,'[1]Import Eletra'!$B:$B,'[1]Import Eletra'!$AD:$AD,,0,1)=0,"",_xlfn.XLOOKUP($D60,'[1]Import Eletra'!$B:$B,'[1]Import Eletra'!$AD:$AD,,0,1))</f>
        <v>46163</v>
      </c>
      <c r="AH60" s="1">
        <f t="shared" si="4"/>
        <v>0</v>
      </c>
      <c r="AI60" s="1">
        <f t="shared" ca="1" si="87"/>
        <v>-1</v>
      </c>
      <c r="AJ60" s="184" t="str">
        <f ca="1">IF(AND(ISNUMBER($AI60),$AI60&gt;0),$AI60-$AH60,"")</f>
        <v/>
      </c>
      <c r="AK60" s="70">
        <f t="shared" si="88"/>
        <v>46164</v>
      </c>
      <c r="AL60" s="2">
        <f>IF(_xlfn.XLOOKUP($D60,'[1]Import Eletra'!$B:$B,'[1]Import Eletra'!$AS:$AS,,0,1)=0,"",_xlfn.XLOOKUP($D60,'[1]Import Eletra'!$B:$B,'[1]Import Eletra'!$AS:$AS,,0,1))</f>
        <v>46163</v>
      </c>
      <c r="AM60" s="1">
        <f t="shared" si="5"/>
        <v>0</v>
      </c>
      <c r="AN60" s="1">
        <f t="shared" ca="1" si="89"/>
        <v>-1</v>
      </c>
      <c r="AO60" s="184" t="str">
        <f ca="1">IF(AND(ISNUMBER($AN60),$AN60&gt;0),$AN60-$AM60,"")</f>
        <v/>
      </c>
      <c r="AP60" s="71">
        <f t="shared" si="90"/>
        <v>46165</v>
      </c>
      <c r="AQ60" s="2">
        <f>IF(_xlfn.XLOOKUP($D60,'[1]Import Eletra'!$B:$B,'[1]Import Eletra'!$AT:$AT,,0,1)=0,"",_xlfn.XLOOKUP($D60,'[1]Import Eletra'!$B:$B,'[1]Import Eletra'!$AT:$AT,,0,1))</f>
        <v>46163</v>
      </c>
      <c r="AR60" s="1">
        <f t="shared" si="6"/>
        <v>1</v>
      </c>
      <c r="AS60" s="1">
        <f t="shared" ca="1" si="91"/>
        <v>-2</v>
      </c>
      <c r="AT60" s="184" t="str">
        <f ca="1">IF(AND(ISNUMBER($AS60),$AS60&gt;0),$AS60-$AR60,"")</f>
        <v/>
      </c>
      <c r="AU60" s="70">
        <f t="shared" si="92"/>
        <v>46165</v>
      </c>
      <c r="AV60" s="2">
        <f>IF(_xlfn.XLOOKUP($D60,'[1]Import Eletra'!$B:$B,'[1]Import Eletra'!$AU:$AU,,0,1)=0,"",_xlfn.XLOOKUP($D60,'[1]Import Eletra'!$B:$B,'[1]Import Eletra'!$AU:$AU,,0,1))</f>
        <v>46163</v>
      </c>
      <c r="AW60" s="1">
        <f t="shared" si="38"/>
        <v>0</v>
      </c>
      <c r="AX60" s="72">
        <f t="shared" ca="1" si="93"/>
        <v>-2</v>
      </c>
      <c r="AY60" s="184" t="str">
        <f ca="1">IF(AND(ISNUMBER($AX60),$AX60&gt;0),$AX60-$AW60,"")</f>
        <v/>
      </c>
      <c r="AZ60" s="71">
        <f t="shared" si="94"/>
        <v>46165</v>
      </c>
      <c r="BA60" s="2">
        <f>IF(_xlfn.XLOOKUP($D60,'[1]Import Eletra'!$B:$B,'[1]Import Eletra'!$AV:$AV,,0,1)=0,"",_xlfn.XLOOKUP($D60,'[1]Import Eletra'!$B:$B,'[1]Import Eletra'!$AV:$AV,,0,1))</f>
        <v>46162</v>
      </c>
      <c r="BB60" s="1">
        <f t="shared" si="39"/>
        <v>0</v>
      </c>
      <c r="BC60" s="1">
        <f t="shared" ca="1" si="95"/>
        <v>-3</v>
      </c>
      <c r="BD60" s="184">
        <f ca="1">BC60-BB60</f>
        <v>-3</v>
      </c>
      <c r="BE60" s="19">
        <f t="shared" si="96"/>
        <v>46165</v>
      </c>
      <c r="BF60" s="2">
        <f>IF(_xlfn.XLOOKUP($D60,'[1]Import Eletra'!$B:$B,'[1]Import Eletra'!$AW:$AW,,0,1)=0,"",_xlfn.XLOOKUP($D60,'[1]Import Eletra'!$B:$B,'[1]Import Eletra'!$AW:$AW,,0,1))</f>
        <v>46163</v>
      </c>
      <c r="BG60" s="1">
        <f t="shared" si="40"/>
        <v>0</v>
      </c>
      <c r="BH60" s="1">
        <f t="shared" ca="1" si="97"/>
        <v>-2</v>
      </c>
      <c r="BI60" s="184" t="str">
        <f ca="1">IF(AND(ISNUMBER($BH60),$BH60&gt;0),$BH60-$BG60,"")</f>
        <v/>
      </c>
      <c r="BJ60" s="18">
        <f t="shared" si="98"/>
        <v>46165</v>
      </c>
      <c r="BK60" s="2">
        <f>IF(_xlfn.XLOOKUP($D60,'[1]Import Eletra'!$B:$B,'[1]Import Eletra'!$AX:$AX,,0,1)=0,"",_xlfn.XLOOKUP($D60,'[1]Import Eletra'!$B:$B,'[1]Import Eletra'!$AX:$AX,,0,1))</f>
        <v>46163</v>
      </c>
      <c r="BL60" s="1">
        <f t="shared" si="7"/>
        <v>0</v>
      </c>
      <c r="BM60" s="1">
        <f t="shared" ca="1" si="99"/>
        <v>-2</v>
      </c>
      <c r="BN60" s="184">
        <f ca="1">BM60-BL60</f>
        <v>-2</v>
      </c>
      <c r="BO60" s="19">
        <f t="shared" si="100"/>
        <v>46165</v>
      </c>
      <c r="BP60" s="2">
        <f>IF(_xlfn.XLOOKUP($D60,'[1]Import Eletra'!$B:$B,'[1]Import Eletra'!$AY:$AY,,0,1)=0,"",_xlfn.XLOOKUP($D60,'[1]Import Eletra'!$B:$B,'[1]Import Eletra'!$AY:$AY,,0,1))</f>
        <v>46157</v>
      </c>
      <c r="BQ60" s="1">
        <f t="shared" si="8"/>
        <v>0</v>
      </c>
      <c r="BR60" s="1">
        <f t="shared" ca="1" si="101"/>
        <v>-8</v>
      </c>
      <c r="BS60" s="184" t="str">
        <f ca="1">IF(AND(ISNUMBER($BR60),$BR60&gt;0),$BR60-$BQ60,"")</f>
        <v/>
      </c>
      <c r="BT60" s="18">
        <f t="shared" si="102"/>
        <v>46167</v>
      </c>
      <c r="BU60" s="2">
        <f>IF(_xlfn.XLOOKUP($D60,'[1]Import Eletra'!$B:$B,'[1]Import Eletra'!$AZ:$AZ,,0,1)=0,"",_xlfn.XLOOKUP($D60,'[1]Import Eletra'!$B:$B,'[1]Import Eletra'!$AZ:$AZ,,0,1))</f>
        <v>46162</v>
      </c>
      <c r="BV60" s="1">
        <f t="shared" si="9"/>
        <v>2</v>
      </c>
      <c r="BW60" s="1">
        <f t="shared" ca="1" si="103"/>
        <v>-5</v>
      </c>
      <c r="BX60" s="184" t="str">
        <f ca="1">IF(AND(ISNUMBER($BW60),$BW60&gt;0),$BW60-$BV60,"")</f>
        <v/>
      </c>
      <c r="BY60" s="19">
        <f t="shared" si="104"/>
        <v>46167</v>
      </c>
      <c r="BZ60" s="2" t="str">
        <f>IF(_xlfn.XLOOKUP($D60,'[1]Import Eletra'!$B:$B,'[1]Import Eletra'!$BA:$BA,,0,1)=0,"",_xlfn.XLOOKUP($D60,'[1]Import Eletra'!$B:$B,'[1]Import Eletra'!$BA:$BA,,0,1))</f>
        <v/>
      </c>
      <c r="CA60" s="1">
        <f t="shared" si="10"/>
        <v>0</v>
      </c>
      <c r="CB60" s="1">
        <f t="shared" ca="1" si="105"/>
        <v>44</v>
      </c>
      <c r="CC60" s="184">
        <f ca="1">IF(AND(ISNUMBER($CB60),$CB60&gt;0),$CB60-$CA60,"")</f>
        <v>44</v>
      </c>
      <c r="CD60" s="18">
        <f t="shared" si="106"/>
        <v>46167</v>
      </c>
      <c r="CE60" s="2" t="str">
        <f>IF(_xlfn.XLOOKUP($D60,'[1]Import Eletra'!$B:$B,'[1]Import Eletra'!$BB:$BB,,0,1)=0,"",_xlfn.XLOOKUP($D60,'[1]Import Eletra'!$B:$B,'[1]Import Eletra'!$BB:$BB,,0,1))</f>
        <v/>
      </c>
      <c r="CF60" s="1">
        <f t="shared" si="11"/>
        <v>0</v>
      </c>
      <c r="CG60" s="1">
        <f t="shared" ca="1" si="107"/>
        <v>44</v>
      </c>
      <c r="CH60" s="184">
        <f ca="1">IF(AND(ISNUMBER($CG60),$CG60&gt;0),$CG60-$CF60,"")</f>
        <v>44</v>
      </c>
      <c r="CI60" s="19">
        <f t="shared" si="108"/>
        <v>46167</v>
      </c>
      <c r="CJ60" s="2" t="str">
        <f>IF(_xlfn.XLOOKUP($D60,'[1]Import Eletra'!$B:$B,'[1]Import Eletra'!$BC:$BC,,0,1)=0,"",_xlfn.XLOOKUP($D60,'[1]Import Eletra'!$B:$B,'[1]Import Eletra'!$BC:$BC,,0,1))</f>
        <v/>
      </c>
      <c r="CK60" s="1"/>
      <c r="CL60" s="1">
        <f t="shared" ca="1" si="109"/>
        <v>44</v>
      </c>
      <c r="CM60" s="184">
        <f ca="1">IF(AND(ISNUMBER($CL60),$CL60&gt;0),$CL60-$CK60,"")</f>
        <v>44</v>
      </c>
      <c r="CN60" s="18">
        <f t="shared" si="110"/>
        <v>46167</v>
      </c>
      <c r="CO60" s="2">
        <f>IF(_xlfn.XLOOKUP($D60,'[1]Import Eletra'!$B:$B,'[1]Import Eletra'!$BD:$BD,,0,1)=0,"",_xlfn.XLOOKUP($D60,'[1]Import Eletra'!$B:$B,'[1]Import Eletra'!$BD:$BD,,0,1))</f>
        <v>46163</v>
      </c>
      <c r="CP60" s="1">
        <f t="shared" si="12"/>
        <v>0</v>
      </c>
      <c r="CQ60" s="1">
        <f t="shared" ca="1" si="111"/>
        <v>-4</v>
      </c>
      <c r="CR60" s="184" t="str">
        <f ca="1">IF(AND(ISNUMBER($CQ60),$CQ60&gt;0),$CQ60-$CP60,"")</f>
        <v/>
      </c>
      <c r="CS60" s="19">
        <f t="shared" si="112"/>
        <v>46167</v>
      </c>
      <c r="CT60" s="2">
        <f>IF(_xlfn.XLOOKUP($D60,'[1]Import Eletra'!$B:$B,'[1]Import Eletra'!$BE:$BE,,0,1)=0,"",_xlfn.XLOOKUP($D60,'[1]Import Eletra'!$B:$B,'[1]Import Eletra'!$BE:$BE,,0,1))</f>
        <v>46164</v>
      </c>
      <c r="CU60" s="1">
        <f t="shared" si="13"/>
        <v>0</v>
      </c>
      <c r="CV60" s="1">
        <f t="shared" ca="1" si="113"/>
        <v>-3</v>
      </c>
      <c r="CW60" s="184" t="str">
        <f ca="1">IF(AND(ISNUMBER($CV60),$CV60&gt;0),$CV60-$CU60,"")</f>
        <v/>
      </c>
      <c r="CX60" s="19">
        <f t="shared" si="114"/>
        <v>46167</v>
      </c>
      <c r="CY60" s="2">
        <f>IF(_xlfn.XLOOKUP($D60,'[1]Import Eletra'!$B:$B,'[1]Import Eletra'!$BE:$BE,,0,1)=0,"",_xlfn.XLOOKUP($D60,'[1]Import Eletra'!$B:$B,'[1]Import Eletra'!$BE:$BE,,0,1))</f>
        <v>46164</v>
      </c>
      <c r="CZ60" s="40">
        <f t="shared" si="14"/>
        <v>0</v>
      </c>
      <c r="DA60" s="1">
        <f t="shared" ca="1" si="115"/>
        <v>-3</v>
      </c>
      <c r="DB60" s="184" t="str">
        <f ca="1">IF(AND(ISNUMBER($DA60),$DA60&gt;0),$DA60-$CZ60,"")</f>
        <v/>
      </c>
      <c r="DC60" s="19">
        <f t="shared" si="116"/>
        <v>46169</v>
      </c>
      <c r="DD60" s="2">
        <f>IF(_xlfn.XLOOKUP($D60,'[1]Import Eletra'!$B:$B,'[1]Import Eletra'!$BF:$BF,,0,1)=0,"",_xlfn.XLOOKUP($D60,'[1]Import Eletra'!$B:$B,'[1]Import Eletra'!$BF:$BF,0,1))</f>
        <v>46164</v>
      </c>
      <c r="DE60" s="1">
        <f t="shared" si="15"/>
        <v>2</v>
      </c>
      <c r="DF60" s="1">
        <f t="shared" ca="1" si="117"/>
        <v>-5</v>
      </c>
      <c r="DG60" s="184" t="str">
        <f ca="1">IF(AND(ISNUMBER($DF60),$DF60&gt;0),$DF60-$DE60,"")</f>
        <v/>
      </c>
      <c r="DH60" s="19">
        <f>DN60-$DM$3</f>
        <v>46170</v>
      </c>
      <c r="DI60" s="2">
        <f>IF(_xlfn.XLOOKUP($D60,'[1]Import Eletra'!$B:$B,'[1]Import Eletra'!$BG:$BG,,0,1)=0,"",_xlfn.XLOOKUP($D60,'[1]Import Eletra'!$B:$B,'[1]Import Eletra'!$BG:$BG,0,1))</f>
        <v>46169</v>
      </c>
      <c r="DJ60" s="1">
        <f t="shared" si="16"/>
        <v>1</v>
      </c>
      <c r="DK60" s="1">
        <f t="shared" ca="1" si="118"/>
        <v>-1</v>
      </c>
      <c r="DL60" s="20"/>
      <c r="DM60" s="64"/>
      <c r="DN60" s="202">
        <f t="shared" si="122"/>
        <v>46171</v>
      </c>
      <c r="DO60" s="2"/>
      <c r="DP60" s="1">
        <f>$DM$3</f>
        <v>1</v>
      </c>
      <c r="DQ60" s="1">
        <f t="shared" ca="1" si="119"/>
        <v>40</v>
      </c>
      <c r="DR60" s="184">
        <f t="shared" ca="1" si="120"/>
        <v>39</v>
      </c>
      <c r="DS60" s="139">
        <v>10</v>
      </c>
      <c r="DT60" s="140"/>
      <c r="DU60" s="184">
        <f t="shared" si="121"/>
        <v>-10</v>
      </c>
      <c r="DW60" s="142"/>
      <c r="DZ60" s="230"/>
    </row>
    <row r="61" spans="1:130" ht="30" customHeight="1">
      <c r="B61" s="103">
        <v>2</v>
      </c>
      <c r="C61" s="104"/>
      <c r="D61" s="219" t="s">
        <v>318</v>
      </c>
      <c r="E61" s="204">
        <f>IF(_xlfn.XLOOKUP($D61,'[1]Import Eletra'!$B:$B,'[1]Import Eletra'!$U:$U,,0,1)=0,"",_xlfn.XLOOKUP($D61,'[1]Import Eletra'!$B:$B,'[1]Import Eletra'!$U:$U,,0,1))</f>
        <v>1</v>
      </c>
      <c r="F61" s="199" t="s">
        <v>309</v>
      </c>
      <c r="G61" s="2" t="str">
        <f>_xlfn.XLOOKUP($D61,'[1]Import Eletra'!$B:$B,'[1]Import Eletra'!$F:$F,,0,1)</f>
        <v>DELIVERED</v>
      </c>
      <c r="H61" s="108" t="str">
        <f>_xlfn.XLOOKUP($D61,'[1]Import Eletra'!$B:$B,'[1]Import Eletra'!$G:$G,,0,1)</f>
        <v>SEA</v>
      </c>
      <c r="I61" s="108"/>
      <c r="J61" s="109"/>
      <c r="K61" s="109"/>
      <c r="L61" s="108">
        <f>IF(_xlfn.XLOOKUP($D61,'[1]Import Eletra'!$B:$B,'[1]Import Eletra'!$J:$J,,0,1)=0,"",_xlfn.XLOOKUP($D61,'[1]Import Eletra'!$B:$B,'[1]Import Eletra'!$J:$J,,0,1))</f>
        <v>46097</v>
      </c>
      <c r="M61" s="168">
        <f>IF(_xlfn.XLOOKUP($D61,'[1]Import Eletra'!$B:$B,'[1]Import Eletra'!$L:$L,,0,1)=0,"",_xlfn.XLOOKUP($D61,'[1]Import Eletra'!$B:$B,'[1]Import Eletra'!$L:$L,,0,1))</f>
        <v>46154</v>
      </c>
      <c r="N61" s="85">
        <f>IF(_xlfn.XLOOKUP($D61,'[1]Import Eletra'!$B:$B,'[1]Import Eletra'!$AJ:$AJ,,0,1)=0,"",_xlfn.XLOOKUP($D61,'[1]Import Eletra'!$B:$B,'[1]Import Eletra'!$AJ:$AJ,,0,1))</f>
        <v>15053.43</v>
      </c>
      <c r="O61" s="108">
        <f>IF(_xlfn.XLOOKUP($D61,'[1]Import Eletra'!$B:$B,'[1]Import Eletra'!$AK:$AK,,0,1)=0,"",_xlfn.XLOOKUP($D61,'[1]Import Eletra'!$B:$B,'[1]Import Eletra'!$AK:$AK,,0,1))</f>
        <v>46154</v>
      </c>
      <c r="P61" s="108">
        <f>IF(_xlfn.XLOOKUP($D61,'[1]Import Eletra'!$B:$B,'[1]Import Eletra'!$AL:$AL,,0,1)=0,"",_xlfn.XLOOKUP($D61,'[1]Import Eletra'!$B:$B,'[1]Import Eletra'!$AL:$AL,,0,1))</f>
        <v>46154</v>
      </c>
      <c r="Q61" s="108">
        <f>IF(_xlfn.XLOOKUP($D61,'[1]Import Eletra'!$B:$B,'[1]Import Eletra'!$AM:$AM,,0,1)=0,"",_xlfn.XLOOKUP($D61,'[1]Import Eletra'!$B:$B,'[1]Import Eletra'!$AM:$AM,,0,1))</f>
        <v>46156</v>
      </c>
      <c r="R61" s="108">
        <f>IF(_xlfn.XLOOKUP($D61,'[1]Import Eletra'!$B:$B,'[1]Import Eletra'!$AN:$AN,,0,1)=0,"",_xlfn.XLOOKUP($D61,'[1]Import Eletra'!$B:$B,'[1]Import Eletra'!$AN:$AN,,0,1))</f>
        <v>46156</v>
      </c>
      <c r="S61" s="108">
        <f>IF(_xlfn.XLOOKUP($D61,'[1]Import Eletra'!$B:$B,'[1]Import Eletra'!$AO:$AO,,0,1)=0,"",_xlfn.XLOOKUP($D61,'[1]Import Eletra'!$B:$B,'[1]Import Eletra'!$AO:$AO,,0,1))</f>
        <v>46157</v>
      </c>
      <c r="T61" s="108">
        <f>IF(_xlfn.XLOOKUP($D61,'[1]Import Eletra'!$B:$B,'[1]Import Eletra'!$AP:$AP,,0,1)=0,"",_xlfn.XLOOKUP($D61,'[1]Import Eletra'!$B:$B,'[1]Import Eletra'!$AP:$AP,,0,1))</f>
        <v>46157</v>
      </c>
      <c r="U61" s="205"/>
      <c r="V61" s="110">
        <f>AA61-$AA$3</f>
        <v>46157</v>
      </c>
      <c r="W61" s="104">
        <f>IF(_xlfn.XLOOKUP($D61,'[1]Import Eletra'!$B:$B,'[1]Import Eletra'!$AR:$AR,,0,1)=0,"",_xlfn.XLOOKUP($D61,'[1]Import Eletra'!$B:$B,'[1]Import Eletra'!$AR:$AR,,0,1))</f>
        <v>46154</v>
      </c>
      <c r="X61" s="112">
        <f t="shared" si="1"/>
        <v>0</v>
      </c>
      <c r="Y61" s="113">
        <f ca="1">IF(W61="",TODAY()-V61,W61-V61)</f>
        <v>-3</v>
      </c>
      <c r="Z61" s="184" t="str">
        <f ca="1">IF(AND(ISNUMBER($Y61),$Y61&gt;0),$Y61-$X61,"")</f>
        <v/>
      </c>
      <c r="AA61" s="114">
        <f t="shared" si="84"/>
        <v>46157</v>
      </c>
      <c r="AB61" s="104" t="str">
        <f>IF(_xlfn.XLOOKUP($D61,'[1]Import Eletra'!$B:$B,'[1]Import Eletra'!$AC:$AC,,0,1)=0,"",_xlfn.XLOOKUP($D61,'[1]Import Eletra'!$B:$B,'[1]Import Eletra'!$AC:$AC,,0,1))</f>
        <v/>
      </c>
      <c r="AC61" s="112">
        <f t="shared" si="3"/>
        <v>0</v>
      </c>
      <c r="AD61" s="112">
        <f t="shared" ca="1" si="85"/>
        <v>54</v>
      </c>
      <c r="AE61" s="184">
        <f ca="1">AD61-AC61</f>
        <v>54</v>
      </c>
      <c r="AF61" s="116">
        <f t="shared" si="86"/>
        <v>46157</v>
      </c>
      <c r="AG61" s="104">
        <f>IF(_xlfn.XLOOKUP($D61,'[1]Import Eletra'!$B:$B,'[1]Import Eletra'!$AD:$AD,,0,1)=0,"",_xlfn.XLOOKUP($D61,'[1]Import Eletra'!$B:$B,'[1]Import Eletra'!$AD:$AD,,0,1))</f>
        <v>46160</v>
      </c>
      <c r="AH61" s="112">
        <f t="shared" si="4"/>
        <v>0</v>
      </c>
      <c r="AI61" s="112">
        <f t="shared" ca="1" si="87"/>
        <v>3</v>
      </c>
      <c r="AJ61" s="184">
        <f ca="1">IF(AND(ISNUMBER($AI61),$AI61&gt;0),$AI61-$AH61,"")</f>
        <v>3</v>
      </c>
      <c r="AK61" s="117">
        <f t="shared" si="88"/>
        <v>46157</v>
      </c>
      <c r="AL61" s="104">
        <f>IF(_xlfn.XLOOKUP($D61,'[1]Import Eletra'!$B:$B,'[1]Import Eletra'!$AS:$AS,,0,1)=0,"",_xlfn.XLOOKUP($D61,'[1]Import Eletra'!$B:$B,'[1]Import Eletra'!$AS:$AS,,0,1))</f>
        <v>46160</v>
      </c>
      <c r="AM61" s="112">
        <f t="shared" si="5"/>
        <v>0</v>
      </c>
      <c r="AN61" s="112">
        <f t="shared" ca="1" si="89"/>
        <v>3</v>
      </c>
      <c r="AO61" s="184">
        <f ca="1">IF(AND(ISNUMBER($AN61),$AN61&gt;0),$AN61-$AM61,"")</f>
        <v>3</v>
      </c>
      <c r="AP61" s="118">
        <f t="shared" si="90"/>
        <v>46158</v>
      </c>
      <c r="AQ61" s="104">
        <f>IF(_xlfn.XLOOKUP($D61,'[1]Import Eletra'!$B:$B,'[1]Import Eletra'!$AT:$AT,,0,1)=0,"",_xlfn.XLOOKUP($D61,'[1]Import Eletra'!$B:$B,'[1]Import Eletra'!$AT:$AT,,0,1))</f>
        <v>46160</v>
      </c>
      <c r="AR61" s="112">
        <f t="shared" si="6"/>
        <v>1</v>
      </c>
      <c r="AS61" s="112">
        <f t="shared" ca="1" si="91"/>
        <v>2</v>
      </c>
      <c r="AT61" s="184">
        <f ca="1">IF(AND(ISNUMBER($AS61),$AS61&gt;0),$AS61-$AR61,"")</f>
        <v>1</v>
      </c>
      <c r="AU61" s="117">
        <f t="shared" si="92"/>
        <v>46158</v>
      </c>
      <c r="AV61" s="104">
        <f>IF(_xlfn.XLOOKUP($D61,'[1]Import Eletra'!$B:$B,'[1]Import Eletra'!$AU:$AU,,0,1)=0,"",_xlfn.XLOOKUP($D61,'[1]Import Eletra'!$B:$B,'[1]Import Eletra'!$AU:$AU,,0,1))</f>
        <v>46160</v>
      </c>
      <c r="AW61" s="112">
        <f t="shared" si="38"/>
        <v>0</v>
      </c>
      <c r="AX61" s="113">
        <f t="shared" ca="1" si="93"/>
        <v>2</v>
      </c>
      <c r="AY61" s="184">
        <f ca="1">IF(AND(ISNUMBER($AX61),$AX61&gt;0),$AX61-$AW61,"")</f>
        <v>2</v>
      </c>
      <c r="AZ61" s="118">
        <f t="shared" si="94"/>
        <v>46158</v>
      </c>
      <c r="BA61" s="104" t="str">
        <f>IF(_xlfn.XLOOKUP($D61,'[1]Import Eletra'!$B:$B,'[1]Import Eletra'!$AV:$AV,,0,1)=0,"",_xlfn.XLOOKUP($D61,'[1]Import Eletra'!$B:$B,'[1]Import Eletra'!$AV:$AV,,0,1))</f>
        <v/>
      </c>
      <c r="BB61" s="112">
        <f t="shared" si="39"/>
        <v>0</v>
      </c>
      <c r="BC61" s="112">
        <f t="shared" ca="1" si="95"/>
        <v>53</v>
      </c>
      <c r="BD61" s="184">
        <f ca="1">BC61-BB61</f>
        <v>53</v>
      </c>
      <c r="BE61" s="110">
        <f t="shared" si="96"/>
        <v>46158</v>
      </c>
      <c r="BF61" s="104" t="str">
        <f>IF(_xlfn.XLOOKUP($D61,'[1]Import Eletra'!$B:$B,'[1]Import Eletra'!$AW:$AW,,0,1)=0,"",_xlfn.XLOOKUP($D61,'[1]Import Eletra'!$B:$B,'[1]Import Eletra'!$AW:$AW,,0,1))</f>
        <v/>
      </c>
      <c r="BG61" s="112">
        <f t="shared" si="40"/>
        <v>0</v>
      </c>
      <c r="BH61" s="112">
        <f t="shared" ca="1" si="97"/>
        <v>53</v>
      </c>
      <c r="BI61" s="184">
        <f ca="1">IF(AND(ISNUMBER($BH61),$BH61&gt;0),$BH61-$BG61,"")</f>
        <v>53</v>
      </c>
      <c r="BJ61" s="120">
        <f t="shared" si="98"/>
        <v>46158</v>
      </c>
      <c r="BK61" s="104" t="str">
        <f>IF(_xlfn.XLOOKUP($D61,'[1]Import Eletra'!$B:$B,'[1]Import Eletra'!$AX:$AX,,0,1)=0,"",_xlfn.XLOOKUP($D61,'[1]Import Eletra'!$B:$B,'[1]Import Eletra'!$AX:$AX,,0,1))</f>
        <v/>
      </c>
      <c r="BL61" s="112">
        <f t="shared" si="7"/>
        <v>0</v>
      </c>
      <c r="BM61" s="112">
        <f t="shared" ca="1" si="99"/>
        <v>53</v>
      </c>
      <c r="BN61" s="184">
        <f ca="1">BM61-BL61</f>
        <v>53</v>
      </c>
      <c r="BO61" s="110">
        <f t="shared" si="100"/>
        <v>46158</v>
      </c>
      <c r="BP61" s="104" t="str">
        <f>IF(_xlfn.XLOOKUP($D61,'[1]Import Eletra'!$B:$B,'[1]Import Eletra'!$AY:$AY,,0,1)=0,"",_xlfn.XLOOKUP($D61,'[1]Import Eletra'!$B:$B,'[1]Import Eletra'!$AY:$AY,,0,1))</f>
        <v/>
      </c>
      <c r="BQ61" s="112">
        <f t="shared" si="8"/>
        <v>0</v>
      </c>
      <c r="BR61" s="112">
        <f t="shared" ca="1" si="101"/>
        <v>53</v>
      </c>
      <c r="BS61" s="184">
        <f ca="1">IF(AND(ISNUMBER($BR61),$BR61&gt;0),$BR61-$BQ61,"")</f>
        <v>53</v>
      </c>
      <c r="BT61" s="120">
        <f t="shared" si="102"/>
        <v>46160</v>
      </c>
      <c r="BU61" s="104" t="str">
        <f>IF(_xlfn.XLOOKUP($D61,'[1]Import Eletra'!$B:$B,'[1]Import Eletra'!$AZ:$AZ,,0,1)=0,"",_xlfn.XLOOKUP($D61,'[1]Import Eletra'!$B:$B,'[1]Import Eletra'!$AZ:$AZ,,0,1))</f>
        <v/>
      </c>
      <c r="BV61" s="112">
        <f t="shared" si="9"/>
        <v>2</v>
      </c>
      <c r="BW61" s="112">
        <f t="shared" ca="1" si="103"/>
        <v>51</v>
      </c>
      <c r="BX61" s="184">
        <f ca="1">IF(AND(ISNUMBER($BW61),$BW61&gt;0),$BW61-$BV61,"")</f>
        <v>49</v>
      </c>
      <c r="BY61" s="110">
        <f t="shared" si="104"/>
        <v>46160</v>
      </c>
      <c r="BZ61" s="104" t="str">
        <f>IF(_xlfn.XLOOKUP($D61,'[1]Import Eletra'!$B:$B,'[1]Import Eletra'!$BA:$BA,,0,1)=0,"",_xlfn.XLOOKUP($D61,'[1]Import Eletra'!$B:$B,'[1]Import Eletra'!$BA:$BA,,0,1))</f>
        <v/>
      </c>
      <c r="CA61" s="112">
        <f t="shared" si="10"/>
        <v>0</v>
      </c>
      <c r="CB61" s="112">
        <f t="shared" ca="1" si="105"/>
        <v>51</v>
      </c>
      <c r="CC61" s="184">
        <f ca="1">IF(AND(ISNUMBER($CB61),$CB61&gt;0),$CB61-$CA61,"")</f>
        <v>51</v>
      </c>
      <c r="CD61" s="120">
        <f t="shared" si="106"/>
        <v>46160</v>
      </c>
      <c r="CE61" s="104" t="str">
        <f>IF(_xlfn.XLOOKUP($D61,'[1]Import Eletra'!$B:$B,'[1]Import Eletra'!$BB:$BB,,0,1)=0,"",_xlfn.XLOOKUP($D61,'[1]Import Eletra'!$B:$B,'[1]Import Eletra'!$BB:$BB,,0,1))</f>
        <v/>
      </c>
      <c r="CF61" s="112">
        <f t="shared" si="11"/>
        <v>0</v>
      </c>
      <c r="CG61" s="112">
        <f t="shared" ca="1" si="107"/>
        <v>51</v>
      </c>
      <c r="CH61" s="184">
        <f ca="1">IF(AND(ISNUMBER($CG61),$CG61&gt;0),$CG61-$CF61,"")</f>
        <v>51</v>
      </c>
      <c r="CI61" s="110">
        <f t="shared" si="108"/>
        <v>46160</v>
      </c>
      <c r="CJ61" s="104" t="str">
        <f>IF(_xlfn.XLOOKUP($D61,'[1]Import Eletra'!$B:$B,'[1]Import Eletra'!$BC:$BC,,0,1)=0,"",_xlfn.XLOOKUP($D61,'[1]Import Eletra'!$B:$B,'[1]Import Eletra'!$BC:$BC,,0,1))</f>
        <v/>
      </c>
      <c r="CK61" s="112"/>
      <c r="CL61" s="112">
        <f t="shared" ca="1" si="109"/>
        <v>51</v>
      </c>
      <c r="CM61" s="184">
        <f ca="1">IF(AND(ISNUMBER($CL61),$CL61&gt;0),$CL61-$CK61,"")</f>
        <v>51</v>
      </c>
      <c r="CN61" s="120">
        <f t="shared" si="110"/>
        <v>46160</v>
      </c>
      <c r="CO61" s="104">
        <f>IF(_xlfn.XLOOKUP($D61,'[1]Import Eletra'!$B:$B,'[1]Import Eletra'!$BD:$BD,,0,1)=0,"",_xlfn.XLOOKUP($D61,'[1]Import Eletra'!$B:$B,'[1]Import Eletra'!$BD:$BD,,0,1))</f>
        <v>46160</v>
      </c>
      <c r="CP61" s="112">
        <f t="shared" si="12"/>
        <v>0</v>
      </c>
      <c r="CQ61" s="112">
        <f t="shared" ca="1" si="111"/>
        <v>0</v>
      </c>
      <c r="CR61" s="184" t="str">
        <f ca="1">IF(AND(ISNUMBER($CQ61),$CQ61&gt;0),$CQ61-$CP61,"")</f>
        <v/>
      </c>
      <c r="CS61" s="110">
        <f t="shared" si="112"/>
        <v>46160</v>
      </c>
      <c r="CT61" s="104">
        <f>IF(_xlfn.XLOOKUP($D61,'[1]Import Eletra'!$B:$B,'[1]Import Eletra'!$BE:$BE,,0,1)=0,"",_xlfn.XLOOKUP($D61,'[1]Import Eletra'!$B:$B,'[1]Import Eletra'!$BE:$BE,,0,1))</f>
        <v>46161</v>
      </c>
      <c r="CU61" s="112">
        <f t="shared" si="13"/>
        <v>0</v>
      </c>
      <c r="CV61" s="112">
        <f t="shared" ca="1" si="113"/>
        <v>1</v>
      </c>
      <c r="CW61" s="184">
        <f ca="1">IF(AND(ISNUMBER($CV61),$CV61&gt;0),$CV61-$CU61,"")</f>
        <v>1</v>
      </c>
      <c r="CX61" s="110">
        <f t="shared" si="114"/>
        <v>46160</v>
      </c>
      <c r="CY61" s="104">
        <f>IF(_xlfn.XLOOKUP($D61,'[1]Import Eletra'!$B:$B,'[1]Import Eletra'!$BE:$BE,,0,1)=0,"",_xlfn.XLOOKUP($D61,'[1]Import Eletra'!$B:$B,'[1]Import Eletra'!$BE:$BE,,0,1))</f>
        <v>46161</v>
      </c>
      <c r="CZ61" s="121">
        <f t="shared" si="14"/>
        <v>0</v>
      </c>
      <c r="DA61" s="112">
        <f t="shared" ca="1" si="115"/>
        <v>1</v>
      </c>
      <c r="DB61" s="184">
        <f ca="1">IF(AND(ISNUMBER($DA61),$DA61&gt;0),$DA61-$CZ61,"")</f>
        <v>1</v>
      </c>
      <c r="DC61" s="110">
        <f t="shared" si="116"/>
        <v>46162</v>
      </c>
      <c r="DD61" s="104">
        <f>IF(_xlfn.XLOOKUP($D61,'[1]Import Eletra'!$B:$B,'[1]Import Eletra'!$BF:$BF,,0,1)=0,"",_xlfn.XLOOKUP($D61,'[1]Import Eletra'!$B:$B,'[1]Import Eletra'!$BF:$BF,0,1))</f>
        <v>46161</v>
      </c>
      <c r="DE61" s="112">
        <f t="shared" si="15"/>
        <v>2</v>
      </c>
      <c r="DF61" s="112">
        <f t="shared" ca="1" si="117"/>
        <v>-1</v>
      </c>
      <c r="DG61" s="184" t="str">
        <f ca="1">IF(AND(ISNUMBER($DF61),$DF61&gt;0),$DF61-$DE61,"")</f>
        <v/>
      </c>
      <c r="DH61" s="110">
        <f>DN61-$DM$3</f>
        <v>46163</v>
      </c>
      <c r="DI61" s="104" t="str">
        <f>IF(_xlfn.XLOOKUP($D61,'[1]Import Eletra'!$B:$B,'[1]Import Eletra'!$BG:$BG,,0,1)=0,"",_xlfn.XLOOKUP($D61,'[1]Import Eletra'!$B:$B,'[1]Import Eletra'!$BG:$BG,0,1))</f>
        <v/>
      </c>
      <c r="DJ61" s="112">
        <f t="shared" si="16"/>
        <v>1</v>
      </c>
      <c r="DK61" s="112">
        <f t="shared" ca="1" si="118"/>
        <v>48</v>
      </c>
      <c r="DL61" s="184"/>
      <c r="DM61" s="64"/>
      <c r="DN61" s="202">
        <f t="shared" si="122"/>
        <v>46164</v>
      </c>
      <c r="DO61" s="104"/>
      <c r="DP61" s="112">
        <f>$DM$3</f>
        <v>1</v>
      </c>
      <c r="DQ61" s="112">
        <f t="shared" ca="1" si="119"/>
        <v>47</v>
      </c>
      <c r="DR61" s="184">
        <f t="shared" ca="1" si="120"/>
        <v>46</v>
      </c>
      <c r="DS61" s="143">
        <v>10</v>
      </c>
      <c r="DT61" s="140"/>
      <c r="DU61" s="184">
        <f t="shared" si="121"/>
        <v>-10</v>
      </c>
      <c r="DW61" s="142"/>
      <c r="DZ61" s="230"/>
    </row>
    <row r="62" spans="1:130" s="147" customFormat="1" ht="30" customHeight="1">
      <c r="A62" s="227"/>
      <c r="B62" s="122"/>
      <c r="C62" s="123"/>
      <c r="D62" s="215"/>
      <c r="E62" s="124"/>
      <c r="F62" s="200"/>
      <c r="G62" s="123"/>
      <c r="H62" s="126"/>
      <c r="I62" s="126"/>
      <c r="J62" s="127"/>
      <c r="K62" s="127"/>
      <c r="L62" s="126"/>
      <c r="M62" s="123"/>
      <c r="N62" s="126"/>
      <c r="O62" s="126"/>
      <c r="P62" s="126"/>
      <c r="Q62" s="126"/>
      <c r="R62" s="126"/>
      <c r="S62" s="126"/>
      <c r="T62" s="126"/>
      <c r="U62" s="123"/>
      <c r="V62" s="126"/>
      <c r="W62" s="123"/>
      <c r="X62" s="128"/>
      <c r="Y62" s="129"/>
      <c r="Z62" s="128"/>
      <c r="AA62" s="130"/>
      <c r="AB62" s="123"/>
      <c r="AC62" s="128"/>
      <c r="AD62" s="128"/>
      <c r="AE62" s="128"/>
      <c r="AF62" s="130"/>
      <c r="AG62" s="123"/>
      <c r="AH62" s="128"/>
      <c r="AI62" s="128"/>
      <c r="AJ62" s="128"/>
      <c r="AK62" s="131"/>
      <c r="AL62" s="123"/>
      <c r="AM62" s="128"/>
      <c r="AN62" s="128"/>
      <c r="AO62" s="128"/>
      <c r="AP62" s="131"/>
      <c r="AQ62" s="123"/>
      <c r="AR62" s="128"/>
      <c r="AS62" s="128"/>
      <c r="AT62" s="128"/>
      <c r="AU62" s="131"/>
      <c r="AV62" s="123"/>
      <c r="AW62" s="128"/>
      <c r="AX62" s="129"/>
      <c r="AY62" s="129"/>
      <c r="AZ62" s="131"/>
      <c r="BA62" s="123"/>
      <c r="BB62" s="128"/>
      <c r="BC62" s="128"/>
      <c r="BD62" s="129"/>
      <c r="BE62" s="126"/>
      <c r="BF62" s="123"/>
      <c r="BG62" s="128"/>
      <c r="BH62" s="128"/>
      <c r="BI62" s="129"/>
      <c r="BJ62" s="126"/>
      <c r="BK62" s="123"/>
      <c r="BL62" s="128"/>
      <c r="BM62" s="128"/>
      <c r="BN62" s="128"/>
      <c r="BO62" s="126"/>
      <c r="BP62" s="123"/>
      <c r="BQ62" s="128"/>
      <c r="BR62" s="128"/>
      <c r="BS62" s="128"/>
      <c r="BT62" s="126"/>
      <c r="BU62" s="123"/>
      <c r="BV62" s="128"/>
      <c r="BW62" s="128"/>
      <c r="BX62" s="128"/>
      <c r="BY62" s="126"/>
      <c r="BZ62" s="123"/>
      <c r="CA62" s="128"/>
      <c r="CB62" s="128"/>
      <c r="CC62" s="128"/>
      <c r="CD62" s="126"/>
      <c r="CE62" s="123"/>
      <c r="CF62" s="128"/>
      <c r="CG62" s="128"/>
      <c r="CH62" s="128"/>
      <c r="CI62" s="126"/>
      <c r="CJ62" s="123"/>
      <c r="CK62" s="128"/>
      <c r="CL62" s="128"/>
      <c r="CM62" s="128"/>
      <c r="CN62" s="126"/>
      <c r="CO62" s="123"/>
      <c r="CP62" s="128"/>
      <c r="CQ62" s="128"/>
      <c r="CR62" s="128"/>
      <c r="CS62" s="126"/>
      <c r="CT62" s="123"/>
      <c r="CU62" s="128"/>
      <c r="CV62" s="128"/>
      <c r="CW62" s="128"/>
      <c r="CX62" s="126"/>
      <c r="CY62" s="123"/>
      <c r="CZ62" s="128"/>
      <c r="DA62" s="128"/>
      <c r="DB62" s="128"/>
      <c r="DC62" s="126"/>
      <c r="DD62" s="123"/>
      <c r="DE62" s="128"/>
      <c r="DF62" s="128"/>
      <c r="DG62" s="128"/>
      <c r="DH62" s="126"/>
      <c r="DI62" s="123"/>
      <c r="DJ62" s="128"/>
      <c r="DK62" s="128"/>
      <c r="DL62" s="128"/>
      <c r="DM62" s="123"/>
      <c r="DN62" s="201"/>
      <c r="DO62" s="123"/>
      <c r="DP62" s="128"/>
      <c r="DQ62" s="128"/>
      <c r="DR62" s="128"/>
      <c r="DS62" s="146"/>
      <c r="DT62" s="146"/>
      <c r="DU62" s="146"/>
      <c r="DW62" s="148"/>
    </row>
    <row r="63" spans="1:130" s="175" customFormat="1" ht="30" customHeight="1">
      <c r="A63" s="228"/>
      <c r="B63" s="172" t="s">
        <v>319</v>
      </c>
      <c r="C63" s="173"/>
      <c r="D63" s="172"/>
      <c r="E63" s="174">
        <f>SUBTOTAL(9,E8:E62)</f>
        <v>39</v>
      </c>
      <c r="F63" s="172"/>
      <c r="G63" s="172"/>
      <c r="U63" s="172"/>
      <c r="X63" s="176"/>
      <c r="Y63" s="176"/>
      <c r="Z63" s="176"/>
      <c r="AA63" s="176"/>
      <c r="AB63" s="177"/>
      <c r="AE63" s="176"/>
      <c r="BE63" s="173"/>
      <c r="BF63" s="173"/>
      <c r="BJ63" s="173"/>
      <c r="BK63" s="178"/>
      <c r="BP63" s="172"/>
      <c r="BT63" s="179"/>
      <c r="BU63" s="180"/>
      <c r="BV63" s="179"/>
      <c r="BW63" s="179"/>
      <c r="BX63" s="179"/>
      <c r="BZ63" s="172"/>
      <c r="CE63" s="172"/>
      <c r="CJ63" s="172"/>
      <c r="CO63" s="172"/>
      <c r="CT63" s="172"/>
      <c r="CY63" s="172"/>
      <c r="DI63" s="172"/>
      <c r="DN63" s="181"/>
      <c r="DO63" s="172"/>
      <c r="DS63" s="182"/>
      <c r="DT63" s="183"/>
      <c r="DU63" s="183"/>
    </row>
    <row r="64" spans="1:130" s="147" customFormat="1" ht="30" customHeight="1">
      <c r="A64" s="227"/>
      <c r="B64" s="148"/>
      <c r="C64" s="186"/>
      <c r="D64" s="148"/>
      <c r="E64" s="187"/>
      <c r="F64" s="148"/>
      <c r="G64" s="148"/>
      <c r="U64" s="148"/>
      <c r="X64" s="188"/>
      <c r="Y64" s="188"/>
      <c r="Z64" s="188"/>
      <c r="AA64" s="188"/>
      <c r="AB64" s="189"/>
      <c r="AE64" s="188"/>
      <c r="BE64" s="186"/>
      <c r="BF64" s="186"/>
      <c r="BJ64" s="186"/>
      <c r="BK64" s="190"/>
      <c r="BP64" s="148"/>
      <c r="BT64" s="191"/>
      <c r="BU64" s="192"/>
      <c r="BV64" s="191"/>
      <c r="BW64" s="191"/>
      <c r="BX64" s="191"/>
      <c r="BZ64" s="148"/>
      <c r="CE64" s="148"/>
      <c r="CJ64" s="148"/>
      <c r="CO64" s="148"/>
      <c r="CT64" s="148"/>
      <c r="CY64" s="148"/>
      <c r="DI64" s="148"/>
      <c r="DN64" s="193"/>
      <c r="DO64" s="148"/>
      <c r="DS64" s="194"/>
      <c r="DT64" s="195"/>
      <c r="DU64" s="195"/>
    </row>
    <row r="65" spans="7:124" ht="30" customHeight="1">
      <c r="G65" s="157"/>
      <c r="H65" s="158" t="s">
        <v>320</v>
      </c>
      <c r="I65" s="158"/>
      <c r="J65" s="158"/>
      <c r="K65" s="158"/>
      <c r="L65" s="158"/>
      <c r="AE65" s="150"/>
      <c r="BT65" s="153"/>
      <c r="BU65" s="154"/>
      <c r="BV65" s="153"/>
      <c r="BW65" s="153"/>
      <c r="BX65" s="153"/>
      <c r="DO65" s="159"/>
      <c r="DP65" s="158" t="s">
        <v>321</v>
      </c>
      <c r="DQ65" s="158"/>
      <c r="DR65" s="158"/>
      <c r="DS65" s="158"/>
      <c r="DT65" s="158"/>
    </row>
    <row r="66" spans="7:124" ht="30" customHeight="1">
      <c r="AE66" s="150"/>
      <c r="BT66" s="153"/>
      <c r="BU66" s="154"/>
      <c r="BV66" s="153"/>
      <c r="BW66" s="153"/>
      <c r="BX66" s="153"/>
      <c r="DP66" s="160"/>
    </row>
    <row r="67" spans="7:124" ht="30" customHeight="1">
      <c r="AE67" s="150"/>
      <c r="BT67" s="153"/>
      <c r="BU67" s="154"/>
      <c r="BV67" s="153"/>
      <c r="BW67" s="153"/>
      <c r="BX67" s="153"/>
    </row>
    <row r="68" spans="7:124" ht="30" customHeight="1">
      <c r="AE68" s="150"/>
      <c r="BT68" s="153"/>
      <c r="BU68" s="154"/>
      <c r="BV68" s="153"/>
      <c r="BW68" s="153"/>
      <c r="BX68" s="153"/>
    </row>
    <row r="69" spans="7:124" ht="30" customHeight="1">
      <c r="AE69" s="150"/>
      <c r="BT69" s="153"/>
      <c r="BU69" s="154"/>
      <c r="BV69" s="153"/>
      <c r="BW69" s="153"/>
      <c r="BX69" s="153"/>
    </row>
    <row r="70" spans="7:124" ht="30" customHeight="1">
      <c r="AE70" s="150"/>
      <c r="BT70" s="153"/>
      <c r="BU70" s="154"/>
      <c r="BV70" s="153"/>
      <c r="BW70" s="153"/>
      <c r="BX70" s="153"/>
    </row>
    <row r="71" spans="7:124" ht="30" customHeight="1">
      <c r="AE71" s="150"/>
      <c r="BT71" s="153"/>
      <c r="BU71" s="154"/>
      <c r="BV71" s="153"/>
      <c r="BW71" s="153"/>
      <c r="BX71" s="153"/>
    </row>
    <row r="72" spans="7:124" ht="30" customHeight="1">
      <c r="AE72" s="150"/>
      <c r="BT72" s="153"/>
      <c r="BU72" s="154"/>
      <c r="BV72" s="153"/>
      <c r="BW72" s="153"/>
      <c r="BX72" s="153"/>
    </row>
    <row r="73" spans="7:124" ht="30" customHeight="1">
      <c r="AE73" s="150"/>
      <c r="BT73" s="153"/>
      <c r="BU73" s="154"/>
      <c r="BV73" s="153"/>
      <c r="BW73" s="153"/>
      <c r="BX73" s="153"/>
    </row>
    <row r="74" spans="7:124" ht="30" customHeight="1">
      <c r="AE74" s="150"/>
      <c r="BT74" s="153"/>
      <c r="BU74" s="154"/>
      <c r="BV74" s="153"/>
      <c r="BW74" s="153"/>
      <c r="BX74" s="153"/>
    </row>
    <row r="75" spans="7:124" ht="30" customHeight="1">
      <c r="AE75" s="150"/>
      <c r="BT75" s="153"/>
      <c r="BU75" s="154"/>
      <c r="BV75" s="153"/>
      <c r="BW75" s="153"/>
      <c r="BX75" s="153"/>
    </row>
    <row r="76" spans="7:124" ht="30" customHeight="1">
      <c r="AE76" s="150"/>
      <c r="BT76" s="153"/>
      <c r="BU76" s="154"/>
      <c r="BV76" s="153"/>
      <c r="BW76" s="153"/>
      <c r="BX76" s="153"/>
    </row>
    <row r="77" spans="7:124" ht="30" customHeight="1">
      <c r="AE77" s="150"/>
      <c r="BT77" s="153"/>
      <c r="BU77" s="154"/>
      <c r="BV77" s="153"/>
      <c r="BW77" s="153"/>
      <c r="BX77" s="153"/>
    </row>
    <row r="78" spans="7:124" ht="30" customHeight="1">
      <c r="AE78" s="150"/>
      <c r="BT78" s="153"/>
      <c r="BU78" s="154"/>
      <c r="BV78" s="153"/>
      <c r="BW78" s="153"/>
      <c r="BX78" s="153"/>
    </row>
    <row r="79" spans="7:124" ht="30" customHeight="1">
      <c r="AE79" s="150"/>
      <c r="BT79" s="153"/>
      <c r="BU79" s="154"/>
      <c r="BV79" s="153"/>
      <c r="BW79" s="153"/>
      <c r="BX79" s="153"/>
    </row>
    <row r="80" spans="7:124" ht="30" customHeight="1">
      <c r="AE80" s="150"/>
      <c r="BT80" s="153"/>
      <c r="BU80" s="154"/>
      <c r="BV80" s="153"/>
      <c r="BW80" s="153"/>
      <c r="BX80" s="153"/>
    </row>
    <row r="81" spans="31:76" ht="30" customHeight="1">
      <c r="AE81" s="150"/>
      <c r="BT81" s="153"/>
      <c r="BU81" s="154"/>
      <c r="BV81" s="153"/>
      <c r="BW81" s="153"/>
      <c r="BX81" s="153"/>
    </row>
    <row r="82" spans="31:76" ht="30" customHeight="1">
      <c r="AE82" s="150"/>
      <c r="BT82" s="153"/>
      <c r="BU82" s="154"/>
      <c r="BV82" s="153"/>
      <c r="BW82" s="153"/>
      <c r="BX82" s="153"/>
    </row>
    <row r="83" spans="31:76" ht="30" customHeight="1">
      <c r="AE83" s="150"/>
      <c r="BT83" s="153"/>
      <c r="BU83" s="154"/>
      <c r="BV83" s="153"/>
      <c r="BW83" s="153"/>
      <c r="BX83" s="153"/>
    </row>
    <row r="84" spans="31:76" ht="30" customHeight="1">
      <c r="AE84" s="150"/>
      <c r="BT84" s="153"/>
      <c r="BU84" s="154"/>
      <c r="BV84" s="153"/>
      <c r="BW84" s="153"/>
      <c r="BX84" s="153"/>
    </row>
    <row r="85" spans="31:76" ht="30" customHeight="1">
      <c r="AE85" s="150"/>
      <c r="BT85" s="153"/>
      <c r="BU85" s="154"/>
      <c r="BV85" s="153"/>
      <c r="BW85" s="153"/>
      <c r="BX85" s="153"/>
    </row>
    <row r="86" spans="31:76" ht="30" customHeight="1">
      <c r="AE86" s="150"/>
      <c r="BT86" s="153"/>
      <c r="BU86" s="154"/>
      <c r="BV86" s="153"/>
      <c r="BW86" s="153"/>
      <c r="BX86" s="153"/>
    </row>
    <row r="87" spans="31:76" ht="30" customHeight="1">
      <c r="AE87" s="150"/>
      <c r="BT87" s="153"/>
      <c r="BU87" s="154"/>
      <c r="BV87" s="153"/>
      <c r="BW87" s="153"/>
      <c r="BX87" s="153"/>
    </row>
    <row r="88" spans="31:76" ht="30" customHeight="1">
      <c r="AE88" s="150"/>
      <c r="BT88" s="153"/>
      <c r="BU88" s="154"/>
      <c r="BV88" s="153"/>
      <c r="BW88" s="153"/>
      <c r="BX88" s="153"/>
    </row>
    <row r="89" spans="31:76" ht="30" customHeight="1">
      <c r="AE89" s="150"/>
      <c r="BT89" s="153"/>
      <c r="BU89" s="154"/>
      <c r="BV89" s="153"/>
      <c r="BW89" s="153"/>
      <c r="BX89" s="153"/>
    </row>
    <row r="90" spans="31:76" ht="30" customHeight="1">
      <c r="AE90" s="150"/>
      <c r="BT90" s="153"/>
      <c r="BU90" s="154"/>
      <c r="BV90" s="153"/>
      <c r="BW90" s="153"/>
      <c r="BX90" s="153"/>
    </row>
    <row r="91" spans="31:76" ht="30" customHeight="1">
      <c r="AE91" s="150"/>
      <c r="BT91" s="153"/>
      <c r="BU91" s="154"/>
      <c r="BV91" s="153"/>
      <c r="BW91" s="153"/>
      <c r="BX91" s="153"/>
    </row>
    <row r="92" spans="31:76" ht="30" customHeight="1">
      <c r="AE92" s="150"/>
      <c r="BT92" s="153"/>
      <c r="BU92" s="154"/>
      <c r="BV92" s="153"/>
      <c r="BW92" s="153"/>
      <c r="BX92" s="153"/>
    </row>
    <row r="93" spans="31:76" ht="30" customHeight="1">
      <c r="AE93" s="150"/>
      <c r="BT93" s="153"/>
      <c r="BU93" s="154"/>
      <c r="BV93" s="153"/>
      <c r="BW93" s="153"/>
      <c r="BX93" s="153"/>
    </row>
    <row r="94" spans="31:76" ht="30" customHeight="1">
      <c r="AE94" s="150"/>
      <c r="BT94" s="153"/>
      <c r="BU94" s="154"/>
      <c r="BV94" s="153"/>
      <c r="BW94" s="153"/>
      <c r="BX94" s="153"/>
    </row>
    <row r="95" spans="31:76" ht="30" customHeight="1">
      <c r="AE95" s="150"/>
      <c r="BT95" s="153"/>
      <c r="BU95" s="154"/>
      <c r="BV95" s="153"/>
      <c r="BW95" s="153"/>
      <c r="BX95" s="153"/>
    </row>
    <row r="96" spans="31:76" ht="30" customHeight="1">
      <c r="AE96" s="150"/>
      <c r="BT96" s="153"/>
      <c r="BU96" s="154"/>
      <c r="BV96" s="153"/>
      <c r="BW96" s="153"/>
      <c r="BX96" s="153"/>
    </row>
    <row r="97" spans="31:76" ht="30" customHeight="1">
      <c r="AE97" s="150"/>
      <c r="BT97" s="153"/>
      <c r="BU97" s="154"/>
      <c r="BV97" s="153"/>
      <c r="BW97" s="153"/>
      <c r="BX97" s="153"/>
    </row>
    <row r="98" spans="31:76" ht="30" customHeight="1">
      <c r="AE98" s="150"/>
      <c r="BT98" s="153"/>
      <c r="BU98" s="154"/>
      <c r="BV98" s="153"/>
      <c r="BW98" s="153"/>
      <c r="BX98" s="153"/>
    </row>
    <row r="99" spans="31:76" ht="30" customHeight="1">
      <c r="AE99" s="150"/>
      <c r="BT99" s="153"/>
      <c r="BU99" s="154"/>
      <c r="BV99" s="153"/>
      <c r="BW99" s="153"/>
      <c r="BX99" s="153"/>
    </row>
    <row r="100" spans="31:76" ht="30" customHeight="1">
      <c r="AE100" s="150"/>
      <c r="BT100" s="153"/>
      <c r="BU100" s="154"/>
      <c r="BV100" s="153"/>
      <c r="BW100" s="153"/>
      <c r="BX100" s="153"/>
    </row>
    <row r="101" spans="31:76" ht="30" customHeight="1">
      <c r="AE101" s="150"/>
      <c r="BT101" s="153"/>
      <c r="BU101" s="154"/>
      <c r="BV101" s="153"/>
      <c r="BW101" s="153"/>
      <c r="BX101" s="153"/>
    </row>
    <row r="102" spans="31:76" ht="30" customHeight="1">
      <c r="AE102" s="150"/>
      <c r="BT102" s="153"/>
      <c r="BU102" s="154"/>
      <c r="BV102" s="153"/>
      <c r="BW102" s="153"/>
      <c r="BX102" s="153"/>
    </row>
    <row r="103" spans="31:76" ht="30" customHeight="1">
      <c r="AE103" s="150"/>
      <c r="BT103" s="153"/>
      <c r="BU103" s="154"/>
      <c r="BV103" s="153"/>
      <c r="BW103" s="153"/>
      <c r="BX103" s="153"/>
    </row>
    <row r="104" spans="31:76" ht="30" customHeight="1">
      <c r="AE104" s="150"/>
      <c r="BT104" s="153"/>
      <c r="BU104" s="154"/>
      <c r="BV104" s="153"/>
      <c r="BW104" s="153"/>
      <c r="BX104" s="153"/>
    </row>
    <row r="105" spans="31:76" ht="30" customHeight="1">
      <c r="AE105" s="150"/>
      <c r="BT105" s="153"/>
      <c r="BU105" s="154"/>
      <c r="BV105" s="153"/>
      <c r="BW105" s="153"/>
      <c r="BX105" s="153"/>
    </row>
    <row r="106" spans="31:76" ht="30" customHeight="1">
      <c r="AE106" s="150"/>
      <c r="BT106" s="153"/>
      <c r="BU106" s="154"/>
      <c r="BV106" s="153"/>
      <c r="BW106" s="153"/>
      <c r="BX106" s="153"/>
    </row>
    <row r="107" spans="31:76" ht="30" customHeight="1">
      <c r="AE107" s="150"/>
      <c r="BT107" s="153"/>
      <c r="BU107" s="154"/>
      <c r="BV107" s="153"/>
      <c r="BW107" s="153"/>
      <c r="BX107" s="153"/>
    </row>
    <row r="108" spans="31:76" ht="30" customHeight="1">
      <c r="AE108" s="150"/>
      <c r="BT108" s="153"/>
      <c r="BU108" s="154"/>
      <c r="BV108" s="153"/>
      <c r="BW108" s="153"/>
      <c r="BX108" s="153"/>
    </row>
    <row r="109" spans="31:76" ht="30" customHeight="1">
      <c r="AE109" s="150"/>
      <c r="BT109" s="153"/>
      <c r="BU109" s="154"/>
      <c r="BV109" s="153"/>
      <c r="BW109" s="153"/>
      <c r="BX109" s="153"/>
    </row>
    <row r="110" spans="31:76" ht="30" customHeight="1">
      <c r="AE110" s="150"/>
      <c r="BT110" s="153"/>
      <c r="BU110" s="154"/>
      <c r="BV110" s="153"/>
      <c r="BW110" s="153"/>
      <c r="BX110" s="153"/>
    </row>
    <row r="111" spans="31:76" ht="30" customHeight="1">
      <c r="AE111" s="150"/>
      <c r="BT111" s="153"/>
      <c r="BU111" s="154"/>
      <c r="BV111" s="153"/>
      <c r="BW111" s="153"/>
      <c r="BX111" s="153"/>
    </row>
    <row r="112" spans="31:76" ht="30" customHeight="1">
      <c r="AE112" s="150"/>
      <c r="BT112" s="153"/>
      <c r="BU112" s="154"/>
      <c r="BV112" s="153"/>
      <c r="BW112" s="153"/>
      <c r="BX112" s="153"/>
    </row>
    <row r="113" spans="31:76" ht="30" customHeight="1">
      <c r="AE113" s="150"/>
      <c r="BT113" s="153"/>
      <c r="BU113" s="154"/>
      <c r="BV113" s="153"/>
      <c r="BW113" s="153"/>
      <c r="BX113" s="153"/>
    </row>
    <row r="114" spans="31:76" ht="30" customHeight="1">
      <c r="AE114" s="150"/>
      <c r="BT114" s="153"/>
      <c r="BU114" s="154"/>
      <c r="BV114" s="153"/>
      <c r="BW114" s="153"/>
      <c r="BX114" s="153"/>
    </row>
    <row r="115" spans="31:76" ht="30" customHeight="1">
      <c r="AE115" s="150"/>
      <c r="BT115" s="153"/>
      <c r="BU115" s="154"/>
      <c r="BV115" s="153"/>
      <c r="BW115" s="153"/>
      <c r="BX115" s="153"/>
    </row>
    <row r="116" spans="31:76" ht="30" customHeight="1">
      <c r="AE116" s="150"/>
      <c r="BT116" s="153"/>
      <c r="BU116" s="154"/>
      <c r="BV116" s="153"/>
      <c r="BW116" s="153"/>
      <c r="BX116" s="153"/>
    </row>
    <row r="117" spans="31:76" ht="30" customHeight="1">
      <c r="AE117" s="150"/>
      <c r="BT117" s="153"/>
      <c r="BU117" s="154"/>
      <c r="BV117" s="153"/>
      <c r="BW117" s="153"/>
      <c r="BX117" s="153"/>
    </row>
    <row r="118" spans="31:76" ht="30" customHeight="1">
      <c r="AE118" s="150"/>
      <c r="BT118" s="153"/>
      <c r="BU118" s="154"/>
      <c r="BV118" s="153"/>
      <c r="BW118" s="153"/>
      <c r="BX118" s="153"/>
    </row>
    <row r="119" spans="31:76" ht="30" customHeight="1">
      <c r="AE119" s="150"/>
      <c r="BT119" s="153"/>
      <c r="BU119" s="154"/>
      <c r="BV119" s="153"/>
      <c r="BW119" s="153"/>
      <c r="BX119" s="153"/>
    </row>
    <row r="120" spans="31:76" ht="30" customHeight="1">
      <c r="AE120" s="150"/>
      <c r="BT120" s="153"/>
      <c r="BU120" s="154"/>
      <c r="BV120" s="153"/>
      <c r="BW120" s="153"/>
      <c r="BX120" s="153"/>
    </row>
    <row r="121" spans="31:76" ht="30" customHeight="1">
      <c r="AE121" s="150"/>
      <c r="BT121" s="153"/>
      <c r="BU121" s="154"/>
      <c r="BV121" s="153"/>
      <c r="BW121" s="153"/>
      <c r="BX121" s="153"/>
    </row>
    <row r="122" spans="31:76" ht="30" customHeight="1">
      <c r="AE122" s="150"/>
      <c r="BT122" s="153"/>
      <c r="BU122" s="154"/>
      <c r="BV122" s="153"/>
      <c r="BW122" s="153"/>
      <c r="BX122" s="153"/>
    </row>
    <row r="123" spans="31:76" ht="30" customHeight="1">
      <c r="AE123" s="150"/>
      <c r="BT123" s="153"/>
      <c r="BU123" s="154"/>
      <c r="BV123" s="153"/>
      <c r="BW123" s="153"/>
      <c r="BX123" s="153"/>
    </row>
    <row r="124" spans="31:76" ht="30" customHeight="1">
      <c r="AE124" s="150"/>
      <c r="BT124" s="153"/>
      <c r="BU124" s="154"/>
      <c r="BV124" s="153"/>
      <c r="BW124" s="153"/>
      <c r="BX124" s="153"/>
    </row>
    <row r="125" spans="31:76" ht="30" customHeight="1">
      <c r="AE125" s="150"/>
      <c r="BT125" s="153"/>
      <c r="BU125" s="154"/>
      <c r="BV125" s="153"/>
      <c r="BW125" s="153"/>
      <c r="BX125" s="153"/>
    </row>
    <row r="126" spans="31:76" ht="30" customHeight="1">
      <c r="AE126" s="150"/>
      <c r="BT126" s="153"/>
      <c r="BU126" s="154"/>
      <c r="BV126" s="153"/>
      <c r="BW126" s="153"/>
      <c r="BX126" s="153"/>
    </row>
    <row r="127" spans="31:76" ht="30" customHeight="1">
      <c r="AE127" s="150"/>
      <c r="BT127" s="153"/>
      <c r="BU127" s="154"/>
      <c r="BV127" s="153"/>
      <c r="BW127" s="153"/>
      <c r="BX127" s="153"/>
    </row>
    <row r="128" spans="31:76" ht="30" customHeight="1">
      <c r="AE128" s="150"/>
      <c r="BT128" s="153"/>
      <c r="BU128" s="154"/>
      <c r="BV128" s="153"/>
      <c r="BW128" s="153"/>
      <c r="BX128" s="153"/>
    </row>
    <row r="129" spans="31:76" ht="30" customHeight="1">
      <c r="AE129" s="150"/>
      <c r="BT129" s="153"/>
      <c r="BU129" s="154"/>
      <c r="BV129" s="153"/>
      <c r="BW129" s="153"/>
      <c r="BX129" s="153"/>
    </row>
    <row r="130" spans="31:76" ht="30" customHeight="1">
      <c r="AE130" s="150"/>
      <c r="BT130" s="153"/>
      <c r="BU130" s="154"/>
      <c r="BV130" s="153"/>
      <c r="BW130" s="153"/>
      <c r="BX130" s="153"/>
    </row>
    <row r="131" spans="31:76" ht="30" customHeight="1">
      <c r="AE131" s="150"/>
      <c r="BT131" s="153"/>
      <c r="BU131" s="154"/>
      <c r="BV131" s="153"/>
      <c r="BW131" s="153"/>
      <c r="BX131" s="153"/>
    </row>
    <row r="132" spans="31:76" ht="30" customHeight="1">
      <c r="AE132" s="150"/>
      <c r="BT132" s="153"/>
      <c r="BU132" s="154"/>
      <c r="BV132" s="153"/>
      <c r="BW132" s="153"/>
      <c r="BX132" s="153"/>
    </row>
    <row r="133" spans="31:76" ht="30" customHeight="1">
      <c r="AE133" s="150"/>
      <c r="BT133" s="153"/>
      <c r="BU133" s="154"/>
      <c r="BV133" s="153"/>
      <c r="BW133" s="153"/>
      <c r="BX133" s="153"/>
    </row>
    <row r="134" spans="31:76" ht="30" customHeight="1">
      <c r="AE134" s="150"/>
      <c r="BT134" s="153"/>
      <c r="BU134" s="154"/>
      <c r="BV134" s="153"/>
      <c r="BW134" s="153"/>
      <c r="BX134" s="153"/>
    </row>
    <row r="135" spans="31:76" ht="30" customHeight="1">
      <c r="AE135" s="150"/>
      <c r="BT135" s="153"/>
      <c r="BU135" s="154"/>
      <c r="BV135" s="153"/>
      <c r="BW135" s="153"/>
      <c r="BX135" s="153"/>
    </row>
    <row r="136" spans="31:76" ht="30" customHeight="1">
      <c r="AE136" s="150"/>
      <c r="BT136" s="153"/>
      <c r="BU136" s="154"/>
      <c r="BV136" s="153"/>
      <c r="BW136" s="153"/>
      <c r="BX136" s="153"/>
    </row>
    <row r="137" spans="31:76" ht="30" customHeight="1">
      <c r="AE137" s="150"/>
      <c r="BT137" s="153"/>
      <c r="BU137" s="154"/>
      <c r="BV137" s="153"/>
      <c r="BW137" s="153"/>
      <c r="BX137" s="153"/>
    </row>
    <row r="138" spans="31:76" ht="30" customHeight="1">
      <c r="AE138" s="150"/>
      <c r="BT138" s="153"/>
      <c r="BU138" s="154"/>
      <c r="BV138" s="153"/>
      <c r="BW138" s="153"/>
      <c r="BX138" s="153"/>
    </row>
    <row r="139" spans="31:76" ht="30" customHeight="1">
      <c r="AE139" s="150"/>
      <c r="BT139" s="153"/>
      <c r="BU139" s="154"/>
      <c r="BV139" s="153"/>
      <c r="BW139" s="153"/>
      <c r="BX139" s="153"/>
    </row>
    <row r="140" spans="31:76" ht="30" customHeight="1">
      <c r="AE140" s="150"/>
      <c r="BT140" s="153"/>
      <c r="BU140" s="154"/>
      <c r="BV140" s="153"/>
      <c r="BW140" s="153"/>
      <c r="BX140" s="153"/>
    </row>
    <row r="141" spans="31:76" ht="30" customHeight="1">
      <c r="AE141" s="150"/>
      <c r="BT141" s="153"/>
      <c r="BU141" s="154"/>
      <c r="BV141" s="153"/>
      <c r="BW141" s="153"/>
      <c r="BX141" s="153"/>
    </row>
    <row r="142" spans="31:76" ht="30" customHeight="1">
      <c r="AE142" s="150"/>
      <c r="BT142" s="153"/>
      <c r="BU142" s="154"/>
      <c r="BV142" s="153"/>
      <c r="BW142" s="153"/>
      <c r="BX142" s="153"/>
    </row>
    <row r="143" spans="31:76" ht="30" customHeight="1">
      <c r="AE143" s="150"/>
      <c r="BT143" s="153"/>
      <c r="BU143" s="154"/>
      <c r="BV143" s="153"/>
      <c r="BW143" s="153"/>
      <c r="BX143" s="153"/>
    </row>
    <row r="144" spans="31:76" ht="30" customHeight="1">
      <c r="AE144" s="150"/>
      <c r="BT144" s="153"/>
      <c r="BU144" s="154"/>
      <c r="BV144" s="153"/>
      <c r="BW144" s="153"/>
      <c r="BX144" s="153"/>
    </row>
    <row r="145" spans="31:76" ht="30" customHeight="1">
      <c r="AE145" s="150"/>
      <c r="BT145" s="153"/>
      <c r="BU145" s="154"/>
      <c r="BV145" s="153"/>
      <c r="BW145" s="153"/>
      <c r="BX145" s="153"/>
    </row>
    <row r="146" spans="31:76" ht="30" customHeight="1">
      <c r="AE146" s="150"/>
      <c r="BT146" s="153"/>
      <c r="BU146" s="154"/>
      <c r="BV146" s="153"/>
      <c r="BW146" s="153"/>
      <c r="BX146" s="153"/>
    </row>
    <row r="147" spans="31:76" ht="30" customHeight="1">
      <c r="AE147" s="150"/>
      <c r="BT147" s="153"/>
      <c r="BU147" s="154"/>
      <c r="BV147" s="153"/>
      <c r="BW147" s="153"/>
      <c r="BX147" s="153"/>
    </row>
    <row r="148" spans="31:76" ht="30" customHeight="1">
      <c r="AE148" s="150"/>
      <c r="BT148" s="153"/>
      <c r="BU148" s="154"/>
      <c r="BV148" s="153"/>
      <c r="BW148" s="153"/>
      <c r="BX148" s="153"/>
    </row>
    <row r="149" spans="31:76" ht="30" customHeight="1">
      <c r="AE149" s="150"/>
      <c r="BT149" s="153"/>
      <c r="BU149" s="154"/>
      <c r="BV149" s="153"/>
      <c r="BW149" s="153"/>
      <c r="BX149" s="153"/>
    </row>
    <row r="150" spans="31:76" ht="30" customHeight="1">
      <c r="AE150" s="150"/>
      <c r="BT150" s="153"/>
      <c r="BU150" s="154"/>
      <c r="BV150" s="153"/>
      <c r="BW150" s="153"/>
      <c r="BX150" s="153"/>
    </row>
    <row r="151" spans="31:76" ht="30" customHeight="1">
      <c r="AE151" s="150"/>
      <c r="BT151" s="153"/>
      <c r="BU151" s="154"/>
      <c r="BV151" s="153"/>
      <c r="BW151" s="153"/>
      <c r="BX151" s="153"/>
    </row>
    <row r="152" spans="31:76" ht="30" customHeight="1">
      <c r="AE152" s="150"/>
      <c r="BT152" s="153"/>
      <c r="BU152" s="154"/>
      <c r="BV152" s="153"/>
      <c r="BW152" s="153"/>
      <c r="BX152" s="153"/>
    </row>
    <row r="153" spans="31:76" ht="30" customHeight="1">
      <c r="AE153" s="150"/>
      <c r="BT153" s="153"/>
      <c r="BU153" s="154"/>
      <c r="BV153" s="153"/>
      <c r="BW153" s="153"/>
      <c r="BX153" s="153"/>
    </row>
    <row r="154" spans="31:76" ht="30" customHeight="1">
      <c r="AE154" s="150"/>
      <c r="BT154" s="153"/>
      <c r="BU154" s="154"/>
      <c r="BV154" s="153"/>
      <c r="BW154" s="153"/>
      <c r="BX154" s="153"/>
    </row>
    <row r="155" spans="31:76" ht="30" customHeight="1">
      <c r="AE155" s="150"/>
      <c r="BT155" s="153"/>
      <c r="BU155" s="154"/>
      <c r="BV155" s="153"/>
      <c r="BW155" s="153"/>
      <c r="BX155" s="153"/>
    </row>
    <row r="156" spans="31:76" ht="30" customHeight="1">
      <c r="AE156" s="150"/>
      <c r="BT156" s="153"/>
      <c r="BU156" s="154"/>
      <c r="BV156" s="153"/>
      <c r="BW156" s="153"/>
      <c r="BX156" s="153"/>
    </row>
    <row r="157" spans="31:76" ht="30" customHeight="1">
      <c r="AE157" s="150"/>
      <c r="BT157" s="153"/>
      <c r="BU157" s="154"/>
      <c r="BV157" s="153"/>
      <c r="BW157" s="153"/>
      <c r="BX157" s="153"/>
    </row>
    <row r="158" spans="31:76" ht="30" customHeight="1">
      <c r="AE158" s="150"/>
      <c r="BT158" s="153"/>
      <c r="BU158" s="154"/>
      <c r="BV158" s="153"/>
      <c r="BW158" s="153"/>
      <c r="BX158" s="153"/>
    </row>
    <row r="159" spans="31:76" ht="30" customHeight="1">
      <c r="AE159" s="150"/>
      <c r="BT159" s="153"/>
      <c r="BU159" s="154"/>
      <c r="BV159" s="153"/>
      <c r="BW159" s="153"/>
      <c r="BX159" s="153"/>
    </row>
    <row r="160" spans="31:76" ht="30" customHeight="1">
      <c r="AE160" s="150"/>
      <c r="BT160" s="153"/>
      <c r="BU160" s="154"/>
      <c r="BV160" s="153"/>
      <c r="BW160" s="153"/>
      <c r="BX160" s="153"/>
    </row>
    <row r="161" spans="31:76" ht="30" customHeight="1">
      <c r="AE161" s="150"/>
      <c r="BT161" s="153"/>
      <c r="BU161" s="154"/>
      <c r="BV161" s="153"/>
      <c r="BW161" s="153"/>
      <c r="BX161" s="153"/>
    </row>
    <row r="162" spans="31:76" ht="30" customHeight="1">
      <c r="AE162" s="150"/>
      <c r="BT162" s="153"/>
      <c r="BU162" s="154"/>
      <c r="BV162" s="153"/>
      <c r="BW162" s="153"/>
      <c r="BX162" s="153"/>
    </row>
    <row r="163" spans="31:76" ht="30" customHeight="1">
      <c r="AE163" s="150"/>
      <c r="BT163" s="153"/>
      <c r="BU163" s="154"/>
      <c r="BV163" s="153"/>
      <c r="BW163" s="153"/>
      <c r="BX163" s="153"/>
    </row>
    <row r="164" spans="31:76" ht="30" customHeight="1">
      <c r="AE164" s="150"/>
      <c r="BT164" s="153"/>
      <c r="BU164" s="154"/>
      <c r="BV164" s="153"/>
      <c r="BW164" s="153"/>
      <c r="BX164" s="153"/>
    </row>
    <row r="165" spans="31:76" ht="30" customHeight="1">
      <c r="AE165" s="150"/>
      <c r="BT165" s="153"/>
      <c r="BU165" s="154"/>
      <c r="BV165" s="153"/>
      <c r="BW165" s="153"/>
      <c r="BX165" s="153"/>
    </row>
    <row r="166" spans="31:76" ht="30" customHeight="1">
      <c r="AE166" s="150"/>
      <c r="BT166" s="153"/>
      <c r="BU166" s="154"/>
      <c r="BV166" s="153"/>
      <c r="BW166" s="153"/>
      <c r="BX166" s="153"/>
    </row>
    <row r="167" spans="31:76" ht="30" customHeight="1">
      <c r="AE167" s="150"/>
      <c r="BT167" s="153"/>
      <c r="BU167" s="154"/>
      <c r="BV167" s="153"/>
      <c r="BW167" s="153"/>
      <c r="BX167" s="153"/>
    </row>
    <row r="168" spans="31:76" ht="30" customHeight="1">
      <c r="AE168" s="150"/>
      <c r="BT168" s="153"/>
      <c r="BU168" s="154"/>
      <c r="BV168" s="153"/>
      <c r="BW168" s="153"/>
      <c r="BX168" s="153"/>
    </row>
    <row r="169" spans="31:76" ht="30" customHeight="1">
      <c r="AE169" s="150"/>
      <c r="BT169" s="153"/>
      <c r="BU169" s="154"/>
      <c r="BV169" s="153"/>
      <c r="BW169" s="153"/>
      <c r="BX169" s="153"/>
    </row>
    <row r="170" spans="31:76" ht="30" customHeight="1">
      <c r="AE170" s="150"/>
      <c r="BT170" s="153"/>
      <c r="BU170" s="154"/>
      <c r="BV170" s="153"/>
      <c r="BW170" s="153"/>
      <c r="BX170" s="153"/>
    </row>
    <row r="171" spans="31:76" ht="30" customHeight="1">
      <c r="AE171" s="150"/>
      <c r="BT171" s="153"/>
      <c r="BU171" s="154"/>
      <c r="BV171" s="153"/>
      <c r="BW171" s="153"/>
      <c r="BX171" s="153"/>
    </row>
    <row r="172" spans="31:76" ht="30" customHeight="1">
      <c r="AE172" s="150"/>
      <c r="BT172" s="153"/>
      <c r="BU172" s="154"/>
      <c r="BV172" s="153"/>
      <c r="BW172" s="153"/>
      <c r="BX172" s="153"/>
    </row>
    <row r="173" spans="31:76" ht="30" customHeight="1">
      <c r="AE173" s="150"/>
      <c r="BT173" s="153"/>
      <c r="BU173" s="154"/>
      <c r="BV173" s="153"/>
      <c r="BW173" s="153"/>
      <c r="BX173" s="153"/>
    </row>
    <row r="174" spans="31:76" ht="30" customHeight="1">
      <c r="AE174" s="150"/>
      <c r="BT174" s="153"/>
      <c r="BU174" s="154"/>
      <c r="BV174" s="153"/>
      <c r="BW174" s="153"/>
      <c r="BX174" s="153"/>
    </row>
    <row r="175" spans="31:76" ht="30" customHeight="1">
      <c r="AE175" s="150"/>
      <c r="BT175" s="153"/>
      <c r="BU175" s="154"/>
      <c r="BV175" s="153"/>
      <c r="BW175" s="153"/>
      <c r="BX175" s="153"/>
    </row>
    <row r="176" spans="31:76" ht="30" customHeight="1">
      <c r="AE176" s="150"/>
      <c r="BT176" s="153"/>
      <c r="BU176" s="154"/>
      <c r="BV176" s="153"/>
      <c r="BW176" s="153"/>
      <c r="BX176" s="153"/>
    </row>
    <row r="177" spans="31:76" ht="30" customHeight="1">
      <c r="AE177" s="150"/>
      <c r="BT177" s="153"/>
      <c r="BU177" s="154"/>
      <c r="BV177" s="153"/>
      <c r="BW177" s="153"/>
      <c r="BX177" s="153"/>
    </row>
    <row r="178" spans="31:76" ht="30" customHeight="1">
      <c r="AE178" s="150"/>
      <c r="BT178" s="153"/>
      <c r="BU178" s="154"/>
      <c r="BV178" s="153"/>
      <c r="BW178" s="153"/>
      <c r="BX178" s="153"/>
    </row>
    <row r="179" spans="31:76" ht="30" customHeight="1">
      <c r="AE179" s="150"/>
      <c r="BT179" s="153"/>
      <c r="BU179" s="154"/>
      <c r="BV179" s="153"/>
      <c r="BW179" s="153"/>
      <c r="BX179" s="153"/>
    </row>
    <row r="180" spans="31:76" ht="30" customHeight="1">
      <c r="AE180" s="150"/>
      <c r="BT180" s="153"/>
      <c r="BU180" s="154"/>
      <c r="BV180" s="153"/>
      <c r="BW180" s="153"/>
      <c r="BX180" s="153"/>
    </row>
    <row r="181" spans="31:76" ht="30" customHeight="1">
      <c r="AE181" s="150"/>
      <c r="BT181" s="153"/>
      <c r="BU181" s="154"/>
      <c r="BV181" s="153"/>
      <c r="BW181" s="153"/>
      <c r="BX181" s="153"/>
    </row>
    <row r="182" spans="31:76" ht="30" customHeight="1">
      <c r="AE182" s="150"/>
      <c r="BT182" s="153"/>
      <c r="BU182" s="154"/>
      <c r="BV182" s="153"/>
      <c r="BW182" s="153"/>
      <c r="BX182" s="153"/>
    </row>
    <row r="183" spans="31:76" ht="30" customHeight="1">
      <c r="AE183" s="150"/>
      <c r="BT183" s="153"/>
      <c r="BU183" s="154"/>
      <c r="BV183" s="153"/>
      <c r="BW183" s="153"/>
      <c r="BX183" s="153"/>
    </row>
    <row r="184" spans="31:76" ht="30" customHeight="1">
      <c r="AE184" s="150"/>
      <c r="BT184" s="153"/>
      <c r="BU184" s="154"/>
      <c r="BV184" s="153"/>
      <c r="BW184" s="153"/>
      <c r="BX184" s="153"/>
    </row>
    <row r="185" spans="31:76" ht="30" customHeight="1">
      <c r="AE185" s="150"/>
      <c r="BT185" s="153"/>
      <c r="BU185" s="154"/>
      <c r="BV185" s="153"/>
      <c r="BW185" s="153"/>
      <c r="BX185" s="153"/>
    </row>
    <row r="186" spans="31:76" ht="30" customHeight="1">
      <c r="AE186" s="150"/>
      <c r="BT186" s="153"/>
      <c r="BU186" s="154"/>
      <c r="BV186" s="153"/>
      <c r="BW186" s="153"/>
      <c r="BX186" s="153"/>
    </row>
    <row r="187" spans="31:76" ht="30" customHeight="1">
      <c r="AE187" s="150"/>
      <c r="BT187" s="153"/>
      <c r="BU187" s="154"/>
      <c r="BV187" s="153"/>
      <c r="BW187" s="153"/>
      <c r="BX187" s="153"/>
    </row>
    <row r="188" spans="31:76" ht="30" customHeight="1">
      <c r="AE188" s="150"/>
      <c r="BT188" s="153"/>
      <c r="BU188" s="154"/>
      <c r="BV188" s="153"/>
      <c r="BW188" s="153"/>
      <c r="BX188" s="153"/>
    </row>
    <row r="189" spans="31:76" ht="30" customHeight="1">
      <c r="AE189" s="150"/>
      <c r="BT189" s="153"/>
      <c r="BU189" s="154"/>
      <c r="BV189" s="153"/>
      <c r="BW189" s="153"/>
      <c r="BX189" s="153"/>
    </row>
    <row r="190" spans="31:76" ht="30" customHeight="1">
      <c r="AE190" s="150"/>
      <c r="BT190" s="153"/>
      <c r="BU190" s="154"/>
      <c r="BV190" s="153"/>
      <c r="BW190" s="153"/>
      <c r="BX190" s="153"/>
    </row>
    <row r="191" spans="31:76" ht="30" customHeight="1">
      <c r="AE191" s="150"/>
      <c r="BT191" s="153"/>
      <c r="BU191" s="154"/>
      <c r="BV191" s="153"/>
      <c r="BW191" s="153"/>
      <c r="BX191" s="153"/>
    </row>
    <row r="192" spans="31:76" ht="30" customHeight="1">
      <c r="AE192" s="150"/>
      <c r="BT192" s="153"/>
      <c r="BU192" s="154"/>
      <c r="BV192" s="153"/>
      <c r="BW192" s="153"/>
      <c r="BX192" s="153"/>
    </row>
    <row r="193" spans="31:76" ht="30" customHeight="1">
      <c r="AE193" s="150"/>
      <c r="BT193" s="153"/>
      <c r="BU193" s="154"/>
      <c r="BV193" s="153"/>
      <c r="BW193" s="153"/>
      <c r="BX193" s="153"/>
    </row>
    <row r="194" spans="31:76" ht="30" customHeight="1">
      <c r="AE194" s="150"/>
      <c r="BT194" s="153"/>
      <c r="BU194" s="154"/>
      <c r="BV194" s="153"/>
      <c r="BW194" s="153"/>
      <c r="BX194" s="153"/>
    </row>
    <row r="195" spans="31:76" ht="30" customHeight="1">
      <c r="AE195" s="150"/>
      <c r="BT195" s="153"/>
      <c r="BU195" s="154"/>
      <c r="BV195" s="153"/>
      <c r="BW195" s="153"/>
      <c r="BX195" s="153"/>
    </row>
    <row r="196" spans="31:76" ht="30" customHeight="1">
      <c r="AE196" s="150"/>
      <c r="BT196" s="153"/>
      <c r="BU196" s="154"/>
      <c r="BV196" s="153"/>
      <c r="BW196" s="153"/>
      <c r="BX196" s="153"/>
    </row>
    <row r="197" spans="31:76" ht="30" customHeight="1">
      <c r="AE197" s="150"/>
      <c r="BT197" s="153"/>
      <c r="BU197" s="154"/>
      <c r="BV197" s="153"/>
      <c r="BW197" s="153"/>
      <c r="BX197" s="153"/>
    </row>
    <row r="198" spans="31:76" ht="30" customHeight="1">
      <c r="AE198" s="150"/>
      <c r="BT198" s="153"/>
      <c r="BU198" s="154"/>
      <c r="BV198" s="153"/>
      <c r="BW198" s="153"/>
      <c r="BX198" s="153"/>
    </row>
    <row r="199" spans="31:76" ht="30" customHeight="1">
      <c r="AE199" s="150"/>
      <c r="BT199" s="153"/>
      <c r="BU199" s="154"/>
      <c r="BV199" s="153"/>
      <c r="BW199" s="153"/>
      <c r="BX199" s="153"/>
    </row>
    <row r="200" spans="31:76" ht="30" customHeight="1">
      <c r="AE200" s="150"/>
      <c r="BT200" s="153"/>
      <c r="BU200" s="154"/>
      <c r="BV200" s="153"/>
      <c r="BW200" s="153"/>
      <c r="BX200" s="153"/>
    </row>
    <row r="201" spans="31:76" ht="30" customHeight="1">
      <c r="AE201" s="150"/>
      <c r="BT201" s="153"/>
      <c r="BU201" s="154"/>
      <c r="BV201" s="153"/>
      <c r="BW201" s="153"/>
      <c r="BX201" s="153"/>
    </row>
    <row r="202" spans="31:76" ht="30" customHeight="1">
      <c r="AE202" s="150"/>
      <c r="BT202" s="153"/>
      <c r="BU202" s="154"/>
      <c r="BV202" s="153"/>
      <c r="BW202" s="153"/>
      <c r="BX202" s="153"/>
    </row>
    <row r="203" spans="31:76" ht="30" customHeight="1">
      <c r="AE203" s="150"/>
      <c r="BT203" s="153"/>
      <c r="BU203" s="154"/>
      <c r="BV203" s="153"/>
      <c r="BW203" s="153"/>
      <c r="BX203" s="153"/>
    </row>
    <row r="204" spans="31:76" ht="30" customHeight="1">
      <c r="AE204" s="150"/>
      <c r="BT204" s="153"/>
      <c r="BU204" s="154"/>
      <c r="BV204" s="153"/>
      <c r="BW204" s="153"/>
      <c r="BX204" s="153"/>
    </row>
    <row r="205" spans="31:76" ht="30" customHeight="1">
      <c r="AE205" s="150"/>
      <c r="BT205" s="153"/>
      <c r="BU205" s="154"/>
      <c r="BV205" s="153"/>
      <c r="BW205" s="153"/>
      <c r="BX205" s="153"/>
    </row>
    <row r="206" spans="31:76" ht="30" customHeight="1">
      <c r="AE206" s="150"/>
      <c r="BT206" s="153"/>
      <c r="BU206" s="154"/>
      <c r="BV206" s="153"/>
      <c r="BW206" s="153"/>
      <c r="BX206" s="153"/>
    </row>
    <row r="207" spans="31:76" ht="30" customHeight="1">
      <c r="AE207" s="150"/>
      <c r="BT207" s="153"/>
      <c r="BU207" s="154"/>
      <c r="BV207" s="153"/>
      <c r="BW207" s="153"/>
      <c r="BX207" s="153"/>
    </row>
    <row r="208" spans="31:76" ht="30" customHeight="1">
      <c r="AE208" s="150"/>
      <c r="BT208" s="153"/>
      <c r="BU208" s="154"/>
      <c r="BV208" s="153"/>
      <c r="BW208" s="153"/>
      <c r="BX208" s="153"/>
    </row>
    <row r="209" spans="31:76" ht="30" customHeight="1">
      <c r="AE209" s="150"/>
      <c r="BT209" s="153"/>
      <c r="BU209" s="154"/>
      <c r="BV209" s="153"/>
      <c r="BW209" s="153"/>
      <c r="BX209" s="153"/>
    </row>
    <row r="210" spans="31:76" ht="30" customHeight="1">
      <c r="AE210" s="150"/>
      <c r="BT210" s="153"/>
      <c r="BU210" s="154"/>
      <c r="BV210" s="153"/>
      <c r="BW210" s="153"/>
      <c r="BX210" s="153"/>
    </row>
    <row r="211" spans="31:76" ht="30" customHeight="1">
      <c r="AE211" s="150"/>
      <c r="BT211" s="153"/>
      <c r="BU211" s="154"/>
      <c r="BV211" s="153"/>
      <c r="BW211" s="153"/>
      <c r="BX211" s="153"/>
    </row>
    <row r="212" spans="31:76" ht="30" customHeight="1">
      <c r="AE212" s="150"/>
      <c r="BT212" s="153"/>
      <c r="BU212" s="154"/>
      <c r="BV212" s="153"/>
      <c r="BW212" s="153"/>
      <c r="BX212" s="153"/>
    </row>
    <row r="213" spans="31:76" ht="30" customHeight="1">
      <c r="AE213" s="150"/>
      <c r="BT213" s="153"/>
      <c r="BU213" s="154"/>
      <c r="BV213" s="153"/>
      <c r="BW213" s="153"/>
      <c r="BX213" s="153"/>
    </row>
    <row r="214" spans="31:76" ht="30" customHeight="1">
      <c r="AE214" s="150"/>
      <c r="BT214" s="153"/>
      <c r="BU214" s="154"/>
      <c r="BV214" s="153"/>
      <c r="BW214" s="153"/>
      <c r="BX214" s="153"/>
    </row>
    <row r="215" spans="31:76" ht="30" customHeight="1">
      <c r="AE215" s="150"/>
      <c r="BT215" s="153"/>
      <c r="BU215" s="154"/>
      <c r="BV215" s="153"/>
      <c r="BW215" s="153"/>
      <c r="BX215" s="153"/>
    </row>
    <row r="216" spans="31:76" ht="30" customHeight="1">
      <c r="AE216" s="150"/>
      <c r="BT216" s="153"/>
      <c r="BU216" s="154"/>
      <c r="BV216" s="153"/>
      <c r="BW216" s="153"/>
      <c r="BX216" s="153"/>
    </row>
    <row r="217" spans="31:76" ht="30" customHeight="1">
      <c r="AE217" s="150"/>
      <c r="BT217" s="153"/>
      <c r="BU217" s="154"/>
      <c r="BV217" s="153"/>
      <c r="BW217" s="153"/>
      <c r="BX217" s="153"/>
    </row>
    <row r="218" spans="31:76" ht="30" customHeight="1">
      <c r="AE218" s="150"/>
      <c r="BT218" s="153"/>
      <c r="BU218" s="154"/>
      <c r="BV218" s="153"/>
      <c r="BW218" s="153"/>
      <c r="BX218" s="153"/>
    </row>
    <row r="219" spans="31:76" ht="30" customHeight="1">
      <c r="AE219" s="150"/>
      <c r="BT219" s="153"/>
      <c r="BU219" s="154"/>
      <c r="BV219" s="153"/>
      <c r="BW219" s="153"/>
      <c r="BX219" s="153"/>
    </row>
    <row r="220" spans="31:76" ht="30" customHeight="1">
      <c r="AE220" s="150"/>
      <c r="BT220" s="153"/>
      <c r="BU220" s="154"/>
      <c r="BV220" s="153"/>
      <c r="BW220" s="153"/>
      <c r="BX220" s="153"/>
    </row>
    <row r="221" spans="31:76" ht="30" customHeight="1">
      <c r="AE221" s="150"/>
      <c r="BT221" s="153"/>
      <c r="BU221" s="154"/>
      <c r="BV221" s="153"/>
      <c r="BW221" s="153"/>
      <c r="BX221" s="153"/>
    </row>
    <row r="222" spans="31:76" ht="30" customHeight="1">
      <c r="AE222" s="150"/>
      <c r="BT222" s="153"/>
      <c r="BU222" s="154"/>
      <c r="BV222" s="153"/>
      <c r="BW222" s="153"/>
      <c r="BX222" s="153"/>
    </row>
    <row r="223" spans="31:76" ht="30" customHeight="1">
      <c r="AE223" s="150"/>
      <c r="BT223" s="153"/>
      <c r="BU223" s="154"/>
      <c r="BV223" s="153"/>
      <c r="BW223" s="153"/>
      <c r="BX223" s="153"/>
    </row>
    <row r="224" spans="31:76" ht="30" customHeight="1">
      <c r="AE224" s="150"/>
      <c r="BT224" s="153"/>
      <c r="BU224" s="154"/>
      <c r="BV224" s="153"/>
      <c r="BW224" s="153"/>
      <c r="BX224" s="153"/>
    </row>
    <row r="225" spans="31:76" ht="30" customHeight="1">
      <c r="AE225" s="150"/>
      <c r="BT225" s="153"/>
      <c r="BU225" s="154"/>
      <c r="BV225" s="153"/>
      <c r="BW225" s="153"/>
      <c r="BX225" s="153"/>
    </row>
    <row r="226" spans="31:76" ht="30" customHeight="1">
      <c r="AE226" s="150"/>
      <c r="BT226" s="153"/>
      <c r="BU226" s="154"/>
      <c r="BV226" s="153"/>
      <c r="BW226" s="153"/>
      <c r="BX226" s="153"/>
    </row>
    <row r="227" spans="31:76" ht="30" customHeight="1">
      <c r="AE227" s="150"/>
      <c r="BT227" s="153"/>
      <c r="BU227" s="154"/>
      <c r="BV227" s="153"/>
      <c r="BW227" s="153"/>
      <c r="BX227" s="153"/>
    </row>
    <row r="228" spans="31:76" ht="30" customHeight="1">
      <c r="AE228" s="150"/>
      <c r="BT228" s="153"/>
      <c r="BU228" s="154"/>
      <c r="BV228" s="153"/>
      <c r="BW228" s="153"/>
      <c r="BX228" s="153"/>
    </row>
    <row r="229" spans="31:76" ht="30" customHeight="1">
      <c r="AE229" s="150"/>
      <c r="BT229" s="153"/>
      <c r="BU229" s="154"/>
      <c r="BV229" s="153"/>
      <c r="BW229" s="153"/>
      <c r="BX229" s="153"/>
    </row>
    <row r="230" spans="31:76" ht="30" customHeight="1">
      <c r="AE230" s="150"/>
      <c r="BT230" s="153"/>
      <c r="BU230" s="154"/>
      <c r="BV230" s="153"/>
      <c r="BW230" s="153"/>
      <c r="BX230" s="153"/>
    </row>
    <row r="231" spans="31:76" ht="30" customHeight="1">
      <c r="AE231" s="150"/>
      <c r="BT231" s="153"/>
      <c r="BU231" s="154"/>
      <c r="BV231" s="153"/>
      <c r="BW231" s="153"/>
      <c r="BX231" s="153"/>
    </row>
    <row r="232" spans="31:76" ht="30" customHeight="1">
      <c r="AE232" s="150"/>
      <c r="BT232" s="153"/>
      <c r="BU232" s="154"/>
      <c r="BV232" s="153"/>
      <c r="BW232" s="153"/>
      <c r="BX232" s="153"/>
    </row>
    <row r="233" spans="31:76" ht="30" customHeight="1">
      <c r="AE233" s="150"/>
      <c r="BT233" s="153"/>
      <c r="BU233" s="154"/>
      <c r="BV233" s="153"/>
      <c r="BW233" s="153"/>
      <c r="BX233" s="153"/>
    </row>
    <row r="234" spans="31:76" ht="30" customHeight="1">
      <c r="AE234" s="150"/>
      <c r="BT234" s="153"/>
      <c r="BU234" s="154"/>
      <c r="BV234" s="153"/>
      <c r="BW234" s="153"/>
      <c r="BX234" s="153"/>
    </row>
    <row r="235" spans="31:76" ht="30" customHeight="1">
      <c r="AE235" s="150"/>
      <c r="BT235" s="153"/>
      <c r="BU235" s="154"/>
      <c r="BV235" s="153"/>
      <c r="BW235" s="153"/>
      <c r="BX235" s="153"/>
    </row>
    <row r="236" spans="31:76" ht="30" customHeight="1">
      <c r="AE236" s="150"/>
      <c r="BT236" s="153"/>
      <c r="BU236" s="154"/>
      <c r="BV236" s="153"/>
      <c r="BW236" s="153"/>
      <c r="BX236" s="153"/>
    </row>
    <row r="237" spans="31:76" ht="30" customHeight="1">
      <c r="AE237" s="150"/>
      <c r="BT237" s="153"/>
      <c r="BU237" s="154"/>
      <c r="BV237" s="153"/>
      <c r="BW237" s="153"/>
      <c r="BX237" s="153"/>
    </row>
    <row r="238" spans="31:76" ht="30" customHeight="1">
      <c r="AE238" s="150"/>
      <c r="BT238" s="153"/>
      <c r="BU238" s="154"/>
      <c r="BV238" s="153"/>
      <c r="BW238" s="153"/>
      <c r="BX238" s="153"/>
    </row>
    <row r="239" spans="31:76" ht="30" customHeight="1">
      <c r="AE239" s="150"/>
      <c r="BT239" s="153"/>
      <c r="BU239" s="154"/>
      <c r="BV239" s="153"/>
      <c r="BW239" s="153"/>
      <c r="BX239" s="153"/>
    </row>
    <row r="240" spans="31:76" ht="30" customHeight="1">
      <c r="AE240" s="150"/>
      <c r="BT240" s="153"/>
      <c r="BU240" s="154"/>
      <c r="BV240" s="153"/>
      <c r="BW240" s="153"/>
      <c r="BX240" s="153"/>
    </row>
    <row r="241" spans="31:76" ht="30" customHeight="1">
      <c r="AE241" s="150"/>
      <c r="BT241" s="153"/>
      <c r="BU241" s="154"/>
      <c r="BV241" s="153"/>
      <c r="BW241" s="153"/>
      <c r="BX241" s="153"/>
    </row>
    <row r="242" spans="31:76" ht="30" customHeight="1">
      <c r="AE242" s="150"/>
      <c r="BT242" s="153"/>
      <c r="BU242" s="154"/>
      <c r="BV242" s="153"/>
      <c r="BW242" s="153"/>
      <c r="BX242" s="153"/>
    </row>
    <row r="243" spans="31:76" ht="30" customHeight="1">
      <c r="AE243" s="150"/>
      <c r="BT243" s="153"/>
      <c r="BU243" s="154"/>
      <c r="BV243" s="153"/>
      <c r="BW243" s="153"/>
      <c r="BX243" s="153"/>
    </row>
    <row r="244" spans="31:76" ht="30" customHeight="1">
      <c r="AE244" s="150"/>
      <c r="BT244" s="153"/>
      <c r="BU244" s="154"/>
      <c r="BV244" s="153"/>
      <c r="BW244" s="153"/>
      <c r="BX244" s="153"/>
    </row>
    <row r="245" spans="31:76" ht="30" customHeight="1">
      <c r="AE245" s="150"/>
      <c r="BT245" s="153"/>
      <c r="BU245" s="154"/>
      <c r="BV245" s="153"/>
      <c r="BW245" s="153"/>
      <c r="BX245" s="153"/>
    </row>
    <row r="246" spans="31:76" ht="30" customHeight="1">
      <c r="AE246" s="150"/>
      <c r="BT246" s="153"/>
      <c r="BU246" s="154"/>
      <c r="BV246" s="153"/>
      <c r="BW246" s="153"/>
      <c r="BX246" s="153"/>
    </row>
    <row r="247" spans="31:76" ht="30" customHeight="1">
      <c r="AE247" s="150"/>
      <c r="BT247" s="153"/>
      <c r="BU247" s="154"/>
      <c r="BV247" s="153"/>
      <c r="BW247" s="153"/>
      <c r="BX247" s="153"/>
    </row>
    <row r="248" spans="31:76" ht="30" customHeight="1">
      <c r="AE248" s="150"/>
      <c r="BT248" s="153"/>
      <c r="BU248" s="154"/>
      <c r="BV248" s="153"/>
      <c r="BW248" s="153"/>
      <c r="BX248" s="153"/>
    </row>
    <row r="249" spans="31:76" ht="30" customHeight="1">
      <c r="AE249" s="150"/>
      <c r="BT249" s="153"/>
      <c r="BU249" s="154"/>
      <c r="BV249" s="153"/>
      <c r="BW249" s="153"/>
      <c r="BX249" s="153"/>
    </row>
    <row r="250" spans="31:76" ht="30" customHeight="1">
      <c r="AE250" s="150"/>
      <c r="BT250" s="153"/>
      <c r="BU250" s="154"/>
      <c r="BV250" s="153"/>
      <c r="BW250" s="153"/>
      <c r="BX250" s="153"/>
    </row>
    <row r="251" spans="31:76" ht="30" customHeight="1">
      <c r="AE251" s="150"/>
      <c r="BT251" s="153"/>
      <c r="BU251" s="154"/>
      <c r="BV251" s="153"/>
      <c r="BW251" s="153"/>
      <c r="BX251" s="153"/>
    </row>
    <row r="252" spans="31:76" ht="30" customHeight="1">
      <c r="AE252" s="150"/>
      <c r="BT252" s="153"/>
      <c r="BU252" s="154"/>
      <c r="BV252" s="153"/>
      <c r="BW252" s="153"/>
      <c r="BX252" s="153"/>
    </row>
    <row r="253" spans="31:76" ht="30" customHeight="1">
      <c r="AE253" s="150"/>
      <c r="BT253" s="153"/>
      <c r="BU253" s="154"/>
      <c r="BV253" s="153"/>
      <c r="BW253" s="153"/>
      <c r="BX253" s="153"/>
    </row>
    <row r="254" spans="31:76" ht="30" customHeight="1">
      <c r="AE254" s="150"/>
      <c r="BT254" s="153"/>
      <c r="BU254" s="154"/>
      <c r="BV254" s="153"/>
      <c r="BW254" s="153"/>
      <c r="BX254" s="153"/>
    </row>
    <row r="255" spans="31:76" ht="30" customHeight="1">
      <c r="AE255" s="150"/>
      <c r="BT255" s="153"/>
      <c r="BU255" s="154"/>
      <c r="BV255" s="153"/>
      <c r="BW255" s="153"/>
      <c r="BX255" s="153"/>
    </row>
    <row r="256" spans="31:76" ht="30" customHeight="1">
      <c r="AE256" s="150"/>
      <c r="BT256" s="153"/>
      <c r="BU256" s="154"/>
      <c r="BV256" s="153"/>
      <c r="BW256" s="153"/>
      <c r="BX256" s="153"/>
    </row>
    <row r="257" spans="7:76" ht="30" customHeight="1">
      <c r="AE257" s="150"/>
      <c r="BT257" s="153"/>
      <c r="BU257" s="154"/>
      <c r="BV257" s="153"/>
      <c r="BW257" s="153"/>
      <c r="BX257" s="153"/>
    </row>
    <row r="258" spans="7:76" ht="30" customHeight="1">
      <c r="AE258" s="150"/>
      <c r="BT258" s="153"/>
      <c r="BU258" s="154"/>
      <c r="BV258" s="153"/>
      <c r="BW258" s="153"/>
      <c r="BX258" s="153"/>
    </row>
    <row r="259" spans="7:76" ht="30" customHeight="1">
      <c r="AE259" s="150"/>
      <c r="BT259" s="153"/>
      <c r="BU259" s="154"/>
      <c r="BV259" s="153"/>
      <c r="BW259" s="153"/>
      <c r="BX259" s="153"/>
    </row>
    <row r="260" spans="7:76" ht="30" customHeight="1">
      <c r="AE260" s="150"/>
      <c r="BT260" s="153"/>
      <c r="BU260" s="154"/>
      <c r="BV260" s="153"/>
      <c r="BW260" s="153"/>
      <c r="BX260" s="153"/>
    </row>
    <row r="261" spans="7:76" ht="30" customHeight="1">
      <c r="AE261" s="150"/>
      <c r="BT261" s="153"/>
      <c r="BU261" s="154"/>
      <c r="BV261" s="153"/>
      <c r="BW261" s="153"/>
      <c r="BX261" s="153"/>
    </row>
    <row r="262" spans="7:76" ht="30" customHeight="1">
      <c r="AE262" s="150"/>
      <c r="BT262" s="153"/>
      <c r="BU262" s="154"/>
      <c r="BV262" s="153"/>
      <c r="BW262" s="153"/>
      <c r="BX262" s="153"/>
    </row>
    <row r="263" spans="7:76" ht="30" customHeight="1">
      <c r="AE263" s="150"/>
      <c r="BT263" s="153"/>
      <c r="BU263" s="154"/>
      <c r="BV263" s="153"/>
      <c r="BW263" s="153"/>
      <c r="BX263" s="153"/>
    </row>
    <row r="264" spans="7:76" ht="30" customHeight="1">
      <c r="AE264" s="150"/>
      <c r="BT264" s="153"/>
      <c r="BU264" s="154"/>
      <c r="BV264" s="153"/>
      <c r="BW264" s="153"/>
      <c r="BX264" s="153"/>
    </row>
    <row r="265" spans="7:76" ht="30" customHeight="1">
      <c r="G265" s="161"/>
      <c r="H265" s="162"/>
      <c r="I265" s="162"/>
      <c r="J265" s="162"/>
      <c r="K265" s="162"/>
      <c r="X265" s="163"/>
      <c r="AC265" s="150"/>
      <c r="AD265" s="150"/>
      <c r="AE265" s="150"/>
      <c r="AH265" s="150"/>
      <c r="AI265" s="150"/>
      <c r="AJ265" s="150"/>
      <c r="AM265" s="150"/>
      <c r="AN265" s="150"/>
      <c r="AO265" s="150"/>
    </row>
    <row r="266" spans="7:76" ht="30" customHeight="1">
      <c r="AE266" s="150"/>
    </row>
  </sheetData>
  <autoFilter ref="B7:FY65" xr:uid="{BA6CE546-0E07-45B7-B8A4-B5FD6E0EBE63}">
    <filterColumn colId="5">
      <filters blank="1">
        <filter val="CUSTOMS CLEARANCE"/>
        <filter val="WAITING ARRIVAL"/>
      </filters>
    </filterColumn>
  </autoFilter>
  <mergeCells count="92">
    <mergeCell ref="BO2:BS2"/>
    <mergeCell ref="D1:M1"/>
    <mergeCell ref="N1:T1"/>
    <mergeCell ref="V1:AE1"/>
    <mergeCell ref="DS1:DU2"/>
    <mergeCell ref="B2:M2"/>
    <mergeCell ref="N2:T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CX2:DB2"/>
    <mergeCell ref="DC2:DG2"/>
    <mergeCell ref="DH2:DL2"/>
    <mergeCell ref="DM2:DR2"/>
    <mergeCell ref="B3:R4"/>
    <mergeCell ref="S3:U4"/>
    <mergeCell ref="V3:Z3"/>
    <mergeCell ref="AA3:AE3"/>
    <mergeCell ref="AF3:AJ3"/>
    <mergeCell ref="AK3:AO3"/>
    <mergeCell ref="BT2:BX2"/>
    <mergeCell ref="BY2:CC2"/>
    <mergeCell ref="CD2:CH2"/>
    <mergeCell ref="CI2:CM2"/>
    <mergeCell ref="CN2:CR2"/>
    <mergeCell ref="CS2:CW2"/>
    <mergeCell ref="CS3:CW3"/>
    <mergeCell ref="AP3:AT3"/>
    <mergeCell ref="AU3:AY3"/>
    <mergeCell ref="AZ3:BD3"/>
    <mergeCell ref="BE3:BI3"/>
    <mergeCell ref="BJ3:BN3"/>
    <mergeCell ref="BO3:BS3"/>
    <mergeCell ref="BT3:BX3"/>
    <mergeCell ref="BY3:CC3"/>
    <mergeCell ref="CD3:CH3"/>
    <mergeCell ref="CI3:CM3"/>
    <mergeCell ref="CN3:CR3"/>
    <mergeCell ref="V4:Z4"/>
    <mergeCell ref="AA4:AE4"/>
    <mergeCell ref="AF4:AJ4"/>
    <mergeCell ref="AK4:AO4"/>
    <mergeCell ref="AP4:AT4"/>
    <mergeCell ref="CX3:DB3"/>
    <mergeCell ref="DC3:DG3"/>
    <mergeCell ref="DH3:DL3"/>
    <mergeCell ref="DM3:DR3"/>
    <mergeCell ref="DS3:DU3"/>
    <mergeCell ref="AP5:AT5"/>
    <mergeCell ref="BY4:CC4"/>
    <mergeCell ref="CD4:CH4"/>
    <mergeCell ref="CI4:CM4"/>
    <mergeCell ref="CN4:CR4"/>
    <mergeCell ref="AU4:AY4"/>
    <mergeCell ref="AZ4:BD4"/>
    <mergeCell ref="BE4:BI4"/>
    <mergeCell ref="BJ4:BN4"/>
    <mergeCell ref="BO4:BS4"/>
    <mergeCell ref="BT4:BX4"/>
    <mergeCell ref="BT5:BX5"/>
    <mergeCell ref="AU5:AY5"/>
    <mergeCell ref="AZ5:BD5"/>
    <mergeCell ref="BE5:BI5"/>
    <mergeCell ref="BJ5:BN5"/>
    <mergeCell ref="H5:L5"/>
    <mergeCell ref="V5:Z5"/>
    <mergeCell ref="AB5:AE5"/>
    <mergeCell ref="AF5:AJ5"/>
    <mergeCell ref="AK5:AO5"/>
    <mergeCell ref="DC4:DG4"/>
    <mergeCell ref="DH4:DL4"/>
    <mergeCell ref="DM4:DR4"/>
    <mergeCell ref="DS4:DU4"/>
    <mergeCell ref="CS4:CW4"/>
    <mergeCell ref="CX4:DB4"/>
    <mergeCell ref="BO5:BS5"/>
    <mergeCell ref="DC5:DG5"/>
    <mergeCell ref="DH5:DL5"/>
    <mergeCell ref="DN5:DR5"/>
    <mergeCell ref="DS5:DU5"/>
    <mergeCell ref="BY5:CC5"/>
    <mergeCell ref="CD5:CH5"/>
    <mergeCell ref="CI5:CM5"/>
    <mergeCell ref="CN5:CR5"/>
    <mergeCell ref="CS5:CW5"/>
    <mergeCell ref="CX5:DB5"/>
  </mergeCells>
  <conditionalFormatting sqref="DR52:DR61 DU52:DU61 DL58 DU8:DU49 DL8:DL49 DR8:DR49 Z8:Z49 AE8:AE49 AJ8:AJ49 AO8:AO49 AT8:AT49 AY8:AY49 BD8:BD49 BI8:BI49 BN8:BN49 BS8:BS49 BX8:BX49 CC8:CC49 CH8:CH49 CM8:CM49 CR8:CR49 CW8:CW49 DB8:DB49 DG8:DG49">
    <cfRule type="cellIs" dxfId="525" priority="386" operator="greaterThan">
      <formula>$X$8</formula>
    </cfRule>
  </conditionalFormatting>
  <conditionalFormatting sqref="DR52:DR61 DU52:DU61 DL58 DU8:DU49 DL8:DL49 DR8:DR49 Z8:Z49 AE8:AE49 AJ8:AJ49 AO8:AO49 AT8:AT49 AY8:AY49 BD8:BD49 BI8:BI49 BN8:BN49 BS8:BS49 BX8:BX49 CC8:CC49 CH8:CH49 CM8:CM49 CR8:CR49 CW8:CW49 DB8:DB49 DG8:DG49">
    <cfRule type="cellIs" dxfId="524" priority="385" operator="lessThanOrEqual">
      <formula>$X$8</formula>
    </cfRule>
  </conditionalFormatting>
  <conditionalFormatting sqref="G52:G61 G8:G49">
    <cfRule type="cellIs" dxfId="523" priority="384" operator="equal">
      <formula>"DELIVERED"</formula>
    </cfRule>
  </conditionalFormatting>
  <conditionalFormatting sqref="G52:G61 G8:G49">
    <cfRule type="cellIs" dxfId="522" priority="383" operator="equal">
      <formula>"CUSTOMS CLEARANCE"</formula>
    </cfRule>
  </conditionalFormatting>
  <conditionalFormatting sqref="G52:G61 G8:G49">
    <cfRule type="cellIs" dxfId="521" priority="382" operator="equal">
      <formula>"WAITING ARRIVAL"</formula>
    </cfRule>
  </conditionalFormatting>
  <conditionalFormatting sqref="K8:K49">
    <cfRule type="cellIs" dxfId="520" priority="381" operator="lessThanOrEqual">
      <formula>30</formula>
    </cfRule>
  </conditionalFormatting>
  <conditionalFormatting sqref="K8:K49">
    <cfRule type="cellIs" dxfId="519" priority="380" operator="greaterThan">
      <formula>30</formula>
    </cfRule>
  </conditionalFormatting>
  <conditionalFormatting sqref="G62">
    <cfRule type="cellIs" dxfId="518" priority="379" operator="equal">
      <formula>"DELIVERED"</formula>
    </cfRule>
  </conditionalFormatting>
  <conditionalFormatting sqref="G62">
    <cfRule type="cellIs" dxfId="517" priority="378" operator="equal">
      <formula>"CUSTOMS CLEARANCE"</formula>
    </cfRule>
  </conditionalFormatting>
  <conditionalFormatting sqref="G62">
    <cfRule type="cellIs" dxfId="516" priority="377" operator="equal">
      <formula>"WAITING ARRIVAL"</formula>
    </cfRule>
  </conditionalFormatting>
  <conditionalFormatting sqref="Z52">
    <cfRule type="cellIs" dxfId="515" priority="376" operator="greaterThan">
      <formula>$X$8</formula>
    </cfRule>
  </conditionalFormatting>
  <conditionalFormatting sqref="Z52">
    <cfRule type="cellIs" dxfId="514" priority="375" operator="lessThanOrEqual">
      <formula>$X$8</formula>
    </cfRule>
  </conditionalFormatting>
  <conditionalFormatting sqref="AE52">
    <cfRule type="cellIs" dxfId="513" priority="374" operator="greaterThan">
      <formula>$X$8</formula>
    </cfRule>
  </conditionalFormatting>
  <conditionalFormatting sqref="AE52">
    <cfRule type="cellIs" dxfId="512" priority="373" operator="lessThanOrEqual">
      <formula>$X$8</formula>
    </cfRule>
  </conditionalFormatting>
  <conditionalFormatting sqref="AJ52">
    <cfRule type="cellIs" dxfId="511" priority="372" operator="greaterThan">
      <formula>$X$8</formula>
    </cfRule>
  </conditionalFormatting>
  <conditionalFormatting sqref="AJ52">
    <cfRule type="cellIs" dxfId="510" priority="371" operator="lessThanOrEqual">
      <formula>$X$8</formula>
    </cfRule>
  </conditionalFormatting>
  <conditionalFormatting sqref="AO52">
    <cfRule type="cellIs" dxfId="509" priority="370" operator="greaterThan">
      <formula>$X$8</formula>
    </cfRule>
  </conditionalFormatting>
  <conditionalFormatting sqref="AO52">
    <cfRule type="cellIs" dxfId="508" priority="369" operator="lessThanOrEqual">
      <formula>$X$8</formula>
    </cfRule>
  </conditionalFormatting>
  <conditionalFormatting sqref="AT52">
    <cfRule type="cellIs" dxfId="507" priority="368" operator="greaterThan">
      <formula>$X$8</formula>
    </cfRule>
  </conditionalFormatting>
  <conditionalFormatting sqref="AT52">
    <cfRule type="cellIs" dxfId="506" priority="367" operator="lessThanOrEqual">
      <formula>$X$8</formula>
    </cfRule>
  </conditionalFormatting>
  <conditionalFormatting sqref="AY52">
    <cfRule type="cellIs" dxfId="505" priority="366" operator="greaterThan">
      <formula>$X$8</formula>
    </cfRule>
  </conditionalFormatting>
  <conditionalFormatting sqref="AY52">
    <cfRule type="cellIs" dxfId="504" priority="365" operator="lessThanOrEqual">
      <formula>$X$8</formula>
    </cfRule>
  </conditionalFormatting>
  <conditionalFormatting sqref="BI52">
    <cfRule type="cellIs" dxfId="503" priority="364" operator="greaterThan">
      <formula>$X$8</formula>
    </cfRule>
  </conditionalFormatting>
  <conditionalFormatting sqref="BI52">
    <cfRule type="cellIs" dxfId="502" priority="363" operator="lessThanOrEqual">
      <formula>$X$8</formula>
    </cfRule>
  </conditionalFormatting>
  <conditionalFormatting sqref="BN52">
    <cfRule type="cellIs" dxfId="501" priority="362" operator="greaterThan">
      <formula>$X$8</formula>
    </cfRule>
  </conditionalFormatting>
  <conditionalFormatting sqref="BN52">
    <cfRule type="cellIs" dxfId="500" priority="361" operator="lessThanOrEqual">
      <formula>$X$8</formula>
    </cfRule>
  </conditionalFormatting>
  <conditionalFormatting sqref="BS52">
    <cfRule type="cellIs" dxfId="499" priority="360" operator="greaterThan">
      <formula>$X$8</formula>
    </cfRule>
  </conditionalFormatting>
  <conditionalFormatting sqref="BS52">
    <cfRule type="cellIs" dxfId="498" priority="359" operator="lessThanOrEqual">
      <formula>$X$8</formula>
    </cfRule>
  </conditionalFormatting>
  <conditionalFormatting sqref="BX52">
    <cfRule type="cellIs" dxfId="497" priority="358" operator="greaterThan">
      <formula>$X$8</formula>
    </cfRule>
  </conditionalFormatting>
  <conditionalFormatting sqref="BX52">
    <cfRule type="cellIs" dxfId="496" priority="357" operator="lessThanOrEqual">
      <formula>$X$8</formula>
    </cfRule>
  </conditionalFormatting>
  <conditionalFormatting sqref="CC52">
    <cfRule type="cellIs" dxfId="495" priority="356" operator="greaterThan">
      <formula>$X$8</formula>
    </cfRule>
  </conditionalFormatting>
  <conditionalFormatting sqref="CC52">
    <cfRule type="cellIs" dxfId="494" priority="355" operator="lessThanOrEqual">
      <formula>$X$8</formula>
    </cfRule>
  </conditionalFormatting>
  <conditionalFormatting sqref="CH52">
    <cfRule type="cellIs" dxfId="493" priority="354" operator="greaterThan">
      <formula>$X$8</formula>
    </cfRule>
  </conditionalFormatting>
  <conditionalFormatting sqref="CH52">
    <cfRule type="cellIs" dxfId="492" priority="353" operator="lessThanOrEqual">
      <formula>$X$8</formula>
    </cfRule>
  </conditionalFormatting>
  <conditionalFormatting sqref="CM52">
    <cfRule type="cellIs" dxfId="491" priority="352" operator="greaterThan">
      <formula>$X$8</formula>
    </cfRule>
  </conditionalFormatting>
  <conditionalFormatting sqref="CM52">
    <cfRule type="cellIs" dxfId="490" priority="351" operator="lessThanOrEqual">
      <formula>$X$8</formula>
    </cfRule>
  </conditionalFormatting>
  <conditionalFormatting sqref="CR52">
    <cfRule type="cellIs" dxfId="489" priority="350" operator="greaterThan">
      <formula>$X$8</formula>
    </cfRule>
  </conditionalFormatting>
  <conditionalFormatting sqref="CR52">
    <cfRule type="cellIs" dxfId="488" priority="349" operator="lessThanOrEqual">
      <formula>$X$8</formula>
    </cfRule>
  </conditionalFormatting>
  <conditionalFormatting sqref="CW52">
    <cfRule type="cellIs" dxfId="487" priority="348" operator="greaterThan">
      <formula>$X$8</formula>
    </cfRule>
  </conditionalFormatting>
  <conditionalFormatting sqref="CW52">
    <cfRule type="cellIs" dxfId="486" priority="347" operator="lessThanOrEqual">
      <formula>$X$8</formula>
    </cfRule>
  </conditionalFormatting>
  <conditionalFormatting sqref="DB52">
    <cfRule type="cellIs" dxfId="485" priority="346" operator="greaterThan">
      <formula>$X$8</formula>
    </cfRule>
  </conditionalFormatting>
  <conditionalFormatting sqref="DB52">
    <cfRule type="cellIs" dxfId="484" priority="345" operator="lessThanOrEqual">
      <formula>$X$8</formula>
    </cfRule>
  </conditionalFormatting>
  <conditionalFormatting sqref="DG52">
    <cfRule type="cellIs" dxfId="483" priority="344" operator="greaterThan">
      <formula>$X$8</formula>
    </cfRule>
  </conditionalFormatting>
  <conditionalFormatting sqref="DG52">
    <cfRule type="cellIs" dxfId="482" priority="343" operator="lessThanOrEqual">
      <formula>$X$8</formula>
    </cfRule>
  </conditionalFormatting>
  <conditionalFormatting sqref="DL52">
    <cfRule type="cellIs" dxfId="481" priority="342" operator="greaterThan">
      <formula>$X$8</formula>
    </cfRule>
  </conditionalFormatting>
  <conditionalFormatting sqref="DL52">
    <cfRule type="cellIs" dxfId="480" priority="341" operator="lessThanOrEqual">
      <formula>$X$8</formula>
    </cfRule>
  </conditionalFormatting>
  <conditionalFormatting sqref="K52">
    <cfRule type="cellIs" dxfId="479" priority="340" operator="lessThanOrEqual">
      <formula>30</formula>
    </cfRule>
  </conditionalFormatting>
  <conditionalFormatting sqref="K52">
    <cfRule type="cellIs" dxfId="478" priority="339" operator="greaterThan">
      <formula>30</formula>
    </cfRule>
  </conditionalFormatting>
  <conditionalFormatting sqref="Z53">
    <cfRule type="cellIs" dxfId="477" priority="338" operator="greaterThan">
      <formula>$X$8</formula>
    </cfRule>
  </conditionalFormatting>
  <conditionalFormatting sqref="Z53">
    <cfRule type="cellIs" dxfId="476" priority="337" operator="lessThanOrEqual">
      <formula>$X$8</formula>
    </cfRule>
  </conditionalFormatting>
  <conditionalFormatting sqref="AE53">
    <cfRule type="cellIs" dxfId="475" priority="336" operator="greaterThan">
      <formula>$X$8</formula>
    </cfRule>
  </conditionalFormatting>
  <conditionalFormatting sqref="AE53">
    <cfRule type="cellIs" dxfId="474" priority="335" operator="lessThanOrEqual">
      <formula>$X$8</formula>
    </cfRule>
  </conditionalFormatting>
  <conditionalFormatting sqref="AJ53">
    <cfRule type="cellIs" dxfId="473" priority="334" operator="greaterThan">
      <formula>$X$8</formula>
    </cfRule>
  </conditionalFormatting>
  <conditionalFormatting sqref="AJ53">
    <cfRule type="cellIs" dxfId="472" priority="333" operator="lessThanOrEqual">
      <formula>$X$8</formula>
    </cfRule>
  </conditionalFormatting>
  <conditionalFormatting sqref="AO53">
    <cfRule type="cellIs" dxfId="471" priority="332" operator="greaterThan">
      <formula>$X$8</formula>
    </cfRule>
  </conditionalFormatting>
  <conditionalFormatting sqref="AO53">
    <cfRule type="cellIs" dxfId="470" priority="331" operator="lessThanOrEqual">
      <formula>$X$8</formula>
    </cfRule>
  </conditionalFormatting>
  <conditionalFormatting sqref="AT53">
    <cfRule type="cellIs" dxfId="469" priority="330" operator="greaterThan">
      <formula>$X$8</formula>
    </cfRule>
  </conditionalFormatting>
  <conditionalFormatting sqref="AT53">
    <cfRule type="cellIs" dxfId="468" priority="329" operator="lessThanOrEqual">
      <formula>$X$8</formula>
    </cfRule>
  </conditionalFormatting>
  <conditionalFormatting sqref="AY53">
    <cfRule type="cellIs" dxfId="467" priority="328" operator="greaterThan">
      <formula>$X$8</formula>
    </cfRule>
  </conditionalFormatting>
  <conditionalFormatting sqref="AY53">
    <cfRule type="cellIs" dxfId="466" priority="327" operator="lessThanOrEqual">
      <formula>$X$8</formula>
    </cfRule>
  </conditionalFormatting>
  <conditionalFormatting sqref="BI53">
    <cfRule type="cellIs" dxfId="465" priority="326" operator="greaterThan">
      <formula>$X$8</formula>
    </cfRule>
  </conditionalFormatting>
  <conditionalFormatting sqref="BI53">
    <cfRule type="cellIs" dxfId="464" priority="325" operator="lessThanOrEqual">
      <formula>$X$8</formula>
    </cfRule>
  </conditionalFormatting>
  <conditionalFormatting sqref="BN53">
    <cfRule type="cellIs" dxfId="463" priority="324" operator="greaterThan">
      <formula>$X$8</formula>
    </cfRule>
  </conditionalFormatting>
  <conditionalFormatting sqref="BN53">
    <cfRule type="cellIs" dxfId="462" priority="323" operator="lessThanOrEqual">
      <formula>$X$8</formula>
    </cfRule>
  </conditionalFormatting>
  <conditionalFormatting sqref="BS53">
    <cfRule type="cellIs" dxfId="461" priority="322" operator="greaterThan">
      <formula>$X$8</formula>
    </cfRule>
  </conditionalFormatting>
  <conditionalFormatting sqref="BS53">
    <cfRule type="cellIs" dxfId="460" priority="321" operator="lessThanOrEqual">
      <formula>$X$8</formula>
    </cfRule>
  </conditionalFormatting>
  <conditionalFormatting sqref="BX53">
    <cfRule type="cellIs" dxfId="459" priority="320" operator="greaterThan">
      <formula>$X$8</formula>
    </cfRule>
  </conditionalFormatting>
  <conditionalFormatting sqref="BX53">
    <cfRule type="cellIs" dxfId="458" priority="319" operator="lessThanOrEqual">
      <formula>$X$8</formula>
    </cfRule>
  </conditionalFormatting>
  <conditionalFormatting sqref="CC53">
    <cfRule type="cellIs" dxfId="457" priority="318" operator="greaterThan">
      <formula>$X$8</formula>
    </cfRule>
  </conditionalFormatting>
  <conditionalFormatting sqref="CC53">
    <cfRule type="cellIs" dxfId="456" priority="317" operator="lessThanOrEqual">
      <formula>$X$8</formula>
    </cfRule>
  </conditionalFormatting>
  <conditionalFormatting sqref="CH53">
    <cfRule type="cellIs" dxfId="455" priority="316" operator="greaterThan">
      <formula>$X$8</formula>
    </cfRule>
  </conditionalFormatting>
  <conditionalFormatting sqref="CH53">
    <cfRule type="cellIs" dxfId="454" priority="315" operator="lessThanOrEqual">
      <formula>$X$8</formula>
    </cfRule>
  </conditionalFormatting>
  <conditionalFormatting sqref="CM53">
    <cfRule type="cellIs" dxfId="453" priority="314" operator="greaterThan">
      <formula>$X$8</formula>
    </cfRule>
  </conditionalFormatting>
  <conditionalFormatting sqref="CM53">
    <cfRule type="cellIs" dxfId="452" priority="313" operator="lessThanOrEqual">
      <formula>$X$8</formula>
    </cfRule>
  </conditionalFormatting>
  <conditionalFormatting sqref="CR53">
    <cfRule type="cellIs" dxfId="451" priority="312" operator="greaterThan">
      <formula>$X$8</formula>
    </cfRule>
  </conditionalFormatting>
  <conditionalFormatting sqref="CR53">
    <cfRule type="cellIs" dxfId="450" priority="311" operator="lessThanOrEqual">
      <formula>$X$8</formula>
    </cfRule>
  </conditionalFormatting>
  <conditionalFormatting sqref="CW53">
    <cfRule type="cellIs" dxfId="449" priority="310" operator="greaterThan">
      <formula>$X$8</formula>
    </cfRule>
  </conditionalFormatting>
  <conditionalFormatting sqref="CW53">
    <cfRule type="cellIs" dxfId="448" priority="309" operator="lessThanOrEqual">
      <formula>$X$8</formula>
    </cfRule>
  </conditionalFormatting>
  <conditionalFormatting sqref="DB53">
    <cfRule type="cellIs" dxfId="447" priority="308" operator="greaterThan">
      <formula>$X$8</formula>
    </cfRule>
  </conditionalFormatting>
  <conditionalFormatting sqref="DB53">
    <cfRule type="cellIs" dxfId="446" priority="307" operator="lessThanOrEqual">
      <formula>$X$8</formula>
    </cfRule>
  </conditionalFormatting>
  <conditionalFormatting sqref="DG53">
    <cfRule type="cellIs" dxfId="445" priority="306" operator="greaterThan">
      <formula>$X$8</formula>
    </cfRule>
  </conditionalFormatting>
  <conditionalFormatting sqref="DG53">
    <cfRule type="cellIs" dxfId="444" priority="305" operator="lessThanOrEqual">
      <formula>$X$8</formula>
    </cfRule>
  </conditionalFormatting>
  <conditionalFormatting sqref="DL53">
    <cfRule type="cellIs" dxfId="443" priority="304" operator="greaterThan">
      <formula>$X$8</formula>
    </cfRule>
  </conditionalFormatting>
  <conditionalFormatting sqref="DL53">
    <cfRule type="cellIs" dxfId="442" priority="303" operator="lessThanOrEqual">
      <formula>$X$8</formula>
    </cfRule>
  </conditionalFormatting>
  <conditionalFormatting sqref="K53">
    <cfRule type="cellIs" dxfId="441" priority="302" operator="lessThanOrEqual">
      <formula>30</formula>
    </cfRule>
  </conditionalFormatting>
  <conditionalFormatting sqref="K53">
    <cfRule type="cellIs" dxfId="440" priority="301" operator="greaterThan">
      <formula>30</formula>
    </cfRule>
  </conditionalFormatting>
  <conditionalFormatting sqref="DL56">
    <cfRule type="cellIs" dxfId="439" priority="300" operator="greaterThan">
      <formula>$X$8</formula>
    </cfRule>
  </conditionalFormatting>
  <conditionalFormatting sqref="DL56">
    <cfRule type="cellIs" dxfId="438" priority="299" operator="lessThanOrEqual">
      <formula>$X$8</formula>
    </cfRule>
  </conditionalFormatting>
  <conditionalFormatting sqref="K56 K58">
    <cfRule type="cellIs" dxfId="437" priority="298" operator="lessThanOrEqual">
      <formula>30</formula>
    </cfRule>
  </conditionalFormatting>
  <conditionalFormatting sqref="K56 K58">
    <cfRule type="cellIs" dxfId="436" priority="297" operator="greaterThan">
      <formula>30</formula>
    </cfRule>
  </conditionalFormatting>
  <conditionalFormatting sqref="DL56">
    <cfRule type="cellIs" dxfId="435" priority="296" operator="greaterThan">
      <formula>$X$8</formula>
    </cfRule>
  </conditionalFormatting>
  <conditionalFormatting sqref="DL56">
    <cfRule type="cellIs" dxfId="434" priority="295" operator="lessThanOrEqual">
      <formula>$X$8</formula>
    </cfRule>
  </conditionalFormatting>
  <conditionalFormatting sqref="K56 K58">
    <cfRule type="cellIs" dxfId="433" priority="294" operator="lessThanOrEqual">
      <formula>30</formula>
    </cfRule>
  </conditionalFormatting>
  <conditionalFormatting sqref="K56 K58">
    <cfRule type="cellIs" dxfId="432" priority="293" operator="greaterThan">
      <formula>30</formula>
    </cfRule>
  </conditionalFormatting>
  <conditionalFormatting sqref="DL59">
    <cfRule type="cellIs" dxfId="431" priority="292" operator="greaterThan">
      <formula>$X$8</formula>
    </cfRule>
  </conditionalFormatting>
  <conditionalFormatting sqref="DL59">
    <cfRule type="cellIs" dxfId="430" priority="291" operator="lessThanOrEqual">
      <formula>$X$8</formula>
    </cfRule>
  </conditionalFormatting>
  <conditionalFormatting sqref="K59">
    <cfRule type="cellIs" dxfId="429" priority="290" operator="lessThanOrEqual">
      <formula>30</formula>
    </cfRule>
  </conditionalFormatting>
  <conditionalFormatting sqref="K59">
    <cfRule type="cellIs" dxfId="428" priority="289" operator="greaterThan">
      <formula>30</formula>
    </cfRule>
  </conditionalFormatting>
  <conditionalFormatting sqref="DL61">
    <cfRule type="cellIs" dxfId="427" priority="288" operator="greaterThan">
      <formula>$X$8</formula>
    </cfRule>
  </conditionalFormatting>
  <conditionalFormatting sqref="DL61">
    <cfRule type="cellIs" dxfId="426" priority="287" operator="lessThanOrEqual">
      <formula>$X$8</formula>
    </cfRule>
  </conditionalFormatting>
  <conditionalFormatting sqref="K61">
    <cfRule type="cellIs" dxfId="425" priority="286" operator="lessThanOrEqual">
      <formula>30</formula>
    </cfRule>
  </conditionalFormatting>
  <conditionalFormatting sqref="K61">
    <cfRule type="cellIs" dxfId="424" priority="285" operator="greaterThan">
      <formula>30</formula>
    </cfRule>
  </conditionalFormatting>
  <conditionalFormatting sqref="DL55">
    <cfRule type="cellIs" dxfId="423" priority="284" operator="greaterThan">
      <formula>$X$8</formula>
    </cfRule>
  </conditionalFormatting>
  <conditionalFormatting sqref="DL55">
    <cfRule type="cellIs" dxfId="422" priority="283" operator="lessThanOrEqual">
      <formula>$X$8</formula>
    </cfRule>
  </conditionalFormatting>
  <conditionalFormatting sqref="K55">
    <cfRule type="cellIs" dxfId="421" priority="282" operator="lessThanOrEqual">
      <formula>30</formula>
    </cfRule>
  </conditionalFormatting>
  <conditionalFormatting sqref="K55">
    <cfRule type="cellIs" dxfId="420" priority="281" operator="greaterThan">
      <formula>30</formula>
    </cfRule>
  </conditionalFormatting>
  <conditionalFormatting sqref="DL57">
    <cfRule type="cellIs" dxfId="419" priority="280" operator="greaterThan">
      <formula>$X$8</formula>
    </cfRule>
  </conditionalFormatting>
  <conditionalFormatting sqref="DL57">
    <cfRule type="cellIs" dxfId="418" priority="279" operator="lessThanOrEqual">
      <formula>$X$8</formula>
    </cfRule>
  </conditionalFormatting>
  <conditionalFormatting sqref="K57">
    <cfRule type="cellIs" dxfId="417" priority="278" operator="lessThanOrEqual">
      <formula>30</formula>
    </cfRule>
  </conditionalFormatting>
  <conditionalFormatting sqref="K57">
    <cfRule type="cellIs" dxfId="416" priority="277" operator="greaterThan">
      <formula>30</formula>
    </cfRule>
  </conditionalFormatting>
  <conditionalFormatting sqref="Z54">
    <cfRule type="cellIs" dxfId="415" priority="276" operator="greaterThan">
      <formula>$X$8</formula>
    </cfRule>
  </conditionalFormatting>
  <conditionalFormatting sqref="Z54">
    <cfRule type="cellIs" dxfId="414" priority="275" operator="lessThanOrEqual">
      <formula>$X$8</formula>
    </cfRule>
  </conditionalFormatting>
  <conditionalFormatting sqref="AE54">
    <cfRule type="cellIs" dxfId="413" priority="274" operator="greaterThan">
      <formula>$X$8</formula>
    </cfRule>
  </conditionalFormatting>
  <conditionalFormatting sqref="AE54">
    <cfRule type="cellIs" dxfId="412" priority="273" operator="lessThanOrEqual">
      <formula>$X$8</formula>
    </cfRule>
  </conditionalFormatting>
  <conditionalFormatting sqref="AJ54">
    <cfRule type="cellIs" dxfId="411" priority="272" operator="greaterThan">
      <formula>$X$8</formula>
    </cfRule>
  </conditionalFormatting>
  <conditionalFormatting sqref="AJ54">
    <cfRule type="cellIs" dxfId="410" priority="271" operator="lessThanOrEqual">
      <formula>$X$8</formula>
    </cfRule>
  </conditionalFormatting>
  <conditionalFormatting sqref="AO54">
    <cfRule type="cellIs" dxfId="409" priority="270" operator="greaterThan">
      <formula>$X$8</formula>
    </cfRule>
  </conditionalFormatting>
  <conditionalFormatting sqref="AO54">
    <cfRule type="cellIs" dxfId="408" priority="269" operator="lessThanOrEqual">
      <formula>$X$8</formula>
    </cfRule>
  </conditionalFormatting>
  <conditionalFormatting sqref="AT54">
    <cfRule type="cellIs" dxfId="407" priority="268" operator="greaterThan">
      <formula>$X$8</formula>
    </cfRule>
  </conditionalFormatting>
  <conditionalFormatting sqref="AT54">
    <cfRule type="cellIs" dxfId="406" priority="267" operator="lessThanOrEqual">
      <formula>$X$8</formula>
    </cfRule>
  </conditionalFormatting>
  <conditionalFormatting sqref="AY54">
    <cfRule type="cellIs" dxfId="405" priority="266" operator="greaterThan">
      <formula>$X$8</formula>
    </cfRule>
  </conditionalFormatting>
  <conditionalFormatting sqref="AY54">
    <cfRule type="cellIs" dxfId="404" priority="265" operator="lessThanOrEqual">
      <formula>$X$8</formula>
    </cfRule>
  </conditionalFormatting>
  <conditionalFormatting sqref="BI54">
    <cfRule type="cellIs" dxfId="403" priority="264" operator="greaterThan">
      <formula>$X$8</formula>
    </cfRule>
  </conditionalFormatting>
  <conditionalFormatting sqref="BI54">
    <cfRule type="cellIs" dxfId="402" priority="263" operator="lessThanOrEqual">
      <formula>$X$8</formula>
    </cfRule>
  </conditionalFormatting>
  <conditionalFormatting sqref="BN54">
    <cfRule type="cellIs" dxfId="401" priority="262" operator="greaterThan">
      <formula>$X$8</formula>
    </cfRule>
  </conditionalFormatting>
  <conditionalFormatting sqref="BN54">
    <cfRule type="cellIs" dxfId="400" priority="261" operator="lessThanOrEqual">
      <formula>$X$8</formula>
    </cfRule>
  </conditionalFormatting>
  <conditionalFormatting sqref="BS54">
    <cfRule type="cellIs" dxfId="399" priority="260" operator="greaterThan">
      <formula>$X$8</formula>
    </cfRule>
  </conditionalFormatting>
  <conditionalFormatting sqref="BS54">
    <cfRule type="cellIs" dxfId="398" priority="259" operator="lessThanOrEqual">
      <formula>$X$8</formula>
    </cfRule>
  </conditionalFormatting>
  <conditionalFormatting sqref="BX54">
    <cfRule type="cellIs" dxfId="397" priority="258" operator="greaterThan">
      <formula>$X$8</formula>
    </cfRule>
  </conditionalFormatting>
  <conditionalFormatting sqref="BX54">
    <cfRule type="cellIs" dxfId="396" priority="257" operator="lessThanOrEqual">
      <formula>$X$8</formula>
    </cfRule>
  </conditionalFormatting>
  <conditionalFormatting sqref="CC54">
    <cfRule type="cellIs" dxfId="395" priority="256" operator="greaterThan">
      <formula>$X$8</formula>
    </cfRule>
  </conditionalFormatting>
  <conditionalFormatting sqref="CC54">
    <cfRule type="cellIs" dxfId="394" priority="255" operator="lessThanOrEqual">
      <formula>$X$8</formula>
    </cfRule>
  </conditionalFormatting>
  <conditionalFormatting sqref="CH54">
    <cfRule type="cellIs" dxfId="393" priority="254" operator="greaterThan">
      <formula>$X$8</formula>
    </cfRule>
  </conditionalFormatting>
  <conditionalFormatting sqref="CH54">
    <cfRule type="cellIs" dxfId="392" priority="253" operator="lessThanOrEqual">
      <formula>$X$8</formula>
    </cfRule>
  </conditionalFormatting>
  <conditionalFormatting sqref="CM54">
    <cfRule type="cellIs" dxfId="391" priority="252" operator="greaterThan">
      <formula>$X$8</formula>
    </cfRule>
  </conditionalFormatting>
  <conditionalFormatting sqref="CM54">
    <cfRule type="cellIs" dxfId="390" priority="251" operator="lessThanOrEqual">
      <formula>$X$8</formula>
    </cfRule>
  </conditionalFormatting>
  <conditionalFormatting sqref="CR54">
    <cfRule type="cellIs" dxfId="389" priority="250" operator="greaterThan">
      <formula>$X$8</formula>
    </cfRule>
  </conditionalFormatting>
  <conditionalFormatting sqref="CR54">
    <cfRule type="cellIs" dxfId="388" priority="249" operator="lessThanOrEqual">
      <formula>$X$8</formula>
    </cfRule>
  </conditionalFormatting>
  <conditionalFormatting sqref="CW54">
    <cfRule type="cellIs" dxfId="387" priority="248" operator="greaterThan">
      <formula>$X$8</formula>
    </cfRule>
  </conditionalFormatting>
  <conditionalFormatting sqref="CW54">
    <cfRule type="cellIs" dxfId="386" priority="247" operator="lessThanOrEqual">
      <formula>$X$8</formula>
    </cfRule>
  </conditionalFormatting>
  <conditionalFormatting sqref="DB54">
    <cfRule type="cellIs" dxfId="385" priority="246" operator="greaterThan">
      <formula>$X$8</formula>
    </cfRule>
  </conditionalFormatting>
  <conditionalFormatting sqref="DB54">
    <cfRule type="cellIs" dxfId="384" priority="245" operator="lessThanOrEqual">
      <formula>$X$8</formula>
    </cfRule>
  </conditionalFormatting>
  <conditionalFormatting sqref="DG54">
    <cfRule type="cellIs" dxfId="383" priority="244" operator="greaterThan">
      <formula>$X$8</formula>
    </cfRule>
  </conditionalFormatting>
  <conditionalFormatting sqref="DG54">
    <cfRule type="cellIs" dxfId="382" priority="243" operator="lessThanOrEqual">
      <formula>$X$8</formula>
    </cfRule>
  </conditionalFormatting>
  <conditionalFormatting sqref="Z55">
    <cfRule type="cellIs" dxfId="381" priority="242" operator="greaterThan">
      <formula>$X$8</formula>
    </cfRule>
  </conditionalFormatting>
  <conditionalFormatting sqref="Z55">
    <cfRule type="cellIs" dxfId="380" priority="241" operator="lessThanOrEqual">
      <formula>$X$8</formula>
    </cfRule>
  </conditionalFormatting>
  <conditionalFormatting sqref="AE55">
    <cfRule type="cellIs" dxfId="379" priority="240" operator="greaterThan">
      <formula>$X$8</formula>
    </cfRule>
  </conditionalFormatting>
  <conditionalFormatting sqref="AE55">
    <cfRule type="cellIs" dxfId="378" priority="239" operator="lessThanOrEqual">
      <formula>$X$8</formula>
    </cfRule>
  </conditionalFormatting>
  <conditionalFormatting sqref="AJ55">
    <cfRule type="cellIs" dxfId="377" priority="238" operator="greaterThan">
      <formula>$X$8</formula>
    </cfRule>
  </conditionalFormatting>
  <conditionalFormatting sqref="AJ55">
    <cfRule type="cellIs" dxfId="376" priority="237" operator="lessThanOrEqual">
      <formula>$X$8</formula>
    </cfRule>
  </conditionalFormatting>
  <conditionalFormatting sqref="AO55">
    <cfRule type="cellIs" dxfId="375" priority="236" operator="greaterThan">
      <formula>$X$8</formula>
    </cfRule>
  </conditionalFormatting>
  <conditionalFormatting sqref="AO55">
    <cfRule type="cellIs" dxfId="374" priority="235" operator="lessThanOrEqual">
      <formula>$X$8</formula>
    </cfRule>
  </conditionalFormatting>
  <conditionalFormatting sqref="AT55">
    <cfRule type="cellIs" dxfId="373" priority="234" operator="greaterThan">
      <formula>$X$8</formula>
    </cfRule>
  </conditionalFormatting>
  <conditionalFormatting sqref="AT55">
    <cfRule type="cellIs" dxfId="372" priority="233" operator="lessThanOrEqual">
      <formula>$X$8</formula>
    </cfRule>
  </conditionalFormatting>
  <conditionalFormatting sqref="AY55">
    <cfRule type="cellIs" dxfId="371" priority="232" operator="greaterThan">
      <formula>$X$8</formula>
    </cfRule>
  </conditionalFormatting>
  <conditionalFormatting sqref="AY55">
    <cfRule type="cellIs" dxfId="370" priority="231" operator="lessThanOrEqual">
      <formula>$X$8</formula>
    </cfRule>
  </conditionalFormatting>
  <conditionalFormatting sqref="BI55">
    <cfRule type="cellIs" dxfId="369" priority="230" operator="greaterThan">
      <formula>$X$8</formula>
    </cfRule>
  </conditionalFormatting>
  <conditionalFormatting sqref="BI55">
    <cfRule type="cellIs" dxfId="368" priority="229" operator="lessThanOrEqual">
      <formula>$X$8</formula>
    </cfRule>
  </conditionalFormatting>
  <conditionalFormatting sqref="BN55">
    <cfRule type="cellIs" dxfId="367" priority="228" operator="greaterThan">
      <formula>$X$8</formula>
    </cfRule>
  </conditionalFormatting>
  <conditionalFormatting sqref="BN55">
    <cfRule type="cellIs" dxfId="366" priority="227" operator="lessThanOrEqual">
      <formula>$X$8</formula>
    </cfRule>
  </conditionalFormatting>
  <conditionalFormatting sqref="BS55">
    <cfRule type="cellIs" dxfId="365" priority="226" operator="greaterThan">
      <formula>$X$8</formula>
    </cfRule>
  </conditionalFormatting>
  <conditionalFormatting sqref="BS55">
    <cfRule type="cellIs" dxfId="364" priority="225" operator="lessThanOrEqual">
      <formula>$X$8</formula>
    </cfRule>
  </conditionalFormatting>
  <conditionalFormatting sqref="BX55">
    <cfRule type="cellIs" dxfId="363" priority="224" operator="greaterThan">
      <formula>$X$8</formula>
    </cfRule>
  </conditionalFormatting>
  <conditionalFormatting sqref="BX55">
    <cfRule type="cellIs" dxfId="362" priority="223" operator="lessThanOrEqual">
      <formula>$X$8</formula>
    </cfRule>
  </conditionalFormatting>
  <conditionalFormatting sqref="CC55">
    <cfRule type="cellIs" dxfId="361" priority="222" operator="greaterThan">
      <formula>$X$8</formula>
    </cfRule>
  </conditionalFormatting>
  <conditionalFormatting sqref="CC55">
    <cfRule type="cellIs" dxfId="360" priority="221" operator="lessThanOrEqual">
      <formula>$X$8</formula>
    </cfRule>
  </conditionalFormatting>
  <conditionalFormatting sqref="CH55">
    <cfRule type="cellIs" dxfId="359" priority="220" operator="greaterThan">
      <formula>$X$8</formula>
    </cfRule>
  </conditionalFormatting>
  <conditionalFormatting sqref="CH55">
    <cfRule type="cellIs" dxfId="358" priority="219" operator="lessThanOrEqual">
      <formula>$X$8</formula>
    </cfRule>
  </conditionalFormatting>
  <conditionalFormatting sqref="CM55">
    <cfRule type="cellIs" dxfId="357" priority="218" operator="greaterThan">
      <formula>$X$8</formula>
    </cfRule>
  </conditionalFormatting>
  <conditionalFormatting sqref="CM55">
    <cfRule type="cellIs" dxfId="356" priority="217" operator="lessThanOrEqual">
      <formula>$X$8</formula>
    </cfRule>
  </conditionalFormatting>
  <conditionalFormatting sqref="CR55">
    <cfRule type="cellIs" dxfId="355" priority="216" operator="greaterThan">
      <formula>$X$8</formula>
    </cfRule>
  </conditionalFormatting>
  <conditionalFormatting sqref="CR55">
    <cfRule type="cellIs" dxfId="354" priority="215" operator="lessThanOrEqual">
      <formula>$X$8</formula>
    </cfRule>
  </conditionalFormatting>
  <conditionalFormatting sqref="CW55">
    <cfRule type="cellIs" dxfId="353" priority="214" operator="greaterThan">
      <formula>$X$8</formula>
    </cfRule>
  </conditionalFormatting>
  <conditionalFormatting sqref="CW55">
    <cfRule type="cellIs" dxfId="352" priority="213" operator="lessThanOrEqual">
      <formula>$X$8</formula>
    </cfRule>
  </conditionalFormatting>
  <conditionalFormatting sqref="DB55">
    <cfRule type="cellIs" dxfId="351" priority="212" operator="greaterThan">
      <formula>$X$8</formula>
    </cfRule>
  </conditionalFormatting>
  <conditionalFormatting sqref="DB55">
    <cfRule type="cellIs" dxfId="350" priority="211" operator="lessThanOrEqual">
      <formula>$X$8</formula>
    </cfRule>
  </conditionalFormatting>
  <conditionalFormatting sqref="DG55">
    <cfRule type="cellIs" dxfId="349" priority="210" operator="greaterThan">
      <formula>$X$8</formula>
    </cfRule>
  </conditionalFormatting>
  <conditionalFormatting sqref="DG55">
    <cfRule type="cellIs" dxfId="348" priority="209" operator="lessThanOrEqual">
      <formula>$X$8</formula>
    </cfRule>
  </conditionalFormatting>
  <conditionalFormatting sqref="Z56">
    <cfRule type="cellIs" dxfId="347" priority="208" operator="greaterThan">
      <formula>$X$8</formula>
    </cfRule>
  </conditionalFormatting>
  <conditionalFormatting sqref="Z56">
    <cfRule type="cellIs" dxfId="346" priority="207" operator="lessThanOrEqual">
      <formula>$X$8</formula>
    </cfRule>
  </conditionalFormatting>
  <conditionalFormatting sqref="AE56">
    <cfRule type="cellIs" dxfId="345" priority="206" operator="greaterThan">
      <formula>$X$8</formula>
    </cfRule>
  </conditionalFormatting>
  <conditionalFormatting sqref="AE56">
    <cfRule type="cellIs" dxfId="344" priority="205" operator="lessThanOrEqual">
      <formula>$X$8</formula>
    </cfRule>
  </conditionalFormatting>
  <conditionalFormatting sqref="AJ56">
    <cfRule type="cellIs" dxfId="343" priority="204" operator="greaterThan">
      <formula>$X$8</formula>
    </cfRule>
  </conditionalFormatting>
  <conditionalFormatting sqref="AJ56">
    <cfRule type="cellIs" dxfId="342" priority="203" operator="lessThanOrEqual">
      <formula>$X$8</formula>
    </cfRule>
  </conditionalFormatting>
  <conditionalFormatting sqref="AO56">
    <cfRule type="cellIs" dxfId="341" priority="202" operator="greaterThan">
      <formula>$X$8</formula>
    </cfRule>
  </conditionalFormatting>
  <conditionalFormatting sqref="AO56">
    <cfRule type="cellIs" dxfId="340" priority="201" operator="lessThanOrEqual">
      <formula>$X$8</formula>
    </cfRule>
  </conditionalFormatting>
  <conditionalFormatting sqref="AT56">
    <cfRule type="cellIs" dxfId="339" priority="200" operator="greaterThan">
      <formula>$X$8</formula>
    </cfRule>
  </conditionalFormatting>
  <conditionalFormatting sqref="AT56">
    <cfRule type="cellIs" dxfId="338" priority="199" operator="lessThanOrEqual">
      <formula>$X$8</formula>
    </cfRule>
  </conditionalFormatting>
  <conditionalFormatting sqref="AY56">
    <cfRule type="cellIs" dxfId="337" priority="198" operator="greaterThan">
      <formula>$X$8</formula>
    </cfRule>
  </conditionalFormatting>
  <conditionalFormatting sqref="AY56">
    <cfRule type="cellIs" dxfId="336" priority="197" operator="lessThanOrEqual">
      <formula>$X$8</formula>
    </cfRule>
  </conditionalFormatting>
  <conditionalFormatting sqref="BI56">
    <cfRule type="cellIs" dxfId="335" priority="196" operator="greaterThan">
      <formula>$X$8</formula>
    </cfRule>
  </conditionalFormatting>
  <conditionalFormatting sqref="BI56">
    <cfRule type="cellIs" dxfId="334" priority="195" operator="lessThanOrEqual">
      <formula>$X$8</formula>
    </cfRule>
  </conditionalFormatting>
  <conditionalFormatting sqref="BN56">
    <cfRule type="cellIs" dxfId="333" priority="194" operator="greaterThan">
      <formula>$X$8</formula>
    </cfRule>
  </conditionalFormatting>
  <conditionalFormatting sqref="BN56">
    <cfRule type="cellIs" dxfId="332" priority="193" operator="lessThanOrEqual">
      <formula>$X$8</formula>
    </cfRule>
  </conditionalFormatting>
  <conditionalFormatting sqref="BS56">
    <cfRule type="cellIs" dxfId="331" priority="192" operator="greaterThan">
      <formula>$X$8</formula>
    </cfRule>
  </conditionalFormatting>
  <conditionalFormatting sqref="BS56">
    <cfRule type="cellIs" dxfId="330" priority="191" operator="lessThanOrEqual">
      <formula>$X$8</formula>
    </cfRule>
  </conditionalFormatting>
  <conditionalFormatting sqref="BX56">
    <cfRule type="cellIs" dxfId="329" priority="190" operator="greaterThan">
      <formula>$X$8</formula>
    </cfRule>
  </conditionalFormatting>
  <conditionalFormatting sqref="BX56">
    <cfRule type="cellIs" dxfId="328" priority="189" operator="lessThanOrEqual">
      <formula>$X$8</formula>
    </cfRule>
  </conditionalFormatting>
  <conditionalFormatting sqref="CC56">
    <cfRule type="cellIs" dxfId="327" priority="188" operator="greaterThan">
      <formula>$X$8</formula>
    </cfRule>
  </conditionalFormatting>
  <conditionalFormatting sqref="CC56">
    <cfRule type="cellIs" dxfId="326" priority="187" operator="lessThanOrEqual">
      <formula>$X$8</formula>
    </cfRule>
  </conditionalFormatting>
  <conditionalFormatting sqref="CH56">
    <cfRule type="cellIs" dxfId="325" priority="186" operator="greaterThan">
      <formula>$X$8</formula>
    </cfRule>
  </conditionalFormatting>
  <conditionalFormatting sqref="CH56">
    <cfRule type="cellIs" dxfId="324" priority="185" operator="lessThanOrEqual">
      <formula>$X$8</formula>
    </cfRule>
  </conditionalFormatting>
  <conditionalFormatting sqref="CM56">
    <cfRule type="cellIs" dxfId="323" priority="184" operator="greaterThan">
      <formula>$X$8</formula>
    </cfRule>
  </conditionalFormatting>
  <conditionalFormatting sqref="CM56">
    <cfRule type="cellIs" dxfId="322" priority="183" operator="lessThanOrEqual">
      <formula>$X$8</formula>
    </cfRule>
  </conditionalFormatting>
  <conditionalFormatting sqref="CR56">
    <cfRule type="cellIs" dxfId="321" priority="182" operator="greaterThan">
      <formula>$X$8</formula>
    </cfRule>
  </conditionalFormatting>
  <conditionalFormatting sqref="CR56">
    <cfRule type="cellIs" dxfId="320" priority="181" operator="lessThanOrEqual">
      <formula>$X$8</formula>
    </cfRule>
  </conditionalFormatting>
  <conditionalFormatting sqref="CW56">
    <cfRule type="cellIs" dxfId="319" priority="180" operator="greaterThan">
      <formula>$X$8</formula>
    </cfRule>
  </conditionalFormatting>
  <conditionalFormatting sqref="CW56">
    <cfRule type="cellIs" dxfId="318" priority="179" operator="lessThanOrEqual">
      <formula>$X$8</formula>
    </cfRule>
  </conditionalFormatting>
  <conditionalFormatting sqref="DB56">
    <cfRule type="cellIs" dxfId="317" priority="178" operator="greaterThan">
      <formula>$X$8</formula>
    </cfRule>
  </conditionalFormatting>
  <conditionalFormatting sqref="DB56">
    <cfRule type="cellIs" dxfId="316" priority="177" operator="lessThanOrEqual">
      <formula>$X$8</formula>
    </cfRule>
  </conditionalFormatting>
  <conditionalFormatting sqref="DG56">
    <cfRule type="cellIs" dxfId="315" priority="176" operator="greaterThan">
      <formula>$X$8</formula>
    </cfRule>
  </conditionalFormatting>
  <conditionalFormatting sqref="DG56">
    <cfRule type="cellIs" dxfId="314" priority="175" operator="lessThanOrEqual">
      <formula>$X$8</formula>
    </cfRule>
  </conditionalFormatting>
  <conditionalFormatting sqref="BI57">
    <cfRule type="cellIs" dxfId="313" priority="174" operator="greaterThan">
      <formula>$X$8</formula>
    </cfRule>
  </conditionalFormatting>
  <conditionalFormatting sqref="BI57">
    <cfRule type="cellIs" dxfId="312" priority="173" operator="lessThanOrEqual">
      <formula>$X$8</formula>
    </cfRule>
  </conditionalFormatting>
  <conditionalFormatting sqref="BN57">
    <cfRule type="cellIs" dxfId="311" priority="172" operator="greaterThan">
      <formula>$X$8</formula>
    </cfRule>
  </conditionalFormatting>
  <conditionalFormatting sqref="BN57">
    <cfRule type="cellIs" dxfId="310" priority="171" operator="lessThanOrEqual">
      <formula>$X$8</formula>
    </cfRule>
  </conditionalFormatting>
  <conditionalFormatting sqref="BS57">
    <cfRule type="cellIs" dxfId="309" priority="170" operator="greaterThan">
      <formula>$X$8</formula>
    </cfRule>
  </conditionalFormatting>
  <conditionalFormatting sqref="BS57">
    <cfRule type="cellIs" dxfId="308" priority="169" operator="lessThanOrEqual">
      <formula>$X$8</formula>
    </cfRule>
  </conditionalFormatting>
  <conditionalFormatting sqref="BX57">
    <cfRule type="cellIs" dxfId="307" priority="168" operator="greaterThan">
      <formula>$X$8</formula>
    </cfRule>
  </conditionalFormatting>
  <conditionalFormatting sqref="BX57">
    <cfRule type="cellIs" dxfId="306" priority="167" operator="lessThanOrEqual">
      <formula>$X$8</formula>
    </cfRule>
  </conditionalFormatting>
  <conditionalFormatting sqref="CC57">
    <cfRule type="cellIs" dxfId="305" priority="166" operator="greaterThan">
      <formula>$X$8</formula>
    </cfRule>
  </conditionalFormatting>
  <conditionalFormatting sqref="CC57">
    <cfRule type="cellIs" dxfId="304" priority="165" operator="lessThanOrEqual">
      <formula>$X$8</formula>
    </cfRule>
  </conditionalFormatting>
  <conditionalFormatting sqref="CH57">
    <cfRule type="cellIs" dxfId="303" priority="164" operator="greaterThan">
      <formula>$X$8</formula>
    </cfRule>
  </conditionalFormatting>
  <conditionalFormatting sqref="CH57">
    <cfRule type="cellIs" dxfId="302" priority="163" operator="lessThanOrEqual">
      <formula>$X$8</formula>
    </cfRule>
  </conditionalFormatting>
  <conditionalFormatting sqref="CM57">
    <cfRule type="cellIs" dxfId="301" priority="162" operator="greaterThan">
      <formula>$X$8</formula>
    </cfRule>
  </conditionalFormatting>
  <conditionalFormatting sqref="CM57">
    <cfRule type="cellIs" dxfId="300" priority="161" operator="lessThanOrEqual">
      <formula>$X$8</formula>
    </cfRule>
  </conditionalFormatting>
  <conditionalFormatting sqref="CR57">
    <cfRule type="cellIs" dxfId="299" priority="160" operator="greaterThan">
      <formula>$X$8</formula>
    </cfRule>
  </conditionalFormatting>
  <conditionalFormatting sqref="CR57">
    <cfRule type="cellIs" dxfId="298" priority="159" operator="lessThanOrEqual">
      <formula>$X$8</formula>
    </cfRule>
  </conditionalFormatting>
  <conditionalFormatting sqref="CW57">
    <cfRule type="cellIs" dxfId="297" priority="158" operator="greaterThan">
      <formula>$X$8</formula>
    </cfRule>
  </conditionalFormatting>
  <conditionalFormatting sqref="CW57">
    <cfRule type="cellIs" dxfId="296" priority="157" operator="lessThanOrEqual">
      <formula>$X$8</formula>
    </cfRule>
  </conditionalFormatting>
  <conditionalFormatting sqref="DB57">
    <cfRule type="cellIs" dxfId="295" priority="156" operator="greaterThan">
      <formula>$X$8</formula>
    </cfRule>
  </conditionalFormatting>
  <conditionalFormatting sqref="DB57">
    <cfRule type="cellIs" dxfId="294" priority="155" operator="lessThanOrEqual">
      <formula>$X$8</formula>
    </cfRule>
  </conditionalFormatting>
  <conditionalFormatting sqref="DG57">
    <cfRule type="cellIs" dxfId="293" priority="154" operator="greaterThan">
      <formula>$X$8</formula>
    </cfRule>
  </conditionalFormatting>
  <conditionalFormatting sqref="DG57">
    <cfRule type="cellIs" dxfId="292" priority="153" operator="lessThanOrEqual">
      <formula>$X$8</formula>
    </cfRule>
  </conditionalFormatting>
  <conditionalFormatting sqref="Z58">
    <cfRule type="cellIs" dxfId="291" priority="152" operator="greaterThan">
      <formula>$X$8</formula>
    </cfRule>
  </conditionalFormatting>
  <conditionalFormatting sqref="Z58">
    <cfRule type="cellIs" dxfId="290" priority="151" operator="lessThanOrEqual">
      <formula>$X$8</formula>
    </cfRule>
  </conditionalFormatting>
  <conditionalFormatting sqref="AE58">
    <cfRule type="cellIs" dxfId="289" priority="150" operator="greaterThan">
      <formula>$X$8</formula>
    </cfRule>
  </conditionalFormatting>
  <conditionalFormatting sqref="AE58">
    <cfRule type="cellIs" dxfId="288" priority="149" operator="lessThanOrEqual">
      <formula>$X$8</formula>
    </cfRule>
  </conditionalFormatting>
  <conditionalFormatting sqref="AJ58">
    <cfRule type="cellIs" dxfId="287" priority="148" operator="greaterThan">
      <formula>$X$8</formula>
    </cfRule>
  </conditionalFormatting>
  <conditionalFormatting sqref="AJ58">
    <cfRule type="cellIs" dxfId="286" priority="147" operator="lessThanOrEqual">
      <formula>$X$8</formula>
    </cfRule>
  </conditionalFormatting>
  <conditionalFormatting sqref="AO58">
    <cfRule type="cellIs" dxfId="285" priority="146" operator="greaterThan">
      <formula>$X$8</formula>
    </cfRule>
  </conditionalFormatting>
  <conditionalFormatting sqref="AO58">
    <cfRule type="cellIs" dxfId="284" priority="145" operator="lessThanOrEqual">
      <formula>$X$8</formula>
    </cfRule>
  </conditionalFormatting>
  <conditionalFormatting sqref="AT58">
    <cfRule type="cellIs" dxfId="283" priority="144" operator="greaterThan">
      <formula>$X$8</formula>
    </cfRule>
  </conditionalFormatting>
  <conditionalFormatting sqref="AT58">
    <cfRule type="cellIs" dxfId="282" priority="143" operator="lessThanOrEqual">
      <formula>$X$8</formula>
    </cfRule>
  </conditionalFormatting>
  <conditionalFormatting sqref="AY58">
    <cfRule type="cellIs" dxfId="281" priority="142" operator="greaterThan">
      <formula>$X$8</formula>
    </cfRule>
  </conditionalFormatting>
  <conditionalFormatting sqref="AY58">
    <cfRule type="cellIs" dxfId="280" priority="141" operator="lessThanOrEqual">
      <formula>$X$8</formula>
    </cfRule>
  </conditionalFormatting>
  <conditionalFormatting sqref="BI58">
    <cfRule type="cellIs" dxfId="279" priority="140" operator="greaterThan">
      <formula>$X$8</formula>
    </cfRule>
  </conditionalFormatting>
  <conditionalFormatting sqref="BI58">
    <cfRule type="cellIs" dxfId="278" priority="139" operator="lessThanOrEqual">
      <formula>$X$8</formula>
    </cfRule>
  </conditionalFormatting>
  <conditionalFormatting sqref="BN58">
    <cfRule type="cellIs" dxfId="277" priority="138" operator="greaterThan">
      <formula>$X$8</formula>
    </cfRule>
  </conditionalFormatting>
  <conditionalFormatting sqref="BN58">
    <cfRule type="cellIs" dxfId="276" priority="137" operator="lessThanOrEqual">
      <formula>$X$8</formula>
    </cfRule>
  </conditionalFormatting>
  <conditionalFormatting sqref="BS58">
    <cfRule type="cellIs" dxfId="275" priority="136" operator="greaterThan">
      <formula>$X$8</formula>
    </cfRule>
  </conditionalFormatting>
  <conditionalFormatting sqref="BS58">
    <cfRule type="cellIs" dxfId="274" priority="135" operator="lessThanOrEqual">
      <formula>$X$8</formula>
    </cfRule>
  </conditionalFormatting>
  <conditionalFormatting sqref="BX58">
    <cfRule type="cellIs" dxfId="273" priority="134" operator="greaterThan">
      <formula>$X$8</formula>
    </cfRule>
  </conditionalFormatting>
  <conditionalFormatting sqref="BX58">
    <cfRule type="cellIs" dxfId="272" priority="133" operator="lessThanOrEqual">
      <formula>$X$8</formula>
    </cfRule>
  </conditionalFormatting>
  <conditionalFormatting sqref="CC58">
    <cfRule type="cellIs" dxfId="271" priority="132" operator="greaterThan">
      <formula>$X$8</formula>
    </cfRule>
  </conditionalFormatting>
  <conditionalFormatting sqref="CC58">
    <cfRule type="cellIs" dxfId="270" priority="131" operator="lessThanOrEqual">
      <formula>$X$8</formula>
    </cfRule>
  </conditionalFormatting>
  <conditionalFormatting sqref="CH58">
    <cfRule type="cellIs" dxfId="269" priority="130" operator="greaterThan">
      <formula>$X$8</formula>
    </cfRule>
  </conditionalFormatting>
  <conditionalFormatting sqref="CH58">
    <cfRule type="cellIs" dxfId="268" priority="129" operator="lessThanOrEqual">
      <formula>$X$8</formula>
    </cfRule>
  </conditionalFormatting>
  <conditionalFormatting sqref="CM58">
    <cfRule type="cellIs" dxfId="267" priority="128" operator="greaterThan">
      <formula>$X$8</formula>
    </cfRule>
  </conditionalFormatting>
  <conditionalFormatting sqref="CM58">
    <cfRule type="cellIs" dxfId="266" priority="127" operator="lessThanOrEqual">
      <formula>$X$8</formula>
    </cfRule>
  </conditionalFormatting>
  <conditionalFormatting sqref="CR58">
    <cfRule type="cellIs" dxfId="265" priority="126" operator="greaterThan">
      <formula>$X$8</formula>
    </cfRule>
  </conditionalFormatting>
  <conditionalFormatting sqref="CR58">
    <cfRule type="cellIs" dxfId="264" priority="125" operator="lessThanOrEqual">
      <formula>$X$8</formula>
    </cfRule>
  </conditionalFormatting>
  <conditionalFormatting sqref="CW58">
    <cfRule type="cellIs" dxfId="263" priority="124" operator="greaterThan">
      <formula>$X$8</formula>
    </cfRule>
  </conditionalFormatting>
  <conditionalFormatting sqref="CW58">
    <cfRule type="cellIs" dxfId="262" priority="123" operator="lessThanOrEqual">
      <formula>$X$8</formula>
    </cfRule>
  </conditionalFormatting>
  <conditionalFormatting sqref="DB58">
    <cfRule type="cellIs" dxfId="261" priority="122" operator="greaterThan">
      <formula>$X$8</formula>
    </cfRule>
  </conditionalFormatting>
  <conditionalFormatting sqref="DB58">
    <cfRule type="cellIs" dxfId="260" priority="121" operator="lessThanOrEqual">
      <formula>$X$8</formula>
    </cfRule>
  </conditionalFormatting>
  <conditionalFormatting sqref="DG58">
    <cfRule type="cellIs" dxfId="259" priority="120" operator="greaterThan">
      <formula>$X$8</formula>
    </cfRule>
  </conditionalFormatting>
  <conditionalFormatting sqref="DG58">
    <cfRule type="cellIs" dxfId="258" priority="119" operator="lessThanOrEqual">
      <formula>$X$8</formula>
    </cfRule>
  </conditionalFormatting>
  <conditionalFormatting sqref="Z59">
    <cfRule type="cellIs" dxfId="257" priority="118" operator="greaterThan">
      <formula>$X$8</formula>
    </cfRule>
  </conditionalFormatting>
  <conditionalFormatting sqref="Z59">
    <cfRule type="cellIs" dxfId="256" priority="117" operator="lessThanOrEqual">
      <formula>$X$8</formula>
    </cfRule>
  </conditionalFormatting>
  <conditionalFormatting sqref="AE59">
    <cfRule type="cellIs" dxfId="255" priority="116" operator="greaterThan">
      <formula>$X$8</formula>
    </cfRule>
  </conditionalFormatting>
  <conditionalFormatting sqref="AE59">
    <cfRule type="cellIs" dxfId="254" priority="115" operator="lessThanOrEqual">
      <formula>$X$8</formula>
    </cfRule>
  </conditionalFormatting>
  <conditionalFormatting sqref="AJ59">
    <cfRule type="cellIs" dxfId="253" priority="114" operator="greaterThan">
      <formula>$X$8</formula>
    </cfRule>
  </conditionalFormatting>
  <conditionalFormatting sqref="AJ59">
    <cfRule type="cellIs" dxfId="252" priority="113" operator="lessThanOrEqual">
      <formula>$X$8</formula>
    </cfRule>
  </conditionalFormatting>
  <conditionalFormatting sqref="AO59">
    <cfRule type="cellIs" dxfId="251" priority="112" operator="greaterThan">
      <formula>$X$8</formula>
    </cfRule>
  </conditionalFormatting>
  <conditionalFormatting sqref="AO59">
    <cfRule type="cellIs" dxfId="250" priority="111" operator="lessThanOrEqual">
      <formula>$X$8</formula>
    </cfRule>
  </conditionalFormatting>
  <conditionalFormatting sqref="AT59">
    <cfRule type="cellIs" dxfId="249" priority="110" operator="greaterThan">
      <formula>$X$8</formula>
    </cfRule>
  </conditionalFormatting>
  <conditionalFormatting sqref="AT59">
    <cfRule type="cellIs" dxfId="248" priority="109" operator="lessThanOrEqual">
      <formula>$X$8</formula>
    </cfRule>
  </conditionalFormatting>
  <conditionalFormatting sqref="AY59">
    <cfRule type="cellIs" dxfId="247" priority="108" operator="greaterThan">
      <formula>$X$8</formula>
    </cfRule>
  </conditionalFormatting>
  <conditionalFormatting sqref="AY59">
    <cfRule type="cellIs" dxfId="246" priority="107" operator="lessThanOrEqual">
      <formula>$X$8</formula>
    </cfRule>
  </conditionalFormatting>
  <conditionalFormatting sqref="BI59">
    <cfRule type="cellIs" dxfId="245" priority="106" operator="greaterThan">
      <formula>$X$8</formula>
    </cfRule>
  </conditionalFormatting>
  <conditionalFormatting sqref="BI59">
    <cfRule type="cellIs" dxfId="244" priority="105" operator="lessThanOrEqual">
      <formula>$X$8</formula>
    </cfRule>
  </conditionalFormatting>
  <conditionalFormatting sqref="BN59">
    <cfRule type="cellIs" dxfId="243" priority="104" operator="greaterThan">
      <formula>$X$8</formula>
    </cfRule>
  </conditionalFormatting>
  <conditionalFormatting sqref="BN59">
    <cfRule type="cellIs" dxfId="242" priority="103" operator="lessThanOrEqual">
      <formula>$X$8</formula>
    </cfRule>
  </conditionalFormatting>
  <conditionalFormatting sqref="BS59">
    <cfRule type="cellIs" dxfId="241" priority="102" operator="greaterThan">
      <formula>$X$8</formula>
    </cfRule>
  </conditionalFormatting>
  <conditionalFormatting sqref="BS59">
    <cfRule type="cellIs" dxfId="240" priority="101" operator="lessThanOrEqual">
      <formula>$X$8</formula>
    </cfRule>
  </conditionalFormatting>
  <conditionalFormatting sqref="BX59">
    <cfRule type="cellIs" dxfId="239" priority="100" operator="greaterThan">
      <formula>$X$8</formula>
    </cfRule>
  </conditionalFormatting>
  <conditionalFormatting sqref="BX59">
    <cfRule type="cellIs" dxfId="238" priority="99" operator="lessThanOrEqual">
      <formula>$X$8</formula>
    </cfRule>
  </conditionalFormatting>
  <conditionalFormatting sqref="CC59">
    <cfRule type="cellIs" dxfId="237" priority="98" operator="greaterThan">
      <formula>$X$8</formula>
    </cfRule>
  </conditionalFormatting>
  <conditionalFormatting sqref="CC59">
    <cfRule type="cellIs" dxfId="236" priority="97" operator="lessThanOrEqual">
      <formula>$X$8</formula>
    </cfRule>
  </conditionalFormatting>
  <conditionalFormatting sqref="CH59">
    <cfRule type="cellIs" dxfId="235" priority="96" operator="greaterThan">
      <formula>$X$8</formula>
    </cfRule>
  </conditionalFormatting>
  <conditionalFormatting sqref="CH59">
    <cfRule type="cellIs" dxfId="234" priority="95" operator="lessThanOrEqual">
      <formula>$X$8</formula>
    </cfRule>
  </conditionalFormatting>
  <conditionalFormatting sqref="CM59">
    <cfRule type="cellIs" dxfId="233" priority="94" operator="greaterThan">
      <formula>$X$8</formula>
    </cfRule>
  </conditionalFormatting>
  <conditionalFormatting sqref="CM59">
    <cfRule type="cellIs" dxfId="232" priority="93" operator="lessThanOrEqual">
      <formula>$X$8</formula>
    </cfRule>
  </conditionalFormatting>
  <conditionalFormatting sqref="CR59">
    <cfRule type="cellIs" dxfId="231" priority="92" operator="greaterThan">
      <formula>$X$8</formula>
    </cfRule>
  </conditionalFormatting>
  <conditionalFormatting sqref="CR59">
    <cfRule type="cellIs" dxfId="230" priority="91" operator="lessThanOrEqual">
      <formula>$X$8</formula>
    </cfRule>
  </conditionalFormatting>
  <conditionalFormatting sqref="CW59">
    <cfRule type="cellIs" dxfId="229" priority="90" operator="greaterThan">
      <formula>$X$8</formula>
    </cfRule>
  </conditionalFormatting>
  <conditionalFormatting sqref="CW59">
    <cfRule type="cellIs" dxfId="228" priority="89" operator="lessThanOrEqual">
      <formula>$X$8</formula>
    </cfRule>
  </conditionalFormatting>
  <conditionalFormatting sqref="DB59">
    <cfRule type="cellIs" dxfId="227" priority="88" operator="greaterThan">
      <formula>$X$8</formula>
    </cfRule>
  </conditionalFormatting>
  <conditionalFormatting sqref="DB59">
    <cfRule type="cellIs" dxfId="226" priority="87" operator="lessThanOrEqual">
      <formula>$X$8</formula>
    </cfRule>
  </conditionalFormatting>
  <conditionalFormatting sqref="DG59">
    <cfRule type="cellIs" dxfId="225" priority="86" operator="greaterThan">
      <formula>$X$8</formula>
    </cfRule>
  </conditionalFormatting>
  <conditionalFormatting sqref="DG59">
    <cfRule type="cellIs" dxfId="224" priority="85" operator="lessThanOrEqual">
      <formula>$X$8</formula>
    </cfRule>
  </conditionalFormatting>
  <conditionalFormatting sqref="Z60">
    <cfRule type="cellIs" dxfId="223" priority="84" operator="greaterThan">
      <formula>$X$8</formula>
    </cfRule>
  </conditionalFormatting>
  <conditionalFormatting sqref="Z60">
    <cfRule type="cellIs" dxfId="222" priority="83" operator="lessThanOrEqual">
      <formula>$X$8</formula>
    </cfRule>
  </conditionalFormatting>
  <conditionalFormatting sqref="AE60">
    <cfRule type="cellIs" dxfId="221" priority="82" operator="greaterThan">
      <formula>$X$8</formula>
    </cfRule>
  </conditionalFormatting>
  <conditionalFormatting sqref="AE60">
    <cfRule type="cellIs" dxfId="220" priority="81" operator="lessThanOrEqual">
      <formula>$X$8</formula>
    </cfRule>
  </conditionalFormatting>
  <conditionalFormatting sqref="AJ60">
    <cfRule type="cellIs" dxfId="219" priority="80" operator="greaterThan">
      <formula>$X$8</formula>
    </cfRule>
  </conditionalFormatting>
  <conditionalFormatting sqref="AJ60">
    <cfRule type="cellIs" dxfId="218" priority="79" operator="lessThanOrEqual">
      <formula>$X$8</formula>
    </cfRule>
  </conditionalFormatting>
  <conditionalFormatting sqref="AO60">
    <cfRule type="cellIs" dxfId="217" priority="78" operator="greaterThan">
      <formula>$X$8</formula>
    </cfRule>
  </conditionalFormatting>
  <conditionalFormatting sqref="AO60">
    <cfRule type="cellIs" dxfId="216" priority="77" operator="lessThanOrEqual">
      <formula>$X$8</formula>
    </cfRule>
  </conditionalFormatting>
  <conditionalFormatting sqref="AT60">
    <cfRule type="cellIs" dxfId="215" priority="76" operator="greaterThan">
      <formula>$X$8</formula>
    </cfRule>
  </conditionalFormatting>
  <conditionalFormatting sqref="AT60">
    <cfRule type="cellIs" dxfId="214" priority="75" operator="lessThanOrEqual">
      <formula>$X$8</formula>
    </cfRule>
  </conditionalFormatting>
  <conditionalFormatting sqref="AY60">
    <cfRule type="cellIs" dxfId="213" priority="74" operator="greaterThan">
      <formula>$X$8</formula>
    </cfRule>
  </conditionalFormatting>
  <conditionalFormatting sqref="AY60">
    <cfRule type="cellIs" dxfId="212" priority="73" operator="lessThanOrEqual">
      <formula>$X$8</formula>
    </cfRule>
  </conditionalFormatting>
  <conditionalFormatting sqref="BI60">
    <cfRule type="cellIs" dxfId="211" priority="72" operator="greaterThan">
      <formula>$X$8</formula>
    </cfRule>
  </conditionalFormatting>
  <conditionalFormatting sqref="BI60">
    <cfRule type="cellIs" dxfId="210" priority="71" operator="lessThanOrEqual">
      <formula>$X$8</formula>
    </cfRule>
  </conditionalFormatting>
  <conditionalFormatting sqref="BN60">
    <cfRule type="cellIs" dxfId="209" priority="70" operator="greaterThan">
      <formula>$X$8</formula>
    </cfRule>
  </conditionalFormatting>
  <conditionalFormatting sqref="BN60">
    <cfRule type="cellIs" dxfId="208" priority="69" operator="lessThanOrEqual">
      <formula>$X$8</formula>
    </cfRule>
  </conditionalFormatting>
  <conditionalFormatting sqref="BS60">
    <cfRule type="cellIs" dxfId="207" priority="68" operator="greaterThan">
      <formula>$X$8</formula>
    </cfRule>
  </conditionalFormatting>
  <conditionalFormatting sqref="BS60">
    <cfRule type="cellIs" dxfId="206" priority="67" operator="lessThanOrEqual">
      <formula>$X$8</formula>
    </cfRule>
  </conditionalFormatting>
  <conditionalFormatting sqref="BX60">
    <cfRule type="cellIs" dxfId="205" priority="66" operator="greaterThan">
      <formula>$X$8</formula>
    </cfRule>
  </conditionalFormatting>
  <conditionalFormatting sqref="BX60">
    <cfRule type="cellIs" dxfId="204" priority="65" operator="lessThanOrEqual">
      <formula>$X$8</formula>
    </cfRule>
  </conditionalFormatting>
  <conditionalFormatting sqref="CC60">
    <cfRule type="cellIs" dxfId="203" priority="64" operator="greaterThan">
      <formula>$X$8</formula>
    </cfRule>
  </conditionalFormatting>
  <conditionalFormatting sqref="CC60">
    <cfRule type="cellIs" dxfId="202" priority="63" operator="lessThanOrEqual">
      <formula>$X$8</formula>
    </cfRule>
  </conditionalFormatting>
  <conditionalFormatting sqref="CH60">
    <cfRule type="cellIs" dxfId="201" priority="62" operator="greaterThan">
      <formula>$X$8</formula>
    </cfRule>
  </conditionalFormatting>
  <conditionalFormatting sqref="CH60">
    <cfRule type="cellIs" dxfId="200" priority="61" operator="lessThanOrEqual">
      <formula>$X$8</formula>
    </cfRule>
  </conditionalFormatting>
  <conditionalFormatting sqref="CM60">
    <cfRule type="cellIs" dxfId="199" priority="60" operator="greaterThan">
      <formula>$X$8</formula>
    </cfRule>
  </conditionalFormatting>
  <conditionalFormatting sqref="CM60">
    <cfRule type="cellIs" dxfId="198" priority="59" operator="lessThanOrEqual">
      <formula>$X$8</formula>
    </cfRule>
  </conditionalFormatting>
  <conditionalFormatting sqref="CR60">
    <cfRule type="cellIs" dxfId="197" priority="58" operator="greaterThan">
      <formula>$X$8</formula>
    </cfRule>
  </conditionalFormatting>
  <conditionalFormatting sqref="CR60">
    <cfRule type="cellIs" dxfId="196" priority="57" operator="lessThanOrEqual">
      <formula>$X$8</formula>
    </cfRule>
  </conditionalFormatting>
  <conditionalFormatting sqref="CW60">
    <cfRule type="cellIs" dxfId="195" priority="56" operator="greaterThan">
      <formula>$X$8</formula>
    </cfRule>
  </conditionalFormatting>
  <conditionalFormatting sqref="CW60">
    <cfRule type="cellIs" dxfId="194" priority="55" operator="lessThanOrEqual">
      <formula>$X$8</formula>
    </cfRule>
  </conditionalFormatting>
  <conditionalFormatting sqref="DB60">
    <cfRule type="cellIs" dxfId="193" priority="54" operator="greaterThan">
      <formula>$X$8</formula>
    </cfRule>
  </conditionalFormatting>
  <conditionalFormatting sqref="DB60">
    <cfRule type="cellIs" dxfId="192" priority="53" operator="lessThanOrEqual">
      <formula>$X$8</formula>
    </cfRule>
  </conditionalFormatting>
  <conditionalFormatting sqref="DG60">
    <cfRule type="cellIs" dxfId="191" priority="52" operator="greaterThan">
      <formula>$X$8</formula>
    </cfRule>
  </conditionalFormatting>
  <conditionalFormatting sqref="DG60">
    <cfRule type="cellIs" dxfId="190" priority="51" operator="lessThanOrEqual">
      <formula>$X$8</formula>
    </cfRule>
  </conditionalFormatting>
  <conditionalFormatting sqref="Z61">
    <cfRule type="cellIs" dxfId="189" priority="50" operator="greaterThan">
      <formula>$X$8</formula>
    </cfRule>
  </conditionalFormatting>
  <conditionalFormatting sqref="Z61">
    <cfRule type="cellIs" dxfId="188" priority="49" operator="lessThanOrEqual">
      <formula>$X$8</formula>
    </cfRule>
  </conditionalFormatting>
  <conditionalFormatting sqref="AE61">
    <cfRule type="cellIs" dxfId="187" priority="48" operator="greaterThan">
      <formula>$X$8</formula>
    </cfRule>
  </conditionalFormatting>
  <conditionalFormatting sqref="AE61">
    <cfRule type="cellIs" dxfId="186" priority="47" operator="lessThanOrEqual">
      <formula>$X$8</formula>
    </cfRule>
  </conditionalFormatting>
  <conditionalFormatting sqref="AJ61">
    <cfRule type="cellIs" dxfId="185" priority="46" operator="greaterThan">
      <formula>$X$8</formula>
    </cfRule>
  </conditionalFormatting>
  <conditionalFormatting sqref="AJ61">
    <cfRule type="cellIs" dxfId="184" priority="45" operator="lessThanOrEqual">
      <formula>$X$8</formula>
    </cfRule>
  </conditionalFormatting>
  <conditionalFormatting sqref="AO61">
    <cfRule type="cellIs" dxfId="183" priority="44" operator="greaterThan">
      <formula>$X$8</formula>
    </cfRule>
  </conditionalFormatting>
  <conditionalFormatting sqref="AO61">
    <cfRule type="cellIs" dxfId="182" priority="43" operator="lessThanOrEqual">
      <formula>$X$8</formula>
    </cfRule>
  </conditionalFormatting>
  <conditionalFormatting sqref="AT61">
    <cfRule type="cellIs" dxfId="181" priority="42" operator="greaterThan">
      <formula>$X$8</formula>
    </cfRule>
  </conditionalFormatting>
  <conditionalFormatting sqref="AT61">
    <cfRule type="cellIs" dxfId="180" priority="41" operator="lessThanOrEqual">
      <formula>$X$8</formula>
    </cfRule>
  </conditionalFormatting>
  <conditionalFormatting sqref="AY61">
    <cfRule type="cellIs" dxfId="179" priority="40" operator="greaterThan">
      <formula>$X$8</formula>
    </cfRule>
  </conditionalFormatting>
  <conditionalFormatting sqref="AY61">
    <cfRule type="cellIs" dxfId="178" priority="39" operator="lessThanOrEqual">
      <formula>$X$8</formula>
    </cfRule>
  </conditionalFormatting>
  <conditionalFormatting sqref="BI61">
    <cfRule type="cellIs" dxfId="177" priority="38" operator="greaterThan">
      <formula>$X$8</formula>
    </cfRule>
  </conditionalFormatting>
  <conditionalFormatting sqref="BI61">
    <cfRule type="cellIs" dxfId="176" priority="37" operator="lessThanOrEqual">
      <formula>$X$8</formula>
    </cfRule>
  </conditionalFormatting>
  <conditionalFormatting sqref="BN61">
    <cfRule type="cellIs" dxfId="175" priority="36" operator="greaterThan">
      <formula>$X$8</formula>
    </cfRule>
  </conditionalFormatting>
  <conditionalFormatting sqref="BN61">
    <cfRule type="cellIs" dxfId="174" priority="35" operator="lessThanOrEqual">
      <formula>$X$8</formula>
    </cfRule>
  </conditionalFormatting>
  <conditionalFormatting sqref="BS61">
    <cfRule type="cellIs" dxfId="173" priority="34" operator="greaterThan">
      <formula>$X$8</formula>
    </cfRule>
  </conditionalFormatting>
  <conditionalFormatting sqref="BS61">
    <cfRule type="cellIs" dxfId="172" priority="33" operator="lessThanOrEqual">
      <formula>$X$8</formula>
    </cfRule>
  </conditionalFormatting>
  <conditionalFormatting sqref="BX61">
    <cfRule type="cellIs" dxfId="171" priority="32" operator="greaterThan">
      <formula>$X$8</formula>
    </cfRule>
  </conditionalFormatting>
  <conditionalFormatting sqref="BX61">
    <cfRule type="cellIs" dxfId="170" priority="31" operator="lessThanOrEqual">
      <formula>$X$8</formula>
    </cfRule>
  </conditionalFormatting>
  <conditionalFormatting sqref="CC61">
    <cfRule type="cellIs" dxfId="169" priority="30" operator="greaterThan">
      <formula>$X$8</formula>
    </cfRule>
  </conditionalFormatting>
  <conditionalFormatting sqref="CC61">
    <cfRule type="cellIs" dxfId="168" priority="29" operator="lessThanOrEqual">
      <formula>$X$8</formula>
    </cfRule>
  </conditionalFormatting>
  <conditionalFormatting sqref="CH61">
    <cfRule type="cellIs" dxfId="167" priority="28" operator="greaterThan">
      <formula>$X$8</formula>
    </cfRule>
  </conditionalFormatting>
  <conditionalFormatting sqref="CH61">
    <cfRule type="cellIs" dxfId="166" priority="27" operator="lessThanOrEqual">
      <formula>$X$8</formula>
    </cfRule>
  </conditionalFormatting>
  <conditionalFormatting sqref="CM61">
    <cfRule type="cellIs" dxfId="165" priority="26" operator="greaterThan">
      <formula>$X$8</formula>
    </cfRule>
  </conditionalFormatting>
  <conditionalFormatting sqref="CM61">
    <cfRule type="cellIs" dxfId="164" priority="25" operator="lessThanOrEqual">
      <formula>$X$8</formula>
    </cfRule>
  </conditionalFormatting>
  <conditionalFormatting sqref="CR61">
    <cfRule type="cellIs" dxfId="163" priority="24" operator="greaterThan">
      <formula>$X$8</formula>
    </cfRule>
  </conditionalFormatting>
  <conditionalFormatting sqref="CR61">
    <cfRule type="cellIs" dxfId="162" priority="23" operator="lessThanOrEqual">
      <formula>$X$8</formula>
    </cfRule>
  </conditionalFormatting>
  <conditionalFormatting sqref="CW61">
    <cfRule type="cellIs" dxfId="161" priority="22" operator="greaterThan">
      <formula>$X$8</formula>
    </cfRule>
  </conditionalFormatting>
  <conditionalFormatting sqref="CW61">
    <cfRule type="cellIs" dxfId="160" priority="21" operator="lessThanOrEqual">
      <formula>$X$8</formula>
    </cfRule>
  </conditionalFormatting>
  <conditionalFormatting sqref="DB61">
    <cfRule type="cellIs" dxfId="159" priority="20" operator="greaterThan">
      <formula>$X$8</formula>
    </cfRule>
  </conditionalFormatting>
  <conditionalFormatting sqref="DB61">
    <cfRule type="cellIs" dxfId="158" priority="19" operator="lessThanOrEqual">
      <formula>$X$8</formula>
    </cfRule>
  </conditionalFormatting>
  <conditionalFormatting sqref="DG61">
    <cfRule type="cellIs" dxfId="157" priority="18" operator="greaterThan">
      <formula>$X$8</formula>
    </cfRule>
  </conditionalFormatting>
  <conditionalFormatting sqref="DG61">
    <cfRule type="cellIs" dxfId="156" priority="17" operator="lessThanOrEqual">
      <formula>$X$8</formula>
    </cfRule>
  </conditionalFormatting>
  <conditionalFormatting sqref="BD52:BD61">
    <cfRule type="cellIs" dxfId="155" priority="16" operator="greaterThan">
      <formula>$X$8</formula>
    </cfRule>
  </conditionalFormatting>
  <conditionalFormatting sqref="BD52:BD61">
    <cfRule type="cellIs" dxfId="154" priority="15" operator="lessThanOrEqual">
      <formula>$X$8</formula>
    </cfRule>
  </conditionalFormatting>
  <conditionalFormatting sqref="AY57">
    <cfRule type="cellIs" dxfId="153" priority="14" operator="greaterThan">
      <formula>$X$8</formula>
    </cfRule>
  </conditionalFormatting>
  <conditionalFormatting sqref="AY57">
    <cfRule type="cellIs" dxfId="152" priority="13" operator="lessThanOrEqual">
      <formula>$X$8</formula>
    </cfRule>
  </conditionalFormatting>
  <conditionalFormatting sqref="AT57">
    <cfRule type="cellIs" dxfId="151" priority="12" operator="greaterThan">
      <formula>$X$8</formula>
    </cfRule>
  </conditionalFormatting>
  <conditionalFormatting sqref="AT57">
    <cfRule type="cellIs" dxfId="150" priority="11" operator="lessThanOrEqual">
      <formula>$X$8</formula>
    </cfRule>
  </conditionalFormatting>
  <conditionalFormatting sqref="AO57">
    <cfRule type="cellIs" dxfId="149" priority="10" operator="greaterThan">
      <formula>$X$8</formula>
    </cfRule>
  </conditionalFormatting>
  <conditionalFormatting sqref="AO57">
    <cfRule type="cellIs" dxfId="148" priority="9" operator="lessThanOrEqual">
      <formula>$X$8</formula>
    </cfRule>
  </conditionalFormatting>
  <conditionalFormatting sqref="AJ57">
    <cfRule type="cellIs" dxfId="147" priority="8" operator="greaterThan">
      <formula>$X$8</formula>
    </cfRule>
  </conditionalFormatting>
  <conditionalFormatting sqref="AJ57">
    <cfRule type="cellIs" dxfId="146" priority="7" operator="lessThanOrEqual">
      <formula>$X$8</formula>
    </cfRule>
  </conditionalFormatting>
  <conditionalFormatting sqref="AE57">
    <cfRule type="cellIs" dxfId="145" priority="6" operator="greaterThan">
      <formula>$X$8</formula>
    </cfRule>
  </conditionalFormatting>
  <conditionalFormatting sqref="AE57">
    <cfRule type="cellIs" dxfId="144" priority="5" operator="lessThanOrEqual">
      <formula>$X$8</formula>
    </cfRule>
  </conditionalFormatting>
  <conditionalFormatting sqref="Z57">
    <cfRule type="cellIs" dxfId="143" priority="4" operator="greaterThan">
      <formula>$X$8</formula>
    </cfRule>
  </conditionalFormatting>
  <conditionalFormatting sqref="Z57">
    <cfRule type="cellIs" dxfId="142" priority="3" operator="lessThanOrEqual">
      <formula>$X$8</formula>
    </cfRule>
  </conditionalFormatting>
  <conditionalFormatting sqref="G8:G49">
    <cfRule type="cellIs" dxfId="141" priority="2" operator="equal">
      <formula>"PENDING DELIVERY"</formula>
    </cfRule>
  </conditionalFormatting>
  <conditionalFormatting sqref="G52:G61">
    <cfRule type="cellIs" dxfId="140" priority="1" operator="equal">
      <formula>"PENDING DELIVERY"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1E02-99D8-40A0-AD69-9148C2293127}">
  <dimension ref="A1:NJ234"/>
  <sheetViews>
    <sheetView showGridLines="0" tabSelected="1" zoomScale="113" zoomScaleNormal="115" workbookViewId="0">
      <pane xSplit="9" ySplit="8" topLeftCell="J88" activePane="bottomRight" state="frozen"/>
      <selection pane="bottomRight" activeCell="G91" sqref="G91"/>
      <selection pane="bottomLeft"/>
      <selection pane="topRight"/>
    </sheetView>
  </sheetViews>
  <sheetFormatPr defaultColWidth="9.140625" defaultRowHeight="30" customHeight="1" outlineLevelRow="1" outlineLevelCol="2"/>
  <cols>
    <col min="1" max="1" width="9.140625" style="221" customWidth="1"/>
    <col min="2" max="2" width="9.140625" style="229" customWidth="1"/>
    <col min="3" max="3" width="9.140625" style="152" customWidth="1"/>
    <col min="4" max="4" width="11.42578125" style="149" customWidth="1"/>
    <col min="5" max="5" width="21" style="244" customWidth="1"/>
    <col min="6" max="6" width="7.7109375" style="92" customWidth="1"/>
    <col min="7" max="7" width="18.42578125" style="304" customWidth="1"/>
    <col min="8" max="8" width="21.28515625" style="92" bestFit="1" customWidth="1"/>
    <col min="9" max="9" width="13.42578125" style="141" customWidth="1"/>
    <col min="10" max="10" width="20.28515625" style="141" customWidth="1" outlineLevel="2"/>
    <col min="11" max="11" width="17.5703125" style="141" customWidth="1" outlineLevel="2" collapsed="1"/>
    <col min="12" max="12" width="21.42578125" style="141" customWidth="1" outlineLevel="2"/>
    <col min="13" max="13" width="16.42578125" style="141" customWidth="1" outlineLevel="1"/>
    <col min="14" max="14" width="18.140625" style="141" customWidth="1" outlineLevel="1"/>
    <col min="15" max="15" width="18.5703125" style="141" customWidth="1" outlineLevel="1"/>
    <col min="16" max="16" width="20.28515625" style="141" customWidth="1" outlineLevel="1"/>
    <col min="17" max="17" width="17.7109375" style="141" customWidth="1" outlineLevel="1"/>
    <col min="18" max="18" width="18.28515625" style="141" customWidth="1" outlineLevel="1"/>
    <col min="19" max="19" width="17.42578125" style="141" customWidth="1" outlineLevel="1"/>
    <col min="20" max="20" width="20.42578125" style="141" customWidth="1" outlineLevel="1"/>
    <col min="21" max="21" width="18.5703125" style="141" customWidth="1" outlineLevel="1"/>
    <col min="22" max="22" width="11.85546875" style="256" customWidth="1"/>
    <col min="23" max="23" width="17.42578125" style="141" customWidth="1" outlineLevel="2"/>
    <col min="24" max="24" width="19.85546875" style="257" customWidth="1" outlineLevel="1"/>
    <col min="25" max="25" width="16" style="150" customWidth="1" outlineLevel="2"/>
    <col min="26" max="26" width="7.85546875" style="150" customWidth="1" outlineLevel="2" collapsed="1"/>
    <col min="27" max="27" width="13.28515625" style="150" customWidth="1" outlineLevel="2"/>
    <col min="28" max="28" width="26.140625" style="150" customWidth="1" outlineLevel="2"/>
    <col min="29" max="29" width="18.42578125" style="261" customWidth="1" outlineLevel="1"/>
    <col min="30" max="30" width="16.28515625" style="141" customWidth="1" outlineLevel="2"/>
    <col min="31" max="31" width="7.85546875" style="141" customWidth="1" outlineLevel="2" collapsed="1"/>
    <col min="32" max="32" width="19.28515625" style="141" customWidth="1" outlineLevel="2"/>
    <col min="33" max="33" width="24.85546875" style="141" customWidth="1" outlineLevel="2"/>
    <col min="34" max="34" width="21.28515625" style="257" customWidth="1" outlineLevel="1"/>
    <col min="35" max="35" width="15.28515625" style="141" customWidth="1" outlineLevel="2"/>
    <col min="36" max="36" width="7.5703125" style="141" customWidth="1" outlineLevel="2" collapsed="1"/>
    <col min="37" max="37" width="12" style="141" customWidth="1" outlineLevel="2"/>
    <col min="38" max="38" width="28.42578125" style="141" customWidth="1" outlineLevel="2"/>
    <col min="39" max="39" width="21.28515625" style="257" customWidth="1" outlineLevel="1"/>
    <col min="40" max="40" width="16.28515625" style="141" customWidth="1" outlineLevel="2"/>
    <col min="41" max="41" width="7.85546875" style="141" customWidth="1" outlineLevel="2" collapsed="1"/>
    <col min="42" max="42" width="8.140625" style="141" customWidth="1" outlineLevel="2"/>
    <col min="43" max="43" width="24" style="141" customWidth="1" outlineLevel="2"/>
    <col min="44" max="44" width="21.28515625" style="257" customWidth="1" outlineLevel="1"/>
    <col min="45" max="45" width="15.28515625" style="141" customWidth="1" outlineLevel="2"/>
    <col min="46" max="46" width="7.5703125" style="141" customWidth="1" outlineLevel="2" collapsed="1"/>
    <col min="47" max="47" width="12" style="141" customWidth="1" outlineLevel="2"/>
    <col min="48" max="48" width="12.42578125" style="141" customWidth="1" outlineLevel="2"/>
    <col min="49" max="49" width="12.85546875" style="257" customWidth="1" outlineLevel="1"/>
    <col min="50" max="50" width="16.28515625" style="141" customWidth="1" outlineLevel="2"/>
    <col min="51" max="51" width="7.85546875" style="141" customWidth="1" outlineLevel="2" collapsed="1"/>
    <col min="52" max="52" width="12.7109375" style="141" customWidth="1" outlineLevel="2"/>
    <col min="53" max="53" width="12.42578125" style="141" customWidth="1" outlineLevel="2"/>
    <col min="54" max="54" width="12.85546875" style="257" customWidth="1" outlineLevel="1"/>
    <col min="55" max="55" width="15.28515625" style="141" customWidth="1" outlineLevel="2"/>
    <col min="56" max="56" width="7.5703125" style="141" customWidth="1" outlineLevel="2" collapsed="1"/>
    <col min="57" max="57" width="12" style="141" customWidth="1" outlineLevel="2"/>
    <col min="58" max="58" width="28.85546875" style="149" customWidth="1" outlineLevel="2"/>
    <col min="59" max="59" width="21.28515625" style="266" customWidth="1" outlineLevel="1"/>
    <col min="60" max="60" width="16.28515625" style="141" customWidth="1" outlineLevel="2"/>
    <col min="61" max="61" width="7.85546875" style="141" customWidth="1" outlineLevel="2" collapsed="1"/>
    <col min="62" max="62" width="12.7109375" style="141" customWidth="1" outlineLevel="2"/>
    <col min="63" max="63" width="28.85546875" style="149" customWidth="1" outlineLevel="2"/>
    <col min="64" max="64" width="21.28515625" style="267" customWidth="1" outlineLevel="1"/>
    <col min="65" max="65" width="16.140625" style="141" customWidth="1" outlineLevel="2"/>
    <col min="66" max="66" width="8.42578125" style="141" customWidth="1" outlineLevel="2" collapsed="1"/>
    <col min="67" max="68" width="12.85546875" style="141" customWidth="1" outlineLevel="2"/>
    <col min="69" max="69" width="12.85546875" style="256" customWidth="1" outlineLevel="1"/>
    <col min="70" max="70" width="17.140625" style="141" customWidth="1" outlineLevel="2"/>
    <col min="71" max="71" width="8.85546875" style="141" customWidth="1" outlineLevel="2" collapsed="1"/>
    <col min="72" max="72" width="13.5703125" style="141" customWidth="1" outlineLevel="2"/>
    <col min="73" max="73" width="12.85546875" style="141" customWidth="1" outlineLevel="2"/>
    <col min="74" max="74" width="12.85546875" style="256" customWidth="1" outlineLevel="1"/>
    <col min="75" max="75" width="16.140625" style="141" customWidth="1" outlineLevel="2"/>
    <col min="76" max="76" width="8.42578125" style="141" customWidth="1" outlineLevel="2" collapsed="1"/>
    <col min="77" max="77" width="12.85546875" style="141" customWidth="1" outlineLevel="2"/>
    <col min="78" max="78" width="28.85546875" style="141" customWidth="1" outlineLevel="2"/>
    <col min="79" max="79" width="21.28515625" style="256" customWidth="1" outlineLevel="1"/>
    <col min="80" max="80" width="17.140625" style="141" customWidth="1" outlineLevel="2"/>
    <col min="81" max="81" width="8.85546875" style="141" customWidth="1" outlineLevel="2" collapsed="1"/>
    <col min="82" max="82" width="13.5703125" style="141" customWidth="1" outlineLevel="2"/>
    <col min="83" max="83" width="28.7109375" style="141" customWidth="1" outlineLevel="2"/>
    <col min="84" max="84" width="21.28515625" style="256" customWidth="1" outlineLevel="1"/>
    <col min="85" max="85" width="16.140625" style="141" customWidth="1" outlineLevel="2"/>
    <col min="86" max="86" width="8.42578125" style="141" customWidth="1" outlineLevel="2" collapsed="1"/>
    <col min="87" max="87" width="12.85546875" style="141" customWidth="1" outlineLevel="2"/>
    <col min="88" max="88" width="29.42578125" style="141" customWidth="1" outlineLevel="2"/>
    <col min="89" max="89" width="21.28515625" style="256" customWidth="1" outlineLevel="1"/>
    <col min="90" max="90" width="17.140625" style="141" customWidth="1" outlineLevel="2"/>
    <col min="91" max="91" width="8.85546875" style="141" customWidth="1" outlineLevel="2" collapsed="1"/>
    <col min="92" max="92" width="13.5703125" style="141" customWidth="1" outlineLevel="2"/>
    <col min="93" max="93" width="19.140625" style="141" customWidth="1" outlineLevel="2"/>
    <col min="94" max="94" width="19.140625" style="256" customWidth="1" outlineLevel="1"/>
    <col min="95" max="95" width="16.140625" style="141" customWidth="1" outlineLevel="2"/>
    <col min="96" max="96" width="8.42578125" style="141" customWidth="1" outlineLevel="2" collapsed="1"/>
    <col min="97" max="97" width="12.85546875" style="141" customWidth="1" outlineLevel="2"/>
    <col min="98" max="98" width="17.140625" style="141" customWidth="1" outlineLevel="2"/>
    <col min="99" max="99" width="17.140625" style="256" customWidth="1" outlineLevel="1"/>
    <col min="100" max="100" width="17.140625" style="141" customWidth="1" outlineLevel="2"/>
    <col min="101" max="101" width="8.85546875" style="141" customWidth="1" outlineLevel="2" collapsed="1"/>
    <col min="102" max="102" width="13.5703125" style="141" customWidth="1" outlineLevel="2"/>
    <col min="103" max="103" width="22.42578125" style="141" customWidth="1" outlineLevel="2"/>
    <col min="104" max="104" width="21.28515625" style="256" customWidth="1" outlineLevel="1"/>
    <col min="105" max="105" width="16.140625" style="141" customWidth="1" outlineLevel="2"/>
    <col min="106" max="106" width="8.42578125" style="141" customWidth="1" outlineLevel="2" collapsed="1"/>
    <col min="107" max="108" width="12.85546875" style="141" customWidth="1" outlineLevel="2"/>
    <col min="109" max="109" width="18.42578125" style="257" customWidth="1" outlineLevel="1"/>
    <col min="110" max="110" width="17.140625" style="141" customWidth="1" outlineLevel="2"/>
    <col min="111" max="111" width="8.85546875" style="141" customWidth="1" outlineLevel="2" collapsed="1"/>
    <col min="112" max="112" width="13.5703125" style="141" customWidth="1" outlineLevel="2"/>
    <col min="113" max="113" width="20" style="141" customWidth="1" outlineLevel="2"/>
    <col min="114" max="114" width="20" style="256" customWidth="1" outlineLevel="1"/>
    <col min="115" max="115" width="16.140625" style="141" customWidth="1" outlineLevel="2"/>
    <col min="116" max="116" width="12.42578125" style="141" customWidth="1" outlineLevel="2" collapsed="1"/>
    <col min="117" max="117" width="12.85546875" style="141" customWidth="1" outlineLevel="2"/>
    <col min="118" max="118" width="16.42578125" style="141" customWidth="1" outlineLevel="2"/>
    <col min="119" max="119" width="12" style="155" customWidth="1"/>
    <col min="120" max="120" width="12.5703125" style="92" customWidth="1"/>
    <col min="121" max="121" width="10.42578125" style="141" customWidth="1" outlineLevel="2"/>
    <col min="122" max="122" width="8.85546875" style="141" customWidth="1" outlineLevel="2" collapsed="1"/>
    <col min="123" max="123" width="13.5703125" style="141" customWidth="1" outlineLevel="2"/>
    <col min="124" max="124" width="9.140625" style="156" customWidth="1"/>
    <col min="125" max="125" width="11.5703125" style="136" customWidth="1"/>
    <col min="126" max="126" width="10" style="136" customWidth="1"/>
    <col min="127" max="127" width="9.140625" style="141" customWidth="1"/>
    <col min="128" max="128" width="65.7109375" style="141" customWidth="1"/>
    <col min="129" max="129" width="33.85546875" style="141" customWidth="1"/>
    <col min="130" max="131" width="9.140625" style="141" customWidth="1"/>
    <col min="132" max="132" width="9.140625" style="285" customWidth="1"/>
    <col min="133" max="133" width="9.140625" style="141" customWidth="1"/>
    <col min="134" max="134" width="15.140625" style="416" customWidth="1" outlineLevel="1"/>
    <col min="135" max="135" width="14" style="417" customWidth="1" outlineLevel="1"/>
    <col min="136" max="136" width="13" style="418" customWidth="1" outlineLevel="1"/>
    <col min="137" max="137" width="14" style="418" customWidth="1" outlineLevel="1"/>
    <col min="138" max="138" width="10.42578125" style="418" customWidth="1" outlineLevel="1"/>
    <col min="139" max="139" width="13.7109375" style="418" customWidth="1" outlineLevel="1"/>
    <col min="140" max="140" width="14" style="418" customWidth="1" outlineLevel="1"/>
    <col min="141" max="141" width="13.7109375" style="418" customWidth="1" outlineLevel="1"/>
    <col min="142" max="142" width="12.140625" style="418" customWidth="1" outlineLevel="1"/>
    <col min="143" max="143" width="13.7109375" style="419" customWidth="1" outlineLevel="1"/>
    <col min="144" max="144" width="17.42578125" style="420" customWidth="1" outlineLevel="1"/>
    <col min="145" max="145" width="22.140625" style="420" customWidth="1" outlineLevel="1"/>
    <col min="146" max="146" width="47.140625" style="420" customWidth="1" outlineLevel="1"/>
    <col min="147" max="183" width="9.140625" style="141" customWidth="1"/>
    <col min="184" max="187" width="9.140625" style="141" customWidth="1" collapsed="1"/>
    <col min="188" max="188" width="9.140625" style="141" customWidth="1"/>
    <col min="189" max="193" width="9.140625" style="141" customWidth="1" collapsed="1"/>
    <col min="194" max="201" width="9.140625" style="141" customWidth="1" outlineLevel="1"/>
    <col min="202" max="205" width="9.140625" style="141" customWidth="1" outlineLevel="1" collapsed="1"/>
    <col min="206" max="206" width="9.140625" style="141" customWidth="1" outlineLevel="1"/>
    <col min="207" max="229" width="9.140625" style="141" customWidth="1" outlineLevel="1" collapsed="1"/>
    <col min="230" max="230" width="9.140625" style="141" customWidth="1" outlineLevel="1"/>
    <col min="231" max="234" width="9.140625" style="141" customWidth="1" outlineLevel="1" collapsed="1"/>
    <col min="235" max="235" width="9.140625" style="141" customWidth="1" outlineLevel="1"/>
    <col min="236" max="250" width="9.140625" style="141" customWidth="1" outlineLevel="1" collapsed="1"/>
    <col min="251" max="251" width="9.140625" style="141" customWidth="1" outlineLevel="1"/>
    <col min="252" max="253" width="9.140625" style="141" customWidth="1" outlineLevel="1" collapsed="1"/>
    <col min="254" max="254" width="9.140625" style="141" customWidth="1" outlineLevel="1"/>
    <col min="255" max="255" width="9.140625" style="141" customWidth="1" outlineLevel="1" collapsed="1"/>
    <col min="256" max="256" width="9.140625" style="141" customWidth="1" outlineLevel="1"/>
    <col min="257" max="257" width="9.140625" style="141" customWidth="1" outlineLevel="1" collapsed="1"/>
    <col min="258" max="258" width="9.140625" style="141" customWidth="1" outlineLevel="1"/>
    <col min="259" max="259" width="9.140625" style="141" customWidth="1" outlineLevel="1" collapsed="1"/>
    <col min="260" max="260" width="9.140625" style="141" customWidth="1" outlineLevel="1"/>
    <col min="261" max="261" width="9.140625" style="141" customWidth="1" outlineLevel="1" collapsed="1"/>
    <col min="262" max="262" width="9.140625" style="141" customWidth="1" outlineLevel="1"/>
    <col min="263" max="266" width="9.140625" style="141" customWidth="1" outlineLevel="1" collapsed="1"/>
    <col min="267" max="268" width="9.140625" style="141" customWidth="1" outlineLevel="1"/>
    <col min="269" max="272" width="9.140625" style="141" customWidth="1" outlineLevel="1" collapsed="1"/>
    <col min="273" max="273" width="9.140625" style="141" customWidth="1" outlineLevel="1"/>
    <col min="274" max="274" width="9.140625" style="141" customWidth="1" outlineLevel="1" collapsed="1"/>
    <col min="275" max="275" width="9.140625" style="141" customWidth="1" outlineLevel="1"/>
    <col min="276" max="277" width="9.140625" style="141" customWidth="1" outlineLevel="1" collapsed="1"/>
    <col min="278" max="279" width="9.140625" style="141" customWidth="1" outlineLevel="1"/>
    <col min="280" max="280" width="9.140625" style="141" customWidth="1" outlineLevel="1" collapsed="1"/>
    <col min="281" max="281" width="9.140625" style="141" customWidth="1" outlineLevel="1"/>
    <col min="282" max="282" width="9.140625" style="141" customWidth="1" outlineLevel="1" collapsed="1"/>
    <col min="283" max="283" width="9.140625" style="141" customWidth="1" outlineLevel="1"/>
    <col min="284" max="285" width="9.140625" style="141" customWidth="1" outlineLevel="1" collapsed="1"/>
    <col min="286" max="286" width="9.140625" style="141" customWidth="1" outlineLevel="1"/>
    <col min="287" max="287" width="9.140625" style="141" customWidth="1" outlineLevel="1" collapsed="1"/>
    <col min="288" max="288" width="9.140625" style="141" customWidth="1" outlineLevel="1"/>
    <col min="289" max="289" width="9.140625" style="141" customWidth="1" outlineLevel="1" collapsed="1"/>
    <col min="290" max="290" width="9.140625" style="141" customWidth="1" outlineLevel="1"/>
    <col min="291" max="292" width="9.140625" style="141" customWidth="1" outlineLevel="1" collapsed="1"/>
    <col min="293" max="293" width="9.140625" style="141" customWidth="1" outlineLevel="1"/>
    <col min="294" max="295" width="9.140625" style="141" customWidth="1" outlineLevel="1" collapsed="1"/>
    <col min="296" max="296" width="9.140625" style="141" customWidth="1" outlineLevel="1"/>
    <col min="297" max="298" width="9.140625" style="141" customWidth="1" outlineLevel="1" collapsed="1"/>
    <col min="299" max="300" width="9.140625" style="141" customWidth="1" outlineLevel="1"/>
    <col min="301" max="301" width="9.140625" style="141" customWidth="1" outlineLevel="1" collapsed="1"/>
    <col min="302" max="302" width="9.140625" style="141" customWidth="1" outlineLevel="1"/>
    <col min="303" max="303" width="9.140625" style="141" customWidth="1" outlineLevel="1" collapsed="1"/>
    <col min="304" max="304" width="9.140625" style="141" customWidth="1" outlineLevel="1"/>
    <col min="305" max="305" width="9.140625" style="141" customWidth="1" outlineLevel="1" collapsed="1"/>
    <col min="306" max="307" width="9.140625" style="141" customWidth="1" outlineLevel="1"/>
    <col min="308" max="312" width="9.140625" style="141" customWidth="1" outlineLevel="1" collapsed="1"/>
    <col min="313" max="313" width="9.140625" style="141" customWidth="1" outlineLevel="1"/>
    <col min="314" max="314" width="9.140625" style="141" customWidth="1" outlineLevel="1" collapsed="1"/>
    <col min="315" max="316" width="9.140625" style="141" customWidth="1" outlineLevel="1"/>
    <col min="317" max="317" width="9.140625" style="141" customWidth="1" outlineLevel="1" collapsed="1"/>
    <col min="318" max="318" width="9.140625" style="141" customWidth="1" outlineLevel="1"/>
    <col min="319" max="320" width="9.140625" style="141" customWidth="1"/>
    <col min="321" max="321" width="9.140625" style="141" customWidth="1" outlineLevel="1"/>
    <col min="322" max="322" width="9.140625" style="141" customWidth="1" outlineLevel="1" collapsed="1"/>
    <col min="323" max="323" width="9.140625" style="141" customWidth="1" outlineLevel="1"/>
    <col min="324" max="324" width="9.140625" style="141" customWidth="1" outlineLevel="1" collapsed="1"/>
    <col min="325" max="325" width="9.140625" style="141" customWidth="1" outlineLevel="1"/>
    <col min="326" max="326" width="9.140625" style="141" customWidth="1" outlineLevel="1" collapsed="1"/>
    <col min="327" max="327" width="9.140625" style="141" customWidth="1" outlineLevel="1"/>
    <col min="328" max="328" width="9.140625" style="141" customWidth="1" outlineLevel="1" collapsed="1"/>
    <col min="329" max="329" width="9.140625" style="141" customWidth="1" outlineLevel="1"/>
    <col min="330" max="330" width="9.140625" style="141" customWidth="1" outlineLevel="1" collapsed="1"/>
    <col min="331" max="331" width="9.140625" style="141" customWidth="1" outlineLevel="1"/>
    <col min="332" max="332" width="9.140625" style="141" customWidth="1" outlineLevel="1" collapsed="1"/>
    <col min="333" max="333" width="9.140625" style="141" customWidth="1" outlineLevel="1"/>
    <col min="334" max="334" width="9.140625" style="141" customWidth="1" outlineLevel="1" collapsed="1"/>
    <col min="335" max="335" width="9.140625" style="141" customWidth="1" outlineLevel="1"/>
    <col min="336" max="336" width="9.140625" style="141" customWidth="1" outlineLevel="1" collapsed="1"/>
    <col min="337" max="337" width="9.140625" style="141" customWidth="1" outlineLevel="1"/>
    <col min="338" max="343" width="9.140625" style="141" customWidth="1" outlineLevel="1" collapsed="1"/>
    <col min="344" max="344" width="9.140625" style="141" customWidth="1" outlineLevel="1"/>
    <col min="345" max="345" width="9.140625" style="141" customWidth="1" outlineLevel="1" collapsed="1"/>
    <col min="346" max="346" width="9.140625" style="141" customWidth="1" outlineLevel="1"/>
    <col min="347" max="348" width="9.140625" style="141" customWidth="1" outlineLevel="1" collapsed="1"/>
    <col min="349" max="349" width="9.140625" style="141" customWidth="1" outlineLevel="1"/>
    <col min="350" max="350" width="9.140625" style="141" customWidth="1" outlineLevel="1" collapsed="1"/>
    <col min="351" max="351" width="9.140625" style="141" customWidth="1" outlineLevel="1"/>
    <col min="352" max="352" width="9.140625" style="141" customWidth="1" outlineLevel="1" collapsed="1"/>
    <col min="353" max="353" width="9.140625" style="141" customWidth="1" outlineLevel="1"/>
    <col min="354" max="354" width="9.140625" style="141" customWidth="1" outlineLevel="1" collapsed="1"/>
    <col min="355" max="355" width="9.140625" style="141" customWidth="1" outlineLevel="1"/>
    <col min="356" max="357" width="9.140625" style="141" customWidth="1" outlineLevel="1" collapsed="1"/>
    <col min="358" max="358" width="9.140625" style="141" customWidth="1" outlineLevel="1"/>
    <col min="359" max="360" width="9.140625" style="141" customWidth="1" outlineLevel="1" collapsed="1"/>
    <col min="361" max="361" width="9.140625" style="141" customWidth="1" outlineLevel="1"/>
    <col min="362" max="362" width="9.140625" style="141" customWidth="1" outlineLevel="1" collapsed="1"/>
    <col min="363" max="363" width="9.140625" style="141" customWidth="1" outlineLevel="1"/>
    <col min="364" max="364" width="9.140625" style="141" customWidth="1" outlineLevel="1" collapsed="1"/>
    <col min="365" max="365" width="9.140625" style="141" customWidth="1" outlineLevel="1"/>
    <col min="366" max="366" width="9.140625" style="141" customWidth="1" outlineLevel="1" collapsed="1"/>
    <col min="367" max="367" width="9.140625" style="141" customWidth="1" outlineLevel="1"/>
    <col min="368" max="368" width="9.140625" style="141" customWidth="1" outlineLevel="1" collapsed="1"/>
    <col min="369" max="369" width="9.140625" style="141" customWidth="1" outlineLevel="1"/>
    <col min="370" max="370" width="9.140625" style="141" customWidth="1" outlineLevel="1" collapsed="1"/>
    <col min="371" max="371" width="9.140625" style="141" customWidth="1" outlineLevel="1"/>
    <col min="372" max="372" width="9.140625" style="141" bestFit="1" customWidth="1" outlineLevel="1" collapsed="1"/>
    <col min="373" max="373" width="9.140625" style="141" bestFit="1" customWidth="1" outlineLevel="1"/>
    <col min="374" max="374" width="9.140625" style="141" outlineLevel="1" collapsed="1"/>
    <col min="375" max="16384" width="9.140625" style="141" outlineLevel="1"/>
  </cols>
  <sheetData>
    <row r="1" spans="1:259" s="238" customFormat="1" ht="30" customHeight="1">
      <c r="A1" s="235"/>
      <c r="B1" s="241" t="s">
        <v>322</v>
      </c>
      <c r="C1" s="241" t="s">
        <v>322</v>
      </c>
      <c r="D1" s="236"/>
      <c r="E1" s="241"/>
      <c r="F1" s="237"/>
      <c r="G1" s="299"/>
      <c r="H1" s="237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248"/>
      <c r="W1" s="141"/>
      <c r="X1" s="257"/>
      <c r="Y1" s="150"/>
      <c r="Z1" s="150"/>
      <c r="AA1" s="150"/>
      <c r="AB1" s="150"/>
      <c r="AC1" s="261"/>
      <c r="AD1" s="141"/>
      <c r="AE1" s="141"/>
      <c r="AF1" s="141"/>
      <c r="AG1" s="141"/>
      <c r="AH1" s="257"/>
      <c r="AI1" s="141"/>
      <c r="AJ1" s="141"/>
      <c r="AK1" s="141"/>
      <c r="AL1" s="141"/>
      <c r="AM1" s="257"/>
      <c r="AN1" s="141"/>
      <c r="AO1" s="141"/>
      <c r="AP1" s="141"/>
      <c r="AQ1" s="141"/>
      <c r="AR1" s="257"/>
      <c r="AS1" s="141"/>
      <c r="AT1" s="141"/>
      <c r="AU1" s="141"/>
      <c r="AV1" s="141"/>
      <c r="AW1" s="257"/>
      <c r="AX1" s="141"/>
      <c r="AY1" s="141"/>
      <c r="AZ1" s="141"/>
      <c r="BA1" s="141"/>
      <c r="BB1" s="257"/>
      <c r="BC1" s="141"/>
      <c r="BD1" s="141"/>
      <c r="BE1" s="141"/>
      <c r="BF1" s="149"/>
      <c r="BG1" s="266"/>
      <c r="BH1" s="141"/>
      <c r="BI1" s="141"/>
      <c r="BJ1" s="141"/>
      <c r="BK1" s="149"/>
      <c r="BL1" s="267"/>
      <c r="BM1" s="141"/>
      <c r="BN1" s="141"/>
      <c r="BO1" s="141"/>
      <c r="BP1" s="141"/>
      <c r="BQ1" s="256"/>
      <c r="BR1" s="141"/>
      <c r="BS1" s="141"/>
      <c r="BT1" s="141"/>
      <c r="BU1" s="141"/>
      <c r="BV1" s="256"/>
      <c r="BW1" s="141"/>
      <c r="BX1" s="141"/>
      <c r="BY1" s="141"/>
      <c r="BZ1" s="141"/>
      <c r="CA1" s="256"/>
      <c r="CB1" s="141"/>
      <c r="CC1" s="141"/>
      <c r="CD1" s="141"/>
      <c r="CE1" s="141"/>
      <c r="CF1" s="256"/>
      <c r="CG1" s="141"/>
      <c r="CH1" s="141"/>
      <c r="CI1" s="141"/>
      <c r="CJ1" s="141"/>
      <c r="CK1" s="256"/>
      <c r="CL1" s="141"/>
      <c r="CM1" s="141"/>
      <c r="CN1" s="141"/>
      <c r="CO1" s="141"/>
      <c r="CP1" s="256"/>
      <c r="CQ1" s="141"/>
      <c r="CR1" s="141"/>
      <c r="CS1" s="141"/>
      <c r="CT1" s="141"/>
      <c r="CU1" s="256"/>
      <c r="CV1" s="141"/>
      <c r="CW1" s="141"/>
      <c r="CX1" s="141"/>
      <c r="CY1" s="141"/>
      <c r="CZ1" s="256"/>
      <c r="DA1" s="141"/>
      <c r="DB1" s="141"/>
      <c r="DC1" s="141"/>
      <c r="DD1" s="141"/>
      <c r="DE1" s="257"/>
      <c r="DF1" s="141"/>
      <c r="DG1" s="141"/>
      <c r="DH1" s="141"/>
      <c r="DI1" s="141"/>
      <c r="DJ1" s="256"/>
      <c r="DK1" s="141"/>
      <c r="DL1" s="141"/>
      <c r="DM1" s="141"/>
      <c r="DN1" s="141"/>
      <c r="DO1" s="239"/>
      <c r="DP1" s="237"/>
      <c r="DQ1" s="141"/>
      <c r="DR1" s="141"/>
      <c r="DS1" s="141"/>
      <c r="DT1" s="240"/>
      <c r="DU1" s="237"/>
      <c r="DV1" s="237"/>
      <c r="EB1" s="285"/>
      <c r="ED1" s="381"/>
      <c r="EE1" s="382"/>
      <c r="EF1" s="383"/>
      <c r="EG1" s="383"/>
      <c r="EH1" s="383"/>
      <c r="EI1" s="383"/>
      <c r="EJ1" s="383"/>
      <c r="EK1" s="383"/>
      <c r="EL1" s="383"/>
      <c r="EM1" s="384"/>
      <c r="EN1" s="384"/>
      <c r="EO1" s="384"/>
      <c r="EP1" s="384"/>
      <c r="GL1" s="141"/>
      <c r="GM1" s="141"/>
      <c r="GN1" s="141"/>
      <c r="GO1" s="141"/>
      <c r="GP1" s="141"/>
      <c r="GQ1" s="141"/>
      <c r="GR1" s="141"/>
      <c r="GS1" s="141"/>
      <c r="GT1" s="141"/>
      <c r="GU1" s="141"/>
      <c r="GV1" s="141"/>
      <c r="GW1" s="141"/>
      <c r="GX1" s="141"/>
      <c r="GY1" s="141"/>
      <c r="GZ1" s="141"/>
      <c r="HA1" s="141"/>
      <c r="HB1" s="141"/>
      <c r="HC1" s="141"/>
      <c r="HD1" s="141"/>
      <c r="HE1" s="141"/>
      <c r="HF1" s="141"/>
      <c r="HG1" s="141"/>
      <c r="HH1" s="141"/>
      <c r="HI1" s="141"/>
      <c r="HJ1" s="141"/>
      <c r="HK1" s="141"/>
      <c r="HL1" s="141"/>
      <c r="HM1" s="141"/>
      <c r="HN1" s="141"/>
      <c r="HO1" s="141"/>
      <c r="HP1" s="141"/>
      <c r="HQ1" s="141"/>
      <c r="HR1" s="141"/>
      <c r="HS1" s="141"/>
      <c r="HT1" s="141"/>
      <c r="HU1" s="141"/>
      <c r="HV1" s="141"/>
      <c r="HW1" s="141"/>
      <c r="HX1" s="141"/>
      <c r="HY1" s="141"/>
      <c r="HZ1" s="141"/>
      <c r="IA1" s="141"/>
      <c r="IB1" s="141"/>
      <c r="IC1" s="141"/>
      <c r="ID1" s="141"/>
      <c r="IE1" s="141"/>
      <c r="IF1" s="141"/>
      <c r="IG1" s="141"/>
      <c r="IH1" s="141"/>
    </row>
    <row r="2" spans="1:259" s="134" customFormat="1" ht="45" customHeight="1">
      <c r="A2" s="222" t="s">
        <v>323</v>
      </c>
      <c r="B2" s="370"/>
      <c r="C2" s="368"/>
      <c r="D2" s="55"/>
      <c r="E2" s="464" t="s">
        <v>0</v>
      </c>
      <c r="F2" s="465"/>
      <c r="G2" s="466"/>
      <c r="H2" s="465"/>
      <c r="I2" s="465"/>
      <c r="J2" s="465"/>
      <c r="K2" s="465"/>
      <c r="L2" s="465"/>
      <c r="M2" s="465"/>
      <c r="N2" s="467"/>
      <c r="O2" s="474" t="s">
        <v>1</v>
      </c>
      <c r="P2" s="475"/>
      <c r="Q2" s="475"/>
      <c r="R2" s="475"/>
      <c r="S2" s="475"/>
      <c r="T2" s="475"/>
      <c r="U2" s="476"/>
      <c r="V2" s="249" t="s">
        <v>2</v>
      </c>
      <c r="W2" s="516" t="s">
        <v>3</v>
      </c>
      <c r="X2" s="517"/>
      <c r="Y2" s="518"/>
      <c r="Z2" s="518"/>
      <c r="AA2" s="518"/>
      <c r="AB2" s="518"/>
      <c r="AC2" s="519"/>
      <c r="AD2" s="518"/>
      <c r="AE2" s="518"/>
      <c r="AF2" s="518"/>
      <c r="AG2" s="41"/>
      <c r="AH2" s="264"/>
      <c r="AI2" s="41"/>
      <c r="AJ2" s="41"/>
      <c r="AK2" s="41"/>
      <c r="AL2" s="41"/>
      <c r="AM2" s="264"/>
      <c r="AN2" s="41"/>
      <c r="AO2" s="41"/>
      <c r="AP2" s="41"/>
      <c r="AQ2" s="41"/>
      <c r="AR2" s="264"/>
      <c r="AS2" s="41"/>
      <c r="AT2" s="41"/>
      <c r="AU2" s="41"/>
      <c r="AV2" s="41"/>
      <c r="AW2" s="264"/>
      <c r="AX2" s="41"/>
      <c r="AY2" s="41"/>
      <c r="AZ2" s="41"/>
      <c r="BA2" s="41"/>
      <c r="BB2" s="264"/>
      <c r="BC2" s="41"/>
      <c r="BD2" s="41"/>
      <c r="BE2" s="41" t="s">
        <v>324</v>
      </c>
      <c r="BF2" s="41"/>
      <c r="BG2" s="264"/>
      <c r="BH2" s="41"/>
      <c r="BI2" s="41"/>
      <c r="BJ2" s="41"/>
      <c r="BK2" s="41"/>
      <c r="BL2" s="264"/>
      <c r="BM2" s="41"/>
      <c r="BN2" s="41"/>
      <c r="BO2" s="41"/>
      <c r="BP2" s="41"/>
      <c r="BQ2" s="264"/>
      <c r="BR2" s="41"/>
      <c r="BS2" s="41"/>
      <c r="BT2" s="41"/>
      <c r="BU2" s="41"/>
      <c r="BV2" s="264"/>
      <c r="BW2" s="41"/>
      <c r="BX2" s="41"/>
      <c r="BY2" s="41"/>
      <c r="BZ2" s="41"/>
      <c r="CA2" s="264"/>
      <c r="CB2" s="41"/>
      <c r="CC2" s="41"/>
      <c r="CD2" s="41"/>
      <c r="CE2" s="41"/>
      <c r="CF2" s="264"/>
      <c r="CG2" s="41"/>
      <c r="CH2" s="41"/>
      <c r="CI2" s="41"/>
      <c r="CJ2" s="41"/>
      <c r="CK2" s="264"/>
      <c r="CL2" s="41"/>
      <c r="CM2" s="41"/>
      <c r="CN2" s="41"/>
      <c r="CO2" s="41"/>
      <c r="CP2" s="264"/>
      <c r="CQ2" s="41"/>
      <c r="CR2" s="41"/>
      <c r="CS2" s="41"/>
      <c r="CT2" s="41"/>
      <c r="CU2" s="264"/>
      <c r="CV2" s="41"/>
      <c r="CW2" s="41"/>
      <c r="CX2" s="41"/>
      <c r="CY2" s="41"/>
      <c r="CZ2" s="264"/>
      <c r="DA2" s="41"/>
      <c r="DB2" s="41"/>
      <c r="DC2" s="41"/>
      <c r="DD2" s="41"/>
      <c r="DE2" s="264"/>
      <c r="DF2" s="41"/>
      <c r="DG2" s="41"/>
      <c r="DH2" s="41"/>
      <c r="DI2" s="41"/>
      <c r="DJ2" s="264"/>
      <c r="DK2" s="41"/>
      <c r="DL2" s="41"/>
      <c r="DM2" s="41"/>
      <c r="DN2" s="41"/>
      <c r="DO2" s="65"/>
      <c r="DP2" s="41"/>
      <c r="DQ2" s="41"/>
      <c r="DR2" s="41"/>
      <c r="DS2" s="42"/>
      <c r="DT2" s="514" t="s">
        <v>4</v>
      </c>
      <c r="DU2" s="514"/>
      <c r="DV2" s="514"/>
      <c r="DW2" s="133"/>
      <c r="DX2" s="133"/>
      <c r="DY2" s="133"/>
      <c r="DZ2" s="133"/>
      <c r="EA2" s="133"/>
      <c r="EB2" s="284"/>
      <c r="EC2" s="133"/>
      <c r="ED2" s="385"/>
      <c r="EE2" s="386"/>
      <c r="EF2" s="387"/>
      <c r="EG2" s="387"/>
      <c r="EH2" s="387"/>
      <c r="EI2" s="387"/>
      <c r="EJ2" s="387"/>
      <c r="EK2" s="387"/>
      <c r="EL2" s="387"/>
      <c r="EM2" s="388"/>
      <c r="EN2" s="388"/>
      <c r="EO2" s="388"/>
      <c r="EP2" s="388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33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</row>
    <row r="3" spans="1:259" s="135" customFormat="1" ht="15" customHeight="1">
      <c r="A3" s="223"/>
      <c r="B3" s="276"/>
      <c r="C3" s="468"/>
      <c r="D3" s="469"/>
      <c r="E3" s="470"/>
      <c r="F3" s="469"/>
      <c r="G3" s="471"/>
      <c r="H3" s="469"/>
      <c r="I3" s="469"/>
      <c r="J3" s="469"/>
      <c r="K3" s="469"/>
      <c r="L3" s="469"/>
      <c r="M3" s="469"/>
      <c r="N3" s="472"/>
      <c r="O3" s="473"/>
      <c r="P3" s="469"/>
      <c r="Q3" s="469"/>
      <c r="R3" s="469"/>
      <c r="S3" s="469"/>
      <c r="T3" s="469"/>
      <c r="U3" s="472"/>
      <c r="V3" s="250" t="s">
        <v>5</v>
      </c>
      <c r="W3" s="524" t="s">
        <v>6</v>
      </c>
      <c r="X3" s="525"/>
      <c r="Y3" s="526"/>
      <c r="Z3" s="526"/>
      <c r="AA3" s="527"/>
      <c r="AB3" s="509" t="s">
        <v>7</v>
      </c>
      <c r="AC3" s="523"/>
      <c r="AD3" s="511"/>
      <c r="AE3" s="511"/>
      <c r="AF3" s="511"/>
      <c r="AG3" s="499" t="s">
        <v>8</v>
      </c>
      <c r="AH3" s="500"/>
      <c r="AI3" s="501" t="s">
        <v>9</v>
      </c>
      <c r="AJ3" s="501" t="s">
        <v>9</v>
      </c>
      <c r="AK3" s="502" t="s">
        <v>9</v>
      </c>
      <c r="AL3" s="503" t="s">
        <v>10</v>
      </c>
      <c r="AM3" s="504"/>
      <c r="AN3" s="505" t="s">
        <v>11</v>
      </c>
      <c r="AO3" s="505" t="s">
        <v>11</v>
      </c>
      <c r="AP3" s="506" t="s">
        <v>11</v>
      </c>
      <c r="AQ3" s="507" t="s">
        <v>12</v>
      </c>
      <c r="AR3" s="500"/>
      <c r="AS3" s="501" t="s">
        <v>13</v>
      </c>
      <c r="AT3" s="501" t="s">
        <v>13</v>
      </c>
      <c r="AU3" s="508" t="s">
        <v>13</v>
      </c>
      <c r="AV3" s="503" t="s">
        <v>14</v>
      </c>
      <c r="AW3" s="504"/>
      <c r="AX3" s="505" t="s">
        <v>15</v>
      </c>
      <c r="AY3" s="505" t="s">
        <v>15</v>
      </c>
      <c r="AZ3" s="506" t="s">
        <v>15</v>
      </c>
      <c r="BA3" s="507" t="s">
        <v>16</v>
      </c>
      <c r="BB3" s="500"/>
      <c r="BC3" s="501" t="s">
        <v>17</v>
      </c>
      <c r="BD3" s="501" t="s">
        <v>17</v>
      </c>
      <c r="BE3" s="508" t="s">
        <v>17</v>
      </c>
      <c r="BF3" s="503" t="s">
        <v>18</v>
      </c>
      <c r="BG3" s="504"/>
      <c r="BH3" s="505" t="s">
        <v>19</v>
      </c>
      <c r="BI3" s="505" t="s">
        <v>19</v>
      </c>
      <c r="BJ3" s="506" t="s">
        <v>19</v>
      </c>
      <c r="BK3" s="507" t="s">
        <v>20</v>
      </c>
      <c r="BL3" s="500"/>
      <c r="BM3" s="501" t="s">
        <v>21</v>
      </c>
      <c r="BN3" s="501" t="s">
        <v>21</v>
      </c>
      <c r="BO3" s="508" t="s">
        <v>21</v>
      </c>
      <c r="BP3" s="503" t="s">
        <v>22</v>
      </c>
      <c r="BQ3" s="504"/>
      <c r="BR3" s="505" t="s">
        <v>23</v>
      </c>
      <c r="BS3" s="505" t="s">
        <v>23</v>
      </c>
      <c r="BT3" s="506" t="s">
        <v>23</v>
      </c>
      <c r="BU3" s="507" t="s">
        <v>24</v>
      </c>
      <c r="BV3" s="500"/>
      <c r="BW3" s="501" t="s">
        <v>25</v>
      </c>
      <c r="BX3" s="501" t="s">
        <v>25</v>
      </c>
      <c r="BY3" s="508" t="s">
        <v>25</v>
      </c>
      <c r="BZ3" s="503" t="s">
        <v>26</v>
      </c>
      <c r="CA3" s="504"/>
      <c r="CB3" s="505" t="s">
        <v>27</v>
      </c>
      <c r="CC3" s="505" t="s">
        <v>27</v>
      </c>
      <c r="CD3" s="506" t="s">
        <v>27</v>
      </c>
      <c r="CE3" s="507" t="s">
        <v>28</v>
      </c>
      <c r="CF3" s="500"/>
      <c r="CG3" s="501" t="s">
        <v>29</v>
      </c>
      <c r="CH3" s="501" t="s">
        <v>29</v>
      </c>
      <c r="CI3" s="508" t="s">
        <v>29</v>
      </c>
      <c r="CJ3" s="503" t="s">
        <v>30</v>
      </c>
      <c r="CK3" s="504"/>
      <c r="CL3" s="505" t="s">
        <v>31</v>
      </c>
      <c r="CM3" s="505" t="s">
        <v>31</v>
      </c>
      <c r="CN3" s="506" t="s">
        <v>31</v>
      </c>
      <c r="CO3" s="507" t="s">
        <v>32</v>
      </c>
      <c r="CP3" s="500"/>
      <c r="CQ3" s="501" t="s">
        <v>33</v>
      </c>
      <c r="CR3" s="501" t="s">
        <v>33</v>
      </c>
      <c r="CS3" s="501" t="s">
        <v>33</v>
      </c>
      <c r="CT3" s="509" t="s">
        <v>34</v>
      </c>
      <c r="CU3" s="510"/>
      <c r="CV3" s="511"/>
      <c r="CW3" s="511"/>
      <c r="CX3" s="512"/>
      <c r="CY3" s="501" t="s">
        <v>35</v>
      </c>
      <c r="CZ3" s="500"/>
      <c r="DA3" s="501"/>
      <c r="DB3" s="501"/>
      <c r="DC3" s="508"/>
      <c r="DD3" s="509" t="s">
        <v>36</v>
      </c>
      <c r="DE3" s="510"/>
      <c r="DF3" s="511" t="s">
        <v>37</v>
      </c>
      <c r="DG3" s="511" t="s">
        <v>37</v>
      </c>
      <c r="DH3" s="512" t="s">
        <v>37</v>
      </c>
      <c r="DI3" s="501" t="s">
        <v>38</v>
      </c>
      <c r="DJ3" s="500"/>
      <c r="DK3" s="501" t="s">
        <v>39</v>
      </c>
      <c r="DL3" s="501" t="s">
        <v>39</v>
      </c>
      <c r="DM3" s="508" t="s">
        <v>39</v>
      </c>
      <c r="DN3" s="520" t="s">
        <v>40</v>
      </c>
      <c r="DO3" s="521"/>
      <c r="DP3" s="521"/>
      <c r="DQ3" s="521"/>
      <c r="DR3" s="521"/>
      <c r="DS3" s="522"/>
      <c r="DT3" s="515"/>
      <c r="DU3" s="514"/>
      <c r="DV3" s="514"/>
      <c r="EB3" s="285"/>
      <c r="ED3" s="389"/>
      <c r="EE3" s="390"/>
      <c r="EF3" s="391"/>
      <c r="EG3" s="391"/>
      <c r="EH3" s="391"/>
      <c r="EI3" s="391"/>
      <c r="EJ3" s="391"/>
      <c r="EK3" s="391"/>
      <c r="EL3" s="391"/>
      <c r="EM3" s="392"/>
      <c r="EN3" s="392"/>
      <c r="EO3" s="392"/>
      <c r="EP3" s="392"/>
    </row>
    <row r="4" spans="1:259" s="136" customFormat="1" ht="15" customHeight="1">
      <c r="A4" s="224"/>
      <c r="B4" s="428"/>
      <c r="C4" s="479"/>
      <c r="D4" s="480"/>
      <c r="E4" s="481"/>
      <c r="F4" s="480"/>
      <c r="G4" s="482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3"/>
      <c r="T4" s="435" t="s">
        <v>41</v>
      </c>
      <c r="U4" s="436"/>
      <c r="V4" s="437"/>
      <c r="W4" s="429">
        <v>0</v>
      </c>
      <c r="X4" s="493"/>
      <c r="Y4" s="431"/>
      <c r="Z4" s="431"/>
      <c r="AA4" s="432"/>
      <c r="AB4" s="429">
        <v>0</v>
      </c>
      <c r="AC4" s="494"/>
      <c r="AD4" s="431"/>
      <c r="AE4" s="431"/>
      <c r="AF4" s="431"/>
      <c r="AG4" s="429">
        <v>0</v>
      </c>
      <c r="AH4" s="430"/>
      <c r="AI4" s="431"/>
      <c r="AJ4" s="431"/>
      <c r="AK4" s="432"/>
      <c r="AL4" s="456">
        <v>0</v>
      </c>
      <c r="AM4" s="445"/>
      <c r="AN4" s="457"/>
      <c r="AO4" s="457"/>
      <c r="AP4" s="458"/>
      <c r="AQ4" s="444">
        <v>1</v>
      </c>
      <c r="AR4" s="445"/>
      <c r="AS4" s="446"/>
      <c r="AT4" s="446"/>
      <c r="AU4" s="447"/>
      <c r="AV4" s="461">
        <v>0</v>
      </c>
      <c r="AW4" s="445"/>
      <c r="AX4" s="446"/>
      <c r="AY4" s="446"/>
      <c r="AZ4" s="462"/>
      <c r="BA4" s="444">
        <v>0</v>
      </c>
      <c r="BB4" s="445"/>
      <c r="BC4" s="446"/>
      <c r="BD4" s="446"/>
      <c r="BE4" s="447"/>
      <c r="BF4" s="456">
        <v>0</v>
      </c>
      <c r="BG4" s="445"/>
      <c r="BH4" s="457"/>
      <c r="BI4" s="457"/>
      <c r="BJ4" s="458"/>
      <c r="BK4" s="433">
        <v>0</v>
      </c>
      <c r="BL4" s="445"/>
      <c r="BM4" s="457"/>
      <c r="BN4" s="457"/>
      <c r="BO4" s="434"/>
      <c r="BP4" s="456">
        <v>0</v>
      </c>
      <c r="BQ4" s="445"/>
      <c r="BR4" s="457"/>
      <c r="BS4" s="457"/>
      <c r="BT4" s="458"/>
      <c r="BU4" s="433">
        <v>2</v>
      </c>
      <c r="BV4" s="445"/>
      <c r="BW4" s="457"/>
      <c r="BX4" s="457"/>
      <c r="BY4" s="434"/>
      <c r="BZ4" s="456">
        <v>0</v>
      </c>
      <c r="CA4" s="445"/>
      <c r="CB4" s="457"/>
      <c r="CC4" s="457"/>
      <c r="CD4" s="458"/>
      <c r="CE4" s="433">
        <v>0</v>
      </c>
      <c r="CF4" s="445"/>
      <c r="CG4" s="457"/>
      <c r="CH4" s="457"/>
      <c r="CI4" s="434"/>
      <c r="CJ4" s="456">
        <v>0</v>
      </c>
      <c r="CK4" s="445"/>
      <c r="CL4" s="457"/>
      <c r="CM4" s="457"/>
      <c r="CN4" s="458"/>
      <c r="CO4" s="433">
        <v>0</v>
      </c>
      <c r="CP4" s="445"/>
      <c r="CQ4" s="457"/>
      <c r="CR4" s="457"/>
      <c r="CS4" s="457"/>
      <c r="CT4" s="456">
        <v>0</v>
      </c>
      <c r="CU4" s="445"/>
      <c r="CV4" s="457"/>
      <c r="CW4" s="457"/>
      <c r="CX4" s="434"/>
      <c r="CY4" s="429">
        <v>0</v>
      </c>
      <c r="CZ4" s="430"/>
      <c r="DA4" s="431"/>
      <c r="DB4" s="431"/>
      <c r="DC4" s="433"/>
      <c r="DD4" s="457">
        <v>2</v>
      </c>
      <c r="DE4" s="445"/>
      <c r="DF4" s="457"/>
      <c r="DG4" s="457"/>
      <c r="DH4" s="434"/>
      <c r="DI4" s="456">
        <v>1</v>
      </c>
      <c r="DJ4" s="445"/>
      <c r="DK4" s="457"/>
      <c r="DL4" s="457"/>
      <c r="DM4" s="458"/>
      <c r="DN4" s="429">
        <v>1</v>
      </c>
      <c r="DO4" s="431"/>
      <c r="DP4" s="431"/>
      <c r="DQ4" s="431"/>
      <c r="DR4" s="431"/>
      <c r="DS4" s="432"/>
      <c r="DT4" s="433">
        <f>SUM(V4:DS4)</f>
        <v>7</v>
      </c>
      <c r="DU4" s="457"/>
      <c r="DV4" s="457"/>
      <c r="EB4" s="285"/>
      <c r="ED4" s="393"/>
      <c r="EE4" s="394"/>
      <c r="EF4" s="395"/>
      <c r="EG4" s="395"/>
      <c r="EH4" s="395"/>
      <c r="EI4" s="395"/>
      <c r="EJ4" s="395"/>
      <c r="EK4" s="395"/>
      <c r="EL4" s="395"/>
      <c r="EM4" s="396"/>
      <c r="EN4" s="396"/>
      <c r="EO4" s="396"/>
      <c r="EP4" s="396"/>
    </row>
    <row r="5" spans="1:259" s="136" customFormat="1" ht="15" customHeight="1">
      <c r="A5" s="224"/>
      <c r="B5" s="428"/>
      <c r="C5" s="484"/>
      <c r="D5" s="485"/>
      <c r="E5" s="486"/>
      <c r="F5" s="485"/>
      <c r="G5" s="487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8"/>
      <c r="T5" s="438"/>
      <c r="U5" s="439"/>
      <c r="V5" s="440"/>
      <c r="W5" s="429">
        <v>0</v>
      </c>
      <c r="X5" s="430"/>
      <c r="Y5" s="431"/>
      <c r="Z5" s="431"/>
      <c r="AA5" s="432"/>
      <c r="AB5" s="429">
        <v>1</v>
      </c>
      <c r="AC5" s="430"/>
      <c r="AD5" s="431"/>
      <c r="AE5" s="431"/>
      <c r="AF5" s="432"/>
      <c r="AG5" s="429">
        <v>1</v>
      </c>
      <c r="AH5" s="430"/>
      <c r="AI5" s="431"/>
      <c r="AJ5" s="431"/>
      <c r="AK5" s="432"/>
      <c r="AL5" s="429">
        <v>0</v>
      </c>
      <c r="AM5" s="430"/>
      <c r="AN5" s="431"/>
      <c r="AO5" s="431"/>
      <c r="AP5" s="432"/>
      <c r="AQ5" s="441">
        <v>1</v>
      </c>
      <c r="AR5" s="430"/>
      <c r="AS5" s="442"/>
      <c r="AT5" s="442"/>
      <c r="AU5" s="443"/>
      <c r="AV5" s="441">
        <v>0</v>
      </c>
      <c r="AW5" s="430"/>
      <c r="AX5" s="442"/>
      <c r="AY5" s="442"/>
      <c r="AZ5" s="443"/>
      <c r="BA5" s="441">
        <v>0</v>
      </c>
      <c r="BB5" s="430"/>
      <c r="BC5" s="442"/>
      <c r="BD5" s="442"/>
      <c r="BE5" s="443"/>
      <c r="BF5" s="429">
        <v>0</v>
      </c>
      <c r="BG5" s="430"/>
      <c r="BH5" s="431"/>
      <c r="BI5" s="431"/>
      <c r="BJ5" s="432"/>
      <c r="BK5" s="429">
        <v>0</v>
      </c>
      <c r="BL5" s="430"/>
      <c r="BM5" s="431"/>
      <c r="BN5" s="431"/>
      <c r="BO5" s="432"/>
      <c r="BP5" s="429">
        <v>0</v>
      </c>
      <c r="BQ5" s="430"/>
      <c r="BR5" s="431"/>
      <c r="BS5" s="431"/>
      <c r="BT5" s="432"/>
      <c r="BU5" s="429">
        <v>2</v>
      </c>
      <c r="BV5" s="430"/>
      <c r="BW5" s="431"/>
      <c r="BX5" s="431"/>
      <c r="BY5" s="432"/>
      <c r="BZ5" s="429">
        <v>0</v>
      </c>
      <c r="CA5" s="430"/>
      <c r="CB5" s="431"/>
      <c r="CC5" s="431"/>
      <c r="CD5" s="432"/>
      <c r="CE5" s="429">
        <v>0</v>
      </c>
      <c r="CF5" s="430"/>
      <c r="CG5" s="431"/>
      <c r="CH5" s="431"/>
      <c r="CI5" s="432"/>
      <c r="CJ5" s="429">
        <v>0</v>
      </c>
      <c r="CK5" s="430"/>
      <c r="CL5" s="431"/>
      <c r="CM5" s="431"/>
      <c r="CN5" s="432"/>
      <c r="CO5" s="429">
        <v>1</v>
      </c>
      <c r="CP5" s="430"/>
      <c r="CQ5" s="431"/>
      <c r="CR5" s="431"/>
      <c r="CS5" s="432"/>
      <c r="CT5" s="429">
        <v>0</v>
      </c>
      <c r="CU5" s="430"/>
      <c r="CV5" s="431"/>
      <c r="CW5" s="431"/>
      <c r="CX5" s="432"/>
      <c r="CY5" s="429">
        <v>0</v>
      </c>
      <c r="CZ5" s="430"/>
      <c r="DA5" s="431"/>
      <c r="DB5" s="431"/>
      <c r="DC5" s="433"/>
      <c r="DD5" s="434">
        <v>2</v>
      </c>
      <c r="DE5" s="430"/>
      <c r="DF5" s="431"/>
      <c r="DG5" s="431"/>
      <c r="DH5" s="432"/>
      <c r="DI5" s="429">
        <v>1</v>
      </c>
      <c r="DJ5" s="430"/>
      <c r="DK5" s="431"/>
      <c r="DL5" s="431"/>
      <c r="DM5" s="432"/>
      <c r="DN5" s="429">
        <v>1</v>
      </c>
      <c r="DO5" s="431"/>
      <c r="DP5" s="431"/>
      <c r="DQ5" s="431"/>
      <c r="DR5" s="431"/>
      <c r="DS5" s="432"/>
      <c r="DT5" s="429">
        <f>SUM(W5:DS5)</f>
        <v>10</v>
      </c>
      <c r="DU5" s="431"/>
      <c r="DV5" s="433"/>
      <c r="EB5" s="285"/>
      <c r="ED5" s="393"/>
      <c r="EE5" s="394"/>
      <c r="EF5" s="395"/>
      <c r="EG5" s="395"/>
      <c r="EH5" s="395"/>
      <c r="EI5" s="395"/>
      <c r="EJ5" s="395"/>
      <c r="EK5" s="395"/>
      <c r="EL5" s="395"/>
      <c r="EM5" s="396"/>
      <c r="EN5" s="396"/>
      <c r="EO5" s="396"/>
      <c r="EP5" s="396"/>
    </row>
    <row r="6" spans="1:259" s="135" customFormat="1" ht="23.25" customHeight="1">
      <c r="A6" s="223"/>
      <c r="B6" s="277"/>
      <c r="C6" s="89"/>
      <c r="D6" s="89"/>
      <c r="E6" s="242"/>
      <c r="F6" s="89"/>
      <c r="G6" s="300"/>
      <c r="H6" s="89"/>
      <c r="I6" s="477" t="s">
        <v>42</v>
      </c>
      <c r="J6" s="478"/>
      <c r="K6" s="478"/>
      <c r="L6" s="478"/>
      <c r="M6" s="478"/>
      <c r="N6" s="83"/>
      <c r="O6" s="26" t="s">
        <v>43</v>
      </c>
      <c r="P6" s="13" t="s">
        <v>43</v>
      </c>
      <c r="Q6" s="13" t="s">
        <v>43</v>
      </c>
      <c r="R6" s="13" t="s">
        <v>43</v>
      </c>
      <c r="S6" s="13" t="s">
        <v>44</v>
      </c>
      <c r="T6" s="13" t="s">
        <v>43</v>
      </c>
      <c r="U6" s="15" t="s">
        <v>45</v>
      </c>
      <c r="V6" s="251" t="s">
        <v>46</v>
      </c>
      <c r="W6" s="489" t="s">
        <v>43</v>
      </c>
      <c r="X6" s="490"/>
      <c r="Y6" s="491"/>
      <c r="Z6" s="491"/>
      <c r="AA6" s="492"/>
      <c r="AB6" s="16"/>
      <c r="AC6" s="463" t="s">
        <v>43</v>
      </c>
      <c r="AD6" s="454"/>
      <c r="AE6" s="454"/>
      <c r="AF6" s="455"/>
      <c r="AG6" s="448" t="s">
        <v>47</v>
      </c>
      <c r="AH6" s="449"/>
      <c r="AI6" s="450"/>
      <c r="AJ6" s="450"/>
      <c r="AK6" s="451"/>
      <c r="AL6" s="452" t="s">
        <v>43</v>
      </c>
      <c r="AM6" s="453"/>
      <c r="AN6" s="454"/>
      <c r="AO6" s="454"/>
      <c r="AP6" s="459"/>
      <c r="AQ6" s="460" t="s">
        <v>44</v>
      </c>
      <c r="AR6" s="453"/>
      <c r="AS6" s="454"/>
      <c r="AT6" s="454"/>
      <c r="AU6" s="455"/>
      <c r="AV6" s="452" t="s">
        <v>43</v>
      </c>
      <c r="AW6" s="453"/>
      <c r="AX6" s="454"/>
      <c r="AY6" s="454"/>
      <c r="AZ6" s="459"/>
      <c r="BA6" s="460" t="s">
        <v>45</v>
      </c>
      <c r="BB6" s="453"/>
      <c r="BC6" s="454"/>
      <c r="BD6" s="454"/>
      <c r="BE6" s="455"/>
      <c r="BF6" s="452" t="s">
        <v>43</v>
      </c>
      <c r="BG6" s="453"/>
      <c r="BH6" s="454"/>
      <c r="BI6" s="454"/>
      <c r="BJ6" s="459"/>
      <c r="BK6" s="460" t="s">
        <v>43</v>
      </c>
      <c r="BL6" s="453"/>
      <c r="BM6" s="454"/>
      <c r="BN6" s="454"/>
      <c r="BO6" s="455"/>
      <c r="BP6" s="452" t="s">
        <v>44</v>
      </c>
      <c r="BQ6" s="453"/>
      <c r="BR6" s="454"/>
      <c r="BS6" s="454"/>
      <c r="BT6" s="459"/>
      <c r="BU6" s="495" t="s">
        <v>48</v>
      </c>
      <c r="BV6" s="449"/>
      <c r="BW6" s="450"/>
      <c r="BX6" s="450"/>
      <c r="BY6" s="496"/>
      <c r="BZ6" s="452" t="s">
        <v>43</v>
      </c>
      <c r="CA6" s="453"/>
      <c r="CB6" s="454"/>
      <c r="CC6" s="454"/>
      <c r="CD6" s="459"/>
      <c r="CE6" s="460" t="s">
        <v>44</v>
      </c>
      <c r="CF6" s="453"/>
      <c r="CG6" s="454"/>
      <c r="CH6" s="454"/>
      <c r="CI6" s="455"/>
      <c r="CJ6" s="452" t="s">
        <v>43</v>
      </c>
      <c r="CK6" s="453"/>
      <c r="CL6" s="454"/>
      <c r="CM6" s="454"/>
      <c r="CN6" s="459"/>
      <c r="CO6" s="460" t="s">
        <v>44</v>
      </c>
      <c r="CP6" s="453"/>
      <c r="CQ6" s="454"/>
      <c r="CR6" s="454"/>
      <c r="CS6" s="454"/>
      <c r="CT6" s="452" t="s">
        <v>43</v>
      </c>
      <c r="CU6" s="453"/>
      <c r="CV6" s="454"/>
      <c r="CW6" s="454"/>
      <c r="CX6" s="455"/>
      <c r="CY6" s="452" t="s">
        <v>43</v>
      </c>
      <c r="CZ6" s="453"/>
      <c r="DA6" s="454"/>
      <c r="DB6" s="454"/>
      <c r="DC6" s="455"/>
      <c r="DD6" s="450" t="s">
        <v>48</v>
      </c>
      <c r="DE6" s="449"/>
      <c r="DF6" s="450"/>
      <c r="DG6" s="450"/>
      <c r="DH6" s="496"/>
      <c r="DI6" s="452" t="s">
        <v>43</v>
      </c>
      <c r="DJ6" s="453"/>
      <c r="DK6" s="454"/>
      <c r="DL6" s="454"/>
      <c r="DM6" s="459"/>
      <c r="DN6" s="16"/>
      <c r="DO6" s="513" t="s">
        <v>49</v>
      </c>
      <c r="DP6" s="454"/>
      <c r="DQ6" s="454"/>
      <c r="DR6" s="454"/>
      <c r="DS6" s="459"/>
      <c r="DT6" s="497"/>
      <c r="DU6" s="498"/>
      <c r="DV6" s="498"/>
      <c r="EB6" s="285"/>
      <c r="ED6" s="389"/>
      <c r="EE6" s="390"/>
      <c r="EF6" s="391"/>
      <c r="EG6" s="391"/>
      <c r="EH6" s="391"/>
      <c r="EI6" s="391"/>
      <c r="EJ6" s="391"/>
      <c r="EK6" s="391"/>
      <c r="EL6" s="391"/>
      <c r="EM6" s="392"/>
      <c r="EN6" s="392"/>
      <c r="EO6" s="392"/>
      <c r="EP6" s="392"/>
    </row>
    <row r="7" spans="1:259" s="137" customFormat="1" ht="42.75" customHeight="1">
      <c r="A7" s="225"/>
      <c r="B7" s="278" t="s">
        <v>50</v>
      </c>
      <c r="C7" s="50" t="s">
        <v>50</v>
      </c>
      <c r="D7" s="44" t="s">
        <v>51</v>
      </c>
      <c r="E7" s="44" t="s">
        <v>52</v>
      </c>
      <c r="F7" s="94" t="s">
        <v>53</v>
      </c>
      <c r="G7" s="80" t="s">
        <v>54</v>
      </c>
      <c r="H7" s="44" t="s">
        <v>55</v>
      </c>
      <c r="I7" s="44" t="s">
        <v>56</v>
      </c>
      <c r="J7" s="44" t="s">
        <v>57</v>
      </c>
      <c r="K7" s="44" t="s">
        <v>58</v>
      </c>
      <c r="L7" s="44" t="s">
        <v>59</v>
      </c>
      <c r="M7" s="44" t="s">
        <v>60</v>
      </c>
      <c r="N7" s="45" t="s">
        <v>61</v>
      </c>
      <c r="O7" s="46" t="s">
        <v>62</v>
      </c>
      <c r="P7" s="44" t="s">
        <v>63</v>
      </c>
      <c r="Q7" s="44" t="s">
        <v>64</v>
      </c>
      <c r="R7" s="44" t="s">
        <v>65</v>
      </c>
      <c r="S7" s="44" t="s">
        <v>66</v>
      </c>
      <c r="T7" s="44" t="s">
        <v>67</v>
      </c>
      <c r="U7" s="45" t="s">
        <v>68</v>
      </c>
      <c r="V7" s="252" t="s">
        <v>69</v>
      </c>
      <c r="W7" s="46" t="s">
        <v>70</v>
      </c>
      <c r="X7" s="258" t="s">
        <v>71</v>
      </c>
      <c r="Y7" s="48" t="s">
        <v>72</v>
      </c>
      <c r="Z7" s="48" t="s">
        <v>73</v>
      </c>
      <c r="AA7" s="49" t="s">
        <v>74</v>
      </c>
      <c r="AB7" s="50" t="s">
        <v>75</v>
      </c>
      <c r="AC7" s="262" t="s">
        <v>76</v>
      </c>
      <c r="AD7" s="48" t="s">
        <v>77</v>
      </c>
      <c r="AE7" s="48" t="s">
        <v>78</v>
      </c>
      <c r="AF7" s="51" t="s">
        <v>79</v>
      </c>
      <c r="AG7" s="46" t="s">
        <v>80</v>
      </c>
      <c r="AH7" s="258" t="s">
        <v>81</v>
      </c>
      <c r="AI7" s="48" t="s">
        <v>77</v>
      </c>
      <c r="AJ7" s="48" t="s">
        <v>78</v>
      </c>
      <c r="AK7" s="49" t="s">
        <v>79</v>
      </c>
      <c r="AL7" s="46" t="s">
        <v>82</v>
      </c>
      <c r="AM7" s="258" t="s">
        <v>83</v>
      </c>
      <c r="AN7" s="48" t="s">
        <v>77</v>
      </c>
      <c r="AO7" s="48" t="s">
        <v>78</v>
      </c>
      <c r="AP7" s="49" t="s">
        <v>79</v>
      </c>
      <c r="AQ7" s="50" t="s">
        <v>84</v>
      </c>
      <c r="AR7" s="258" t="s">
        <v>85</v>
      </c>
      <c r="AS7" s="48" t="s">
        <v>77</v>
      </c>
      <c r="AT7" s="48" t="s">
        <v>78</v>
      </c>
      <c r="AU7" s="51" t="s">
        <v>79</v>
      </c>
      <c r="AV7" s="46" t="s">
        <v>86</v>
      </c>
      <c r="AW7" s="258" t="s">
        <v>87</v>
      </c>
      <c r="AX7" s="48" t="s">
        <v>77</v>
      </c>
      <c r="AY7" s="48" t="s">
        <v>78</v>
      </c>
      <c r="AZ7" s="49" t="s">
        <v>79</v>
      </c>
      <c r="BA7" s="50" t="s">
        <v>88</v>
      </c>
      <c r="BB7" s="258" t="s">
        <v>89</v>
      </c>
      <c r="BC7" s="48" t="s">
        <v>77</v>
      </c>
      <c r="BD7" s="48" t="s">
        <v>78</v>
      </c>
      <c r="BE7" s="51" t="s">
        <v>79</v>
      </c>
      <c r="BF7" s="46" t="s">
        <v>90</v>
      </c>
      <c r="BG7" s="258" t="s">
        <v>91</v>
      </c>
      <c r="BH7" s="48" t="s">
        <v>77</v>
      </c>
      <c r="BI7" s="48" t="s">
        <v>78</v>
      </c>
      <c r="BJ7" s="49" t="s">
        <v>79</v>
      </c>
      <c r="BK7" s="50" t="s">
        <v>92</v>
      </c>
      <c r="BL7" s="258" t="s">
        <v>93</v>
      </c>
      <c r="BM7" s="48" t="s">
        <v>77</v>
      </c>
      <c r="BN7" s="48" t="s">
        <v>78</v>
      </c>
      <c r="BO7" s="51" t="s">
        <v>79</v>
      </c>
      <c r="BP7" s="46" t="s">
        <v>94</v>
      </c>
      <c r="BQ7" s="258" t="s">
        <v>95</v>
      </c>
      <c r="BR7" s="48" t="s">
        <v>77</v>
      </c>
      <c r="BS7" s="48" t="s">
        <v>78</v>
      </c>
      <c r="BT7" s="49" t="s">
        <v>79</v>
      </c>
      <c r="BU7" s="50" t="s">
        <v>96</v>
      </c>
      <c r="BV7" s="258" t="s">
        <v>97</v>
      </c>
      <c r="BW7" s="48" t="s">
        <v>77</v>
      </c>
      <c r="BX7" s="48" t="s">
        <v>78</v>
      </c>
      <c r="BY7" s="51" t="s">
        <v>79</v>
      </c>
      <c r="BZ7" s="46" t="s">
        <v>98</v>
      </c>
      <c r="CA7" s="258" t="s">
        <v>99</v>
      </c>
      <c r="CB7" s="48" t="s">
        <v>77</v>
      </c>
      <c r="CC7" s="48" t="s">
        <v>78</v>
      </c>
      <c r="CD7" s="49" t="s">
        <v>79</v>
      </c>
      <c r="CE7" s="50" t="s">
        <v>100</v>
      </c>
      <c r="CF7" s="258" t="s">
        <v>101</v>
      </c>
      <c r="CG7" s="48" t="s">
        <v>77</v>
      </c>
      <c r="CH7" s="48" t="s">
        <v>78</v>
      </c>
      <c r="CI7" s="51" t="s">
        <v>79</v>
      </c>
      <c r="CJ7" s="46" t="s">
        <v>102</v>
      </c>
      <c r="CK7" s="258" t="s">
        <v>102</v>
      </c>
      <c r="CL7" s="48" t="s">
        <v>77</v>
      </c>
      <c r="CM7" s="48" t="s">
        <v>78</v>
      </c>
      <c r="CN7" s="49" t="s">
        <v>79</v>
      </c>
      <c r="CO7" s="50" t="s">
        <v>103</v>
      </c>
      <c r="CP7" s="258" t="s">
        <v>104</v>
      </c>
      <c r="CQ7" s="48" t="s">
        <v>77</v>
      </c>
      <c r="CR7" s="48" t="s">
        <v>78</v>
      </c>
      <c r="CS7" s="48" t="s">
        <v>79</v>
      </c>
      <c r="CT7" s="46" t="s">
        <v>105</v>
      </c>
      <c r="CU7" s="258" t="s">
        <v>106</v>
      </c>
      <c r="CV7" s="48" t="s">
        <v>77</v>
      </c>
      <c r="CW7" s="48" t="s">
        <v>78</v>
      </c>
      <c r="CX7" s="51" t="s">
        <v>79</v>
      </c>
      <c r="CY7" s="52" t="s">
        <v>107</v>
      </c>
      <c r="CZ7" s="273" t="s">
        <v>108</v>
      </c>
      <c r="DA7" s="48" t="s">
        <v>77</v>
      </c>
      <c r="DB7" s="48" t="s">
        <v>78</v>
      </c>
      <c r="DC7" s="49" t="s">
        <v>79</v>
      </c>
      <c r="DD7" s="44" t="s">
        <v>109</v>
      </c>
      <c r="DE7" s="258" t="s">
        <v>110</v>
      </c>
      <c r="DF7" s="48" t="s">
        <v>77</v>
      </c>
      <c r="DG7" s="48" t="s">
        <v>78</v>
      </c>
      <c r="DH7" s="51" t="s">
        <v>79</v>
      </c>
      <c r="DI7" s="46" t="s">
        <v>111</v>
      </c>
      <c r="DJ7" s="258" t="s">
        <v>112</v>
      </c>
      <c r="DK7" s="48" t="s">
        <v>77</v>
      </c>
      <c r="DL7" s="48" t="s">
        <v>78</v>
      </c>
      <c r="DM7" s="49" t="s">
        <v>79</v>
      </c>
      <c r="DN7" s="63" t="s">
        <v>113</v>
      </c>
      <c r="DO7" s="66" t="s">
        <v>114</v>
      </c>
      <c r="DP7" s="44" t="s">
        <v>115</v>
      </c>
      <c r="DQ7" s="48" t="s">
        <v>77</v>
      </c>
      <c r="DR7" s="48" t="s">
        <v>78</v>
      </c>
      <c r="DS7" s="49" t="s">
        <v>79</v>
      </c>
      <c r="DT7" s="53" t="s">
        <v>116</v>
      </c>
      <c r="DU7" s="54" t="s">
        <v>117</v>
      </c>
      <c r="DV7" s="54" t="s">
        <v>118</v>
      </c>
      <c r="EB7" s="286"/>
      <c r="ED7" s="397" t="s">
        <v>325</v>
      </c>
      <c r="EE7" s="398" t="s">
        <v>326</v>
      </c>
      <c r="EF7" s="399" t="s">
        <v>327</v>
      </c>
      <c r="EG7" s="399" t="s">
        <v>328</v>
      </c>
      <c r="EH7" s="399" t="s">
        <v>329</v>
      </c>
      <c r="EI7" s="399" t="s">
        <v>330</v>
      </c>
      <c r="EJ7" s="399" t="s">
        <v>331</v>
      </c>
      <c r="EK7" s="399" t="s">
        <v>332</v>
      </c>
      <c r="EL7" s="399" t="s">
        <v>333</v>
      </c>
      <c r="EM7" s="400" t="s">
        <v>334</v>
      </c>
      <c r="EN7" s="400" t="s">
        <v>335</v>
      </c>
      <c r="EO7" s="400" t="s">
        <v>336</v>
      </c>
      <c r="EP7" s="400" t="s">
        <v>337</v>
      </c>
    </row>
    <row r="8" spans="1:259" s="138" customFormat="1" ht="50.25" customHeight="1">
      <c r="A8" s="226"/>
      <c r="B8" s="283" t="s">
        <v>338</v>
      </c>
      <c r="C8" s="279" t="s">
        <v>119</v>
      </c>
      <c r="D8" s="11" t="s">
        <v>120</v>
      </c>
      <c r="E8" s="11" t="s">
        <v>121</v>
      </c>
      <c r="F8" s="95" t="s">
        <v>122</v>
      </c>
      <c r="G8" s="79" t="s">
        <v>123</v>
      </c>
      <c r="H8" s="11" t="s">
        <v>124</v>
      </c>
      <c r="I8" s="11" t="s">
        <v>125</v>
      </c>
      <c r="J8" s="11" t="s">
        <v>126</v>
      </c>
      <c r="K8" s="11" t="s">
        <v>127</v>
      </c>
      <c r="L8" s="11" t="s">
        <v>128</v>
      </c>
      <c r="M8" s="12" t="s">
        <v>129</v>
      </c>
      <c r="N8" s="43" t="s">
        <v>130</v>
      </c>
      <c r="O8" s="39" t="s">
        <v>131</v>
      </c>
      <c r="P8" s="11" t="s">
        <v>132</v>
      </c>
      <c r="Q8" s="11" t="s">
        <v>133</v>
      </c>
      <c r="R8" s="11" t="s">
        <v>134</v>
      </c>
      <c r="S8" s="11" t="s">
        <v>135</v>
      </c>
      <c r="T8" s="11" t="s">
        <v>136</v>
      </c>
      <c r="U8" s="37" t="s">
        <v>137</v>
      </c>
      <c r="V8" s="253" t="s">
        <v>138</v>
      </c>
      <c r="W8" s="21" t="s">
        <v>139</v>
      </c>
      <c r="X8" s="259" t="s">
        <v>140</v>
      </c>
      <c r="Y8" s="14" t="s">
        <v>141</v>
      </c>
      <c r="Z8" s="14" t="s">
        <v>142</v>
      </c>
      <c r="AA8" s="22" t="s">
        <v>143</v>
      </c>
      <c r="AB8" s="17" t="s">
        <v>144</v>
      </c>
      <c r="AC8" s="263" t="s">
        <v>145</v>
      </c>
      <c r="AD8" s="9" t="s">
        <v>146</v>
      </c>
      <c r="AE8" s="9" t="s">
        <v>147</v>
      </c>
      <c r="AF8" s="23" t="s">
        <v>148</v>
      </c>
      <c r="AG8" s="21" t="s">
        <v>149</v>
      </c>
      <c r="AH8" s="259" t="s">
        <v>150</v>
      </c>
      <c r="AI8" s="7" t="s">
        <v>151</v>
      </c>
      <c r="AJ8" s="7" t="s">
        <v>152</v>
      </c>
      <c r="AK8" s="27" t="s">
        <v>153</v>
      </c>
      <c r="AL8" s="29" t="s">
        <v>154</v>
      </c>
      <c r="AM8" s="265" t="s">
        <v>155</v>
      </c>
      <c r="AN8" s="9" t="s">
        <v>156</v>
      </c>
      <c r="AO8" s="9" t="s">
        <v>157</v>
      </c>
      <c r="AP8" s="30" t="s">
        <v>158</v>
      </c>
      <c r="AQ8" s="31" t="s">
        <v>159</v>
      </c>
      <c r="AR8" s="259" t="s">
        <v>160</v>
      </c>
      <c r="AS8" s="7" t="s">
        <v>161</v>
      </c>
      <c r="AT8" s="7" t="s">
        <v>162</v>
      </c>
      <c r="AU8" s="28" t="s">
        <v>163</v>
      </c>
      <c r="AV8" s="29" t="s">
        <v>164</v>
      </c>
      <c r="AW8" s="265" t="s">
        <v>165</v>
      </c>
      <c r="AX8" s="9" t="s">
        <v>166</v>
      </c>
      <c r="AY8" s="9" t="s">
        <v>167</v>
      </c>
      <c r="AZ8" s="30" t="s">
        <v>168</v>
      </c>
      <c r="BA8" s="31" t="s">
        <v>169</v>
      </c>
      <c r="BB8" s="259" t="s">
        <v>170</v>
      </c>
      <c r="BC8" s="7" t="s">
        <v>171</v>
      </c>
      <c r="BD8" s="7" t="s">
        <v>172</v>
      </c>
      <c r="BE8" s="28" t="s">
        <v>173</v>
      </c>
      <c r="BF8" s="32" t="s">
        <v>174</v>
      </c>
      <c r="BG8" s="265" t="s">
        <v>175</v>
      </c>
      <c r="BH8" s="9" t="s">
        <v>176</v>
      </c>
      <c r="BI8" s="9" t="s">
        <v>177</v>
      </c>
      <c r="BJ8" s="30" t="s">
        <v>178</v>
      </c>
      <c r="BK8" s="99" t="s">
        <v>179</v>
      </c>
      <c r="BL8" s="268" t="s">
        <v>180</v>
      </c>
      <c r="BM8" s="7" t="s">
        <v>181</v>
      </c>
      <c r="BN8" s="7" t="s">
        <v>182</v>
      </c>
      <c r="BO8" s="28" t="s">
        <v>183</v>
      </c>
      <c r="BP8" s="29" t="s">
        <v>184</v>
      </c>
      <c r="BQ8" s="265" t="s">
        <v>185</v>
      </c>
      <c r="BR8" s="9" t="s">
        <v>186</v>
      </c>
      <c r="BS8" s="9" t="s">
        <v>187</v>
      </c>
      <c r="BT8" s="30" t="s">
        <v>188</v>
      </c>
      <c r="BU8" s="31" t="s">
        <v>189</v>
      </c>
      <c r="BV8" s="259" t="s">
        <v>190</v>
      </c>
      <c r="BW8" s="7" t="s">
        <v>191</v>
      </c>
      <c r="BX8" s="7" t="s">
        <v>192</v>
      </c>
      <c r="BY8" s="28" t="s">
        <v>193</v>
      </c>
      <c r="BZ8" s="100" t="s">
        <v>194</v>
      </c>
      <c r="CA8" s="269" t="s">
        <v>195</v>
      </c>
      <c r="CB8" s="9" t="s">
        <v>196</v>
      </c>
      <c r="CC8" s="9" t="s">
        <v>197</v>
      </c>
      <c r="CD8" s="30" t="s">
        <v>198</v>
      </c>
      <c r="CE8" s="99" t="s">
        <v>199</v>
      </c>
      <c r="CF8" s="270" t="s">
        <v>200</v>
      </c>
      <c r="CG8" s="7" t="s">
        <v>201</v>
      </c>
      <c r="CH8" s="7" t="s">
        <v>202</v>
      </c>
      <c r="CI8" s="28" t="s">
        <v>203</v>
      </c>
      <c r="CJ8" s="32" t="s">
        <v>204</v>
      </c>
      <c r="CK8" s="265" t="s">
        <v>205</v>
      </c>
      <c r="CL8" s="9" t="s">
        <v>206</v>
      </c>
      <c r="CM8" s="9" t="s">
        <v>207</v>
      </c>
      <c r="CN8" s="30" t="s">
        <v>208</v>
      </c>
      <c r="CO8" s="74" t="s">
        <v>209</v>
      </c>
      <c r="CP8" s="272" t="s">
        <v>210</v>
      </c>
      <c r="CQ8" s="75" t="s">
        <v>211</v>
      </c>
      <c r="CR8" s="75" t="s">
        <v>212</v>
      </c>
      <c r="CS8" s="75" t="s">
        <v>213</v>
      </c>
      <c r="CT8" s="29" t="s">
        <v>214</v>
      </c>
      <c r="CU8" s="265" t="s">
        <v>215</v>
      </c>
      <c r="CV8" s="9" t="s">
        <v>216</v>
      </c>
      <c r="CW8" s="9" t="s">
        <v>217</v>
      </c>
      <c r="CX8" s="78" t="s">
        <v>218</v>
      </c>
      <c r="CY8" s="21" t="s">
        <v>219</v>
      </c>
      <c r="CZ8" s="259" t="s">
        <v>220</v>
      </c>
      <c r="DA8" s="7" t="s">
        <v>216</v>
      </c>
      <c r="DB8" s="7" t="s">
        <v>217</v>
      </c>
      <c r="DC8" s="28" t="s">
        <v>218</v>
      </c>
      <c r="DD8" s="29" t="s">
        <v>221</v>
      </c>
      <c r="DE8" s="265" t="s">
        <v>222</v>
      </c>
      <c r="DF8" s="9" t="s">
        <v>223</v>
      </c>
      <c r="DG8" s="9" t="s">
        <v>224</v>
      </c>
      <c r="DH8" s="23" t="s">
        <v>225</v>
      </c>
      <c r="DI8" s="21" t="s">
        <v>226</v>
      </c>
      <c r="DJ8" s="259" t="s">
        <v>227</v>
      </c>
      <c r="DK8" s="7" t="s">
        <v>228</v>
      </c>
      <c r="DL8" s="7" t="s">
        <v>229</v>
      </c>
      <c r="DM8" s="28" t="s">
        <v>230</v>
      </c>
      <c r="DN8" s="32" t="s">
        <v>231</v>
      </c>
      <c r="DO8" s="67" t="s">
        <v>232</v>
      </c>
      <c r="DP8" s="10" t="s">
        <v>233</v>
      </c>
      <c r="DQ8" s="9" t="s">
        <v>234</v>
      </c>
      <c r="DR8" s="9" t="s">
        <v>235</v>
      </c>
      <c r="DS8" s="23" t="s">
        <v>236</v>
      </c>
      <c r="DT8" s="25" t="s">
        <v>237</v>
      </c>
      <c r="DU8" s="6" t="s">
        <v>339</v>
      </c>
      <c r="DV8" s="5" t="s">
        <v>239</v>
      </c>
      <c r="DX8" s="11" t="s">
        <v>240</v>
      </c>
      <c r="DY8" s="11" t="s">
        <v>340</v>
      </c>
      <c r="EB8" s="234" t="s">
        <v>241</v>
      </c>
      <c r="ED8" s="401" t="s">
        <v>341</v>
      </c>
      <c r="EE8" s="402">
        <v>0</v>
      </c>
      <c r="EF8" s="403" t="s">
        <v>342</v>
      </c>
      <c r="EG8" s="402" t="s">
        <v>343</v>
      </c>
      <c r="EH8" s="404" t="s">
        <v>344</v>
      </c>
      <c r="EI8" s="402" t="s">
        <v>345</v>
      </c>
      <c r="EJ8" s="402" t="s">
        <v>346</v>
      </c>
      <c r="EK8" s="402" t="s">
        <v>347</v>
      </c>
      <c r="EL8" s="404" t="s">
        <v>342</v>
      </c>
      <c r="EM8" s="405" t="s">
        <v>348</v>
      </c>
      <c r="EN8" s="405" t="s">
        <v>349</v>
      </c>
      <c r="EO8" s="405" t="s">
        <v>350</v>
      </c>
      <c r="EP8" s="405" t="s">
        <v>351</v>
      </c>
    </row>
    <row r="9" spans="1:259" s="147" customFormat="1" ht="30" customHeight="1">
      <c r="A9" s="227"/>
      <c r="B9" s="282"/>
      <c r="C9" s="280"/>
      <c r="D9" s="104" t="s">
        <v>242</v>
      </c>
      <c r="E9" s="292" t="s">
        <v>243</v>
      </c>
      <c r="F9" s="106">
        <f>IF(_xlfn.XLOOKUP($E9,'[1]Import Eletra'!$B:$B,'[1]Import Eletra'!$U:$U,,0,1)=0,"",_xlfn.XLOOKUP($E9,'[1]Import Eletra'!$B:$B,'[1]Import Eletra'!$U:$U,,0,1))</f>
        <v>0.5</v>
      </c>
      <c r="G9" s="107" t="s">
        <v>244</v>
      </c>
      <c r="H9" s="104" t="str">
        <f>_xlfn.XLOOKUP($E9,'[1]Import Eletra'!$B:$B,'[1]Import Eletra'!$F:$F,,0,1)</f>
        <v>DELIVERED</v>
      </c>
      <c r="I9" s="108" t="str">
        <f>_xlfn.XLOOKUP($E9,'[1]Import Eletra'!$B:$B,'[1]Import Eletra'!$G:$G,,0,1)</f>
        <v>SEA</v>
      </c>
      <c r="J9" s="326">
        <v>46043</v>
      </c>
      <c r="K9" s="109">
        <v>30</v>
      </c>
      <c r="L9" s="109">
        <f>M9-J9</f>
        <v>11</v>
      </c>
      <c r="M9" s="326">
        <f>IF(_xlfn.XLOOKUP($E9,'[1]Import Eletra'!$B:$B,'[1]Import Eletra'!$J:$J,,0,1)=0,"",_xlfn.XLOOKUP($E9,'[1]Import Eletra'!$B:$B,'[1]Import Eletra'!$J:$J,,0,1))</f>
        <v>46054</v>
      </c>
      <c r="N9" s="332">
        <f>IF(_xlfn.XLOOKUP($E9,'[1]Import Eletra'!$B:$B,'[1]Import Eletra'!$L:$L,,0,1)=0,"",_xlfn.XLOOKUP($E9,'[1]Import Eletra'!$B:$B,'[1]Import Eletra'!$L:$L,,0,1))</f>
        <v>46112</v>
      </c>
      <c r="O9" s="335">
        <f>IF(_xlfn.XLOOKUP($E9,'[1]Import Eletra'!$B:$B,'[1]Import Eletra'!$AK:$AK,,0,1)=0,"",_xlfn.XLOOKUP($E9,'[1]Import Eletra'!$B:$B,'[1]Import Eletra'!$AK:$AK,,0,1))</f>
        <v>46085</v>
      </c>
      <c r="P9" s="326">
        <f>IF(_xlfn.XLOOKUP($E9,'[1]Import Eletra'!$B:$B,'[1]Import Eletra'!$AL:$AL,,0,1)=0,"",_xlfn.XLOOKUP($E9,'[1]Import Eletra'!$B:$B,'[1]Import Eletra'!$AL:$AL,,0,1))</f>
        <v>46092</v>
      </c>
      <c r="Q9" s="326">
        <f>IF(_xlfn.XLOOKUP($E9,'[1]Import Eletra'!$B:$B,'[1]Import Eletra'!$AM:$AM,,0,1)=0,"",_xlfn.XLOOKUP($E9,'[1]Import Eletra'!$B:$B,'[1]Import Eletra'!$AM:$AM,,0,1))</f>
        <v>46099</v>
      </c>
      <c r="R9" s="326">
        <f>IF(_xlfn.XLOOKUP($E9,'[1]Import Eletra'!$B:$B,'[1]Import Eletra'!$AN:$AN,,0,1)=0,"",_xlfn.XLOOKUP($E9,'[1]Import Eletra'!$B:$B,'[1]Import Eletra'!$AN:$AN,,0,1))</f>
        <v>46118</v>
      </c>
      <c r="S9" s="326">
        <f>IF(_xlfn.XLOOKUP($E9,'[1]Import Eletra'!$B:$B,'[1]Import Eletra'!$AO:$AO,,0,1)=0,"",_xlfn.XLOOKUP($E9,'[1]Import Eletra'!$B:$B,'[1]Import Eletra'!$AO:$AO,,0,1))</f>
        <v>46122</v>
      </c>
      <c r="T9" s="326">
        <f>IF(_xlfn.XLOOKUP($E9,'[1]Import Eletra'!$B:$B,'[1]Import Eletra'!$AP:$AP,,0,1)=0,"",_xlfn.XLOOKUP($E9,'[1]Import Eletra'!$B:$B,'[1]Import Eletra'!$AP:$AP,,0,1))</f>
        <v>46122</v>
      </c>
      <c r="U9" s="326">
        <f>IF(_xlfn.XLOOKUP($E9,'[1]Import Eletra'!$B:$B,'[1]Import Eletra'!$AQ:$AQ,,0,1)=0,"",_xlfn.XLOOKUP($E9,'[1]Import Eletra'!$B:$B,'[1]Import Eletra'!$AQ:$AQ,,0,1))</f>
        <v>46126</v>
      </c>
      <c r="V9" s="339">
        <f>IF(_xlfn.XLOOKUP($E9,'[1]Import Eletra'!$B:$B,'[1]Import Eletra'!$AR:$AR,,0,1)=0,"",_xlfn.XLOOKUP($E9,'[1]Import Eletra'!$B:$B,'[1]Import Eletra'!$AR:$AR,,0,1))</f>
        <v>46120</v>
      </c>
      <c r="W9" s="335">
        <f>AB9-$AB$4</f>
        <v>46115</v>
      </c>
      <c r="X9" s="332">
        <f>IF(_xlfn.XLOOKUP($E9,'[1]Import Eletra'!$B:$B,'[1]Import Eletra'!$AS:$AS,,0,1)=0,"",_xlfn.XLOOKUP($E9,'[1]Import Eletra'!$B:$B,'[1]Import Eletra'!$AS:$AS,,0,1))</f>
        <v>46126</v>
      </c>
      <c r="Y9" s="112">
        <f>$W$4</f>
        <v>0</v>
      </c>
      <c r="Z9" s="113">
        <f ca="1">IF(X9="",TODAY()-W9,X9-W9)</f>
        <v>11</v>
      </c>
      <c r="AA9" s="184">
        <f ca="1">Z9-Y9</f>
        <v>11</v>
      </c>
      <c r="AB9" s="346">
        <f>AG9-$AB$4</f>
        <v>46115</v>
      </c>
      <c r="AC9" s="332">
        <f>IF(_xlfn.XLOOKUP($E9,'[1]Import Eletra'!$B:$B,'[1]Import Eletra'!$AD:$AD,,0,1)=0,"",_xlfn.XLOOKUP($E9,'[1]Import Eletra'!$B:$B,'[1]Import Eletra'!$AD:$AD,,0,1))</f>
        <v>46126</v>
      </c>
      <c r="AD9" s="112">
        <f>$AB$4</f>
        <v>0</v>
      </c>
      <c r="AE9" s="112">
        <f ca="1">IF(AC9="",TODAY()-AB9,AC9-AB9)</f>
        <v>11</v>
      </c>
      <c r="AF9" s="184">
        <f ca="1">AE9-AD9</f>
        <v>11</v>
      </c>
      <c r="AG9" s="354">
        <f>AL9-$AL$4</f>
        <v>46115</v>
      </c>
      <c r="AH9" s="332">
        <f>IF(_xlfn.XLOOKUP($E9,'[1]Import Eletra'!$B:$B,'[1]Import Eletra'!$AE:$AE,,0,1)=0,"",_xlfn.XLOOKUP($E9,'[1]Import Eletra'!$B:$B,'[1]Import Eletra'!$AE:$AE,,0,1))</f>
        <v>46127</v>
      </c>
      <c r="AI9" s="112">
        <f>$AG$4</f>
        <v>0</v>
      </c>
      <c r="AJ9" s="112">
        <f ca="1">IF(AH9="",TODAY()-AG9,AH9-AG9)</f>
        <v>12</v>
      </c>
      <c r="AK9" s="184">
        <f ca="1">AJ9-AI9</f>
        <v>12</v>
      </c>
      <c r="AL9" s="355">
        <f>AQ9-$AQ$4</f>
        <v>46115</v>
      </c>
      <c r="AM9" s="332">
        <f>IF(_xlfn.XLOOKUP($E9,'[1]Import Eletra'!$B:$B,'[1]Import Eletra'!$AT:$AT,,0,1)=0,"",_xlfn.XLOOKUP($E9,'[1]Import Eletra'!$B:$B,'[1]Import Eletra'!$AT:$AT,,0,1))</f>
        <v>46126</v>
      </c>
      <c r="AN9" s="112">
        <f>$AL$4</f>
        <v>0</v>
      </c>
      <c r="AO9" s="112">
        <f ca="1">IF(AM9="",TODAY()-AL9,AM9-AL9)</f>
        <v>11</v>
      </c>
      <c r="AP9" s="184">
        <f ca="1">AO9-AN9</f>
        <v>11</v>
      </c>
      <c r="AQ9" s="357">
        <f>AV9-$AV$4</f>
        <v>46116</v>
      </c>
      <c r="AR9" s="332">
        <f>IF(_xlfn.XLOOKUP($E9,'[1]Import Eletra'!$B:$B,'[1]Import Eletra'!$AU:$AU,,0,1)=0,"",_xlfn.XLOOKUP($E9,'[1]Import Eletra'!$B:$B,'[1]Import Eletra'!$AU:$AU,,0,1))</f>
        <v>46129</v>
      </c>
      <c r="AS9" s="112">
        <f>$AQ$4</f>
        <v>1</v>
      </c>
      <c r="AT9" s="112">
        <f ca="1">IF(AR9="",TODAY()-AQ9,AR9-AQ9)</f>
        <v>13</v>
      </c>
      <c r="AU9" s="184">
        <f ca="1">AT9-AS9</f>
        <v>12</v>
      </c>
      <c r="AV9" s="355">
        <f>BA9-$BA$4</f>
        <v>46116</v>
      </c>
      <c r="AW9" s="332" t="str">
        <f>IF(_xlfn.XLOOKUP($E9,'[1]Import Eletra'!$B:$B,'[1]Import Eletra'!$AV:$AV,,0,1)=0,"",_xlfn.XLOOKUP($E9,'[1]Import Eletra'!$B:$B,'[1]Import Eletra'!$AV:$AV,,0,1))</f>
        <v/>
      </c>
      <c r="AX9" s="112"/>
      <c r="AY9" s="113"/>
      <c r="AZ9" s="184">
        <f>AY9-AX9</f>
        <v>0</v>
      </c>
      <c r="BA9" s="357">
        <f>BF9-$BF$4</f>
        <v>46116</v>
      </c>
      <c r="BB9" s="332" t="str">
        <f>IF(_xlfn.XLOOKUP($E9,'[1]Import Eletra'!$B:$B,'[1]Import Eletra'!$AW:$AW,,0,1)=0,"",_xlfn.XLOOKUP($E9,'[1]Import Eletra'!$B:$B,'[1]Import Eletra'!$AW:$AW,,0,1))</f>
        <v/>
      </c>
      <c r="BC9" s="112"/>
      <c r="BD9" s="112"/>
      <c r="BE9" s="184">
        <f>BD9-BC9</f>
        <v>0</v>
      </c>
      <c r="BF9" s="335">
        <f>BK9-$BK$4</f>
        <v>46116</v>
      </c>
      <c r="BG9" s="332" t="str">
        <f>IF(_xlfn.XLOOKUP($E9,'[1]Import Eletra'!$B:$B,'[1]Import Eletra'!$AX:$AX,,0,1)=0,"",_xlfn.XLOOKUP($E9,'[1]Import Eletra'!$B:$B,'[1]Import Eletra'!$AX:$AX,,0,1))</f>
        <v/>
      </c>
      <c r="BH9" s="112"/>
      <c r="BI9" s="112"/>
      <c r="BJ9" s="184">
        <f>BI9-BH9</f>
        <v>0</v>
      </c>
      <c r="BK9" s="362">
        <f>BP9-$BP$4</f>
        <v>46116</v>
      </c>
      <c r="BL9" s="332">
        <f>IF(_xlfn.XLOOKUP($E9,'[1]Import Eletra'!$B:$B,'[1]Import Eletra'!$AY:$AY,,0,1)=0,"",_xlfn.XLOOKUP($E9,'[1]Import Eletra'!$B:$B,'[1]Import Eletra'!$AY:$AY,,0,1))</f>
        <v>46126</v>
      </c>
      <c r="BM9" s="112">
        <f>$BK$4</f>
        <v>0</v>
      </c>
      <c r="BN9" s="112">
        <f ca="1">IF(BL9="",TODAY()-BK9,BL9-BK9)</f>
        <v>10</v>
      </c>
      <c r="BO9" s="184">
        <f ca="1">BN9-BM9</f>
        <v>10</v>
      </c>
      <c r="BP9" s="335">
        <f>BU9-$BU$4</f>
        <v>46116</v>
      </c>
      <c r="BQ9" s="332">
        <f>IF(_xlfn.XLOOKUP($E9,'[1]Import Eletra'!$B:$B,'[1]Import Eletra'!$AZ:$AZ,,0,1)=0,"",_xlfn.XLOOKUP($E9,'[1]Import Eletra'!$B:$B,'[1]Import Eletra'!$AZ:$AZ,,0,1))</f>
        <v>46129</v>
      </c>
      <c r="BR9" s="112">
        <f>$BP$4</f>
        <v>0</v>
      </c>
      <c r="BS9" s="112">
        <f ca="1">IF(BQ9="",TODAY()-BP9,BQ9-BP9)</f>
        <v>13</v>
      </c>
      <c r="BT9" s="184">
        <f ca="1">BS9-BR9</f>
        <v>13</v>
      </c>
      <c r="BU9" s="362">
        <f>BZ9-$BZ$4</f>
        <v>46118</v>
      </c>
      <c r="BV9" s="332">
        <f>IF(_xlfn.XLOOKUP($E9,'[1]Import Eletra'!$B:$B,'[1]Import Eletra'!$BA:$BA,,0,1)=0,"",_xlfn.XLOOKUP($E9,'[1]Import Eletra'!$B:$B,'[1]Import Eletra'!$BA:$BA,,0,1))</f>
        <v>46132</v>
      </c>
      <c r="BW9" s="112">
        <f>$BU$4</f>
        <v>2</v>
      </c>
      <c r="BX9" s="112">
        <f ca="1">IF(BV9="",TODAY()-BU9,BV9-BU9)</f>
        <v>14</v>
      </c>
      <c r="BY9" s="184">
        <f ca="1">BX9-BW9</f>
        <v>12</v>
      </c>
      <c r="BZ9" s="335">
        <f>CE9-$CE$4</f>
        <v>46118</v>
      </c>
      <c r="CA9" s="332">
        <f>IF(_xlfn.XLOOKUP($E9,'[1]Import Eletra'!$B:$B,'[1]Import Eletra'!$BB:$BB,,0,1)=0,"",_xlfn.XLOOKUP($E9,'[1]Import Eletra'!$B:$B,'[1]Import Eletra'!$BB:$BB,,0,1))</f>
        <v>46132</v>
      </c>
      <c r="CB9" s="112">
        <f>$BZ$4</f>
        <v>0</v>
      </c>
      <c r="CC9" s="112">
        <f ca="1">IF(CA9="",TODAY()-BZ9,CA9-BZ9)</f>
        <v>14</v>
      </c>
      <c r="CD9" s="184">
        <f ca="1">CC9-CB9</f>
        <v>14</v>
      </c>
      <c r="CE9" s="362">
        <f>CJ9-$CJ$4</f>
        <v>46118</v>
      </c>
      <c r="CF9" s="332">
        <f>IF(_xlfn.XLOOKUP($E9,'[1]Import Eletra'!$B:$B,'[1]Import Eletra'!$BC:$BC,,0,1)=0,"",_xlfn.XLOOKUP($E9,'[1]Import Eletra'!$B:$B,'[1]Import Eletra'!$BC:$BC,,0,1))</f>
        <v>46132</v>
      </c>
      <c r="CG9" s="112">
        <f>$CE$4</f>
        <v>0</v>
      </c>
      <c r="CH9" s="112">
        <f ca="1">IF(CF9="",TODAY()-CE9,CF9-CE9)</f>
        <v>14</v>
      </c>
      <c r="CI9" s="184">
        <f ca="1">CH9-CG9</f>
        <v>14</v>
      </c>
      <c r="CJ9" s="335">
        <f>CO9-$CO$4</f>
        <v>46118</v>
      </c>
      <c r="CK9" s="332">
        <f>IF(_xlfn.XLOOKUP($E9,'[1]Import Eletra'!$B:$B,'[1]Import Eletra'!$BD:$BD,,0,1)=0,"",_xlfn.XLOOKUP($E9,'[1]Import Eletra'!$B:$B,'[1]Import Eletra'!$BD:$BD,,0,1))</f>
        <v>46132</v>
      </c>
      <c r="CL9" s="112"/>
      <c r="CM9" s="112">
        <f ca="1">IF(CK9="",TODAY()-CJ9,CK9-CJ9)</f>
        <v>14</v>
      </c>
      <c r="CN9" s="184">
        <f ca="1">CM9-CL9</f>
        <v>14</v>
      </c>
      <c r="CO9" s="362">
        <f>CT9-$CT$4</f>
        <v>46118</v>
      </c>
      <c r="CP9" s="332">
        <f>IF(_xlfn.XLOOKUP($E9,'[1]Import Eletra'!$B:$B,'[1]Import Eletra'!$BE:$BE,,0,1)=0,"",_xlfn.XLOOKUP($E9,'[1]Import Eletra'!$B:$B,'[1]Import Eletra'!$BE:$BE,,0,1))</f>
        <v>46132</v>
      </c>
      <c r="CQ9" s="112">
        <f>$CO$4</f>
        <v>0</v>
      </c>
      <c r="CR9" s="112">
        <f ca="1">IF(CP9="",TODAY()-CO9,CP9-CO9)</f>
        <v>14</v>
      </c>
      <c r="CS9" s="184">
        <f ca="1">CR9-CQ9</f>
        <v>14</v>
      </c>
      <c r="CT9" s="335">
        <f>CY9-$CY$4</f>
        <v>46118</v>
      </c>
      <c r="CU9" s="332">
        <f>IF(_xlfn.XLOOKUP($E9,'[1]Import Eletra'!$B:$B,'[1]Import Eletra'!$BF:$BF,,0,1)=0,"",_xlfn.XLOOKUP($E9,'[1]Import Eletra'!$B:$B,'[1]Import Eletra'!$BF:$BF,,0,1))</f>
        <v>46132</v>
      </c>
      <c r="CV9" s="112">
        <f>$CT$4</f>
        <v>0</v>
      </c>
      <c r="CW9" s="112">
        <f ca="1">IF(CU9="",TODAY()-CT9,CU9-CT9)</f>
        <v>14</v>
      </c>
      <c r="CX9" s="184">
        <f ca="1">CW9-CV9</f>
        <v>14</v>
      </c>
      <c r="CY9" s="110">
        <f>DD9-$DD$4</f>
        <v>46118</v>
      </c>
      <c r="CZ9" s="104">
        <f>IF(_xlfn.XLOOKUP($E9,'[1]Import Eletra'!$B:$B,'[1]Import Eletra'!$BF:$BF,,0,1)=0,"",_xlfn.XLOOKUP($E9,'[1]Import Eletra'!$B:$B,'[1]Import Eletra'!$BF:$BF,,0,1))</f>
        <v>46132</v>
      </c>
      <c r="DA9" s="121">
        <f>$CY$4</f>
        <v>0</v>
      </c>
      <c r="DB9" s="112">
        <f ca="1">IF(CZ9="",TODAY()-CY9,CZ9-CY9)</f>
        <v>14</v>
      </c>
      <c r="DC9" s="184">
        <f ca="1">DB9-DA9</f>
        <v>14</v>
      </c>
      <c r="DD9" s="110">
        <f>DI9-$DI$4</f>
        <v>46120</v>
      </c>
      <c r="DE9" s="104">
        <f>IF(_xlfn.XLOOKUP($E9,'[1]Import Eletra'!$B:$B,'[1]Import Eletra'!$BG:$BG,,0,1)=0,"",_xlfn.XLOOKUP($E9,'[1]Import Eletra'!$B:$B,'[1]Import Eletra'!$BG:$BG,0,1))</f>
        <v>46135</v>
      </c>
      <c r="DF9" s="112">
        <f>$DD$4</f>
        <v>2</v>
      </c>
      <c r="DG9" s="112">
        <f ca="1">IF(DE9="",TODAY()-DD9,DE9-DD9)</f>
        <v>15</v>
      </c>
      <c r="DH9" s="184">
        <f ca="1">DG9-DF9</f>
        <v>13</v>
      </c>
      <c r="DI9" s="110">
        <f>DO9-$DN$4</f>
        <v>46121</v>
      </c>
      <c r="DJ9" s="104">
        <f>IF(_xlfn.XLOOKUP($E9,'[1]Import Eletra'!$B:$B,'[1]Import Eletra'!$BH:$BH,,0,1)=0,"",_xlfn.XLOOKUP($E9,'[1]Import Eletra'!$B:$B,'[1]Import Eletra'!$BH:$BH,0,1))</f>
        <v>46135</v>
      </c>
      <c r="DK9" s="112">
        <f>$DI$4</f>
        <v>1</v>
      </c>
      <c r="DL9" s="112">
        <f ca="1">IF(DJ9="",TODAY()-DI9,DJ9-DI9)</f>
        <v>14</v>
      </c>
      <c r="DM9" s="184">
        <f ca="1">DL9-DK9</f>
        <v>13</v>
      </c>
      <c r="DN9" s="64"/>
      <c r="DO9" s="202">
        <f>N9+DT9</f>
        <v>46122</v>
      </c>
      <c r="DP9" s="165">
        <f>IF(_xlfn.XLOOKUP($E9,'[1]Import Eletra'!$B:$B,'[1]Import Eletra'!$O:$O,,0,1)=0,"",_xlfn.XLOOKUP($E9,'[1]Import Eletra'!$B:$B,'[1]Import Eletra'!$O:$O,0,1))</f>
        <v>46135</v>
      </c>
      <c r="DQ9" s="112">
        <f>$DN$4</f>
        <v>1</v>
      </c>
      <c r="DR9" s="112">
        <f ca="1">IF(DP9="",TODAY()-DO9,DP9-DO9)</f>
        <v>13</v>
      </c>
      <c r="DS9" s="184">
        <f ca="1">DR9-DQ9</f>
        <v>12</v>
      </c>
      <c r="DT9" s="143">
        <v>10</v>
      </c>
      <c r="DU9" s="140">
        <f ca="1">IF(DP9="",TODAY()-N9,DP9-N9)</f>
        <v>23</v>
      </c>
      <c r="DV9" s="184">
        <f ca="1">DU9-DT9</f>
        <v>13</v>
      </c>
      <c r="DX9" s="185" t="s">
        <v>245</v>
      </c>
      <c r="DY9" s="108" t="str">
        <f>IF(_xlfn.XLOOKUP($E9,'[1]Import Eletra'!$B:$B,'[1]Import Eletra'!$DW:$DW,,0,1)=0,"",_xlfn.XLOOKUP($E9,'[1]Import Eletra'!$B:$B,'[1]Import Eletra'!$DW:$DW,0,1))</f>
        <v/>
      </c>
      <c r="EB9" s="288"/>
      <c r="ED9" s="406">
        <f>IF(_xlfn.XLOOKUP($E9,'[1]Import Eletra'!$B:$B,'[1]Import Eletra'!$BQ:$BQ,,0,1)=0,"",_xlfn.XLOOKUP($E9,'[1]Import Eletra'!$B:$B,'[1]Import Eletra'!$BQ:$BQ,0,1))</f>
        <v>409.14499999999998</v>
      </c>
      <c r="EE9" s="407">
        <f>IF(_xlfn.XLOOKUP($E9,'[1]Import Eletra'!$B:$B,'[1]Import Eletra'!$BR:$BR,,0,1)=0,"",_xlfn.XLOOKUP($E9,'[1]Import Eletra'!$B:$B,'[1]Import Eletra'!$BR:$BR,0,1))</f>
        <v>46128</v>
      </c>
      <c r="EF9" s="406">
        <f>IF(_xlfn.XLOOKUP($E9,'[1]Import Eletra'!$B:$B,'[1]Import Eletra'!$BS:$BS,,0,1)=0,"",_xlfn.XLOOKUP($E9,'[1]Import Eletra'!$B:$B,'[1]Import Eletra'!$BS:$BS,0,1))</f>
        <v>8576.35</v>
      </c>
      <c r="EG9" s="407">
        <f>IF(_xlfn.XLOOKUP($E9,'[1]Import Eletra'!$B:$B,'[1]Import Eletra'!$BT:$BT,,0,1)=0,"",_xlfn.XLOOKUP($E9,'[1]Import Eletra'!$B:$B,'[1]Import Eletra'!$BT:$BT,0,1))</f>
        <v>46167</v>
      </c>
      <c r="EH9" s="406" t="str">
        <f>IF(_xlfn.XLOOKUP($E9,'[1]Import Eletra'!$B:$B,'[1]Import Eletra'!$BU:$BU,,0,1)=0,"",_xlfn.XLOOKUP($E9,'[1]Import Eletra'!$B:$B,'[1]Import Eletra'!$BU:$BU,0,1))</f>
        <v/>
      </c>
      <c r="EI9" s="407" t="str">
        <f>IF(_xlfn.XLOOKUP($E9,'[1]Import Eletra'!$B:$B,'[1]Import Eletra'!$BV:$BV,,0,1)=0,"",_xlfn.XLOOKUP($E9,'[1]Import Eletra'!$B:$B,'[1]Import Eletra'!$BV:$BV,0,1))</f>
        <v/>
      </c>
      <c r="EJ9" s="407">
        <f>IF(_xlfn.XLOOKUP($E9,'[1]Import Eletra'!$B:$B,'[1]Import Eletra'!$CI:$CI,,0,1)=0,"",_xlfn.XLOOKUP($E9,'[1]Import Eletra'!$B:$B,'[1]Import Eletra'!$CI:$CI,0,1))</f>
        <v>46130</v>
      </c>
      <c r="EK9" s="407" t="str">
        <f>IF(_xlfn.XLOOKUP($E9,'[1]Import Eletra'!$B:$B,'[1]Import Eletra'!$CD:$CD,,0,1)=0,"",_xlfn.XLOOKUP($E9,'[1]Import Eletra'!$B:$B,'[1]Import Eletra'!$CD:$CD,0,1))</f>
        <v/>
      </c>
      <c r="EL9" s="407" t="str">
        <f>IF(_xlfn.XLOOKUP($E9,'[1]Import Eletra'!$B:$B,'[1]Import Eletra'!$CE:$CE,,0,1)=0,"",_xlfn.XLOOKUP($E9,'[1]Import Eletra'!$B:$B,'[1]Import Eletra'!$CE:$CE,0,1))</f>
        <v>NÃO</v>
      </c>
      <c r="EM9" s="408" t="str">
        <f>IF(_xlfn.XLOOKUP($E9,'[1]Import Eletra'!$B:$B,'[1]Import Eletra'!$E:$E,,0,1)=0,"",_xlfn.XLOOKUP($E9,'[1]Import Eletra'!$B:$B,'[1]Import Eletra'!$E:$E,0,1))</f>
        <v>LEISIANE</v>
      </c>
      <c r="EN9" s="408" t="str">
        <f>IF(_xlfn.XLOOKUP($E9,'[1]Import Eletra'!$B:$B,'[1]Import Eletra'!$R:$R,,0,1)=0,"",_xlfn.XLOOKUP($E9,'[1]Import Eletra'!$B:$B,'[1]Import Eletra'!$R:$R,0,1))</f>
        <v>PWBR260008-30B</v>
      </c>
      <c r="EO9" s="408" t="str">
        <f>IF(_xlfn.XLOOKUP($E9,'[1]Import Eletra'!$B:$B,'[1]Import Eletra'!$P:$P,,0,1)=0,"",_xlfn.XLOOKUP($E9,'[1]Import Eletra'!$B:$B,'[1]Import Eletra'!$P:$P,0,1))</f>
        <v>SDBLBS586148</v>
      </c>
      <c r="EP9" s="408" t="str">
        <f>IF(_xlfn.XLOOKUP($E9,'[1]Import Eletra'!$B:$B,'[1]Import Eletra'!$T:$T,,0,1)=0,"",_xlfn.XLOOKUP($E9,'[1]Import Eletra'!$B:$B,'[1]Import Eletra'!$T:$T,0,1))</f>
        <v>CGMU5321217</v>
      </c>
    </row>
    <row r="10" spans="1:259" ht="30" customHeight="1">
      <c r="B10" s="281"/>
      <c r="C10" s="280"/>
      <c r="D10" s="104" t="s">
        <v>242</v>
      </c>
      <c r="E10" s="105" t="s">
        <v>246</v>
      </c>
      <c r="F10" s="106">
        <f>IF(_xlfn.XLOOKUP($E10,'[1]Import Eletra'!$B:$B,'[1]Import Eletra'!$U:$U,,0,1)=0,"",_xlfn.XLOOKUP($E10,'[1]Import Eletra'!$B:$B,'[1]Import Eletra'!$U:$U,,0,1))</f>
        <v>0.5</v>
      </c>
      <c r="G10" s="107" t="s">
        <v>244</v>
      </c>
      <c r="H10" s="2" t="str">
        <f>_xlfn.XLOOKUP($E10,'[1]Import Eletra'!$B:$B,'[1]Import Eletra'!$F:$F,,0,1)</f>
        <v>DELIVERED</v>
      </c>
      <c r="I10" s="108" t="str">
        <f>_xlfn.XLOOKUP($E10,'[1]Import Eletra'!$B:$B,'[1]Import Eletra'!$G:$G,,0,1)</f>
        <v>SEA</v>
      </c>
      <c r="J10" s="326">
        <v>45991</v>
      </c>
      <c r="K10" s="109">
        <v>30</v>
      </c>
      <c r="L10" s="109">
        <f>M10-J10</f>
        <v>63</v>
      </c>
      <c r="M10" s="326">
        <f>IF(_xlfn.XLOOKUP($E10,'[1]Import Eletra'!$B:$B,'[1]Import Eletra'!$J:$J,,0,1)=0,"",_xlfn.XLOOKUP($E10,'[1]Import Eletra'!$B:$B,'[1]Import Eletra'!$J:$J,,0,1))</f>
        <v>46054</v>
      </c>
      <c r="N10" s="332">
        <f>IF(_xlfn.XLOOKUP($E10,'[1]Import Eletra'!$B:$B,'[1]Import Eletra'!$L:$L,,0,1)=0,"",_xlfn.XLOOKUP($E10,'[1]Import Eletra'!$B:$B,'[1]Import Eletra'!$L:$L,,0,1))</f>
        <v>46112</v>
      </c>
      <c r="O10" s="335">
        <f>IF(_xlfn.XLOOKUP($E10,'[1]Import Eletra'!$B:$B,'[1]Import Eletra'!$AK:$AK,,0,1)=0,"",_xlfn.XLOOKUP($E10,'[1]Import Eletra'!$B:$B,'[1]Import Eletra'!$AK:$AK,,0,1))</f>
        <v>46076</v>
      </c>
      <c r="P10" s="326">
        <f>IF(_xlfn.XLOOKUP($E10,'[1]Import Eletra'!$B:$B,'[1]Import Eletra'!$AL:$AL,,0,1)=0,"",_xlfn.XLOOKUP($E10,'[1]Import Eletra'!$B:$B,'[1]Import Eletra'!$AL:$AL,,0,1))</f>
        <v>46078</v>
      </c>
      <c r="Q10" s="326">
        <f>IF(_xlfn.XLOOKUP($E10,'[1]Import Eletra'!$B:$B,'[1]Import Eletra'!$AM:$AM,,0,1)=0,"",_xlfn.XLOOKUP($E10,'[1]Import Eletra'!$B:$B,'[1]Import Eletra'!$AM:$AM,,0,1))</f>
        <v>46111</v>
      </c>
      <c r="R10" s="326">
        <f>IF(_xlfn.XLOOKUP($E10,'[1]Import Eletra'!$B:$B,'[1]Import Eletra'!$AN:$AN,,0,1)=0,"",_xlfn.XLOOKUP($E10,'[1]Import Eletra'!$B:$B,'[1]Import Eletra'!$AN:$AN,,0,1))</f>
        <v>46118</v>
      </c>
      <c r="S10" s="326">
        <f>IF(_xlfn.XLOOKUP($E10,'[1]Import Eletra'!$B:$B,'[1]Import Eletra'!$AO:$AO,,0,1)=0,"",_xlfn.XLOOKUP($E10,'[1]Import Eletra'!$B:$B,'[1]Import Eletra'!$AO:$AO,,0,1))</f>
        <v>46126</v>
      </c>
      <c r="T10" s="326">
        <f>IF(_xlfn.XLOOKUP($E10,'[1]Import Eletra'!$B:$B,'[1]Import Eletra'!$AP:$AP,,0,1)=0,"",_xlfn.XLOOKUP($E10,'[1]Import Eletra'!$B:$B,'[1]Import Eletra'!$AP:$AP,,0,1))</f>
        <v>46126</v>
      </c>
      <c r="U10" s="326">
        <f>IF(_xlfn.XLOOKUP($E10,'[1]Import Eletra'!$B:$B,'[1]Import Eletra'!$AQ:$AQ,,0,1)=0,"",_xlfn.XLOOKUP($E10,'[1]Import Eletra'!$B:$B,'[1]Import Eletra'!$AQ:$AQ,,0,1))</f>
        <v>46127</v>
      </c>
      <c r="V10" s="339">
        <f>IF(_xlfn.XLOOKUP($E10,'[1]Import Eletra'!$B:$B,'[1]Import Eletra'!$AR:$AR,,0,1)=0,"",_xlfn.XLOOKUP($E10,'[1]Import Eletra'!$B:$B,'[1]Import Eletra'!$AR:$AR,,0,1))</f>
        <v>46120</v>
      </c>
      <c r="W10" s="335">
        <f>AB10-$AB$4</f>
        <v>46115</v>
      </c>
      <c r="X10" s="332">
        <f>IF(_xlfn.XLOOKUP($E10,'[1]Import Eletra'!$B:$B,'[1]Import Eletra'!$AS:$AS,,0,1)=0,"",_xlfn.XLOOKUP($E10,'[1]Import Eletra'!$B:$B,'[1]Import Eletra'!$AS:$AS,,0,1))</f>
        <v>46127</v>
      </c>
      <c r="Y10" s="112">
        <f>$W$4</f>
        <v>0</v>
      </c>
      <c r="Z10" s="113">
        <f ca="1">IF(X10="",TODAY()-W10,X10-W10)</f>
        <v>12</v>
      </c>
      <c r="AA10" s="184">
        <f ca="1">Z10-Y10</f>
        <v>12</v>
      </c>
      <c r="AB10" s="346">
        <f>AG10-$AB$4</f>
        <v>46115</v>
      </c>
      <c r="AC10" s="332">
        <f>IF(_xlfn.XLOOKUP($E10,'[1]Import Eletra'!$B:$B,'[1]Import Eletra'!$AD:$AD,,0,1)=0,"",_xlfn.XLOOKUP($E10,'[1]Import Eletra'!$B:$B,'[1]Import Eletra'!$AD:$AD,,0,1))</f>
        <v>46127</v>
      </c>
      <c r="AD10" s="112">
        <f>$AB$4</f>
        <v>0</v>
      </c>
      <c r="AE10" s="112">
        <f ca="1">IF(AC10="",TODAY()-AB10,AC10-AB10)</f>
        <v>12</v>
      </c>
      <c r="AF10" s="184">
        <f ca="1">AE10-AD10</f>
        <v>12</v>
      </c>
      <c r="AG10" s="354">
        <f>AL10-$AL$4</f>
        <v>46115</v>
      </c>
      <c r="AH10" s="332">
        <f>IF(_xlfn.XLOOKUP($E10,'[1]Import Eletra'!$B:$B,'[1]Import Eletra'!$AE:$AE,,0,1)=0,"",_xlfn.XLOOKUP($E10,'[1]Import Eletra'!$B:$B,'[1]Import Eletra'!$AE:$AE,,0,1))</f>
        <v>46127</v>
      </c>
      <c r="AI10" s="112">
        <f>$AG$4</f>
        <v>0</v>
      </c>
      <c r="AJ10" s="112">
        <f ca="1">IF(AH10="",TODAY()-AG10,AH10-AG10)</f>
        <v>12</v>
      </c>
      <c r="AK10" s="184">
        <f ca="1">AJ10-AI10</f>
        <v>12</v>
      </c>
      <c r="AL10" s="355">
        <f>AQ10-$AQ$4</f>
        <v>46115</v>
      </c>
      <c r="AM10" s="332">
        <f>IF(_xlfn.XLOOKUP($E10,'[1]Import Eletra'!$B:$B,'[1]Import Eletra'!$AT:$AT,,0,1)=0,"",_xlfn.XLOOKUP($E10,'[1]Import Eletra'!$B:$B,'[1]Import Eletra'!$AT:$AT,,0,1))</f>
        <v>46128</v>
      </c>
      <c r="AN10" s="112">
        <f>$AL$4</f>
        <v>0</v>
      </c>
      <c r="AO10" s="112">
        <f ca="1">IF(AM10="",TODAY()-AL10,AM10-AL10)</f>
        <v>13</v>
      </c>
      <c r="AP10" s="184">
        <f ca="1">AO10-AN10</f>
        <v>13</v>
      </c>
      <c r="AQ10" s="357">
        <f>AV10-$AV$4</f>
        <v>46116</v>
      </c>
      <c r="AR10" s="332">
        <f>IF(_xlfn.XLOOKUP($E10,'[1]Import Eletra'!$B:$B,'[1]Import Eletra'!$AU:$AU,,0,1)=0,"",_xlfn.XLOOKUP($E10,'[1]Import Eletra'!$B:$B,'[1]Import Eletra'!$AU:$AU,,0,1))</f>
        <v>46129</v>
      </c>
      <c r="AS10" s="112">
        <f>$AQ$4</f>
        <v>1</v>
      </c>
      <c r="AT10" s="112">
        <f ca="1">IF(AR10="",TODAY()-AQ10,AR10-AQ10)</f>
        <v>13</v>
      </c>
      <c r="AU10" s="184">
        <f ca="1">AT10-AS10</f>
        <v>12</v>
      </c>
      <c r="AV10" s="355">
        <f>BA10-$BA$4</f>
        <v>46116</v>
      </c>
      <c r="AW10" s="332" t="str">
        <f>IF(_xlfn.XLOOKUP($E10,'[1]Import Eletra'!$B:$B,'[1]Import Eletra'!$AV:$AV,,0,1)=0,"",_xlfn.XLOOKUP($E10,'[1]Import Eletra'!$B:$B,'[1]Import Eletra'!$AV:$AV,,0,1))</f>
        <v/>
      </c>
      <c r="AX10" s="112"/>
      <c r="AY10" s="113"/>
      <c r="AZ10" s="184">
        <f>AY10-AX10</f>
        <v>0</v>
      </c>
      <c r="BA10" s="357">
        <f>BF10-$BF$4</f>
        <v>46116</v>
      </c>
      <c r="BB10" s="332" t="str">
        <f>IF(_xlfn.XLOOKUP($E10,'[1]Import Eletra'!$B:$B,'[1]Import Eletra'!$AW:$AW,,0,1)=0,"",_xlfn.XLOOKUP($E10,'[1]Import Eletra'!$B:$B,'[1]Import Eletra'!$AW:$AW,,0,1))</f>
        <v/>
      </c>
      <c r="BC10" s="112"/>
      <c r="BD10" s="112"/>
      <c r="BE10" s="184">
        <f>BD10-BC10</f>
        <v>0</v>
      </c>
      <c r="BF10" s="335">
        <f>BK10-$BK$4</f>
        <v>46116</v>
      </c>
      <c r="BG10" s="332" t="str">
        <f>IF(_xlfn.XLOOKUP($E10,'[1]Import Eletra'!$B:$B,'[1]Import Eletra'!$AX:$AX,,0,1)=0,"",_xlfn.XLOOKUP($E10,'[1]Import Eletra'!$B:$B,'[1]Import Eletra'!$AX:$AX,,0,1))</f>
        <v/>
      </c>
      <c r="BH10" s="112"/>
      <c r="BI10" s="112"/>
      <c r="BJ10" s="184">
        <f>BI10-BH10</f>
        <v>0</v>
      </c>
      <c r="BK10" s="362">
        <f>BP10-$BP$4</f>
        <v>46116</v>
      </c>
      <c r="BL10" s="332">
        <f>IF(_xlfn.XLOOKUP($E10,'[1]Import Eletra'!$B:$B,'[1]Import Eletra'!$AY:$AY,,0,1)=0,"",_xlfn.XLOOKUP($E10,'[1]Import Eletra'!$B:$B,'[1]Import Eletra'!$AY:$AY,,0,1))</f>
        <v>46128</v>
      </c>
      <c r="BM10" s="112">
        <f>$BK$4</f>
        <v>0</v>
      </c>
      <c r="BN10" s="112">
        <f ca="1">IF(BL10="",TODAY()-BK10,BL10-BK10)</f>
        <v>12</v>
      </c>
      <c r="BO10" s="184">
        <f ca="1">BN10-BM10</f>
        <v>12</v>
      </c>
      <c r="BP10" s="335">
        <f>BU10-$BU$4</f>
        <v>46116</v>
      </c>
      <c r="BQ10" s="332">
        <f>IF(_xlfn.XLOOKUP($E10,'[1]Import Eletra'!$B:$B,'[1]Import Eletra'!$AZ:$AZ,,0,1)=0,"",_xlfn.XLOOKUP($E10,'[1]Import Eletra'!$B:$B,'[1]Import Eletra'!$AZ:$AZ,,0,1))</f>
        <v>46129</v>
      </c>
      <c r="BR10" s="112">
        <f>$BP$4</f>
        <v>0</v>
      </c>
      <c r="BS10" s="112">
        <f ca="1">IF(BQ10="",TODAY()-BP10,BQ10-BP10)</f>
        <v>13</v>
      </c>
      <c r="BT10" s="184">
        <f ca="1">BS10-BR10</f>
        <v>13</v>
      </c>
      <c r="BU10" s="362">
        <f>BZ10-$BZ$4</f>
        <v>46118</v>
      </c>
      <c r="BV10" s="332">
        <f>IF(_xlfn.XLOOKUP($E10,'[1]Import Eletra'!$B:$B,'[1]Import Eletra'!$BA:$BA,,0,1)=0,"",_xlfn.XLOOKUP($E10,'[1]Import Eletra'!$B:$B,'[1]Import Eletra'!$BA:$BA,,0,1))</f>
        <v>46132</v>
      </c>
      <c r="BW10" s="112">
        <f>$BU$4</f>
        <v>2</v>
      </c>
      <c r="BX10" s="112">
        <f ca="1">IF(BV10="",TODAY()-BU10,BV10-BU10)</f>
        <v>14</v>
      </c>
      <c r="BY10" s="184">
        <f ca="1">BX10-BW10</f>
        <v>12</v>
      </c>
      <c r="BZ10" s="335">
        <f>CE10-$CE$4</f>
        <v>46118</v>
      </c>
      <c r="CA10" s="332">
        <f>IF(_xlfn.XLOOKUP($E10,'[1]Import Eletra'!$B:$B,'[1]Import Eletra'!$BB:$BB,,0,1)=0,"",_xlfn.XLOOKUP($E10,'[1]Import Eletra'!$B:$B,'[1]Import Eletra'!$BB:$BB,,0,1))</f>
        <v>46132</v>
      </c>
      <c r="CB10" s="112">
        <f>$BZ$4</f>
        <v>0</v>
      </c>
      <c r="CC10" s="112">
        <f ca="1">IF(CA10="",TODAY()-BZ10,CA10-BZ10)</f>
        <v>14</v>
      </c>
      <c r="CD10" s="184">
        <f ca="1">CC10-CB10</f>
        <v>14</v>
      </c>
      <c r="CE10" s="362">
        <f>CJ10-$CJ$4</f>
        <v>46118</v>
      </c>
      <c r="CF10" s="332">
        <f>IF(_xlfn.XLOOKUP($E10,'[1]Import Eletra'!$B:$B,'[1]Import Eletra'!$BC:$BC,,0,1)=0,"",_xlfn.XLOOKUP($E10,'[1]Import Eletra'!$B:$B,'[1]Import Eletra'!$BC:$BC,,0,1))</f>
        <v>46132</v>
      </c>
      <c r="CG10" s="112">
        <f>$CE$4</f>
        <v>0</v>
      </c>
      <c r="CH10" s="112">
        <f ca="1">IF(CF10="",TODAY()-CE10,CF10-CE10)</f>
        <v>14</v>
      </c>
      <c r="CI10" s="184">
        <f ca="1">CH10-CG10</f>
        <v>14</v>
      </c>
      <c r="CJ10" s="335">
        <f>CO10-$CO$4</f>
        <v>46118</v>
      </c>
      <c r="CK10" s="332">
        <f>IF(_xlfn.XLOOKUP($E10,'[1]Import Eletra'!$B:$B,'[1]Import Eletra'!$BD:$BD,,0,1)=0,"",_xlfn.XLOOKUP($E10,'[1]Import Eletra'!$B:$B,'[1]Import Eletra'!$BD:$BD,,0,1))</f>
        <v>46132</v>
      </c>
      <c r="CL10" s="112"/>
      <c r="CM10" s="112">
        <f ca="1">IF(CK10="",TODAY()-CJ10,CK10-CJ10)</f>
        <v>14</v>
      </c>
      <c r="CN10" s="184">
        <f ca="1">CM10-CL10</f>
        <v>14</v>
      </c>
      <c r="CO10" s="362">
        <f>CT10-$CT$4</f>
        <v>46118</v>
      </c>
      <c r="CP10" s="332">
        <f>IF(_xlfn.XLOOKUP($E10,'[1]Import Eletra'!$B:$B,'[1]Import Eletra'!$BE:$BE,,0,1)=0,"",_xlfn.XLOOKUP($E10,'[1]Import Eletra'!$B:$B,'[1]Import Eletra'!$BE:$BE,,0,1))</f>
        <v>46134</v>
      </c>
      <c r="CQ10" s="112">
        <f>$CO$4</f>
        <v>0</v>
      </c>
      <c r="CR10" s="112">
        <f ca="1">IF(CP10="",TODAY()-CO10,CP10-CO10)</f>
        <v>16</v>
      </c>
      <c r="CS10" s="184">
        <f ca="1">CR10-CQ10</f>
        <v>16</v>
      </c>
      <c r="CT10" s="335">
        <f>CY10-$CY$4</f>
        <v>46118</v>
      </c>
      <c r="CU10" s="332">
        <f>IF(_xlfn.XLOOKUP($E10,'[1]Import Eletra'!$B:$B,'[1]Import Eletra'!$BF:$BF,,0,1)=0,"",_xlfn.XLOOKUP($E10,'[1]Import Eletra'!$B:$B,'[1]Import Eletra'!$BF:$BF,,0,1))</f>
        <v>46134</v>
      </c>
      <c r="CV10" s="112">
        <f>$CT$4</f>
        <v>0</v>
      </c>
      <c r="CW10" s="112">
        <f ca="1">IF(CU10="",TODAY()-CT10,CU10-CT10)</f>
        <v>16</v>
      </c>
      <c r="CX10" s="184">
        <f ca="1">CW10-CV10</f>
        <v>16</v>
      </c>
      <c r="CY10" s="110">
        <f>DD10-$DD$4</f>
        <v>46118</v>
      </c>
      <c r="CZ10" s="104">
        <f>IF(_xlfn.XLOOKUP($E10,'[1]Import Eletra'!$B:$B,'[1]Import Eletra'!$BF:$BF,,0,1)=0,"",_xlfn.XLOOKUP($E10,'[1]Import Eletra'!$B:$B,'[1]Import Eletra'!$BF:$BF,,0,1))</f>
        <v>46134</v>
      </c>
      <c r="DA10" s="121">
        <f>$CY$4</f>
        <v>0</v>
      </c>
      <c r="DB10" s="112">
        <f ca="1">IF(CZ10="",TODAY()-CY10,CZ10-CY10)</f>
        <v>16</v>
      </c>
      <c r="DC10" s="184">
        <f ca="1">DB10-DA10</f>
        <v>16</v>
      </c>
      <c r="DD10" s="110">
        <f>DI10-$DI$4</f>
        <v>46120</v>
      </c>
      <c r="DE10" s="104">
        <f>IF(_xlfn.XLOOKUP($E10,'[1]Import Eletra'!$B:$B,'[1]Import Eletra'!$BG:$BG,,0,1)=0,"",_xlfn.XLOOKUP($E10,'[1]Import Eletra'!$B:$B,'[1]Import Eletra'!$BG:$BG,0,1))</f>
        <v>46135</v>
      </c>
      <c r="DF10" s="112">
        <f>$DD$4</f>
        <v>2</v>
      </c>
      <c r="DG10" s="112">
        <f ca="1">IF(DE10="",TODAY()-DD10,DE10-DD10)</f>
        <v>15</v>
      </c>
      <c r="DH10" s="184">
        <f ca="1">DG10-DF10</f>
        <v>13</v>
      </c>
      <c r="DI10" s="110">
        <f>DO10-$DN$4</f>
        <v>46121</v>
      </c>
      <c r="DJ10" s="104">
        <f>IF(_xlfn.XLOOKUP($E10,'[1]Import Eletra'!$B:$B,'[1]Import Eletra'!$BH:$BH,,0,1)=0,"",_xlfn.XLOOKUP($E10,'[1]Import Eletra'!$B:$B,'[1]Import Eletra'!$BH:$BH,0,1))</f>
        <v>46135</v>
      </c>
      <c r="DK10" s="112">
        <f>$DI$4</f>
        <v>1</v>
      </c>
      <c r="DL10" s="112">
        <f ca="1">IF(DJ10="",TODAY()-DI10,DJ10-DI10)</f>
        <v>14</v>
      </c>
      <c r="DM10" s="184">
        <f ca="1">DL10-DK10</f>
        <v>13</v>
      </c>
      <c r="DN10" s="64"/>
      <c r="DO10" s="202">
        <f t="shared" ref="DO10:DO35" si="0">N10+DT10</f>
        <v>46122</v>
      </c>
      <c r="DP10" s="165">
        <f>IF(_xlfn.XLOOKUP($E10,'[1]Import Eletra'!$B:$B,'[1]Import Eletra'!$O:$O,,0,1)=0,"",_xlfn.XLOOKUP($E10,'[1]Import Eletra'!$B:$B,'[1]Import Eletra'!$O:$O,0,1))</f>
        <v>46135</v>
      </c>
      <c r="DQ10" s="112">
        <f>$DN$4</f>
        <v>1</v>
      </c>
      <c r="DR10" s="112">
        <f ca="1">IF(DP10="",TODAY()-DO10,DP10-DO10)</f>
        <v>13</v>
      </c>
      <c r="DS10" s="184">
        <f ca="1">DR10-DQ10</f>
        <v>12</v>
      </c>
      <c r="DT10" s="143">
        <v>10</v>
      </c>
      <c r="DU10" s="140">
        <f ca="1">IF(DP10="",TODAY()-N10,DP10-N10)</f>
        <v>23</v>
      </c>
      <c r="DV10" s="184">
        <f ca="1">DU10-DT10</f>
        <v>13</v>
      </c>
      <c r="DX10" s="185" t="s">
        <v>245</v>
      </c>
      <c r="DY10" s="108" t="str">
        <f>IF(_xlfn.XLOOKUP($E10,'[1]Import Eletra'!$B:$B,'[1]Import Eletra'!$DW:$DW,,0,1)=0,"",_xlfn.XLOOKUP($E10,'[1]Import Eletra'!$B:$B,'[1]Import Eletra'!$DW:$DW,0,1))</f>
        <v/>
      </c>
      <c r="EB10" s="289"/>
      <c r="ED10" s="406">
        <f>IF(_xlfn.XLOOKUP($E10,'[1]Import Eletra'!$B:$B,'[1]Import Eletra'!$BQ:$BQ,,0,1)=0,"",_xlfn.XLOOKUP($E10,'[1]Import Eletra'!$B:$B,'[1]Import Eletra'!$BQ:$BQ,0,1))</f>
        <v>409.14499999999998</v>
      </c>
      <c r="EE10" s="407">
        <f>IF(_xlfn.XLOOKUP($E10,'[1]Import Eletra'!$B:$B,'[1]Import Eletra'!$BR:$BR,,0,1)=0,"",_xlfn.XLOOKUP($E10,'[1]Import Eletra'!$B:$B,'[1]Import Eletra'!$BR:$BR,0,1))</f>
        <v>46128</v>
      </c>
      <c r="EF10" s="406">
        <f>IF(_xlfn.XLOOKUP($E10,'[1]Import Eletra'!$B:$B,'[1]Import Eletra'!$BS:$BS,,0,1)=0,"",_xlfn.XLOOKUP($E10,'[1]Import Eletra'!$B:$B,'[1]Import Eletra'!$BS:$BS,0,1))</f>
        <v>8576.35</v>
      </c>
      <c r="EG10" s="407">
        <f>IF(_xlfn.XLOOKUP($E10,'[1]Import Eletra'!$B:$B,'[1]Import Eletra'!$BT:$BT,,0,1)=0,"",_xlfn.XLOOKUP($E10,'[1]Import Eletra'!$B:$B,'[1]Import Eletra'!$BT:$BT,0,1))</f>
        <v>46167</v>
      </c>
      <c r="EH10" s="406" t="str">
        <f>IF(_xlfn.XLOOKUP($E10,'[1]Import Eletra'!$B:$B,'[1]Import Eletra'!$BU:$BU,,0,1)=0,"",_xlfn.XLOOKUP($E10,'[1]Import Eletra'!$B:$B,'[1]Import Eletra'!$BU:$BU,0,1))</f>
        <v/>
      </c>
      <c r="EI10" s="407" t="str">
        <f>IF(_xlfn.XLOOKUP($E10,'[1]Import Eletra'!$B:$B,'[1]Import Eletra'!$BV:$BV,,0,1)=0,"",_xlfn.XLOOKUP($E10,'[1]Import Eletra'!$B:$B,'[1]Import Eletra'!$BV:$BV,0,1))</f>
        <v/>
      </c>
      <c r="EJ10" s="407">
        <f>IF(_xlfn.XLOOKUP($E10,'[1]Import Eletra'!$B:$B,'[1]Import Eletra'!$CI:$CI,,0,1)=0,"",_xlfn.XLOOKUP($E10,'[1]Import Eletra'!$B:$B,'[1]Import Eletra'!$CI:$CI,0,1))</f>
        <v>46130</v>
      </c>
      <c r="EK10" s="407" t="str">
        <f>IF(_xlfn.XLOOKUP($E10,'[1]Import Eletra'!$B:$B,'[1]Import Eletra'!$CD:$CD,,0,1)=0,"",_xlfn.XLOOKUP($E10,'[1]Import Eletra'!$B:$B,'[1]Import Eletra'!$CD:$CD,0,1))</f>
        <v/>
      </c>
      <c r="EL10" s="407" t="str">
        <f>IF(_xlfn.XLOOKUP($E10,'[1]Import Eletra'!$B:$B,'[1]Import Eletra'!$CE:$CE,,0,1)=0,"",_xlfn.XLOOKUP($E10,'[1]Import Eletra'!$B:$B,'[1]Import Eletra'!$CE:$CE,0,1))</f>
        <v>NÃO</v>
      </c>
      <c r="EM10" s="408" t="str">
        <f>IF(_xlfn.XLOOKUP($E10,'[1]Import Eletra'!$B:$B,'[1]Import Eletra'!$E:$E,,0,1)=0,"",_xlfn.XLOOKUP($E10,'[1]Import Eletra'!$B:$B,'[1]Import Eletra'!$E:$E,0,1))</f>
        <v>LEISIANE</v>
      </c>
      <c r="EN10" s="408" t="str">
        <f>IF(_xlfn.XLOOKUP($E10,'[1]Import Eletra'!$B:$B,'[1]Import Eletra'!$R:$R,,0,1)=0,"",_xlfn.XLOOKUP($E10,'[1]Import Eletra'!$B:$B,'[1]Import Eletra'!$R:$R,0,1))</f>
        <v>PWBR260008-30C</v>
      </c>
      <c r="EO10" s="408" t="str">
        <f>IF(_xlfn.XLOOKUP($E10,'[1]Import Eletra'!$B:$B,'[1]Import Eletra'!$P:$P,,0,1)=0,"",_xlfn.XLOOKUP($E10,'[1]Import Eletra'!$B:$B,'[1]Import Eletra'!$P:$P,0,1))</f>
        <v>SDBLBS586149</v>
      </c>
      <c r="EP10" s="408" t="str">
        <f>IF(_xlfn.XLOOKUP($E10,'[1]Import Eletra'!$B:$B,'[1]Import Eletra'!$T:$T,,0,1)=0,"",_xlfn.XLOOKUP($E10,'[1]Import Eletra'!$B:$B,'[1]Import Eletra'!$T:$T,0,1))</f>
        <v>CGMU5321217</v>
      </c>
    </row>
    <row r="11" spans="1:259" ht="30" customHeight="1">
      <c r="A11" s="227"/>
      <c r="B11" s="371" t="s">
        <v>352</v>
      </c>
      <c r="C11" s="280"/>
      <c r="D11" s="104" t="s">
        <v>247</v>
      </c>
      <c r="E11" s="245" t="s">
        <v>248</v>
      </c>
      <c r="F11" s="106">
        <f>IF(_xlfn.XLOOKUP($E11,'[1]Import Eletra'!$B:$B,'[1]Import Eletra'!$U:$U,,0,1)=0,"",_xlfn.XLOOKUP($E11,'[1]Import Eletra'!$B:$B,'[1]Import Eletra'!$U:$U,,0,1))</f>
        <v>2</v>
      </c>
      <c r="G11" s="107" t="s">
        <v>244</v>
      </c>
      <c r="H11" s="104" t="str">
        <f>_xlfn.XLOOKUP($E11,'[1]Import Eletra'!$B:$B,'[1]Import Eletra'!$F:$F,,0,1)</f>
        <v>DELIVERED</v>
      </c>
      <c r="I11" s="108" t="str">
        <f>_xlfn.XLOOKUP($E11,'[1]Import Eletra'!$B:$B,'[1]Import Eletra'!$G:$G,,0,1)</f>
        <v>SEA</v>
      </c>
      <c r="J11" s="326">
        <v>46025</v>
      </c>
      <c r="K11" s="109">
        <v>30</v>
      </c>
      <c r="L11" s="109">
        <f>M11-J11</f>
        <v>51</v>
      </c>
      <c r="M11" s="326">
        <f>IF(_xlfn.XLOOKUP($E11,'[1]Import Eletra'!$B:$B,'[1]Import Eletra'!$J:$J,,0,1)=0,"",_xlfn.XLOOKUP($E11,'[1]Import Eletra'!$B:$B,'[1]Import Eletra'!$J:$J,,0,1))</f>
        <v>46076</v>
      </c>
      <c r="N11" s="332">
        <f>IF(_xlfn.XLOOKUP($E11,'[1]Import Eletra'!$B:$B,'[1]Import Eletra'!$L:$L,,0,1)=0,"",_xlfn.XLOOKUP($E11,'[1]Import Eletra'!$B:$B,'[1]Import Eletra'!$L:$L,,0,1))</f>
        <v>46126</v>
      </c>
      <c r="O11" s="335">
        <f>IF(_xlfn.XLOOKUP($E11,'[1]Import Eletra'!$B:$B,'[1]Import Eletra'!$AK:$AK,,0,1)=0,"",_xlfn.XLOOKUP($E11,'[1]Import Eletra'!$B:$B,'[1]Import Eletra'!$AK:$AK,,0,1))</f>
        <v>46085</v>
      </c>
      <c r="P11" s="326">
        <f>IF(_xlfn.XLOOKUP($E11,'[1]Import Eletra'!$B:$B,'[1]Import Eletra'!$AL:$AL,,0,1)=0,"",_xlfn.XLOOKUP($E11,'[1]Import Eletra'!$B:$B,'[1]Import Eletra'!$AL:$AL,,0,1))</f>
        <v>46126</v>
      </c>
      <c r="Q11" s="326">
        <f>IF(_xlfn.XLOOKUP($E11,'[1]Import Eletra'!$B:$B,'[1]Import Eletra'!$AM:$AM,,0,1)=0,"",_xlfn.XLOOKUP($E11,'[1]Import Eletra'!$B:$B,'[1]Import Eletra'!$AM:$AM,,0,1))</f>
        <v>46126</v>
      </c>
      <c r="R11" s="326">
        <f>IF(_xlfn.XLOOKUP($E11,'[1]Import Eletra'!$B:$B,'[1]Import Eletra'!$AN:$AN,,0,1)=0,"",_xlfn.XLOOKUP($E11,'[1]Import Eletra'!$B:$B,'[1]Import Eletra'!$AN:$AN,,0,1))</f>
        <v>46126</v>
      </c>
      <c r="S11" s="326">
        <f>IF(_xlfn.XLOOKUP($E11,'[1]Import Eletra'!$B:$B,'[1]Import Eletra'!$AO:$AO,,0,1)=0,"",_xlfn.XLOOKUP($E11,'[1]Import Eletra'!$B:$B,'[1]Import Eletra'!$AO:$AO,,0,1))</f>
        <v>46127</v>
      </c>
      <c r="T11" s="326">
        <f>IF(_xlfn.XLOOKUP($E11,'[1]Import Eletra'!$B:$B,'[1]Import Eletra'!$AP:$AP,,0,1)=0,"",_xlfn.XLOOKUP($E11,'[1]Import Eletra'!$B:$B,'[1]Import Eletra'!$AP:$AP,,0,1))</f>
        <v>46127</v>
      </c>
      <c r="U11" s="326">
        <f>IF(_xlfn.XLOOKUP($E11,'[1]Import Eletra'!$B:$B,'[1]Import Eletra'!$AQ:$AQ,,0,1)=0,"",_xlfn.XLOOKUP($E11,'[1]Import Eletra'!$B:$B,'[1]Import Eletra'!$AQ:$AQ,,0,1))</f>
        <v>46127</v>
      </c>
      <c r="V11" s="339">
        <f>IF(_xlfn.XLOOKUP($E11,'[1]Import Eletra'!$B:$B,'[1]Import Eletra'!$AR:$AR,,0,1)=0,"",_xlfn.XLOOKUP($E11,'[1]Import Eletra'!$B:$B,'[1]Import Eletra'!$AR:$AR,,0,1))</f>
        <v>46127</v>
      </c>
      <c r="W11" s="335">
        <f>AB11-$AB$5</f>
        <v>46127</v>
      </c>
      <c r="X11" s="332">
        <f>IF(_xlfn.XLOOKUP($E11,'[1]Import Eletra'!$B:$B,'[1]Import Eletra'!$AS:$AS,,0,1)=0,"",_xlfn.XLOOKUP($E11,'[1]Import Eletra'!$B:$B,'[1]Import Eletra'!$AS:$AS,,0,1))</f>
        <v>46135</v>
      </c>
      <c r="Y11" s="112">
        <f>$W$4</f>
        <v>0</v>
      </c>
      <c r="Z11" s="113">
        <f ca="1">IF(X11="",TODAY()-W11,X11-W11)</f>
        <v>8</v>
      </c>
      <c r="AA11" s="184">
        <f ca="1">Z11-Y11</f>
        <v>8</v>
      </c>
      <c r="AB11" s="346">
        <f>AG11-$AB$5</f>
        <v>46128</v>
      </c>
      <c r="AC11" s="332">
        <f>IF(_xlfn.XLOOKUP($E11,'[1]Import Eletra'!$B:$B,'[1]Import Eletra'!$AD:$AD,,0,1)=0,"",_xlfn.XLOOKUP($E11,'[1]Import Eletra'!$B:$B,'[1]Import Eletra'!$AD:$AD,,0,1))</f>
        <v>46135</v>
      </c>
      <c r="AD11" s="112">
        <f>$AB$4</f>
        <v>0</v>
      </c>
      <c r="AE11" s="112">
        <f ca="1">IF(AC11="",TODAY()-AB11,AC11-AB11)</f>
        <v>7</v>
      </c>
      <c r="AF11" s="184">
        <f ca="1">AE11-AD11</f>
        <v>7</v>
      </c>
      <c r="AG11" s="354">
        <f>AL11-$AL$5</f>
        <v>46129</v>
      </c>
      <c r="AH11" s="332">
        <f>IF(_xlfn.XLOOKUP($E11,'[1]Import Eletra'!$B:$B,'[1]Import Eletra'!$AE:$AE,,0,1)=0,"",_xlfn.XLOOKUP($E11,'[1]Import Eletra'!$B:$B,'[1]Import Eletra'!$AE:$AE,,0,1))</f>
        <v>46135</v>
      </c>
      <c r="AI11" s="112">
        <f>$AG$4</f>
        <v>0</v>
      </c>
      <c r="AJ11" s="112">
        <f ca="1">IF(AH11="",TODAY()-AG11,AH11-AG11)</f>
        <v>6</v>
      </c>
      <c r="AK11" s="184">
        <f ca="1">AJ11-AI11</f>
        <v>6</v>
      </c>
      <c r="AL11" s="355">
        <f>AQ11-$AQ$5</f>
        <v>46129</v>
      </c>
      <c r="AM11" s="332">
        <f>IF(_xlfn.XLOOKUP($E11,'[1]Import Eletra'!$B:$B,'[1]Import Eletra'!$AT:$AT,,0,1)=0,"",_xlfn.XLOOKUP($E11,'[1]Import Eletra'!$B:$B,'[1]Import Eletra'!$AT:$AT,,0,1))</f>
        <v>46136</v>
      </c>
      <c r="AN11" s="112">
        <f>$AL$4</f>
        <v>0</v>
      </c>
      <c r="AO11" s="112">
        <f ca="1">IF(AM11="",TODAY()-AL11,AM11-AL11)</f>
        <v>7</v>
      </c>
      <c r="AP11" s="184">
        <f ca="1">AO11-AN11</f>
        <v>7</v>
      </c>
      <c r="AQ11" s="357">
        <f>AV11-$AV$5</f>
        <v>46130</v>
      </c>
      <c r="AR11" s="332">
        <f>IF(_xlfn.XLOOKUP($E11,'[1]Import Eletra'!$B:$B,'[1]Import Eletra'!$AU:$AU,,0,1)=0,"",_xlfn.XLOOKUP($E11,'[1]Import Eletra'!$B:$B,'[1]Import Eletra'!$AU:$AU,,0,1))</f>
        <v>46136</v>
      </c>
      <c r="AS11" s="112">
        <f>$AQ$4</f>
        <v>1</v>
      </c>
      <c r="AT11" s="112">
        <f ca="1">IF(AR11="",TODAY()-AQ11,AR11-AQ11)</f>
        <v>6</v>
      </c>
      <c r="AU11" s="184">
        <f ca="1">AT11-AS11</f>
        <v>5</v>
      </c>
      <c r="AV11" s="355">
        <f>BA11-$BA$5</f>
        <v>46130</v>
      </c>
      <c r="AW11" s="332">
        <f>IF(_xlfn.XLOOKUP($E11,'[1]Import Eletra'!$B:$B,'[1]Import Eletra'!$AV:$AV,,0,1)=0,"",_xlfn.XLOOKUP($E11,'[1]Import Eletra'!$B:$B,'[1]Import Eletra'!$AV:$AV,,0,1))</f>
        <v>46135</v>
      </c>
      <c r="AX11" s="112">
        <f>$AV$4</f>
        <v>0</v>
      </c>
      <c r="AY11" s="113">
        <f ca="1">IF(AW11="",TODAY()-AV11,AW11-AV11)</f>
        <v>5</v>
      </c>
      <c r="AZ11" s="184">
        <f ca="1">AY11-AX11</f>
        <v>5</v>
      </c>
      <c r="BA11" s="357">
        <f>BF11-$BF$5</f>
        <v>46130</v>
      </c>
      <c r="BB11" s="332">
        <f>IF(_xlfn.XLOOKUP($E11,'[1]Import Eletra'!$B:$B,'[1]Import Eletra'!$AW:$AW,,0,1)=0,"",_xlfn.XLOOKUP($E11,'[1]Import Eletra'!$B:$B,'[1]Import Eletra'!$AW:$AW,,0,1))</f>
        <v>46136</v>
      </c>
      <c r="BC11" s="112">
        <f>$BA$4</f>
        <v>0</v>
      </c>
      <c r="BD11" s="112">
        <f ca="1">IF(BB11="",TODAY()-BA11,BB11-BA11)</f>
        <v>6</v>
      </c>
      <c r="BE11" s="184">
        <f ca="1">BD11-BC11</f>
        <v>6</v>
      </c>
      <c r="BF11" s="335">
        <f>BK11-$BK$5</f>
        <v>46130</v>
      </c>
      <c r="BG11" s="332">
        <f>IF(_xlfn.XLOOKUP($E11,'[1]Import Eletra'!$B:$B,'[1]Import Eletra'!$AX:$AX,,0,1)=0,"",_xlfn.XLOOKUP($E11,'[1]Import Eletra'!$B:$B,'[1]Import Eletra'!$AX:$AX,,0,1))</f>
        <v>46136</v>
      </c>
      <c r="BH11" s="112">
        <f>$BF$4</f>
        <v>0</v>
      </c>
      <c r="BI11" s="112">
        <f ca="1">IF(BG11="",TODAY()-BF11,BG11-BF11)</f>
        <v>6</v>
      </c>
      <c r="BJ11" s="184">
        <f ca="1">BI11-BH11</f>
        <v>6</v>
      </c>
      <c r="BK11" s="362">
        <f>BP11-$BP$5</f>
        <v>46130</v>
      </c>
      <c r="BL11" s="332">
        <f>IF(_xlfn.XLOOKUP($E11,'[1]Import Eletra'!$B:$B,'[1]Import Eletra'!$AY:$AY,,0,1)=0,"",_xlfn.XLOOKUP($E11,'[1]Import Eletra'!$B:$B,'[1]Import Eletra'!$AY:$AY,,0,1))</f>
        <v>46136</v>
      </c>
      <c r="BM11" s="112">
        <f>$BK$4</f>
        <v>0</v>
      </c>
      <c r="BN11" s="112">
        <f ca="1">IF(BL11="",TODAY()-BK11,BL11-BK11)</f>
        <v>6</v>
      </c>
      <c r="BO11" s="184">
        <f ca="1">BN11-BM11</f>
        <v>6</v>
      </c>
      <c r="BP11" s="335">
        <f>BU11-$BU$5</f>
        <v>46130</v>
      </c>
      <c r="BQ11" s="332">
        <f>IF(_xlfn.XLOOKUP($E11,'[1]Import Eletra'!$B:$B,'[1]Import Eletra'!$AZ:$AZ,,0,1)=0,"",_xlfn.XLOOKUP($E11,'[1]Import Eletra'!$B:$B,'[1]Import Eletra'!$AZ:$AZ,,0,1))</f>
        <v>46136</v>
      </c>
      <c r="BR11" s="112">
        <f>$BP$4</f>
        <v>0</v>
      </c>
      <c r="BS11" s="112">
        <f ca="1">IF(BQ11="",TODAY()-BP11,BQ11-BP11)</f>
        <v>6</v>
      </c>
      <c r="BT11" s="184">
        <f ca="1">BS11-BR11</f>
        <v>6</v>
      </c>
      <c r="BU11" s="362">
        <f>BZ11-$BZ$4</f>
        <v>46132</v>
      </c>
      <c r="BV11" s="332">
        <f>IF(_xlfn.XLOOKUP($E11,'[1]Import Eletra'!$B:$B,'[1]Import Eletra'!$BA:$BA,,0,1)=0,"",_xlfn.XLOOKUP($E11,'[1]Import Eletra'!$B:$B,'[1]Import Eletra'!$BA:$BA,,0,1))</f>
        <v>46139</v>
      </c>
      <c r="BW11" s="112">
        <f>$BU$4</f>
        <v>2</v>
      </c>
      <c r="BX11" s="112">
        <f ca="1">IF(BV11="",TODAY()-BU11,BV11-BU11)</f>
        <v>7</v>
      </c>
      <c r="BY11" s="184">
        <f ca="1">BX11-BW11</f>
        <v>5</v>
      </c>
      <c r="BZ11" s="335">
        <f>CE11-$CE$5</f>
        <v>46132</v>
      </c>
      <c r="CA11" s="332">
        <f>IF(_xlfn.XLOOKUP($E11,'[1]Import Eletra'!$B:$B,'[1]Import Eletra'!$BB:$BB,,0,1)=0,"",_xlfn.XLOOKUP($E11,'[1]Import Eletra'!$B:$B,'[1]Import Eletra'!$BB:$BB,,0,1))</f>
        <v>46139</v>
      </c>
      <c r="CB11" s="112">
        <f>$BZ$4</f>
        <v>0</v>
      </c>
      <c r="CC11" s="112">
        <f ca="1">IF(CA11="",TODAY()-BZ11,CA11-BZ11)</f>
        <v>7</v>
      </c>
      <c r="CD11" s="184">
        <f ca="1">CC11-CB11</f>
        <v>7</v>
      </c>
      <c r="CE11" s="362">
        <f>CJ11-$CJ$4</f>
        <v>46132</v>
      </c>
      <c r="CF11" s="332">
        <f>IF(_xlfn.XLOOKUP($E11,'[1]Import Eletra'!$B:$B,'[1]Import Eletra'!$BC:$BC,,0,1)=0,"",_xlfn.XLOOKUP($E11,'[1]Import Eletra'!$B:$B,'[1]Import Eletra'!$BC:$BC,,0,1))</f>
        <v>46139</v>
      </c>
      <c r="CG11" s="112">
        <f>$CE$4</f>
        <v>0</v>
      </c>
      <c r="CH11" s="112">
        <f ca="1">IF(CF11="",TODAY()-CE11,CF11-CE11)</f>
        <v>7</v>
      </c>
      <c r="CI11" s="184">
        <f ca="1">CH11-CG11</f>
        <v>7</v>
      </c>
      <c r="CJ11" s="335">
        <f>CO11-$CO$4</f>
        <v>46132</v>
      </c>
      <c r="CK11" s="332">
        <f>IF(_xlfn.XLOOKUP($E11,'[1]Import Eletra'!$B:$B,'[1]Import Eletra'!$BD:$BD,,0,1)=0,"",_xlfn.XLOOKUP($E11,'[1]Import Eletra'!$B:$B,'[1]Import Eletra'!$BD:$BD,,0,1))</f>
        <v>46139</v>
      </c>
      <c r="CL11" s="112"/>
      <c r="CM11" s="112">
        <f ca="1">IF(CK11="",TODAY()-CJ11,CK11-CJ11)</f>
        <v>7</v>
      </c>
      <c r="CN11" s="184">
        <f ca="1">CM11-CL11</f>
        <v>7</v>
      </c>
      <c r="CO11" s="362">
        <f>CT11-$CT$4</f>
        <v>46132</v>
      </c>
      <c r="CP11" s="332">
        <f>IF(_xlfn.XLOOKUP($E11,'[1]Import Eletra'!$B:$B,'[1]Import Eletra'!$BE:$BE,,0,1)=0,"",_xlfn.XLOOKUP($E11,'[1]Import Eletra'!$B:$B,'[1]Import Eletra'!$BE:$BE,,0,1))</f>
        <v>46139</v>
      </c>
      <c r="CQ11" s="112">
        <f>$CO$4</f>
        <v>0</v>
      </c>
      <c r="CR11" s="112">
        <f ca="1">IF(CP11="",TODAY()-CO11,CP11-CO11)</f>
        <v>7</v>
      </c>
      <c r="CS11" s="184">
        <f ca="1">CR11-CQ11</f>
        <v>7</v>
      </c>
      <c r="CT11" s="335">
        <f>CY11-$CY$4</f>
        <v>46132</v>
      </c>
      <c r="CU11" s="332">
        <f>IF(_xlfn.XLOOKUP($E11,'[1]Import Eletra'!$B:$B,'[1]Import Eletra'!$BF:$BF,,0,1)=0,"",_xlfn.XLOOKUP($E11,'[1]Import Eletra'!$B:$B,'[1]Import Eletra'!$BF:$BF,,0,1))</f>
        <v>46139</v>
      </c>
      <c r="CV11" s="112">
        <f>$CT$4</f>
        <v>0</v>
      </c>
      <c r="CW11" s="112">
        <f ca="1">IF(CU11="",TODAY()-CT11,CU11-CT11)</f>
        <v>7</v>
      </c>
      <c r="CX11" s="184">
        <f ca="1">CW11-CV11</f>
        <v>7</v>
      </c>
      <c r="CY11" s="110">
        <f>DD11-$DD$4</f>
        <v>46132</v>
      </c>
      <c r="CZ11" s="104">
        <f>IF(_xlfn.XLOOKUP($E11,'[1]Import Eletra'!$B:$B,'[1]Import Eletra'!$BF:$BF,,0,1)=0,"",_xlfn.XLOOKUP($E11,'[1]Import Eletra'!$B:$B,'[1]Import Eletra'!$BF:$BF,,0,1))</f>
        <v>46139</v>
      </c>
      <c r="DA11" s="121">
        <f>$CY$4</f>
        <v>0</v>
      </c>
      <c r="DB11" s="112">
        <f ca="1">IF(CZ11="",TODAY()-CY11,CZ11-CY11)</f>
        <v>7</v>
      </c>
      <c r="DC11" s="184">
        <f ca="1">DB11-DA11</f>
        <v>7</v>
      </c>
      <c r="DD11" s="110">
        <f>DI11-$DI$4</f>
        <v>46134</v>
      </c>
      <c r="DE11" s="104">
        <f>IF(_xlfn.XLOOKUP($E11,'[1]Import Eletra'!$B:$B,'[1]Import Eletra'!$BG:$BG,,0,1)=0,"",_xlfn.XLOOKUP($E11,'[1]Import Eletra'!$B:$B,'[1]Import Eletra'!$BG:$BG,0,1))</f>
        <v>46140</v>
      </c>
      <c r="DF11" s="112">
        <f>$DD$4</f>
        <v>2</v>
      </c>
      <c r="DG11" s="112">
        <f ca="1">IF(DE11="",TODAY()-DD11,DE11-DD11)</f>
        <v>6</v>
      </c>
      <c r="DH11" s="184">
        <f ca="1">DG11-DF11</f>
        <v>4</v>
      </c>
      <c r="DI11" s="110">
        <f>DO11-$DN$4</f>
        <v>46135</v>
      </c>
      <c r="DJ11" s="104">
        <f>IF(_xlfn.XLOOKUP($E11,'[1]Import Eletra'!$B:$B,'[1]Import Eletra'!$BH:$BH,,0,1)=0,"",_xlfn.XLOOKUP($E11,'[1]Import Eletra'!$B:$B,'[1]Import Eletra'!$BH:$BH,0,1))</f>
        <v>46140</v>
      </c>
      <c r="DK11" s="112">
        <f>$DI$4</f>
        <v>1</v>
      </c>
      <c r="DL11" s="112">
        <f ca="1">IF(DJ11="",TODAY()-DI11,DJ11-DI11)</f>
        <v>5</v>
      </c>
      <c r="DM11" s="184">
        <f ca="1">DL11-DK11</f>
        <v>4</v>
      </c>
      <c r="DN11" s="64"/>
      <c r="DO11" s="202">
        <f t="shared" si="0"/>
        <v>46136</v>
      </c>
      <c r="DP11" s="165">
        <f>IF(_xlfn.XLOOKUP($E11,'[1]Import Eletra'!$B:$B,'[1]Import Eletra'!$O:$O,,0,1)=0,"",_xlfn.XLOOKUP($E11,'[1]Import Eletra'!$B:$B,'[1]Import Eletra'!$O:$O,0,1))</f>
        <v>46141</v>
      </c>
      <c r="DQ11" s="112">
        <f>$DN$4</f>
        <v>1</v>
      </c>
      <c r="DR11" s="112">
        <f ca="1">IF(DP11="",TODAY()-DO11,DP11-DO11)</f>
        <v>5</v>
      </c>
      <c r="DS11" s="184">
        <f ca="1">DR11-DQ11</f>
        <v>4</v>
      </c>
      <c r="DT11" s="143">
        <v>10</v>
      </c>
      <c r="DU11" s="140">
        <f ca="1">IF(DP11="",TODAY()-N11,DP11-N11)</f>
        <v>15</v>
      </c>
      <c r="DV11" s="184">
        <f ca="1">DU11-DT11</f>
        <v>5</v>
      </c>
      <c r="DW11" s="147"/>
      <c r="DX11" s="185" t="s">
        <v>245</v>
      </c>
      <c r="DY11" s="108" t="str">
        <f>IF(_xlfn.XLOOKUP($E11,'[1]Import Eletra'!$B:$B,'[1]Import Eletra'!$DW:$DW,,0,1)=0,"",_xlfn.XLOOKUP($E11,'[1]Import Eletra'!$B:$B,'[1]Import Eletra'!$DW:$DW,0,1))</f>
        <v/>
      </c>
      <c r="DZ11" s="147"/>
      <c r="EA11" s="147"/>
      <c r="EB11" s="288"/>
      <c r="EC11" s="147"/>
      <c r="ED11" s="406">
        <f>IF(_xlfn.XLOOKUP($E11,'[1]Import Eletra'!$B:$B,'[1]Import Eletra'!$BQ:$BQ,,0,1)=0,"",_xlfn.XLOOKUP($E11,'[1]Import Eletra'!$B:$B,'[1]Import Eletra'!$BQ:$BQ,0,1))</f>
        <v>1636.58</v>
      </c>
      <c r="EE11" s="407">
        <f>IF(_xlfn.XLOOKUP($E11,'[1]Import Eletra'!$B:$B,'[1]Import Eletra'!$BR:$BR,,0,1)=0,"",_xlfn.XLOOKUP($E11,'[1]Import Eletra'!$B:$B,'[1]Import Eletra'!$BR:$BR,0,1))</f>
        <v>46140</v>
      </c>
      <c r="EF11" s="406" t="str">
        <f>IF(_xlfn.XLOOKUP($E11,'[1]Import Eletra'!$B:$B,'[1]Import Eletra'!$BS:$BS,,0,1)=0,"",_xlfn.XLOOKUP($E11,'[1]Import Eletra'!$B:$B,'[1]Import Eletra'!$BS:$BS,0,1))</f>
        <v/>
      </c>
      <c r="EG11" s="407" t="str">
        <f>IF(_xlfn.XLOOKUP($E11,'[1]Import Eletra'!$B:$B,'[1]Import Eletra'!$BT:$BT,,0,1)=0,"",_xlfn.XLOOKUP($E11,'[1]Import Eletra'!$B:$B,'[1]Import Eletra'!$BT:$BT,0,1))</f>
        <v/>
      </c>
      <c r="EH11" s="406" t="str">
        <f>IF(_xlfn.XLOOKUP($E11,'[1]Import Eletra'!$B:$B,'[1]Import Eletra'!$BU:$BU,,0,1)=0,"",_xlfn.XLOOKUP($E11,'[1]Import Eletra'!$B:$B,'[1]Import Eletra'!$BU:$BU,0,1))</f>
        <v/>
      </c>
      <c r="EI11" s="407" t="str">
        <f>IF(_xlfn.XLOOKUP($E11,'[1]Import Eletra'!$B:$B,'[1]Import Eletra'!$BV:$BV,,0,1)=0,"",_xlfn.XLOOKUP($E11,'[1]Import Eletra'!$B:$B,'[1]Import Eletra'!$BV:$BV,0,1))</f>
        <v/>
      </c>
      <c r="EJ11" s="407">
        <f>IF(_xlfn.XLOOKUP($E11,'[1]Import Eletra'!$B:$B,'[1]Import Eletra'!$CI:$CI,,0,1)=0,"",_xlfn.XLOOKUP($E11,'[1]Import Eletra'!$B:$B,'[1]Import Eletra'!$CI:$CI,0,1))</f>
        <v>46144</v>
      </c>
      <c r="EK11" s="407" t="str">
        <f>IF(_xlfn.XLOOKUP($E11,'[1]Import Eletra'!$B:$B,'[1]Import Eletra'!$CD:$CD,,0,1)=0,"",_xlfn.XLOOKUP($E11,'[1]Import Eletra'!$B:$B,'[1]Import Eletra'!$CD:$CD,0,1))</f>
        <v/>
      </c>
      <c r="EL11" s="407" t="str">
        <f>IF(_xlfn.XLOOKUP($E11,'[1]Import Eletra'!$B:$B,'[1]Import Eletra'!$CE:$CE,,0,1)=0,"",_xlfn.XLOOKUP($E11,'[1]Import Eletra'!$B:$B,'[1]Import Eletra'!$CE:$CE,0,1))</f>
        <v>NÃO</v>
      </c>
      <c r="EM11" s="408" t="str">
        <f>IF(_xlfn.XLOOKUP($E11,'[1]Import Eletra'!$B:$B,'[1]Import Eletra'!$E:$E,,0,1)=0,"",_xlfn.XLOOKUP($E11,'[1]Import Eletra'!$B:$B,'[1]Import Eletra'!$E:$E,0,1))</f>
        <v>RENATO</v>
      </c>
      <c r="EN11" s="408" t="str">
        <f>IF(_xlfn.XLOOKUP($E11,'[1]Import Eletra'!$B:$B,'[1]Import Eletra'!$R:$R,,0,1)=0,"",_xlfn.XLOOKUP($E11,'[1]Import Eletra'!$B:$B,'[1]Import Eletra'!$R:$R,0,1))</f>
        <v>PW2026020</v>
      </c>
      <c r="EO11" s="408" t="str">
        <f>IF(_xlfn.XLOOKUP($E11,'[1]Import Eletra'!$B:$B,'[1]Import Eletra'!$P:$P,,0,1)=0,"",_xlfn.XLOOKUP($E11,'[1]Import Eletra'!$B:$B,'[1]Import Eletra'!$P:$P,0,1))</f>
        <v>SDBLBS589831</v>
      </c>
      <c r="EP11" s="408" t="str">
        <f>IF(_xlfn.XLOOKUP($E11,'[1]Import Eletra'!$B:$B,'[1]Import Eletra'!$T:$T,,0,1)=0,"",_xlfn.XLOOKUP($E11,'[1]Import Eletra'!$B:$B,'[1]Import Eletra'!$T:$T,0,1))</f>
        <v>TGBU783797/ TGBU783633</v>
      </c>
      <c r="EQ11" s="147"/>
      <c r="ER11" s="147"/>
      <c r="ES11" s="147"/>
      <c r="ET11" s="147"/>
      <c r="EU11" s="147"/>
      <c r="EV11" s="147"/>
      <c r="EW11" s="147"/>
      <c r="EX11" s="147"/>
      <c r="EY11" s="147"/>
      <c r="EZ11" s="147"/>
      <c r="FA11" s="147"/>
      <c r="FB11" s="147"/>
      <c r="FC11" s="147"/>
      <c r="FD11" s="147"/>
      <c r="FE11" s="147"/>
      <c r="FF11" s="147"/>
      <c r="FG11" s="147"/>
      <c r="FH11" s="147"/>
      <c r="FI11" s="147"/>
      <c r="FJ11" s="147"/>
      <c r="FK11" s="147"/>
      <c r="FL11" s="147"/>
      <c r="FM11" s="147"/>
      <c r="FN11" s="147"/>
      <c r="FO11" s="147"/>
      <c r="FP11" s="147"/>
      <c r="FQ11" s="147"/>
      <c r="FR11" s="147"/>
      <c r="FS11" s="147"/>
      <c r="FT11" s="147"/>
      <c r="FU11" s="147"/>
      <c r="FV11" s="147"/>
      <c r="FW11" s="147"/>
      <c r="FX11" s="147"/>
      <c r="FY11" s="147"/>
      <c r="FZ11" s="147"/>
      <c r="GA11" s="147"/>
      <c r="GB11" s="147"/>
      <c r="GC11" s="147"/>
      <c r="GD11" s="147"/>
      <c r="GE11" s="147"/>
      <c r="GF11" s="147"/>
      <c r="GG11" s="147"/>
      <c r="GH11" s="147"/>
      <c r="GI11" s="147"/>
      <c r="GJ11" s="147"/>
      <c r="GK11" s="147"/>
      <c r="GL11" s="147"/>
      <c r="GM11" s="147"/>
      <c r="GN11" s="147"/>
      <c r="GO11" s="147"/>
      <c r="GP11" s="147"/>
      <c r="GQ11" s="147"/>
      <c r="GR11" s="147"/>
      <c r="GS11" s="147"/>
      <c r="GT11" s="147"/>
      <c r="GU11" s="147"/>
      <c r="GV11" s="147"/>
      <c r="GW11" s="147"/>
      <c r="GX11" s="147"/>
      <c r="GY11" s="147"/>
      <c r="GZ11" s="147"/>
      <c r="HA11" s="147"/>
      <c r="HB11" s="147"/>
      <c r="HC11" s="147"/>
      <c r="HD11" s="147"/>
      <c r="HE11" s="147"/>
      <c r="HF11" s="147"/>
      <c r="HG11" s="147"/>
      <c r="HH11" s="147"/>
      <c r="HI11" s="147"/>
      <c r="HJ11" s="147"/>
      <c r="HK11" s="147"/>
      <c r="HL11" s="147"/>
      <c r="HM11" s="147"/>
      <c r="HN11" s="147"/>
      <c r="HO11" s="147"/>
      <c r="HP11" s="147"/>
      <c r="HQ11" s="147"/>
      <c r="HR11" s="147"/>
      <c r="HS11" s="147"/>
      <c r="HT11" s="147"/>
      <c r="HU11" s="147"/>
      <c r="HV11" s="147"/>
      <c r="HW11" s="147"/>
      <c r="HX11" s="147"/>
      <c r="HY11" s="147"/>
      <c r="HZ11" s="147"/>
      <c r="IA11" s="147"/>
      <c r="IB11" s="147"/>
      <c r="IC11" s="147"/>
      <c r="ID11" s="147"/>
      <c r="IE11" s="147"/>
      <c r="IF11" s="147"/>
      <c r="IG11" s="147"/>
      <c r="IH11" s="147"/>
    </row>
    <row r="12" spans="1:259" ht="30" customHeight="1">
      <c r="B12" s="371" t="s">
        <v>352</v>
      </c>
      <c r="C12" s="280"/>
      <c r="D12" s="104" t="s">
        <v>247</v>
      </c>
      <c r="E12" s="144" t="s">
        <v>249</v>
      </c>
      <c r="F12" s="171">
        <f>IF(_xlfn.XLOOKUP($E12,'[1]Import Eletra'!$B:$B,'[1]Import Eletra'!$U:$U,,0,1)=0,"",_xlfn.XLOOKUP($E12,'[1]Import Eletra'!$B:$B,'[1]Import Eletra'!$U:$U,,0,1))</f>
        <v>3</v>
      </c>
      <c r="G12" s="104" t="s">
        <v>244</v>
      </c>
      <c r="H12" s="2" t="str">
        <f>_xlfn.XLOOKUP($E12,'[1]Import Eletra'!$B:$B,'[1]Import Eletra'!$F:$F,,0,1)</f>
        <v>DELIVERED</v>
      </c>
      <c r="I12" s="108" t="str">
        <f>_xlfn.XLOOKUP($E12,'[1]Import Eletra'!$B:$B,'[1]Import Eletra'!$G:$G,,0,1)</f>
        <v>SEA</v>
      </c>
      <c r="J12" s="326">
        <v>46029</v>
      </c>
      <c r="K12" s="109">
        <v>30</v>
      </c>
      <c r="L12" s="109">
        <f>M12-J12</f>
        <v>36</v>
      </c>
      <c r="M12" s="326">
        <f>IF(_xlfn.XLOOKUP($E12,'[1]Import Eletra'!$B:$B,'[1]Import Eletra'!$J:$J,,0,1)=0,"",_xlfn.XLOOKUP($E12,'[1]Import Eletra'!$B:$B,'[1]Import Eletra'!$J:$J,,0,1))</f>
        <v>46065</v>
      </c>
      <c r="N12" s="332">
        <f>IF(_xlfn.XLOOKUP($E12,'[1]Import Eletra'!$B:$B,'[1]Import Eletra'!$L:$L,,0,1)=0,"",_xlfn.XLOOKUP($E12,'[1]Import Eletra'!$B:$B,'[1]Import Eletra'!$L:$L,,0,1))</f>
        <v>46126</v>
      </c>
      <c r="O12" s="335">
        <f>IF(_xlfn.XLOOKUP($E12,'[1]Import Eletra'!$B:$B,'[1]Import Eletra'!$AK:$AK,,0,1)=0,"",_xlfn.XLOOKUP($E12,'[1]Import Eletra'!$B:$B,'[1]Import Eletra'!$AK:$AK,,0,1))</f>
        <v>46084</v>
      </c>
      <c r="P12" s="326">
        <f>IF(_xlfn.XLOOKUP($E12,'[1]Import Eletra'!$B:$B,'[1]Import Eletra'!$AL:$AL,,0,1)=0,"",_xlfn.XLOOKUP($E12,'[1]Import Eletra'!$B:$B,'[1]Import Eletra'!$AL:$AL,,0,1))</f>
        <v>46092</v>
      </c>
      <c r="Q12" s="326">
        <f>IF(_xlfn.XLOOKUP($E12,'[1]Import Eletra'!$B:$B,'[1]Import Eletra'!$AM:$AM,,0,1)=0,"",_xlfn.XLOOKUP($E12,'[1]Import Eletra'!$B:$B,'[1]Import Eletra'!$AM:$AM,,0,1))</f>
        <v>46119</v>
      </c>
      <c r="R12" s="326">
        <f>IF(_xlfn.XLOOKUP($E12,'[1]Import Eletra'!$B:$B,'[1]Import Eletra'!$AN:$AN,,0,1)=0,"",_xlfn.XLOOKUP($E12,'[1]Import Eletra'!$B:$B,'[1]Import Eletra'!$AN:$AN,,0,1))</f>
        <v>46119</v>
      </c>
      <c r="S12" s="326">
        <f>IF(_xlfn.XLOOKUP($E12,'[1]Import Eletra'!$B:$B,'[1]Import Eletra'!$AO:$AO,,0,1)=0,"",_xlfn.XLOOKUP($E12,'[1]Import Eletra'!$B:$B,'[1]Import Eletra'!$AO:$AO,,0,1))</f>
        <v>46120</v>
      </c>
      <c r="T12" s="326">
        <f>IF(_xlfn.XLOOKUP($E12,'[1]Import Eletra'!$B:$B,'[1]Import Eletra'!$AP:$AP,,0,1)=0,"",_xlfn.XLOOKUP($E12,'[1]Import Eletra'!$B:$B,'[1]Import Eletra'!$AP:$AP,,0,1))</f>
        <v>46126</v>
      </c>
      <c r="U12" s="326">
        <f>IF(_xlfn.XLOOKUP($E12,'[1]Import Eletra'!$B:$B,'[1]Import Eletra'!$AQ:$AQ,,0,1)=0,"",_xlfn.XLOOKUP($E12,'[1]Import Eletra'!$B:$B,'[1]Import Eletra'!$AQ:$AQ,,0,1))</f>
        <v>46127</v>
      </c>
      <c r="V12" s="339">
        <f>IF(_xlfn.XLOOKUP($E12,'[1]Import Eletra'!$B:$B,'[1]Import Eletra'!$AR:$AR,,0,1)=0,"",_xlfn.XLOOKUP($E12,'[1]Import Eletra'!$B:$B,'[1]Import Eletra'!$AR:$AR,,0,1))</f>
        <v>46127</v>
      </c>
      <c r="W12" s="335">
        <f>AB12-$AB$4</f>
        <v>46126</v>
      </c>
      <c r="X12" s="332">
        <f>IF(_xlfn.XLOOKUP($E12,'[1]Import Eletra'!$B:$B,'[1]Import Eletra'!$AS:$AS,,0,1)=0,"",_xlfn.XLOOKUP($E12,'[1]Import Eletra'!$B:$B,'[1]Import Eletra'!$AS:$AS,,0,1))</f>
        <v>46127</v>
      </c>
      <c r="Y12" s="112">
        <f>$W$4</f>
        <v>0</v>
      </c>
      <c r="Z12" s="113">
        <f ca="1">IF(X12="",TODAY()-W12,X12-W12)</f>
        <v>1</v>
      </c>
      <c r="AA12" s="184">
        <f ca="1">Z12-Y12</f>
        <v>1</v>
      </c>
      <c r="AB12" s="346">
        <f>AG12-$AB$4</f>
        <v>46126</v>
      </c>
      <c r="AC12" s="332">
        <f>IF(_xlfn.XLOOKUP($E12,'[1]Import Eletra'!$B:$B,'[1]Import Eletra'!$AD:$AD,,0,1)=0,"",_xlfn.XLOOKUP($E12,'[1]Import Eletra'!$B:$B,'[1]Import Eletra'!$AD:$AD,,0,1))</f>
        <v>46127</v>
      </c>
      <c r="AD12" s="112">
        <f>$AB$4</f>
        <v>0</v>
      </c>
      <c r="AE12" s="112">
        <f ca="1">IF(AC12="",TODAY()-AB12,AC12-AB12)</f>
        <v>1</v>
      </c>
      <c r="AF12" s="184">
        <f ca="1">AE12-AD12</f>
        <v>1</v>
      </c>
      <c r="AG12" s="354">
        <f>AL12-$AL$4</f>
        <v>46126</v>
      </c>
      <c r="AH12" s="332">
        <f>IF(_xlfn.XLOOKUP($E12,'[1]Import Eletra'!$B:$B,'[1]Import Eletra'!$AE:$AE,,0,1)=0,"",_xlfn.XLOOKUP($E12,'[1]Import Eletra'!$B:$B,'[1]Import Eletra'!$AE:$AE,,0,1))</f>
        <v>46127</v>
      </c>
      <c r="AI12" s="112">
        <f>$AG$4</f>
        <v>0</v>
      </c>
      <c r="AJ12" s="112">
        <f ca="1">IF(AH12="",TODAY()-AG12,AH12-AG12)</f>
        <v>1</v>
      </c>
      <c r="AK12" s="184">
        <f ca="1">AJ12-AI12</f>
        <v>1</v>
      </c>
      <c r="AL12" s="354">
        <f>AQ12-$AQ$4</f>
        <v>46126</v>
      </c>
      <c r="AM12" s="332">
        <f>IF(_xlfn.XLOOKUP($E12,'[1]Import Eletra'!$B:$B,'[1]Import Eletra'!$AT:$AT,,0,1)=0,"",_xlfn.XLOOKUP($E12,'[1]Import Eletra'!$B:$B,'[1]Import Eletra'!$AT:$AT,,0,1))</f>
        <v>46128</v>
      </c>
      <c r="AN12" s="112">
        <f>$AL$4</f>
        <v>0</v>
      </c>
      <c r="AO12" s="112">
        <f ca="1">IF(AM12="",TODAY()-AL12,AM12-AL12)</f>
        <v>2</v>
      </c>
      <c r="AP12" s="184">
        <f ca="1">AO12-AN12</f>
        <v>2</v>
      </c>
      <c r="AQ12" s="358">
        <f>AV12-$AV$4</f>
        <v>46127</v>
      </c>
      <c r="AR12" s="332">
        <f>IF(_xlfn.XLOOKUP($E12,'[1]Import Eletra'!$B:$B,'[1]Import Eletra'!$AU:$AU,,0,1)=0,"",_xlfn.XLOOKUP($E12,'[1]Import Eletra'!$B:$B,'[1]Import Eletra'!$AU:$AU,,0,1))</f>
        <v>46129</v>
      </c>
      <c r="AS12" s="112">
        <f>$AQ$4</f>
        <v>1</v>
      </c>
      <c r="AT12" s="112">
        <f ca="1">IF(AR12="",TODAY()-AQ12,AR12-AQ12)</f>
        <v>2</v>
      </c>
      <c r="AU12" s="184">
        <f ca="1">AT12-AS12</f>
        <v>1</v>
      </c>
      <c r="AV12" s="354">
        <f>BA12-$BA$4</f>
        <v>46127</v>
      </c>
      <c r="AW12" s="332" t="str">
        <f>IF(_xlfn.XLOOKUP($E12,'[1]Import Eletra'!$B:$B,'[1]Import Eletra'!$AV:$AV,,0,1)=0,"",_xlfn.XLOOKUP($E12,'[1]Import Eletra'!$B:$B,'[1]Import Eletra'!$AV:$AV,,0,1))</f>
        <v/>
      </c>
      <c r="AX12" s="112"/>
      <c r="AY12" s="112"/>
      <c r="AZ12" s="184">
        <f>AY12-AX12</f>
        <v>0</v>
      </c>
      <c r="BA12" s="358">
        <f>BF12-$BF$4</f>
        <v>46127</v>
      </c>
      <c r="BB12" s="332" t="str">
        <f>IF(_xlfn.XLOOKUP($E12,'[1]Import Eletra'!$B:$B,'[1]Import Eletra'!$AW:$AW,,0,1)=0,"",_xlfn.XLOOKUP($E12,'[1]Import Eletra'!$B:$B,'[1]Import Eletra'!$AW:$AW,,0,1))</f>
        <v/>
      </c>
      <c r="BC12" s="112"/>
      <c r="BD12" s="112"/>
      <c r="BE12" s="184">
        <f>BD12-BC12</f>
        <v>0</v>
      </c>
      <c r="BF12" s="335">
        <f>BK12-$BK$4</f>
        <v>46127</v>
      </c>
      <c r="BG12" s="332" t="str">
        <f>IF(_xlfn.XLOOKUP($E12,'[1]Import Eletra'!$B:$B,'[1]Import Eletra'!$AX:$AX,,0,1)=0,"",_xlfn.XLOOKUP($E12,'[1]Import Eletra'!$B:$B,'[1]Import Eletra'!$AX:$AX,,0,1))</f>
        <v/>
      </c>
      <c r="BH12" s="112"/>
      <c r="BI12" s="113"/>
      <c r="BJ12" s="184">
        <f>BI12-BH12</f>
        <v>0</v>
      </c>
      <c r="BK12" s="362">
        <f>BP12-$BP$4</f>
        <v>46127</v>
      </c>
      <c r="BL12" s="332">
        <f>IF(_xlfn.XLOOKUP($E12,'[1]Import Eletra'!$B:$B,'[1]Import Eletra'!$AY:$AY,,0,1)=0,"",_xlfn.XLOOKUP($E12,'[1]Import Eletra'!$B:$B,'[1]Import Eletra'!$AY:$AY,,0,1))</f>
        <v>46128</v>
      </c>
      <c r="BM12" s="112">
        <f>$BK$4</f>
        <v>0</v>
      </c>
      <c r="BN12" s="309">
        <f ca="1">IF(BL12="",TODAY()-BK12,BL12-BK12)</f>
        <v>1</v>
      </c>
      <c r="BO12" s="184">
        <f ca="1">BN12-BM12</f>
        <v>1</v>
      </c>
      <c r="BP12" s="335">
        <f>BU12-$BU$4</f>
        <v>46127</v>
      </c>
      <c r="BQ12" s="332">
        <f>IF(_xlfn.XLOOKUP($E12,'[1]Import Eletra'!$B:$B,'[1]Import Eletra'!$AZ:$AZ,,0,1)=0,"",_xlfn.XLOOKUP($E12,'[1]Import Eletra'!$B:$B,'[1]Import Eletra'!$AZ:$AZ,,0,1))</f>
        <v>46129</v>
      </c>
      <c r="BR12" s="112">
        <f>$BP$4</f>
        <v>0</v>
      </c>
      <c r="BS12" s="112">
        <f ca="1">IF(BQ12="",TODAY()-BP12,BQ12-BP12)</f>
        <v>2</v>
      </c>
      <c r="BT12" s="184">
        <f ca="1">BS12-BR12</f>
        <v>2</v>
      </c>
      <c r="BU12" s="362">
        <f>BZ12-$BZ$4</f>
        <v>46129</v>
      </c>
      <c r="BV12" s="332">
        <f>IF(_xlfn.XLOOKUP($E12,'[1]Import Eletra'!$B:$B,'[1]Import Eletra'!$BA:$BA,,0,1)=0,"",_xlfn.XLOOKUP($E12,'[1]Import Eletra'!$B:$B,'[1]Import Eletra'!$BA:$BA,,0,1))</f>
        <v>46132</v>
      </c>
      <c r="BW12" s="112">
        <f>$BU$4</f>
        <v>2</v>
      </c>
      <c r="BX12" s="112">
        <f ca="1">IF(BV12="",TODAY()-BU12,BV12-BU12)</f>
        <v>3</v>
      </c>
      <c r="BY12" s="184">
        <f ca="1">BX12-BW12</f>
        <v>1</v>
      </c>
      <c r="BZ12" s="335">
        <f>CE12-$CE$4</f>
        <v>46129</v>
      </c>
      <c r="CA12" s="332">
        <f>IF(_xlfn.XLOOKUP($E12,'[1]Import Eletra'!$B:$B,'[1]Import Eletra'!$BB:$BB,,0,1)=0,"",_xlfn.XLOOKUP($E12,'[1]Import Eletra'!$B:$B,'[1]Import Eletra'!$BB:$BB,,0,1))</f>
        <v>46132</v>
      </c>
      <c r="CB12" s="112">
        <f>$BZ$4</f>
        <v>0</v>
      </c>
      <c r="CC12" s="112">
        <f ca="1">IF(CA12="",TODAY()-BZ12,CA12-BZ12)</f>
        <v>3</v>
      </c>
      <c r="CD12" s="184">
        <f ca="1">CC12-CB12</f>
        <v>3</v>
      </c>
      <c r="CE12" s="362">
        <f>CJ12-$CJ$4</f>
        <v>46129</v>
      </c>
      <c r="CF12" s="332">
        <f>IF(_xlfn.XLOOKUP($E12,'[1]Import Eletra'!$B:$B,'[1]Import Eletra'!$BC:$BC,,0,1)=0,"",_xlfn.XLOOKUP($E12,'[1]Import Eletra'!$B:$B,'[1]Import Eletra'!$BC:$BC,,0,1))</f>
        <v>46132</v>
      </c>
      <c r="CG12" s="112">
        <f>$CE$4</f>
        <v>0</v>
      </c>
      <c r="CH12" s="112">
        <f ca="1">IF(CF12="",TODAY()-CE12,CF12-CE12)</f>
        <v>3</v>
      </c>
      <c r="CI12" s="184">
        <f ca="1">CH12-CG12</f>
        <v>3</v>
      </c>
      <c r="CJ12" s="335">
        <f>CO12-$CO$4</f>
        <v>46129</v>
      </c>
      <c r="CK12" s="332">
        <f>IF(_xlfn.XLOOKUP($E12,'[1]Import Eletra'!$B:$B,'[1]Import Eletra'!$BD:$BD,,0,1)=0,"",_xlfn.XLOOKUP($E12,'[1]Import Eletra'!$B:$B,'[1]Import Eletra'!$BD:$BD,,0,1))</f>
        <v>46132</v>
      </c>
      <c r="CL12" s="112"/>
      <c r="CM12" s="112">
        <f ca="1">IF(CK12="",TODAY()-CJ12,CK12-CJ12)</f>
        <v>3</v>
      </c>
      <c r="CN12" s="184">
        <f ca="1">CM12-CL12</f>
        <v>3</v>
      </c>
      <c r="CO12" s="335">
        <f>CT12-$CT$4</f>
        <v>46129</v>
      </c>
      <c r="CP12" s="332">
        <f>IF(_xlfn.XLOOKUP($E12,'[1]Import Eletra'!$B:$B,'[1]Import Eletra'!$BE:$BE,,0,1)=0,"",_xlfn.XLOOKUP($E12,'[1]Import Eletra'!$B:$B,'[1]Import Eletra'!$BE:$BE,,0,1))</f>
        <v>46132</v>
      </c>
      <c r="CQ12" s="112">
        <f>$CO$4</f>
        <v>0</v>
      </c>
      <c r="CR12" s="119">
        <f ca="1">IF(CP12="",TODAY()-CO12,CP12-CO12)</f>
        <v>3</v>
      </c>
      <c r="CS12" s="184">
        <f ca="1">CR12-CQ12</f>
        <v>3</v>
      </c>
      <c r="CT12" s="362">
        <f>CY12-$CY$4</f>
        <v>46129</v>
      </c>
      <c r="CU12" s="332">
        <f>IF(_xlfn.XLOOKUP($E12,'[1]Import Eletra'!$B:$B,'[1]Import Eletra'!$BF:$BF,,0,1)=0,"",_xlfn.XLOOKUP($E12,'[1]Import Eletra'!$B:$B,'[1]Import Eletra'!$BF:$BF,,0,1))</f>
        <v>46132</v>
      </c>
      <c r="CV12" s="113">
        <f>$CT$4</f>
        <v>0</v>
      </c>
      <c r="CW12" s="119">
        <f ca="1">IF(CU12="",TODAY()-CT12,CU12-CT12)</f>
        <v>3</v>
      </c>
      <c r="CX12" s="184">
        <f ca="1">CW12-CV12</f>
        <v>3</v>
      </c>
      <c r="CY12" s="120">
        <f>DD12-$DD$4</f>
        <v>46129</v>
      </c>
      <c r="CZ12" s="104">
        <f>IF(_xlfn.XLOOKUP($E12,'[1]Import Eletra'!$B:$B,'[1]Import Eletra'!$BF:$BF,,0,1)=0,"",_xlfn.XLOOKUP($E12,'[1]Import Eletra'!$B:$B,'[1]Import Eletra'!$BF:$BF,,0,1))</f>
        <v>46132</v>
      </c>
      <c r="DA12" s="113">
        <f>$CY$4</f>
        <v>0</v>
      </c>
      <c r="DB12" s="113">
        <f ca="1">IF(CZ12="",TODAY()-CY12,CZ12-CY12)</f>
        <v>3</v>
      </c>
      <c r="DC12" s="184">
        <f ca="1">DB12-DA12</f>
        <v>3</v>
      </c>
      <c r="DD12" s="110">
        <f>DI12-$DI$4</f>
        <v>46131</v>
      </c>
      <c r="DE12" s="104">
        <f>IF(_xlfn.XLOOKUP($E12,'[1]Import Eletra'!$B:$B,'[1]Import Eletra'!$BG:$BG,,0,1)=0,"",_xlfn.XLOOKUP($E12,'[1]Import Eletra'!$B:$B,'[1]Import Eletra'!$BG:$BG,0,1))</f>
        <v>46135</v>
      </c>
      <c r="DF12" s="112">
        <f>$DD$4</f>
        <v>2</v>
      </c>
      <c r="DG12" s="113">
        <f ca="1">IF(DE12="",TODAY()-DD12,DE12-DD12)</f>
        <v>4</v>
      </c>
      <c r="DH12" s="184">
        <f ca="1">DG12-DF12</f>
        <v>2</v>
      </c>
      <c r="DI12" s="110">
        <f>DO12-$DN$4</f>
        <v>46132</v>
      </c>
      <c r="DJ12" s="104">
        <f>IF(_xlfn.XLOOKUP($E12,'[1]Import Eletra'!$B:$B,'[1]Import Eletra'!$BH:$BH,,0,1)=0,"",_xlfn.XLOOKUP($E12,'[1]Import Eletra'!$B:$B,'[1]Import Eletra'!$BH:$BH,0,1))</f>
        <v>46135</v>
      </c>
      <c r="DK12" s="112">
        <f>$DI$4</f>
        <v>1</v>
      </c>
      <c r="DL12" s="113">
        <f ca="1">IF(DJ12="",TODAY()-DI12,DJ12-DI12)</f>
        <v>3</v>
      </c>
      <c r="DM12" s="184">
        <f ca="1">DL12-DK12</f>
        <v>2</v>
      </c>
      <c r="DN12" s="64">
        <v>46136</v>
      </c>
      <c r="DO12" s="202">
        <f t="shared" si="0"/>
        <v>46133</v>
      </c>
      <c r="DP12" s="165">
        <f>IF(_xlfn.XLOOKUP($E12,'[1]Import Eletra'!$B:$B,'[1]Import Eletra'!$O:$O,,0,1)=0,"",_xlfn.XLOOKUP($E12,'[1]Import Eletra'!$B:$B,'[1]Import Eletra'!$O:$O,0,1))</f>
        <v>46135</v>
      </c>
      <c r="DQ12" s="112">
        <f>$DN$4</f>
        <v>1</v>
      </c>
      <c r="DR12" s="112">
        <f ca="1">IF(DP12="",TODAY()-DO12,DP12-DO12)</f>
        <v>2</v>
      </c>
      <c r="DS12" s="184">
        <f ca="1">DR12-DQ12</f>
        <v>1</v>
      </c>
      <c r="DT12" s="143">
        <f>_xlfn.AGGREGATE(9,6,Y12,AD12,AI12,AN12,AS12,AX12,BC12,BH12,BM12,BR12,BW12,CB12,CG12,CL12,CQ12,CV12,DF12,DK12,DQ12)</f>
        <v>7</v>
      </c>
      <c r="DU12" s="140">
        <f ca="1">IF(DP12="",TODAY()-N12,DP12-N12)</f>
        <v>9</v>
      </c>
      <c r="DV12" s="184">
        <f ca="1">DU12-DT12</f>
        <v>2</v>
      </c>
      <c r="DX12" s="185" t="s">
        <v>245</v>
      </c>
      <c r="DY12" s="108" t="str">
        <f>IF(_xlfn.XLOOKUP($E12,'[1]Import Eletra'!$B:$B,'[1]Import Eletra'!$DW:$DW,,0,1)=0,"",_xlfn.XLOOKUP($E12,'[1]Import Eletra'!$B:$B,'[1]Import Eletra'!$DW:$DW,0,1))</f>
        <v/>
      </c>
      <c r="EB12" s="289"/>
      <c r="ED12" s="406" t="str">
        <f>IF(_xlfn.XLOOKUP($E12,'[1]Import Eletra'!$B:$B,'[1]Import Eletra'!$BQ:$BQ,,0,1)=0,"",_xlfn.XLOOKUP($E12,'[1]Import Eletra'!$B:$B,'[1]Import Eletra'!$BQ:$BQ,0,1))</f>
        <v/>
      </c>
      <c r="EE12" s="407" t="str">
        <f>IF(_xlfn.XLOOKUP($E12,'[1]Import Eletra'!$B:$B,'[1]Import Eletra'!$BR:$BR,,0,1)=0,"",_xlfn.XLOOKUP($E12,'[1]Import Eletra'!$B:$B,'[1]Import Eletra'!$BR:$BR,0,1))</f>
        <v/>
      </c>
      <c r="EF12" s="406" t="str">
        <f>IF(_xlfn.XLOOKUP($E12,'[1]Import Eletra'!$B:$B,'[1]Import Eletra'!$BS:$BS,,0,1)=0,"",_xlfn.XLOOKUP($E12,'[1]Import Eletra'!$B:$B,'[1]Import Eletra'!$BS:$BS,0,1))</f>
        <v/>
      </c>
      <c r="EG12" s="407" t="str">
        <f>IF(_xlfn.XLOOKUP($E12,'[1]Import Eletra'!$B:$B,'[1]Import Eletra'!$BT:$BT,,0,1)=0,"",_xlfn.XLOOKUP($E12,'[1]Import Eletra'!$B:$B,'[1]Import Eletra'!$BT:$BT,0,1))</f>
        <v/>
      </c>
      <c r="EH12" s="406" t="str">
        <f>IF(_xlfn.XLOOKUP($E12,'[1]Import Eletra'!$B:$B,'[1]Import Eletra'!$BU:$BU,,0,1)=0,"",_xlfn.XLOOKUP($E12,'[1]Import Eletra'!$B:$B,'[1]Import Eletra'!$BU:$BU,0,1))</f>
        <v/>
      </c>
      <c r="EI12" s="407" t="str">
        <f>IF(_xlfn.XLOOKUP($E12,'[1]Import Eletra'!$B:$B,'[1]Import Eletra'!$BV:$BV,,0,1)=0,"",_xlfn.XLOOKUP($E12,'[1]Import Eletra'!$B:$B,'[1]Import Eletra'!$BV:$BV,0,1))</f>
        <v/>
      </c>
      <c r="EJ12" s="407">
        <f>IF(_xlfn.XLOOKUP($E12,'[1]Import Eletra'!$B:$B,'[1]Import Eletra'!$CI:$CI,,0,1)=0,"",_xlfn.XLOOKUP($E12,'[1]Import Eletra'!$B:$B,'[1]Import Eletra'!$CI:$CI,0,1))</f>
        <v>46144</v>
      </c>
      <c r="EK12" s="407" t="str">
        <f>IF(_xlfn.XLOOKUP($E12,'[1]Import Eletra'!$B:$B,'[1]Import Eletra'!$CD:$CD,,0,1)=0,"",_xlfn.XLOOKUP($E12,'[1]Import Eletra'!$B:$B,'[1]Import Eletra'!$CD:$CD,0,1))</f>
        <v/>
      </c>
      <c r="EL12" s="407" t="str">
        <f>IF(_xlfn.XLOOKUP($E12,'[1]Import Eletra'!$B:$B,'[1]Import Eletra'!$CE:$CE,,0,1)=0,"",_xlfn.XLOOKUP($E12,'[1]Import Eletra'!$B:$B,'[1]Import Eletra'!$CE:$CE,0,1))</f>
        <v>NÃO</v>
      </c>
      <c r="EM12" s="408" t="str">
        <f>IF(_xlfn.XLOOKUP($E12,'[1]Import Eletra'!$B:$B,'[1]Import Eletra'!$E:$E,,0,1)=0,"",_xlfn.XLOOKUP($E12,'[1]Import Eletra'!$B:$B,'[1]Import Eletra'!$E:$E,0,1))</f>
        <v>RENATO</v>
      </c>
      <c r="EN12" s="408" t="str">
        <f>IF(_xlfn.XLOOKUP($E12,'[1]Import Eletra'!$B:$B,'[1]Import Eletra'!$R:$R,,0,1)=0,"",_xlfn.XLOOKUP($E12,'[1]Import Eletra'!$B:$B,'[1]Import Eletra'!$R:$R,0,1))</f>
        <v>PWBR250226A</v>
      </c>
      <c r="EO12" s="408" t="str">
        <f>IF(_xlfn.XLOOKUP($E12,'[1]Import Eletra'!$B:$B,'[1]Import Eletra'!$P:$P,,0,1)=0,"",_xlfn.XLOOKUP($E12,'[1]Import Eletra'!$B:$B,'[1]Import Eletra'!$P:$P,0,1))</f>
        <v>SDBLBS589543</v>
      </c>
      <c r="EP12" s="408" t="str">
        <f>IF(_xlfn.XLOOKUP($E12,'[1]Import Eletra'!$B:$B,'[1]Import Eletra'!$T:$T,,0,1)=0,"",_xlfn.XLOOKUP($E12,'[1]Import Eletra'!$B:$B,'[1]Import Eletra'!$T:$T,0,1))</f>
        <v>OTPU685288/ SZLU918615/ SZLU965593</v>
      </c>
    </row>
    <row r="13" spans="1:259" ht="30" customHeight="1">
      <c r="B13" s="371" t="s">
        <v>336</v>
      </c>
      <c r="C13" s="280"/>
      <c r="D13" s="104" t="s">
        <v>251</v>
      </c>
      <c r="E13" s="144" t="s">
        <v>252</v>
      </c>
      <c r="F13" s="106">
        <f>IF(_xlfn.XLOOKUP($E13,'[1]Import Eletra'!$B:$B,'[1]Import Eletra'!$U:$U,,0,1)=0,"",_xlfn.XLOOKUP($E13,'[1]Import Eletra'!$B:$B,'[1]Import Eletra'!$U:$U,,0,1))</f>
        <v>3</v>
      </c>
      <c r="G13" s="104" t="s">
        <v>244</v>
      </c>
      <c r="H13" s="2" t="str">
        <f>_xlfn.XLOOKUP($E13,'[1]Import Eletra'!$B:$B,'[1]Import Eletra'!$F:$F,,0,1)</f>
        <v>DELIVERED</v>
      </c>
      <c r="I13" s="108" t="str">
        <f>_xlfn.XLOOKUP($E13,'[1]Import Eletra'!$B:$B,'[1]Import Eletra'!$G:$G,,0,1)</f>
        <v>SEA</v>
      </c>
      <c r="J13" s="326">
        <v>46054</v>
      </c>
      <c r="K13" s="109">
        <v>30</v>
      </c>
      <c r="L13" s="109">
        <f>M13-J13</f>
        <v>24</v>
      </c>
      <c r="M13" s="326">
        <f>IF(_xlfn.XLOOKUP($E13,'[1]Import Eletra'!$B:$B,'[1]Import Eletra'!$J:$J,,0,1)=0,"",_xlfn.XLOOKUP($E13,'[1]Import Eletra'!$B:$B,'[1]Import Eletra'!$J:$J,,0,1))</f>
        <v>46078</v>
      </c>
      <c r="N13" s="332">
        <f>IF(_xlfn.XLOOKUP($E13,'[1]Import Eletra'!$B:$B,'[1]Import Eletra'!$L:$L,,0,1)=0,"",_xlfn.XLOOKUP($E13,'[1]Import Eletra'!$B:$B,'[1]Import Eletra'!$L:$L,,0,1))</f>
        <v>46133</v>
      </c>
      <c r="O13" s="335">
        <f>IF(_xlfn.XLOOKUP($E13,'[1]Import Eletra'!$B:$B,'[1]Import Eletra'!$AK:$AK,,0,1)=0,"",_xlfn.XLOOKUP($E13,'[1]Import Eletra'!$B:$B,'[1]Import Eletra'!$AK:$AK,,0,1))</f>
        <v>46120</v>
      </c>
      <c r="P13" s="326">
        <f>IF(_xlfn.XLOOKUP($E13,'[1]Import Eletra'!$B:$B,'[1]Import Eletra'!$AL:$AL,,0,1)=0,"",_xlfn.XLOOKUP($E13,'[1]Import Eletra'!$B:$B,'[1]Import Eletra'!$AL:$AL,,0,1))</f>
        <v>46121</v>
      </c>
      <c r="Q13" s="326">
        <f>IF(_xlfn.XLOOKUP($E13,'[1]Import Eletra'!$B:$B,'[1]Import Eletra'!$AM:$AM,,0,1)=0,"",_xlfn.XLOOKUP($E13,'[1]Import Eletra'!$B:$B,'[1]Import Eletra'!$AM:$AM,,0,1))</f>
        <v>46126</v>
      </c>
      <c r="R13" s="326">
        <f>IF(_xlfn.XLOOKUP($E13,'[1]Import Eletra'!$B:$B,'[1]Import Eletra'!$AN:$AN,,0,1)=0,"",_xlfn.XLOOKUP($E13,'[1]Import Eletra'!$B:$B,'[1]Import Eletra'!$AN:$AN,,0,1))</f>
        <v>46126</v>
      </c>
      <c r="S13" s="326">
        <f>IF(_xlfn.XLOOKUP($E13,'[1]Import Eletra'!$B:$B,'[1]Import Eletra'!$AO:$AO,,0,1)=0,"",_xlfn.XLOOKUP($E13,'[1]Import Eletra'!$B:$B,'[1]Import Eletra'!$AO:$AO,,0,1))</f>
        <v>46128</v>
      </c>
      <c r="T13" s="326">
        <f>IF(_xlfn.XLOOKUP($E13,'[1]Import Eletra'!$B:$B,'[1]Import Eletra'!$AP:$AP,,0,1)=0,"",_xlfn.XLOOKUP($E13,'[1]Import Eletra'!$B:$B,'[1]Import Eletra'!$AP:$AP,,0,1))</f>
        <v>46128</v>
      </c>
      <c r="U13" s="326">
        <f>IF(_xlfn.XLOOKUP($E13,'[1]Import Eletra'!$B:$B,'[1]Import Eletra'!$AQ:$AQ,,0,1)=0,"",_xlfn.XLOOKUP($E13,'[1]Import Eletra'!$B:$B,'[1]Import Eletra'!$AQ:$AQ,,0,1))</f>
        <v>46129</v>
      </c>
      <c r="V13" s="339">
        <f>IF(_xlfn.XLOOKUP($E13,'[1]Import Eletra'!$B:$B,'[1]Import Eletra'!$AR:$AR,,0,1)=0,"",_xlfn.XLOOKUP($E13,'[1]Import Eletra'!$B:$B,'[1]Import Eletra'!$AR:$AR,,0,1))</f>
        <v>46134</v>
      </c>
      <c r="W13" s="335">
        <f>AB13-$AB$4</f>
        <v>46133</v>
      </c>
      <c r="X13" s="332">
        <f>IF(_xlfn.XLOOKUP($E13,'[1]Import Eletra'!$B:$B,'[1]Import Eletra'!$AS:$AS,,0,1)=0,"",_xlfn.XLOOKUP($E13,'[1]Import Eletra'!$B:$B,'[1]Import Eletra'!$AS:$AS,,0,1))</f>
        <v>46136</v>
      </c>
      <c r="Y13" s="112">
        <f>$W$4</f>
        <v>0</v>
      </c>
      <c r="Z13" s="112">
        <f ca="1">IF(X13="",TODAY()-W13,X13-W13)</f>
        <v>3</v>
      </c>
      <c r="AA13" s="184">
        <f ca="1">Z13-Y13</f>
        <v>3</v>
      </c>
      <c r="AB13" s="346">
        <f>AG13-$AB$4</f>
        <v>46133</v>
      </c>
      <c r="AC13" s="332">
        <f>IF(_xlfn.XLOOKUP($E13,'[1]Import Eletra'!$B:$B,'[1]Import Eletra'!$AD:$AD,,0,1)=0,"",_xlfn.XLOOKUP($E13,'[1]Import Eletra'!$B:$B,'[1]Import Eletra'!$AD:$AD,,0,1))</f>
        <v>46136</v>
      </c>
      <c r="AD13" s="112">
        <f>$AB$4</f>
        <v>0</v>
      </c>
      <c r="AE13" s="112">
        <f ca="1">IF(AC13="",TODAY()-AB13,AC13-AB13)</f>
        <v>3</v>
      </c>
      <c r="AF13" s="184">
        <f ca="1">AE13-AD13</f>
        <v>3</v>
      </c>
      <c r="AG13" s="354">
        <f>AL13-$AL$4</f>
        <v>46133</v>
      </c>
      <c r="AH13" s="332">
        <f>IF(_xlfn.XLOOKUP($E13,'[1]Import Eletra'!$B:$B,'[1]Import Eletra'!$AE:$AE,,0,1)=0,"",_xlfn.XLOOKUP($E13,'[1]Import Eletra'!$B:$B,'[1]Import Eletra'!$AE:$AE,,0,1))</f>
        <v>46136</v>
      </c>
      <c r="AI13" s="112">
        <f>$AG$4</f>
        <v>0</v>
      </c>
      <c r="AJ13" s="112">
        <f ca="1">IF(AH13="",TODAY()-AG13,AH13-AG13)</f>
        <v>3</v>
      </c>
      <c r="AK13" s="184">
        <f ca="1">AJ13-AI13</f>
        <v>3</v>
      </c>
      <c r="AL13" s="354">
        <f>AQ13-$AQ$4</f>
        <v>46133</v>
      </c>
      <c r="AM13" s="332">
        <f>IF(_xlfn.XLOOKUP($E13,'[1]Import Eletra'!$B:$B,'[1]Import Eletra'!$AT:$AT,,0,1)=0,"",_xlfn.XLOOKUP($E13,'[1]Import Eletra'!$B:$B,'[1]Import Eletra'!$AT:$AT,,0,1))</f>
        <v>46136</v>
      </c>
      <c r="AN13" s="112">
        <f>$AL$4</f>
        <v>0</v>
      </c>
      <c r="AO13" s="112">
        <f ca="1">IF(AM13="",TODAY()-AL13,AM13-AL13)</f>
        <v>3</v>
      </c>
      <c r="AP13" s="184">
        <f ca="1">AO13-AN13</f>
        <v>3</v>
      </c>
      <c r="AQ13" s="358">
        <f>AV13-$AV$4</f>
        <v>46134</v>
      </c>
      <c r="AR13" s="332">
        <f>IF(_xlfn.XLOOKUP($E13,'[1]Import Eletra'!$B:$B,'[1]Import Eletra'!$AU:$AU,,0,1)=0,"",_xlfn.XLOOKUP($E13,'[1]Import Eletra'!$B:$B,'[1]Import Eletra'!$AU:$AU,,0,1))</f>
        <v>46136</v>
      </c>
      <c r="AS13" s="112">
        <f>$AQ$4</f>
        <v>1</v>
      </c>
      <c r="AT13" s="112">
        <f ca="1">IF(AR13="",TODAY()-AQ13,AR13-AQ13)</f>
        <v>2</v>
      </c>
      <c r="AU13" s="184">
        <f ca="1">AT13-AS13</f>
        <v>1</v>
      </c>
      <c r="AV13" s="354">
        <f>BA13-$BA$4</f>
        <v>46134</v>
      </c>
      <c r="AW13" s="332" t="str">
        <f>IF(_xlfn.XLOOKUP($E13,'[1]Import Eletra'!$B:$B,'[1]Import Eletra'!$AV:$AV,,0,1)=0,"",_xlfn.XLOOKUP($E13,'[1]Import Eletra'!$B:$B,'[1]Import Eletra'!$AV:$AV,,0,1))</f>
        <v/>
      </c>
      <c r="AX13" s="112"/>
      <c r="AY13" s="112"/>
      <c r="AZ13" s="184">
        <f>AY13-AX13</f>
        <v>0</v>
      </c>
      <c r="BA13" s="358">
        <f>BF13-$BF$4</f>
        <v>46134</v>
      </c>
      <c r="BB13" s="332" t="str">
        <f>IF(_xlfn.XLOOKUP($E13,'[1]Import Eletra'!$B:$B,'[1]Import Eletra'!$AW:$AW,,0,1)=0,"",_xlfn.XLOOKUP($E13,'[1]Import Eletra'!$B:$B,'[1]Import Eletra'!$AW:$AW,,0,1))</f>
        <v/>
      </c>
      <c r="BC13" s="112"/>
      <c r="BD13" s="112"/>
      <c r="BE13" s="184">
        <f>BD13-BC13</f>
        <v>0</v>
      </c>
      <c r="BF13" s="335">
        <f>BK13-$BK$4</f>
        <v>46134</v>
      </c>
      <c r="BG13" s="332" t="str">
        <f>IF(_xlfn.XLOOKUP($E13,'[1]Import Eletra'!$B:$B,'[1]Import Eletra'!$AX:$AX,,0,1)=0,"",_xlfn.XLOOKUP($E13,'[1]Import Eletra'!$B:$B,'[1]Import Eletra'!$AX:$AX,,0,1))</f>
        <v/>
      </c>
      <c r="BH13" s="112"/>
      <c r="BI13" s="112"/>
      <c r="BJ13" s="184">
        <f>BI13-BH13</f>
        <v>0</v>
      </c>
      <c r="BK13" s="362">
        <f>BP13-$BP$4</f>
        <v>46134</v>
      </c>
      <c r="BL13" s="332">
        <f>IF(_xlfn.XLOOKUP($E13,'[1]Import Eletra'!$B:$B,'[1]Import Eletra'!$AY:$AY,,0,1)=0,"",_xlfn.XLOOKUP($E13,'[1]Import Eletra'!$B:$B,'[1]Import Eletra'!$AY:$AY,,0,1))</f>
        <v>46136</v>
      </c>
      <c r="BM13" s="112">
        <f>$BK$4</f>
        <v>0</v>
      </c>
      <c r="BN13" s="112">
        <f ca="1">IF(BL13="",TODAY()-BK13,BL13-BK13)</f>
        <v>2</v>
      </c>
      <c r="BO13" s="184">
        <f ca="1">BN13-BM13</f>
        <v>2</v>
      </c>
      <c r="BP13" s="335">
        <f>BU13-$BU$4</f>
        <v>46134</v>
      </c>
      <c r="BQ13" s="332">
        <f>IF(_xlfn.XLOOKUP($E13,'[1]Import Eletra'!$B:$B,'[1]Import Eletra'!$AZ:$AZ,,0,1)=0,"",_xlfn.XLOOKUP($E13,'[1]Import Eletra'!$B:$B,'[1]Import Eletra'!$AZ:$AZ,,0,1))</f>
        <v>46136</v>
      </c>
      <c r="BR13" s="112">
        <f>$BP$4</f>
        <v>0</v>
      </c>
      <c r="BS13" s="112">
        <f ca="1">IF(BQ13="",TODAY()-BP13,BQ13-BP13)</f>
        <v>2</v>
      </c>
      <c r="BT13" s="184">
        <f ca="1">BS13-BR13</f>
        <v>2</v>
      </c>
      <c r="BU13" s="362">
        <f>BZ13-$BZ$4</f>
        <v>46136</v>
      </c>
      <c r="BV13" s="332">
        <f>IF(_xlfn.XLOOKUP($E13,'[1]Import Eletra'!$B:$B,'[1]Import Eletra'!$BA:$BA,,0,1)=0,"",_xlfn.XLOOKUP($E13,'[1]Import Eletra'!$B:$B,'[1]Import Eletra'!$BA:$BA,,0,1))</f>
        <v>46139</v>
      </c>
      <c r="BW13" s="112">
        <f>$BU$4</f>
        <v>2</v>
      </c>
      <c r="BX13" s="112">
        <f ca="1">IF(BV13="",TODAY()-BU13,BV13-BU13)</f>
        <v>3</v>
      </c>
      <c r="BY13" s="184">
        <f ca="1">BX13-BW13</f>
        <v>1</v>
      </c>
      <c r="BZ13" s="335">
        <f>CE13-$CE$4</f>
        <v>46136</v>
      </c>
      <c r="CA13" s="332">
        <f>IF(_xlfn.XLOOKUP($E13,'[1]Import Eletra'!$B:$B,'[1]Import Eletra'!$BB:$BB,,0,1)=0,"",_xlfn.XLOOKUP($E13,'[1]Import Eletra'!$B:$B,'[1]Import Eletra'!$BB:$BB,,0,1))</f>
        <v>46139</v>
      </c>
      <c r="CB13" s="112">
        <f>$BZ$4</f>
        <v>0</v>
      </c>
      <c r="CC13" s="112">
        <f ca="1">IF(CA13="",TODAY()-BZ13,CA13-BZ13)</f>
        <v>3</v>
      </c>
      <c r="CD13" s="184">
        <f ca="1">CC13-CB13</f>
        <v>3</v>
      </c>
      <c r="CE13" s="362">
        <f>CJ13-$CJ$4</f>
        <v>46136</v>
      </c>
      <c r="CF13" s="332">
        <f>IF(_xlfn.XLOOKUP($E13,'[1]Import Eletra'!$B:$B,'[1]Import Eletra'!$BC:$BC,,0,1)=0,"",_xlfn.XLOOKUP($E13,'[1]Import Eletra'!$B:$B,'[1]Import Eletra'!$BC:$BC,,0,1))</f>
        <v>46139</v>
      </c>
      <c r="CG13" s="112">
        <f>$CE$4</f>
        <v>0</v>
      </c>
      <c r="CH13" s="112">
        <f ca="1">IF(CF13="",TODAY()-CE13,CF13-CE13)</f>
        <v>3</v>
      </c>
      <c r="CI13" s="184">
        <f ca="1">CH13-CG13</f>
        <v>3</v>
      </c>
      <c r="CJ13" s="335">
        <f>CO13-$CO$4</f>
        <v>46136</v>
      </c>
      <c r="CK13" s="332">
        <f>IF(_xlfn.XLOOKUP($E13,'[1]Import Eletra'!$B:$B,'[1]Import Eletra'!$BD:$BD,,0,1)=0,"",_xlfn.XLOOKUP($E13,'[1]Import Eletra'!$B:$B,'[1]Import Eletra'!$BD:$BD,,0,1))</f>
        <v>46139</v>
      </c>
      <c r="CL13" s="112"/>
      <c r="CM13" s="112">
        <f ca="1">IF(CK13="",TODAY()-CJ13,CK13-CJ13)</f>
        <v>3</v>
      </c>
      <c r="CN13" s="184">
        <f ca="1">CM13-CL13</f>
        <v>3</v>
      </c>
      <c r="CO13" s="362">
        <f>CT13-$CT$4</f>
        <v>46136</v>
      </c>
      <c r="CP13" s="332">
        <f>IF(_xlfn.XLOOKUP($E13,'[1]Import Eletra'!$B:$B,'[1]Import Eletra'!$BE:$BE,,0,1)=0,"",_xlfn.XLOOKUP($E13,'[1]Import Eletra'!$B:$B,'[1]Import Eletra'!$BE:$BE,,0,1))</f>
        <v>46141</v>
      </c>
      <c r="CQ13" s="112">
        <f>$CO$4</f>
        <v>0</v>
      </c>
      <c r="CR13" s="113">
        <f ca="1">IF(CP13="",TODAY()-CO13,CP13-CO13)</f>
        <v>5</v>
      </c>
      <c r="CS13" s="184">
        <f ca="1">CR13-CQ13</f>
        <v>5</v>
      </c>
      <c r="CT13" s="335">
        <f>CY13-$CY$4</f>
        <v>46136</v>
      </c>
      <c r="CU13" s="332">
        <f>IF(_xlfn.XLOOKUP($E13,'[1]Import Eletra'!$B:$B,'[1]Import Eletra'!$BF:$BF,,0,1)=0,"",_xlfn.XLOOKUP($E13,'[1]Import Eletra'!$B:$B,'[1]Import Eletra'!$BF:$BF,,0,1))</f>
        <v>46141</v>
      </c>
      <c r="CV13" s="113">
        <f>$CT$4</f>
        <v>0</v>
      </c>
      <c r="CW13" s="113">
        <f ca="1">IF(CU13="",TODAY()-CT13,CU13-CT13)</f>
        <v>5</v>
      </c>
      <c r="CX13" s="184">
        <f ca="1">CW13-CV13</f>
        <v>5</v>
      </c>
      <c r="CY13" s="110">
        <f>DD13-$DD$4</f>
        <v>46136</v>
      </c>
      <c r="CZ13" s="104">
        <f>IF(_xlfn.XLOOKUP($E13,'[1]Import Eletra'!$B:$B,'[1]Import Eletra'!$BF:$BF,,0,1)=0,"",_xlfn.XLOOKUP($E13,'[1]Import Eletra'!$B:$B,'[1]Import Eletra'!$BF:$BF,,0,1))</f>
        <v>46141</v>
      </c>
      <c r="DA13" s="210">
        <f>$CY$4</f>
        <v>0</v>
      </c>
      <c r="DB13" s="113">
        <f ca="1">IF(CZ13="",TODAY()-CY13,CZ13-CY13)</f>
        <v>5</v>
      </c>
      <c r="DC13" s="184">
        <f ca="1">DB13-DA13</f>
        <v>5</v>
      </c>
      <c r="DD13" s="110">
        <f>DI13-$DI$4</f>
        <v>46138</v>
      </c>
      <c r="DE13" s="104">
        <f>IF(_xlfn.XLOOKUP($E13,'[1]Import Eletra'!$B:$B,'[1]Import Eletra'!$BG:$BG,,0,1)=0,"",_xlfn.XLOOKUP($E13,'[1]Import Eletra'!$B:$B,'[1]Import Eletra'!$BG:$BG,0,1))</f>
        <v>46141</v>
      </c>
      <c r="DF13" s="112">
        <f>$DD$4</f>
        <v>2</v>
      </c>
      <c r="DG13" s="112">
        <f ca="1">IF(DE13="",TODAY()-DD13,DE13-DD13)</f>
        <v>3</v>
      </c>
      <c r="DH13" s="184">
        <f ca="1">DG13-DF13</f>
        <v>1</v>
      </c>
      <c r="DI13" s="110">
        <f>DO13-$DN$4</f>
        <v>46139</v>
      </c>
      <c r="DJ13" s="104">
        <f>IF(_xlfn.XLOOKUP($E13,'[1]Import Eletra'!$B:$B,'[1]Import Eletra'!$BH:$BH,,0,1)=0,"",_xlfn.XLOOKUP($E13,'[1]Import Eletra'!$B:$B,'[1]Import Eletra'!$BH:$BH,0,1))</f>
        <v>46141</v>
      </c>
      <c r="DK13" s="112">
        <f>$DI$4</f>
        <v>1</v>
      </c>
      <c r="DL13" s="112">
        <f ca="1">IF(DJ13="",TODAY()-DI13,DJ13-DI13)</f>
        <v>2</v>
      </c>
      <c r="DM13" s="184">
        <f ca="1">DL13-DK13</f>
        <v>1</v>
      </c>
      <c r="DN13" s="64">
        <v>46140</v>
      </c>
      <c r="DO13" s="202">
        <f t="shared" si="0"/>
        <v>46140</v>
      </c>
      <c r="DP13" s="165">
        <f>IF(_xlfn.XLOOKUP($E13,'[1]Import Eletra'!$B:$B,'[1]Import Eletra'!$O:$O,,0,1)=0,"",_xlfn.XLOOKUP($E13,'[1]Import Eletra'!$B:$B,'[1]Import Eletra'!$O:$O,0,1))</f>
        <v>46142</v>
      </c>
      <c r="DQ13" s="112">
        <f>$DN$4</f>
        <v>1</v>
      </c>
      <c r="DR13" s="112">
        <f ca="1">IF(DP13="",TODAY()-DO13,DP13-DO13)</f>
        <v>2</v>
      </c>
      <c r="DS13" s="184">
        <f ca="1">DR13-DQ13</f>
        <v>1</v>
      </c>
      <c r="DT13" s="143">
        <f>_xlfn.AGGREGATE(9,6,Y13,AD13,AI13,AN13,AS13,AX13,BC13,BH13,BM13,BR13,BW13,CB13,CG13,CL13,CQ13,CV13,DF13,DK13,DQ13)</f>
        <v>7</v>
      </c>
      <c r="DU13" s="140">
        <f ca="1">IF(DP13="",TODAY()-N13,DP13-N13)</f>
        <v>9</v>
      </c>
      <c r="DV13" s="184">
        <f ca="1">DU13-DT13</f>
        <v>2</v>
      </c>
      <c r="DX13" s="185" t="s">
        <v>245</v>
      </c>
      <c r="DY13" s="108" t="str">
        <f>IF(_xlfn.XLOOKUP($E13,'[1]Import Eletra'!$B:$B,'[1]Import Eletra'!$DW:$DW,,0,1)=0,"",_xlfn.XLOOKUP($E13,'[1]Import Eletra'!$B:$B,'[1]Import Eletra'!$DW:$DW,0,1))</f>
        <v/>
      </c>
      <c r="DZ13" s="141" t="s">
        <v>253</v>
      </c>
      <c r="EB13" s="289"/>
      <c r="ED13" s="406" t="str">
        <f>IF(_xlfn.XLOOKUP($E13,'[1]Import Eletra'!$B:$B,'[1]Import Eletra'!$BQ:$BQ,,0,1)=0,"",_xlfn.XLOOKUP($E13,'[1]Import Eletra'!$B:$B,'[1]Import Eletra'!$BQ:$BQ,0,1))</f>
        <v/>
      </c>
      <c r="EE13" s="407" t="str">
        <f>IF(_xlfn.XLOOKUP($E13,'[1]Import Eletra'!$B:$B,'[1]Import Eletra'!$BR:$BR,,0,1)=0,"",_xlfn.XLOOKUP($E13,'[1]Import Eletra'!$B:$B,'[1]Import Eletra'!$BR:$BR,0,1))</f>
        <v/>
      </c>
      <c r="EF13" s="406" t="str">
        <f>IF(_xlfn.XLOOKUP($E13,'[1]Import Eletra'!$B:$B,'[1]Import Eletra'!$BS:$BS,,0,1)=0,"",_xlfn.XLOOKUP($E13,'[1]Import Eletra'!$B:$B,'[1]Import Eletra'!$BS:$BS,0,1))</f>
        <v/>
      </c>
      <c r="EG13" s="407" t="str">
        <f>IF(_xlfn.XLOOKUP($E13,'[1]Import Eletra'!$B:$B,'[1]Import Eletra'!$BT:$BT,,0,1)=0,"",_xlfn.XLOOKUP($E13,'[1]Import Eletra'!$B:$B,'[1]Import Eletra'!$BT:$BT,0,1))</f>
        <v/>
      </c>
      <c r="EH13" s="406" t="str">
        <f>IF(_xlfn.XLOOKUP($E13,'[1]Import Eletra'!$B:$B,'[1]Import Eletra'!$BU:$BU,,0,1)=0,"",_xlfn.XLOOKUP($E13,'[1]Import Eletra'!$B:$B,'[1]Import Eletra'!$BU:$BU,0,1))</f>
        <v/>
      </c>
      <c r="EI13" s="407" t="str">
        <f>IF(_xlfn.XLOOKUP($E13,'[1]Import Eletra'!$B:$B,'[1]Import Eletra'!$BV:$BV,,0,1)=0,"",_xlfn.XLOOKUP($E13,'[1]Import Eletra'!$B:$B,'[1]Import Eletra'!$BV:$BV,0,1))</f>
        <v/>
      </c>
      <c r="EJ13" s="407">
        <f>IF(_xlfn.XLOOKUP($E13,'[1]Import Eletra'!$B:$B,'[1]Import Eletra'!$CI:$CI,,0,1)=0,"",_xlfn.XLOOKUP($E13,'[1]Import Eletra'!$B:$B,'[1]Import Eletra'!$CI:$CI,0,1))</f>
        <v>46151</v>
      </c>
      <c r="EK13" s="407" t="str">
        <f>IF(_xlfn.XLOOKUP($E13,'[1]Import Eletra'!$B:$B,'[1]Import Eletra'!$CD:$CD,,0,1)=0,"",_xlfn.XLOOKUP($E13,'[1]Import Eletra'!$B:$B,'[1]Import Eletra'!$CD:$CD,0,1))</f>
        <v/>
      </c>
      <c r="EL13" s="407" t="str">
        <f>IF(_xlfn.XLOOKUP($E13,'[1]Import Eletra'!$B:$B,'[1]Import Eletra'!$CE:$CE,,0,1)=0,"",_xlfn.XLOOKUP($E13,'[1]Import Eletra'!$B:$B,'[1]Import Eletra'!$CE:$CE,0,1))</f>
        <v>NÃO</v>
      </c>
      <c r="EM13" s="408" t="str">
        <f>IF(_xlfn.XLOOKUP($E13,'[1]Import Eletra'!$B:$B,'[1]Import Eletra'!$E:$E,,0,1)=0,"",_xlfn.XLOOKUP($E13,'[1]Import Eletra'!$B:$B,'[1]Import Eletra'!$E:$E,0,1))</f>
        <v>LEISIANE</v>
      </c>
      <c r="EN13" s="408" t="str">
        <f>IF(_xlfn.XLOOKUP($E13,'[1]Import Eletra'!$B:$B,'[1]Import Eletra'!$R:$R,,0,1)=0,"",_xlfn.XLOOKUP($E13,'[1]Import Eletra'!$B:$B,'[1]Import Eletra'!$R:$R,0,1))</f>
        <v>PWBR260020-10A</v>
      </c>
      <c r="EO13" s="408" t="str">
        <f>IF(_xlfn.XLOOKUP($E13,'[1]Import Eletra'!$B:$B,'[1]Import Eletra'!$P:$P,,0,1)=0,"",_xlfn.XLOOKUP($E13,'[1]Import Eletra'!$B:$B,'[1]Import Eletra'!$P:$P,0,1))</f>
        <v>SDBLBS589838</v>
      </c>
      <c r="EP13" s="408" t="str">
        <f>IF(_xlfn.XLOOKUP($E13,'[1]Import Eletra'!$B:$B,'[1]Import Eletra'!$T:$T,,0,1)=0,"",_xlfn.XLOOKUP($E13,'[1]Import Eletra'!$B:$B,'[1]Import Eletra'!$T:$T,0,1))</f>
        <v>BMOU980249; CGMU535628; CGMU703248</v>
      </c>
      <c r="IJ13" s="294"/>
      <c r="IK13" s="295"/>
      <c r="IL13" s="295"/>
      <c r="IM13" s="295"/>
      <c r="IN13" s="295"/>
      <c r="IO13" s="295"/>
      <c r="IP13" s="295"/>
      <c r="IQ13" s="295"/>
      <c r="IR13" s="295"/>
      <c r="IS13" s="295"/>
      <c r="IT13" s="295"/>
      <c r="IU13" s="295"/>
      <c r="IV13" s="297"/>
      <c r="IW13" s="295"/>
      <c r="IX13" s="295"/>
      <c r="IY13" s="295"/>
    </row>
    <row r="14" spans="1:259" ht="30" customHeight="1">
      <c r="A14" s="227"/>
      <c r="B14" s="371" t="s">
        <v>336</v>
      </c>
      <c r="C14" s="280"/>
      <c r="D14" s="104" t="s">
        <v>251</v>
      </c>
      <c r="E14" s="245" t="s">
        <v>254</v>
      </c>
      <c r="F14" s="106">
        <f>IF(_xlfn.XLOOKUP($E14,'[1]Import Eletra'!$B:$B,'[1]Import Eletra'!$U:$U,,0,1)=0,"",_xlfn.XLOOKUP($E14,'[1]Import Eletra'!$B:$B,'[1]Import Eletra'!$U:$U,,0,1))</f>
        <v>3</v>
      </c>
      <c r="G14" s="107" t="s">
        <v>244</v>
      </c>
      <c r="H14" s="104" t="str">
        <f>_xlfn.XLOOKUP($E14,'[1]Import Eletra'!$B:$B,'[1]Import Eletra'!$F:$F,,0,1)</f>
        <v>DELIVERED</v>
      </c>
      <c r="I14" s="108" t="str">
        <f>_xlfn.XLOOKUP($E14,'[1]Import Eletra'!$B:$B,'[1]Import Eletra'!$G:$G,,0,1)</f>
        <v>SEA</v>
      </c>
      <c r="J14" s="326">
        <v>46054</v>
      </c>
      <c r="K14" s="109">
        <v>30</v>
      </c>
      <c r="L14" s="109">
        <f>M14-J14</f>
        <v>24</v>
      </c>
      <c r="M14" s="326">
        <f>IF(_xlfn.XLOOKUP($E14,'[1]Import Eletra'!$B:$B,'[1]Import Eletra'!$J:$J,,0,1)=0,"",_xlfn.XLOOKUP($E14,'[1]Import Eletra'!$B:$B,'[1]Import Eletra'!$J:$J,,0,1))</f>
        <v>46078</v>
      </c>
      <c r="N14" s="332">
        <f>IF(_xlfn.XLOOKUP($E14,'[1]Import Eletra'!$B:$B,'[1]Import Eletra'!$L:$L,,0,1)=0,"",_xlfn.XLOOKUP($E14,'[1]Import Eletra'!$B:$B,'[1]Import Eletra'!$L:$L,,0,1))</f>
        <v>46133</v>
      </c>
      <c r="O14" s="335">
        <f>IF(_xlfn.XLOOKUP($E14,'[1]Import Eletra'!$B:$B,'[1]Import Eletra'!$AK:$AK,,0,1)=0,"",_xlfn.XLOOKUP($E14,'[1]Import Eletra'!$B:$B,'[1]Import Eletra'!$AK:$AK,,0,1))</f>
        <v>46118</v>
      </c>
      <c r="P14" s="326">
        <f>IF(_xlfn.XLOOKUP($E14,'[1]Import Eletra'!$B:$B,'[1]Import Eletra'!$AL:$AL,,0,1)=0,"",_xlfn.XLOOKUP($E14,'[1]Import Eletra'!$B:$B,'[1]Import Eletra'!$AL:$AL,,0,1))</f>
        <v>46119</v>
      </c>
      <c r="Q14" s="326">
        <f>IF(_xlfn.XLOOKUP($E14,'[1]Import Eletra'!$B:$B,'[1]Import Eletra'!$AM:$AM,,0,1)=0,"",_xlfn.XLOOKUP($E14,'[1]Import Eletra'!$B:$B,'[1]Import Eletra'!$AM:$AM,,0,1))</f>
        <v>46128</v>
      </c>
      <c r="R14" s="326">
        <f>IF(_xlfn.XLOOKUP($E14,'[1]Import Eletra'!$B:$B,'[1]Import Eletra'!$AN:$AN,,0,1)=0,"",_xlfn.XLOOKUP($E14,'[1]Import Eletra'!$B:$B,'[1]Import Eletra'!$AN:$AN,,0,1))</f>
        <v>46129</v>
      </c>
      <c r="S14" s="326">
        <f>IF(_xlfn.XLOOKUP($E14,'[1]Import Eletra'!$B:$B,'[1]Import Eletra'!$AO:$AO,,0,1)=0,"",_xlfn.XLOOKUP($E14,'[1]Import Eletra'!$B:$B,'[1]Import Eletra'!$AO:$AO,,0,1))</f>
        <v>46132</v>
      </c>
      <c r="T14" s="326">
        <f>IF(_xlfn.XLOOKUP($E14,'[1]Import Eletra'!$B:$B,'[1]Import Eletra'!$AP:$AP,,0,1)=0,"",_xlfn.XLOOKUP($E14,'[1]Import Eletra'!$B:$B,'[1]Import Eletra'!$AP:$AP,,0,1))</f>
        <v>46132</v>
      </c>
      <c r="U14" s="326">
        <f>IF(_xlfn.XLOOKUP($E14,'[1]Import Eletra'!$B:$B,'[1]Import Eletra'!$AQ:$AQ,,0,1)=0,"",_xlfn.XLOOKUP($E14,'[1]Import Eletra'!$B:$B,'[1]Import Eletra'!$AQ:$AQ,,0,1))</f>
        <v>46134</v>
      </c>
      <c r="V14" s="339">
        <f>IF(_xlfn.XLOOKUP($E14,'[1]Import Eletra'!$B:$B,'[1]Import Eletra'!$AR:$AR,,0,1)=0,"",_xlfn.XLOOKUP($E14,'[1]Import Eletra'!$B:$B,'[1]Import Eletra'!$AR:$AR,,0,1))</f>
        <v>46134</v>
      </c>
      <c r="W14" s="335">
        <f>AB14-$AB$4</f>
        <v>46133</v>
      </c>
      <c r="X14" s="332">
        <f>IF(_xlfn.XLOOKUP($E14,'[1]Import Eletra'!$B:$B,'[1]Import Eletra'!$AS:$AS,,0,1)=0,"",_xlfn.XLOOKUP($E14,'[1]Import Eletra'!$B:$B,'[1]Import Eletra'!$AS:$AS,,0,1))</f>
        <v>46134</v>
      </c>
      <c r="Y14" s="112">
        <f>$W$4</f>
        <v>0</v>
      </c>
      <c r="Z14" s="119">
        <f ca="1">IF(X14="",TODAY()-W14,X14-W14)</f>
        <v>1</v>
      </c>
      <c r="AA14" s="184">
        <f ca="1">Z14-Y14</f>
        <v>1</v>
      </c>
      <c r="AB14" s="347">
        <f>AG14-$AB$4</f>
        <v>46133</v>
      </c>
      <c r="AC14" s="332">
        <f>IF(_xlfn.XLOOKUP($E14,'[1]Import Eletra'!$B:$B,'[1]Import Eletra'!$AD:$AD,,0,1)=0,"",_xlfn.XLOOKUP($E14,'[1]Import Eletra'!$B:$B,'[1]Import Eletra'!$AD:$AD,,0,1))</f>
        <v>46134</v>
      </c>
      <c r="AD14" s="112">
        <f>$AB$4</f>
        <v>0</v>
      </c>
      <c r="AE14" s="112">
        <f ca="1">IF(AC14="",TODAY()-AB14,AC14-AB14)</f>
        <v>1</v>
      </c>
      <c r="AF14" s="184">
        <f ca="1">AE14-AD14</f>
        <v>1</v>
      </c>
      <c r="AG14" s="354">
        <f>AL14-$AL$4</f>
        <v>46133</v>
      </c>
      <c r="AH14" s="332">
        <f>IF(_xlfn.XLOOKUP($E14,'[1]Import Eletra'!$B:$B,'[1]Import Eletra'!$AE:$AE,,0,1)=0,"",_xlfn.XLOOKUP($E14,'[1]Import Eletra'!$B:$B,'[1]Import Eletra'!$AE:$AE,,0,1))</f>
        <v>46134</v>
      </c>
      <c r="AI14" s="112">
        <f>$AG$4</f>
        <v>0</v>
      </c>
      <c r="AJ14" s="112">
        <f ca="1">IF(AH14="",TODAY()-AG14,AH14-AG14)</f>
        <v>1</v>
      </c>
      <c r="AK14" s="184">
        <f ca="1">AJ14-AI14</f>
        <v>1</v>
      </c>
      <c r="AL14" s="355">
        <f>AQ14-$AQ$4</f>
        <v>46133</v>
      </c>
      <c r="AM14" s="332">
        <f>IF(_xlfn.XLOOKUP($E14,'[1]Import Eletra'!$B:$B,'[1]Import Eletra'!$AT:$AT,,0,1)=0,"",_xlfn.XLOOKUP($E14,'[1]Import Eletra'!$B:$B,'[1]Import Eletra'!$AT:$AT,,0,1))</f>
        <v>46134</v>
      </c>
      <c r="AN14" s="112">
        <f>$AL$4</f>
        <v>0</v>
      </c>
      <c r="AO14" s="112">
        <f ca="1">IF(AM14="",TODAY()-AL14,AM14-AL14)</f>
        <v>1</v>
      </c>
      <c r="AP14" s="184">
        <f ca="1">AO14-AN14</f>
        <v>1</v>
      </c>
      <c r="AQ14" s="357">
        <f>AV14-$AV$4</f>
        <v>46134</v>
      </c>
      <c r="AR14" s="332">
        <f>IF(_xlfn.XLOOKUP($E14,'[1]Import Eletra'!$B:$B,'[1]Import Eletra'!$AU:$AU,,0,1)=0,"",_xlfn.XLOOKUP($E14,'[1]Import Eletra'!$B:$B,'[1]Import Eletra'!$AU:$AU,,0,1))</f>
        <v>46134</v>
      </c>
      <c r="AS14" s="112">
        <f>$AQ$4</f>
        <v>1</v>
      </c>
      <c r="AT14" s="112">
        <f ca="1">IF(AR14="",TODAY()-AQ14,AR14-AQ14)</f>
        <v>0</v>
      </c>
      <c r="AU14" s="184">
        <f ca="1">AT14-AS14</f>
        <v>-1</v>
      </c>
      <c r="AV14" s="355">
        <f>BA14-$BA$4</f>
        <v>46134</v>
      </c>
      <c r="AW14" s="332" t="str">
        <f>IF(_xlfn.XLOOKUP($E14,'[1]Import Eletra'!$B:$B,'[1]Import Eletra'!$AV:$AV,,0,1)=0,"",_xlfn.XLOOKUP($E14,'[1]Import Eletra'!$B:$B,'[1]Import Eletra'!$AV:$AV,,0,1))</f>
        <v/>
      </c>
      <c r="AX14" s="112"/>
      <c r="AY14" s="113"/>
      <c r="AZ14" s="184">
        <f>AY14-AX14</f>
        <v>0</v>
      </c>
      <c r="BA14" s="357">
        <f>BF14-$BF$4</f>
        <v>46134</v>
      </c>
      <c r="BB14" s="332" t="str">
        <f>IF(_xlfn.XLOOKUP($E14,'[1]Import Eletra'!$B:$B,'[1]Import Eletra'!$AW:$AW,,0,1)=0,"",_xlfn.XLOOKUP($E14,'[1]Import Eletra'!$B:$B,'[1]Import Eletra'!$AW:$AW,,0,1))</f>
        <v/>
      </c>
      <c r="BC14" s="112"/>
      <c r="BD14" s="112"/>
      <c r="BE14" s="184">
        <f>BD14-BC14</f>
        <v>0</v>
      </c>
      <c r="BF14" s="335">
        <f>BK14-$BK$4</f>
        <v>46134</v>
      </c>
      <c r="BG14" s="332" t="str">
        <f>IF(_xlfn.XLOOKUP($E14,'[1]Import Eletra'!$B:$B,'[1]Import Eletra'!$AX:$AX,,0,1)=0,"",_xlfn.XLOOKUP($E14,'[1]Import Eletra'!$B:$B,'[1]Import Eletra'!$AX:$AX,,0,1))</f>
        <v/>
      </c>
      <c r="BH14" s="112"/>
      <c r="BI14" s="112"/>
      <c r="BJ14" s="184">
        <f>BI14-BH14</f>
        <v>0</v>
      </c>
      <c r="BK14" s="362">
        <f>BP14-$BP$4</f>
        <v>46134</v>
      </c>
      <c r="BL14" s="332">
        <f>IF(_xlfn.XLOOKUP($E14,'[1]Import Eletra'!$B:$B,'[1]Import Eletra'!$AY:$AY,,0,1)=0,"",_xlfn.XLOOKUP($E14,'[1]Import Eletra'!$B:$B,'[1]Import Eletra'!$AY:$AY,,0,1))</f>
        <v>46134</v>
      </c>
      <c r="BM14" s="112">
        <f>$BK$4</f>
        <v>0</v>
      </c>
      <c r="BN14" s="112">
        <f ca="1">IF(BL14="",TODAY()-BK14,BL14-BK14)</f>
        <v>0</v>
      </c>
      <c r="BO14" s="184">
        <f ca="1">BN14-BM14</f>
        <v>0</v>
      </c>
      <c r="BP14" s="335">
        <f>BU14-$BU$4</f>
        <v>46134</v>
      </c>
      <c r="BQ14" s="332">
        <f>IF(_xlfn.XLOOKUP($E14,'[1]Import Eletra'!$B:$B,'[1]Import Eletra'!$AZ:$AZ,,0,1)=0,"",_xlfn.XLOOKUP($E14,'[1]Import Eletra'!$B:$B,'[1]Import Eletra'!$AZ:$AZ,,0,1))</f>
        <v>46134</v>
      </c>
      <c r="BR14" s="112">
        <f>$BP$4</f>
        <v>0</v>
      </c>
      <c r="BS14" s="112">
        <f ca="1">IF(BQ14="",TODAY()-BP14,BQ14-BP14)</f>
        <v>0</v>
      </c>
      <c r="BT14" s="184">
        <f ca="1">BS14-BR14</f>
        <v>0</v>
      </c>
      <c r="BU14" s="362">
        <f>BZ14-$BZ$4</f>
        <v>46136</v>
      </c>
      <c r="BV14" s="332">
        <f>IF(_xlfn.XLOOKUP($E14,'[1]Import Eletra'!$B:$B,'[1]Import Eletra'!$BA:$BA,,0,1)=0,"",_xlfn.XLOOKUP($E14,'[1]Import Eletra'!$B:$B,'[1]Import Eletra'!$BA:$BA,,0,1))</f>
        <v>46135</v>
      </c>
      <c r="BW14" s="112">
        <f>$BU$4</f>
        <v>2</v>
      </c>
      <c r="BX14" s="112">
        <f ca="1">IF(BV14="",TODAY()-BU14,BV14-BU14)</f>
        <v>-1</v>
      </c>
      <c r="BY14" s="184">
        <f ca="1">BX14-BW14</f>
        <v>-3</v>
      </c>
      <c r="BZ14" s="335">
        <f>CE14-$CE$4</f>
        <v>46136</v>
      </c>
      <c r="CA14" s="332">
        <f>IF(_xlfn.XLOOKUP($E14,'[1]Import Eletra'!$B:$B,'[1]Import Eletra'!$BB:$BB,,0,1)=0,"",_xlfn.XLOOKUP($E14,'[1]Import Eletra'!$B:$B,'[1]Import Eletra'!$BB:$BB,,0,1))</f>
        <v>46135</v>
      </c>
      <c r="CB14" s="112">
        <f>$BZ$4</f>
        <v>0</v>
      </c>
      <c r="CC14" s="112">
        <f ca="1">IF(CA14="",TODAY()-BZ14,CA14-BZ14)</f>
        <v>-1</v>
      </c>
      <c r="CD14" s="184">
        <f ca="1">CC14-CB14</f>
        <v>-1</v>
      </c>
      <c r="CE14" s="362">
        <f>CJ14-$CJ$4</f>
        <v>46136</v>
      </c>
      <c r="CF14" s="332">
        <f>IF(_xlfn.XLOOKUP($E14,'[1]Import Eletra'!$B:$B,'[1]Import Eletra'!$BC:$BC,,0,1)=0,"",_xlfn.XLOOKUP($E14,'[1]Import Eletra'!$B:$B,'[1]Import Eletra'!$BC:$BC,,0,1))</f>
        <v>46135</v>
      </c>
      <c r="CG14" s="112">
        <f>$CE$4</f>
        <v>0</v>
      </c>
      <c r="CH14" s="112">
        <f ca="1">IF(CF14="",TODAY()-CE14,CF14-CE14)</f>
        <v>-1</v>
      </c>
      <c r="CI14" s="184">
        <f ca="1">CH14-CG14</f>
        <v>-1</v>
      </c>
      <c r="CJ14" s="335">
        <f>CO14-$CO$4</f>
        <v>46136</v>
      </c>
      <c r="CK14" s="332">
        <f>IF(_xlfn.XLOOKUP($E14,'[1]Import Eletra'!$B:$B,'[1]Import Eletra'!$BD:$BD,,0,1)=0,"",_xlfn.XLOOKUP($E14,'[1]Import Eletra'!$B:$B,'[1]Import Eletra'!$BD:$BD,,0,1))</f>
        <v>46135</v>
      </c>
      <c r="CL14" s="112"/>
      <c r="CM14" s="112">
        <f ca="1">IF(CK14="",TODAY()-CJ14,CK14-CJ14)</f>
        <v>-1</v>
      </c>
      <c r="CN14" s="184">
        <f ca="1">CM14-CL14</f>
        <v>-1</v>
      </c>
      <c r="CO14" s="335">
        <f>CT14-$CT$4</f>
        <v>46136</v>
      </c>
      <c r="CP14" s="332">
        <f>IF(_xlfn.XLOOKUP($E14,'[1]Import Eletra'!$B:$B,'[1]Import Eletra'!$BE:$BE,,0,1)=0,"",_xlfn.XLOOKUP($E14,'[1]Import Eletra'!$B:$B,'[1]Import Eletra'!$BE:$BE,,0,1))</f>
        <v>46135</v>
      </c>
      <c r="CQ14" s="112">
        <f>$CO$4</f>
        <v>0</v>
      </c>
      <c r="CR14" s="115">
        <f ca="1">IF(CP14="",TODAY()-CO14,CP14-CO14)</f>
        <v>-1</v>
      </c>
      <c r="CS14" s="184">
        <f ca="1">CR14-CQ14</f>
        <v>-1</v>
      </c>
      <c r="CT14" s="362">
        <f>CY14-$CY$4</f>
        <v>46136</v>
      </c>
      <c r="CU14" s="332">
        <f>IF(_xlfn.XLOOKUP($E14,'[1]Import Eletra'!$B:$B,'[1]Import Eletra'!$BF:$BF,,0,1)=0,"",_xlfn.XLOOKUP($E14,'[1]Import Eletra'!$B:$B,'[1]Import Eletra'!$BF:$BF,,0,1))</f>
        <v>46135</v>
      </c>
      <c r="CV14" s="112">
        <f>$CT$4</f>
        <v>0</v>
      </c>
      <c r="CW14" s="115">
        <f ca="1">IF(CU14="",TODAY()-CT14,CU14-CT14)</f>
        <v>-1</v>
      </c>
      <c r="CX14" s="184">
        <f ca="1">CW14-CV14</f>
        <v>-1</v>
      </c>
      <c r="CY14" s="120">
        <f>DD14-$DD$4</f>
        <v>46136</v>
      </c>
      <c r="CZ14" s="104">
        <f>IF(_xlfn.XLOOKUP($E14,'[1]Import Eletra'!$B:$B,'[1]Import Eletra'!$BF:$BF,,0,1)=0,"",_xlfn.XLOOKUP($E14,'[1]Import Eletra'!$B:$B,'[1]Import Eletra'!$BF:$BF,,0,1))</f>
        <v>46135</v>
      </c>
      <c r="DA14" s="112">
        <f>$CY$4</f>
        <v>0</v>
      </c>
      <c r="DB14" s="112">
        <f ca="1">IF(CZ14="",TODAY()-CY14,CZ14-CY14)</f>
        <v>-1</v>
      </c>
      <c r="DC14" s="184">
        <f ca="1">DB14-DA14</f>
        <v>-1</v>
      </c>
      <c r="DD14" s="110">
        <f>DI14-$DI$4</f>
        <v>46138</v>
      </c>
      <c r="DE14" s="104">
        <f>IF(_xlfn.XLOOKUP($E14,'[1]Import Eletra'!$B:$B,'[1]Import Eletra'!$BG:$BG,,0,1)=0,"",_xlfn.XLOOKUP($E14,'[1]Import Eletra'!$B:$B,'[1]Import Eletra'!$BG:$BG,0,1))</f>
        <v>46136</v>
      </c>
      <c r="DF14" s="112">
        <f>$DD$4</f>
        <v>2</v>
      </c>
      <c r="DG14" s="112">
        <f ca="1">IF(DE14="",TODAY()-DD14,DE14-DD14)</f>
        <v>-2</v>
      </c>
      <c r="DH14" s="184">
        <f ca="1">DG14-DF14</f>
        <v>-4</v>
      </c>
      <c r="DI14" s="110">
        <f>DO14-$DN$4</f>
        <v>46139</v>
      </c>
      <c r="DJ14" s="104">
        <f>IF(_xlfn.XLOOKUP($E14,'[1]Import Eletra'!$B:$B,'[1]Import Eletra'!$BH:$BH,,0,1)=0,"",_xlfn.XLOOKUP($E14,'[1]Import Eletra'!$B:$B,'[1]Import Eletra'!$BH:$BH,0,1))</f>
        <v>46137</v>
      </c>
      <c r="DK14" s="112">
        <f>$DI$4</f>
        <v>1</v>
      </c>
      <c r="DL14" s="112">
        <f ca="1">IF(DJ14="",TODAY()-DI14,DJ14-DI14)</f>
        <v>-2</v>
      </c>
      <c r="DM14" s="184">
        <f ca="1">DL14-DK14</f>
        <v>-3</v>
      </c>
      <c r="DN14" s="64">
        <v>46140</v>
      </c>
      <c r="DO14" s="202">
        <f t="shared" si="0"/>
        <v>46140</v>
      </c>
      <c r="DP14" s="165">
        <f>IF(_xlfn.XLOOKUP($E14,'[1]Import Eletra'!$B:$B,'[1]Import Eletra'!$O:$O,,0,1)=0,"",_xlfn.XLOOKUP($E14,'[1]Import Eletra'!$B:$B,'[1]Import Eletra'!$O:$O,0,1))</f>
        <v>46137</v>
      </c>
      <c r="DQ14" s="112">
        <f>$DN$4</f>
        <v>1</v>
      </c>
      <c r="DR14" s="112">
        <f ca="1">IF(DP14="",TODAY()-DO14,DP14-DO14)</f>
        <v>-3</v>
      </c>
      <c r="DS14" s="184">
        <f ca="1">DR14-DQ14</f>
        <v>-4</v>
      </c>
      <c r="DT14" s="143">
        <f>_xlfn.AGGREGATE(9,6,Y14,AD14,AI14,AN14,AS14,AX14,BC14,BH14,BM14,BR14,BW14,CB14,CG14,CL14,CQ14,CV14,DF14,DK14,DQ14)</f>
        <v>7</v>
      </c>
      <c r="DU14" s="140">
        <f ca="1">IF(DP14="",TODAY()-N14,DP14-N14)</f>
        <v>4</v>
      </c>
      <c r="DV14" s="184">
        <f ca="1">DU14-DT14</f>
        <v>-3</v>
      </c>
      <c r="DW14" s="147"/>
      <c r="DX14" s="185" t="s">
        <v>245</v>
      </c>
      <c r="DY14" s="108" t="str">
        <f>IF(_xlfn.XLOOKUP($E14,'[1]Import Eletra'!$B:$B,'[1]Import Eletra'!$DW:$DW,,0,1)=0,"",_xlfn.XLOOKUP($E14,'[1]Import Eletra'!$B:$B,'[1]Import Eletra'!$DW:$DW,0,1))</f>
        <v/>
      </c>
      <c r="DZ14" s="147"/>
      <c r="EA14" s="147"/>
      <c r="EB14" s="288"/>
      <c r="EC14" s="147"/>
      <c r="ED14" s="406" t="str">
        <f>IF(_xlfn.XLOOKUP($E14,'[1]Import Eletra'!$B:$B,'[1]Import Eletra'!$BQ:$BQ,,0,1)=0,"",_xlfn.XLOOKUP($E14,'[1]Import Eletra'!$B:$B,'[1]Import Eletra'!$BQ:$BQ,0,1))</f>
        <v/>
      </c>
      <c r="EE14" s="407" t="str">
        <f>IF(_xlfn.XLOOKUP($E14,'[1]Import Eletra'!$B:$B,'[1]Import Eletra'!$BR:$BR,,0,1)=0,"",_xlfn.XLOOKUP($E14,'[1]Import Eletra'!$B:$B,'[1]Import Eletra'!$BR:$BR,0,1))</f>
        <v/>
      </c>
      <c r="EF14" s="406" t="str">
        <f>IF(_xlfn.XLOOKUP($E14,'[1]Import Eletra'!$B:$B,'[1]Import Eletra'!$BS:$BS,,0,1)=0,"",_xlfn.XLOOKUP($E14,'[1]Import Eletra'!$B:$B,'[1]Import Eletra'!$BS:$BS,0,1))</f>
        <v/>
      </c>
      <c r="EG14" s="407" t="str">
        <f>IF(_xlfn.XLOOKUP($E14,'[1]Import Eletra'!$B:$B,'[1]Import Eletra'!$BT:$BT,,0,1)=0,"",_xlfn.XLOOKUP($E14,'[1]Import Eletra'!$B:$B,'[1]Import Eletra'!$BT:$BT,0,1))</f>
        <v/>
      </c>
      <c r="EH14" s="406" t="str">
        <f>IF(_xlfn.XLOOKUP($E14,'[1]Import Eletra'!$B:$B,'[1]Import Eletra'!$BU:$BU,,0,1)=0,"",_xlfn.XLOOKUP($E14,'[1]Import Eletra'!$B:$B,'[1]Import Eletra'!$BU:$BU,0,1))</f>
        <v/>
      </c>
      <c r="EI14" s="407" t="str">
        <f>IF(_xlfn.XLOOKUP($E14,'[1]Import Eletra'!$B:$B,'[1]Import Eletra'!$BV:$BV,,0,1)=0,"",_xlfn.XLOOKUP($E14,'[1]Import Eletra'!$B:$B,'[1]Import Eletra'!$BV:$BV,0,1))</f>
        <v/>
      </c>
      <c r="EJ14" s="407">
        <f>IF(_xlfn.XLOOKUP($E14,'[1]Import Eletra'!$B:$B,'[1]Import Eletra'!$CI:$CI,,0,1)=0,"",_xlfn.XLOOKUP($E14,'[1]Import Eletra'!$B:$B,'[1]Import Eletra'!$CI:$CI,0,1))</f>
        <v>46151</v>
      </c>
      <c r="EK14" s="407" t="str">
        <f>IF(_xlfn.XLOOKUP($E14,'[1]Import Eletra'!$B:$B,'[1]Import Eletra'!$CD:$CD,,0,1)=0,"",_xlfn.XLOOKUP($E14,'[1]Import Eletra'!$B:$B,'[1]Import Eletra'!$CD:$CD,0,1))</f>
        <v/>
      </c>
      <c r="EL14" s="407" t="str">
        <f>IF(_xlfn.XLOOKUP($E14,'[1]Import Eletra'!$B:$B,'[1]Import Eletra'!$CE:$CE,,0,1)=0,"",_xlfn.XLOOKUP($E14,'[1]Import Eletra'!$B:$B,'[1]Import Eletra'!$CE:$CE,0,1))</f>
        <v>NÃO</v>
      </c>
      <c r="EM14" s="408" t="str">
        <f>IF(_xlfn.XLOOKUP($E14,'[1]Import Eletra'!$B:$B,'[1]Import Eletra'!$E:$E,,0,1)=0,"",_xlfn.XLOOKUP($E14,'[1]Import Eletra'!$B:$B,'[1]Import Eletra'!$E:$E,0,1))</f>
        <v>LEISIANE</v>
      </c>
      <c r="EN14" s="408" t="str">
        <f>IF(_xlfn.XLOOKUP($E14,'[1]Import Eletra'!$B:$B,'[1]Import Eletra'!$R:$R,,0,1)=0,"",_xlfn.XLOOKUP($E14,'[1]Import Eletra'!$B:$B,'[1]Import Eletra'!$R:$R,0,1))</f>
        <v>PWBR260020-10B</v>
      </c>
      <c r="EO14" s="408" t="str">
        <f>IF(_xlfn.XLOOKUP($E14,'[1]Import Eletra'!$B:$B,'[1]Import Eletra'!$P:$P,,0,1)=0,"",_xlfn.XLOOKUP($E14,'[1]Import Eletra'!$B:$B,'[1]Import Eletra'!$P:$P,0,1))</f>
        <v>SDBLBS589840</v>
      </c>
      <c r="EP14" s="408" t="str">
        <f>IF(_xlfn.XLOOKUP($E14,'[1]Import Eletra'!$B:$B,'[1]Import Eletra'!$T:$T,,0,1)=0,"",_xlfn.XLOOKUP($E14,'[1]Import Eletra'!$B:$B,'[1]Import Eletra'!$T:$T,0,1))</f>
        <v>CGMU550611; FBIU581394; TTNU887888</v>
      </c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</row>
    <row r="15" spans="1:259" ht="30" customHeight="1">
      <c r="B15" s="371" t="s">
        <v>336</v>
      </c>
      <c r="C15" s="280"/>
      <c r="D15" s="104" t="s">
        <v>251</v>
      </c>
      <c r="E15" s="144" t="s">
        <v>255</v>
      </c>
      <c r="F15" s="106">
        <f>IF(_xlfn.XLOOKUP($E15,'[1]Import Eletra'!$B:$B,'[1]Import Eletra'!$U:$U,,0,1)=0,"",_xlfn.XLOOKUP($E15,'[1]Import Eletra'!$B:$B,'[1]Import Eletra'!$U:$U,,0,1))</f>
        <v>3</v>
      </c>
      <c r="G15" s="104" t="s">
        <v>244</v>
      </c>
      <c r="H15" s="2" t="str">
        <f>_xlfn.XLOOKUP($E15,'[1]Import Eletra'!$B:$B,'[1]Import Eletra'!$F:$F,,0,1)</f>
        <v>DELIVERED</v>
      </c>
      <c r="I15" s="108" t="str">
        <f>_xlfn.XLOOKUP($E15,'[1]Import Eletra'!$B:$B,'[1]Import Eletra'!$G:$G,,0,1)</f>
        <v>SEA</v>
      </c>
      <c r="J15" s="326">
        <v>46054</v>
      </c>
      <c r="K15" s="109">
        <v>30</v>
      </c>
      <c r="L15" s="109">
        <f>M15-J15</f>
        <v>24</v>
      </c>
      <c r="M15" s="326">
        <f>IF(_xlfn.XLOOKUP($E15,'[1]Import Eletra'!$B:$B,'[1]Import Eletra'!$J:$J,,0,1)=0,"",_xlfn.XLOOKUP($E15,'[1]Import Eletra'!$B:$B,'[1]Import Eletra'!$J:$J,,0,1))</f>
        <v>46078</v>
      </c>
      <c r="N15" s="332">
        <f>IF(_xlfn.XLOOKUP($E15,'[1]Import Eletra'!$B:$B,'[1]Import Eletra'!$L:$L,,0,1)=0,"",_xlfn.XLOOKUP($E15,'[1]Import Eletra'!$B:$B,'[1]Import Eletra'!$L:$L,,0,1))</f>
        <v>46133</v>
      </c>
      <c r="O15" s="335">
        <f>IF(_xlfn.XLOOKUP($E15,'[1]Import Eletra'!$B:$B,'[1]Import Eletra'!$AK:$AK,,0,1)=0,"",_xlfn.XLOOKUP($E15,'[1]Import Eletra'!$B:$B,'[1]Import Eletra'!$AK:$AK,,0,1))</f>
        <v>46120</v>
      </c>
      <c r="P15" s="326">
        <f>IF(_xlfn.XLOOKUP($E15,'[1]Import Eletra'!$B:$B,'[1]Import Eletra'!$AL:$AL,,0,1)=0,"",_xlfn.XLOOKUP($E15,'[1]Import Eletra'!$B:$B,'[1]Import Eletra'!$AL:$AL,,0,1))</f>
        <v>46120</v>
      </c>
      <c r="Q15" s="326">
        <f>IF(_xlfn.XLOOKUP($E15,'[1]Import Eletra'!$B:$B,'[1]Import Eletra'!$AM:$AM,,0,1)=0,"",_xlfn.XLOOKUP($E15,'[1]Import Eletra'!$B:$B,'[1]Import Eletra'!$AM:$AM,,0,1))</f>
        <v>46122</v>
      </c>
      <c r="R15" s="326">
        <f>IF(_xlfn.XLOOKUP($E15,'[1]Import Eletra'!$B:$B,'[1]Import Eletra'!$AN:$AN,,0,1)=0,"",_xlfn.XLOOKUP($E15,'[1]Import Eletra'!$B:$B,'[1]Import Eletra'!$AN:$AN,,0,1))</f>
        <v>46126</v>
      </c>
      <c r="S15" s="326">
        <f>IF(_xlfn.XLOOKUP($E15,'[1]Import Eletra'!$B:$B,'[1]Import Eletra'!$AO:$AO,,0,1)=0,"",_xlfn.XLOOKUP($E15,'[1]Import Eletra'!$B:$B,'[1]Import Eletra'!$AO:$AO,,0,1))</f>
        <v>46129</v>
      </c>
      <c r="T15" s="326">
        <f>IF(_xlfn.XLOOKUP($E15,'[1]Import Eletra'!$B:$B,'[1]Import Eletra'!$AP:$AP,,0,1)=0,"",_xlfn.XLOOKUP($E15,'[1]Import Eletra'!$B:$B,'[1]Import Eletra'!$AP:$AP,,0,1))</f>
        <v>46129</v>
      </c>
      <c r="U15" s="326">
        <f>IF(_xlfn.XLOOKUP($E15,'[1]Import Eletra'!$B:$B,'[1]Import Eletra'!$AQ:$AQ,,0,1)=0,"",_xlfn.XLOOKUP($E15,'[1]Import Eletra'!$B:$B,'[1]Import Eletra'!$AQ:$AQ,,0,1))</f>
        <v>46130</v>
      </c>
      <c r="V15" s="339">
        <f>IF(_xlfn.XLOOKUP($E15,'[1]Import Eletra'!$B:$B,'[1]Import Eletra'!$AR:$AR,,0,1)=0,"",_xlfn.XLOOKUP($E15,'[1]Import Eletra'!$B:$B,'[1]Import Eletra'!$AR:$AR,,0,1))</f>
        <v>46134</v>
      </c>
      <c r="W15" s="335">
        <f>AB15-$AB$4</f>
        <v>46133</v>
      </c>
      <c r="X15" s="332">
        <f>IF(_xlfn.XLOOKUP($E15,'[1]Import Eletra'!$B:$B,'[1]Import Eletra'!$AS:$AS,,0,1)=0,"",_xlfn.XLOOKUP($E15,'[1]Import Eletra'!$B:$B,'[1]Import Eletra'!$AS:$AS,,0,1))</f>
        <v>46134</v>
      </c>
      <c r="Y15" s="112">
        <f>$W$4</f>
        <v>0</v>
      </c>
      <c r="Z15" s="113">
        <f ca="1">IF(X15="",TODAY()-W15,X15-W15)</f>
        <v>1</v>
      </c>
      <c r="AA15" s="184">
        <f ca="1">Z15-Y15</f>
        <v>1</v>
      </c>
      <c r="AB15" s="346">
        <f>AG15-$AB$4</f>
        <v>46133</v>
      </c>
      <c r="AC15" s="332">
        <f>IF(_xlfn.XLOOKUP($E15,'[1]Import Eletra'!$B:$B,'[1]Import Eletra'!$AD:$AD,,0,1)=0,"",_xlfn.XLOOKUP($E15,'[1]Import Eletra'!$B:$B,'[1]Import Eletra'!$AD:$AD,,0,1))</f>
        <v>46135</v>
      </c>
      <c r="AD15" s="112">
        <f>$AB$4</f>
        <v>0</v>
      </c>
      <c r="AE15" s="112">
        <f ca="1">IF(AC15="",TODAY()-AB15,AC15-AB15)</f>
        <v>2</v>
      </c>
      <c r="AF15" s="184">
        <f ca="1">AE15-AD15</f>
        <v>2</v>
      </c>
      <c r="AG15" s="354">
        <f>AL15-$AL$4</f>
        <v>46133</v>
      </c>
      <c r="AH15" s="332">
        <f>IF(_xlfn.XLOOKUP($E15,'[1]Import Eletra'!$B:$B,'[1]Import Eletra'!$AE:$AE,,0,1)=0,"",_xlfn.XLOOKUP($E15,'[1]Import Eletra'!$B:$B,'[1]Import Eletra'!$AE:$AE,,0,1))</f>
        <v>46135</v>
      </c>
      <c r="AI15" s="112">
        <f>$AG$4</f>
        <v>0</v>
      </c>
      <c r="AJ15" s="112">
        <f ca="1">IF(AH15="",TODAY()-AG15,AH15-AG15)</f>
        <v>2</v>
      </c>
      <c r="AK15" s="184">
        <f ca="1">AJ15-AI15</f>
        <v>2</v>
      </c>
      <c r="AL15" s="354">
        <f>AQ15-$AQ$4</f>
        <v>46133</v>
      </c>
      <c r="AM15" s="332">
        <f>IF(_xlfn.XLOOKUP($E15,'[1]Import Eletra'!$B:$B,'[1]Import Eletra'!$AT:$AT,,0,1)=0,"",_xlfn.XLOOKUP($E15,'[1]Import Eletra'!$B:$B,'[1]Import Eletra'!$AT:$AT,,0,1))</f>
        <v>46135</v>
      </c>
      <c r="AN15" s="112">
        <f>$AL$4</f>
        <v>0</v>
      </c>
      <c r="AO15" s="112">
        <f ca="1">IF(AM15="",TODAY()-AL15,AM15-AL15)</f>
        <v>2</v>
      </c>
      <c r="AP15" s="184">
        <f ca="1">AO15-AN15</f>
        <v>2</v>
      </c>
      <c r="AQ15" s="358">
        <f>AV15-$AV$4</f>
        <v>46134</v>
      </c>
      <c r="AR15" s="332">
        <f>IF(_xlfn.XLOOKUP($E15,'[1]Import Eletra'!$B:$B,'[1]Import Eletra'!$AU:$AU,,0,1)=0,"",_xlfn.XLOOKUP($E15,'[1]Import Eletra'!$B:$B,'[1]Import Eletra'!$AU:$AU,,0,1))</f>
        <v>46136</v>
      </c>
      <c r="AS15" s="112">
        <f>$AQ$4</f>
        <v>1</v>
      </c>
      <c r="AT15" s="112">
        <f ca="1">IF(AR15="",TODAY()-AQ15,AR15-AQ15)</f>
        <v>2</v>
      </c>
      <c r="AU15" s="184">
        <f ca="1">AT15-AS15</f>
        <v>1</v>
      </c>
      <c r="AV15" s="354">
        <f>BA15-$BA$4</f>
        <v>46134</v>
      </c>
      <c r="AW15" s="332">
        <f>IF(_xlfn.XLOOKUP($E15,'[1]Import Eletra'!$B:$B,'[1]Import Eletra'!$AV:$AV,,0,1)=0,"",_xlfn.XLOOKUP($E15,'[1]Import Eletra'!$B:$B,'[1]Import Eletra'!$AV:$AV,,0,1))</f>
        <v>46135</v>
      </c>
      <c r="AX15" s="112">
        <f>$AV$4</f>
        <v>0</v>
      </c>
      <c r="AY15" s="112">
        <f ca="1">IF(AW15="",TODAY()-AV15,AW15-AV15)</f>
        <v>1</v>
      </c>
      <c r="AZ15" s="184">
        <f ca="1">AY15-AX15</f>
        <v>1</v>
      </c>
      <c r="BA15" s="358">
        <f>BF15-$BF$4</f>
        <v>46134</v>
      </c>
      <c r="BB15" s="332">
        <f>IF(_xlfn.XLOOKUP($E15,'[1]Import Eletra'!$B:$B,'[1]Import Eletra'!$AW:$AW,,0,1)=0,"",_xlfn.XLOOKUP($E15,'[1]Import Eletra'!$B:$B,'[1]Import Eletra'!$AW:$AW,,0,1))</f>
        <v>46135</v>
      </c>
      <c r="BC15" s="112">
        <f>$BA$4</f>
        <v>0</v>
      </c>
      <c r="BD15" s="112">
        <f ca="1">IF(BB15="",TODAY()-BA15,BB15-BA15)</f>
        <v>1</v>
      </c>
      <c r="BE15" s="184">
        <f ca="1">BD15-BC15</f>
        <v>1</v>
      </c>
      <c r="BF15" s="335">
        <f>BK15-$BK$4</f>
        <v>46134</v>
      </c>
      <c r="BG15" s="332">
        <f>IF(_xlfn.XLOOKUP($E15,'[1]Import Eletra'!$B:$B,'[1]Import Eletra'!$AX:$AX,,0,1)=0,"",_xlfn.XLOOKUP($E15,'[1]Import Eletra'!$B:$B,'[1]Import Eletra'!$AX:$AX,,0,1))</f>
        <v>46136</v>
      </c>
      <c r="BH15" s="112">
        <f>$BF$4</f>
        <v>0</v>
      </c>
      <c r="BI15" s="112">
        <f ca="1">IF(BG15="",TODAY()-BF15,BG15-BF15)</f>
        <v>2</v>
      </c>
      <c r="BJ15" s="184">
        <f ca="1">BI15-BH15</f>
        <v>2</v>
      </c>
      <c r="BK15" s="362">
        <f>BP15-$BP$4</f>
        <v>46134</v>
      </c>
      <c r="BL15" s="332">
        <f>IF(_xlfn.XLOOKUP($E15,'[1]Import Eletra'!$B:$B,'[1]Import Eletra'!$AY:$AY,,0,1)=0,"",_xlfn.XLOOKUP($E15,'[1]Import Eletra'!$B:$B,'[1]Import Eletra'!$AY:$AY,,0,1))</f>
        <v>46135</v>
      </c>
      <c r="BM15" s="112">
        <f>$BK$4</f>
        <v>0</v>
      </c>
      <c r="BN15" s="112">
        <f ca="1">IF(BL15="",TODAY()-BK15,BL15-BK15)</f>
        <v>1</v>
      </c>
      <c r="BO15" s="184">
        <f ca="1">BN15-BM15</f>
        <v>1</v>
      </c>
      <c r="BP15" s="335">
        <f>BU15-$BU$4</f>
        <v>46134</v>
      </c>
      <c r="BQ15" s="332">
        <f>IF(_xlfn.XLOOKUP($E15,'[1]Import Eletra'!$B:$B,'[1]Import Eletra'!$AZ:$AZ,,0,1)=0,"",_xlfn.XLOOKUP($E15,'[1]Import Eletra'!$B:$B,'[1]Import Eletra'!$AZ:$AZ,,0,1))</f>
        <v>46135</v>
      </c>
      <c r="BR15" s="112">
        <f>$BP$4</f>
        <v>0</v>
      </c>
      <c r="BS15" s="112">
        <f ca="1">IF(BQ15="",TODAY()-BP15,BQ15-BP15)</f>
        <v>1</v>
      </c>
      <c r="BT15" s="184">
        <f ca="1">BS15-BR15</f>
        <v>1</v>
      </c>
      <c r="BU15" s="362">
        <f>BZ15-$BZ$4</f>
        <v>46136</v>
      </c>
      <c r="BV15" s="332">
        <f>IF(_xlfn.XLOOKUP($E15,'[1]Import Eletra'!$B:$B,'[1]Import Eletra'!$BA:$BA,,0,1)=0,"",_xlfn.XLOOKUP($E15,'[1]Import Eletra'!$B:$B,'[1]Import Eletra'!$BA:$BA,,0,1))</f>
        <v>46136</v>
      </c>
      <c r="BW15" s="112">
        <f>$BU$4</f>
        <v>2</v>
      </c>
      <c r="BX15" s="112">
        <f ca="1">IF(BV15="",TODAY()-BU15,BV15-BU15)</f>
        <v>0</v>
      </c>
      <c r="BY15" s="184">
        <f ca="1">BX15-BW15</f>
        <v>-2</v>
      </c>
      <c r="BZ15" s="335">
        <f>CE15-$CE$4</f>
        <v>46136</v>
      </c>
      <c r="CA15" s="332">
        <f>IF(_xlfn.XLOOKUP($E15,'[1]Import Eletra'!$B:$B,'[1]Import Eletra'!$BB:$BB,,0,1)=0,"",_xlfn.XLOOKUP($E15,'[1]Import Eletra'!$B:$B,'[1]Import Eletra'!$BB:$BB,,0,1))</f>
        <v>46136</v>
      </c>
      <c r="CB15" s="112">
        <f>$BZ$4</f>
        <v>0</v>
      </c>
      <c r="CC15" s="112">
        <f ca="1">IF(CA15="",TODAY()-BZ15,CA15-BZ15)</f>
        <v>0</v>
      </c>
      <c r="CD15" s="184">
        <f ca="1">CC15-CB15</f>
        <v>0</v>
      </c>
      <c r="CE15" s="362">
        <f>CJ15-$CJ$4</f>
        <v>46136</v>
      </c>
      <c r="CF15" s="332">
        <f>IF(_xlfn.XLOOKUP($E15,'[1]Import Eletra'!$B:$B,'[1]Import Eletra'!$BC:$BC,,0,1)=0,"",_xlfn.XLOOKUP($E15,'[1]Import Eletra'!$B:$B,'[1]Import Eletra'!$BC:$BC,,0,1))</f>
        <v>46136</v>
      </c>
      <c r="CG15" s="112">
        <f>$CE$4</f>
        <v>0</v>
      </c>
      <c r="CH15" s="112">
        <f ca="1">IF(CF15="",TODAY()-CE15,CF15-CE15)</f>
        <v>0</v>
      </c>
      <c r="CI15" s="184">
        <f ca="1">CH15-CG15</f>
        <v>0</v>
      </c>
      <c r="CJ15" s="335">
        <f>CO15-$CO$4</f>
        <v>46136</v>
      </c>
      <c r="CK15" s="332">
        <f>IF(_xlfn.XLOOKUP($E15,'[1]Import Eletra'!$B:$B,'[1]Import Eletra'!$BD:$BD,,0,1)=0,"",_xlfn.XLOOKUP($E15,'[1]Import Eletra'!$B:$B,'[1]Import Eletra'!$BD:$BD,,0,1))</f>
        <v>46136</v>
      </c>
      <c r="CL15" s="112"/>
      <c r="CM15" s="112">
        <f ca="1">IF(CK15="",TODAY()-CJ15,CK15-CJ15)</f>
        <v>0</v>
      </c>
      <c r="CN15" s="184">
        <f ca="1">CM15-CL15</f>
        <v>0</v>
      </c>
      <c r="CO15" s="362">
        <f>CT15-$CT$4</f>
        <v>46136</v>
      </c>
      <c r="CP15" s="332">
        <f>IF(_xlfn.XLOOKUP($E15,'[1]Import Eletra'!$B:$B,'[1]Import Eletra'!$BE:$BE,,0,1)=0,"",_xlfn.XLOOKUP($E15,'[1]Import Eletra'!$B:$B,'[1]Import Eletra'!$BE:$BE,,0,1))</f>
        <v>46139</v>
      </c>
      <c r="CQ15" s="112">
        <f>$CO$4</f>
        <v>0</v>
      </c>
      <c r="CR15" s="113">
        <f ca="1">IF(CP15="",TODAY()-CO15,CP15-CO15)</f>
        <v>3</v>
      </c>
      <c r="CS15" s="184">
        <f ca="1">CR15-CQ15</f>
        <v>3</v>
      </c>
      <c r="CT15" s="335">
        <f>CY15-$CY$4</f>
        <v>46136</v>
      </c>
      <c r="CU15" s="332">
        <f>IF(_xlfn.XLOOKUP($E15,'[1]Import Eletra'!$B:$B,'[1]Import Eletra'!$BF:$BF,,0,1)=0,"",_xlfn.XLOOKUP($E15,'[1]Import Eletra'!$B:$B,'[1]Import Eletra'!$BF:$BF,,0,1))</f>
        <v>46139</v>
      </c>
      <c r="CV15" s="113">
        <f>$CT$4</f>
        <v>0</v>
      </c>
      <c r="CW15" s="113">
        <f ca="1">IF(CU15="",TODAY()-CT15,CU15-CT15)</f>
        <v>3</v>
      </c>
      <c r="CX15" s="184">
        <f ca="1">CW15-CV15</f>
        <v>3</v>
      </c>
      <c r="CY15" s="110">
        <f>DD15-$DD$4</f>
        <v>46136</v>
      </c>
      <c r="CZ15" s="104">
        <f>IF(_xlfn.XLOOKUP($E15,'[1]Import Eletra'!$B:$B,'[1]Import Eletra'!$BF:$BF,,0,1)=0,"",_xlfn.XLOOKUP($E15,'[1]Import Eletra'!$B:$B,'[1]Import Eletra'!$BF:$BF,,0,1))</f>
        <v>46139</v>
      </c>
      <c r="DA15" s="210">
        <f>$CY$4</f>
        <v>0</v>
      </c>
      <c r="DB15" s="113">
        <f ca="1">IF(CZ15="",TODAY()-CY15,CZ15-CY15)</f>
        <v>3</v>
      </c>
      <c r="DC15" s="184">
        <f ca="1">DB15-DA15</f>
        <v>3</v>
      </c>
      <c r="DD15" s="110">
        <f>DI15-$DI$4</f>
        <v>46138</v>
      </c>
      <c r="DE15" s="104">
        <f>IF(_xlfn.XLOOKUP($E15,'[1]Import Eletra'!$B:$B,'[1]Import Eletra'!$BG:$BG,,0,1)=0,"",_xlfn.XLOOKUP($E15,'[1]Import Eletra'!$B:$B,'[1]Import Eletra'!$BG:$BG,0,1))</f>
        <v>46140</v>
      </c>
      <c r="DF15" s="112">
        <f>$DD$4</f>
        <v>2</v>
      </c>
      <c r="DG15" s="112">
        <f ca="1">IF(DE15="",TODAY()-DD15,DE15-DD15)</f>
        <v>2</v>
      </c>
      <c r="DH15" s="184">
        <f ca="1">DG15-DF15</f>
        <v>0</v>
      </c>
      <c r="DI15" s="110">
        <f>DO15-$DN$4</f>
        <v>46139</v>
      </c>
      <c r="DJ15" s="104">
        <f>IF(_xlfn.XLOOKUP($E15,'[1]Import Eletra'!$B:$B,'[1]Import Eletra'!$BH:$BH,,0,1)=0,"",_xlfn.XLOOKUP($E15,'[1]Import Eletra'!$B:$B,'[1]Import Eletra'!$BH:$BH,0,1))</f>
        <v>46140</v>
      </c>
      <c r="DK15" s="112">
        <f>$DI$4</f>
        <v>1</v>
      </c>
      <c r="DL15" s="112">
        <f ca="1">IF(DJ15="",TODAY()-DI15,DJ15-DI15)</f>
        <v>1</v>
      </c>
      <c r="DM15" s="184">
        <f ca="1">DL15-DK15</f>
        <v>0</v>
      </c>
      <c r="DN15" s="64">
        <v>46140</v>
      </c>
      <c r="DO15" s="202">
        <f t="shared" si="0"/>
        <v>46140</v>
      </c>
      <c r="DP15" s="165">
        <f>IF(_xlfn.XLOOKUP($E15,'[1]Import Eletra'!$B:$B,'[1]Import Eletra'!$O:$O,,0,1)=0,"",_xlfn.XLOOKUP($E15,'[1]Import Eletra'!$B:$B,'[1]Import Eletra'!$O:$O,0,1))</f>
        <v>46141</v>
      </c>
      <c r="DQ15" s="112">
        <f>$DN$4</f>
        <v>1</v>
      </c>
      <c r="DR15" s="112">
        <f ca="1">IF(DP15="",TODAY()-DO15,DP15-DO15)</f>
        <v>1</v>
      </c>
      <c r="DS15" s="184">
        <f ca="1">DR15-DQ15</f>
        <v>0</v>
      </c>
      <c r="DT15" s="143">
        <f>_xlfn.AGGREGATE(9,6,Y15,AD15,AI15,AN15,AS15,AX15,BC15,BH15,BM15,BR15,BW15,CB15,CG15,CL15,CQ15,CV15,DF15,DK15,DQ15)</f>
        <v>7</v>
      </c>
      <c r="DU15" s="140">
        <f ca="1">IF(DP15="",TODAY()-N15,DP15-N15)</f>
        <v>8</v>
      </c>
      <c r="DV15" s="184">
        <f ca="1">DU15-DT15</f>
        <v>1</v>
      </c>
      <c r="DX15" s="185" t="s">
        <v>245</v>
      </c>
      <c r="DY15" s="108" t="str">
        <f>IF(_xlfn.XLOOKUP($E15,'[1]Import Eletra'!$B:$B,'[1]Import Eletra'!$DW:$DW,,0,1)=0,"",_xlfn.XLOOKUP($E15,'[1]Import Eletra'!$B:$B,'[1]Import Eletra'!$DW:$DW,0,1))</f>
        <v/>
      </c>
      <c r="EB15" s="289"/>
      <c r="ED15" s="406" t="str">
        <f>IF(_xlfn.XLOOKUP($E15,'[1]Import Eletra'!$B:$B,'[1]Import Eletra'!$BQ:$BQ,,0,1)=0,"",_xlfn.XLOOKUP($E15,'[1]Import Eletra'!$B:$B,'[1]Import Eletra'!$BQ:$BQ,0,1))</f>
        <v/>
      </c>
      <c r="EE15" s="407" t="str">
        <f>IF(_xlfn.XLOOKUP($E15,'[1]Import Eletra'!$B:$B,'[1]Import Eletra'!$BR:$BR,,0,1)=0,"",_xlfn.XLOOKUP($E15,'[1]Import Eletra'!$B:$B,'[1]Import Eletra'!$BR:$BR,0,1))</f>
        <v/>
      </c>
      <c r="EF15" s="406" t="str">
        <f>IF(_xlfn.XLOOKUP($E15,'[1]Import Eletra'!$B:$B,'[1]Import Eletra'!$BS:$BS,,0,1)=0,"",_xlfn.XLOOKUP($E15,'[1]Import Eletra'!$B:$B,'[1]Import Eletra'!$BS:$BS,0,1))</f>
        <v/>
      </c>
      <c r="EG15" s="407" t="str">
        <f>IF(_xlfn.XLOOKUP($E15,'[1]Import Eletra'!$B:$B,'[1]Import Eletra'!$BT:$BT,,0,1)=0,"",_xlfn.XLOOKUP($E15,'[1]Import Eletra'!$B:$B,'[1]Import Eletra'!$BT:$BT,0,1))</f>
        <v/>
      </c>
      <c r="EH15" s="406" t="str">
        <f>IF(_xlfn.XLOOKUP($E15,'[1]Import Eletra'!$B:$B,'[1]Import Eletra'!$BU:$BU,,0,1)=0,"",_xlfn.XLOOKUP($E15,'[1]Import Eletra'!$B:$B,'[1]Import Eletra'!$BU:$BU,0,1))</f>
        <v/>
      </c>
      <c r="EI15" s="407" t="str">
        <f>IF(_xlfn.XLOOKUP($E15,'[1]Import Eletra'!$B:$B,'[1]Import Eletra'!$BV:$BV,,0,1)=0,"",_xlfn.XLOOKUP($E15,'[1]Import Eletra'!$B:$B,'[1]Import Eletra'!$BV:$BV,0,1))</f>
        <v/>
      </c>
      <c r="EJ15" s="407">
        <f>IF(_xlfn.XLOOKUP($E15,'[1]Import Eletra'!$B:$B,'[1]Import Eletra'!$CI:$CI,,0,1)=0,"",_xlfn.XLOOKUP($E15,'[1]Import Eletra'!$B:$B,'[1]Import Eletra'!$CI:$CI,0,1))</f>
        <v>46151</v>
      </c>
      <c r="EK15" s="407" t="str">
        <f>IF(_xlfn.XLOOKUP($E15,'[1]Import Eletra'!$B:$B,'[1]Import Eletra'!$CD:$CD,,0,1)=0,"",_xlfn.XLOOKUP($E15,'[1]Import Eletra'!$B:$B,'[1]Import Eletra'!$CD:$CD,0,1))</f>
        <v/>
      </c>
      <c r="EL15" s="407" t="str">
        <f>IF(_xlfn.XLOOKUP($E15,'[1]Import Eletra'!$B:$B,'[1]Import Eletra'!$CE:$CE,,0,1)=0,"",_xlfn.XLOOKUP($E15,'[1]Import Eletra'!$B:$B,'[1]Import Eletra'!$CE:$CE,0,1))</f>
        <v>NÃO</v>
      </c>
      <c r="EM15" s="408" t="str">
        <f>IF(_xlfn.XLOOKUP($E15,'[1]Import Eletra'!$B:$B,'[1]Import Eletra'!$E:$E,,0,1)=0,"",_xlfn.XLOOKUP($E15,'[1]Import Eletra'!$B:$B,'[1]Import Eletra'!$E:$E,0,1))</f>
        <v>LEISIANE</v>
      </c>
      <c r="EN15" s="408" t="str">
        <f>IF(_xlfn.XLOOKUP($E15,'[1]Import Eletra'!$B:$B,'[1]Import Eletra'!$R:$R,,0,1)=0,"",_xlfn.XLOOKUP($E15,'[1]Import Eletra'!$B:$B,'[1]Import Eletra'!$R:$R,0,1))</f>
        <v>PWBR260020-10C</v>
      </c>
      <c r="EO15" s="408" t="str">
        <f>IF(_xlfn.XLOOKUP($E15,'[1]Import Eletra'!$B:$B,'[1]Import Eletra'!$P:$P,,0,1)=0,"",_xlfn.XLOOKUP($E15,'[1]Import Eletra'!$B:$B,'[1]Import Eletra'!$P:$P,0,1))</f>
        <v>SDBLBS589841</v>
      </c>
      <c r="EP15" s="408" t="str">
        <f>IF(_xlfn.XLOOKUP($E15,'[1]Import Eletra'!$B:$B,'[1]Import Eletra'!$T:$T,,0,1)=0,"",_xlfn.XLOOKUP($E15,'[1]Import Eletra'!$B:$B,'[1]Import Eletra'!$T:$T,0,1))</f>
        <v>AMCU938424; BMOU989742; SEKU943375</v>
      </c>
    </row>
    <row r="16" spans="1:259" ht="30" customHeight="1">
      <c r="A16" s="227"/>
      <c r="B16" s="371" t="s">
        <v>336</v>
      </c>
      <c r="C16" s="280"/>
      <c r="D16" s="104" t="s">
        <v>247</v>
      </c>
      <c r="E16" s="245" t="s">
        <v>250</v>
      </c>
      <c r="F16" s="106">
        <f>IF(_xlfn.XLOOKUP($E16,'[1]Import Eletra'!$B:$B,'[1]Import Eletra'!$U:$U,,0,1)=0,"",_xlfn.XLOOKUP($E16,'[1]Import Eletra'!$B:$B,'[1]Import Eletra'!$U:$U,,0,1))</f>
        <v>2</v>
      </c>
      <c r="G16" s="107" t="s">
        <v>244</v>
      </c>
      <c r="H16" s="104" t="str">
        <f>_xlfn.XLOOKUP($E16,'[1]Import Eletra'!$B:$B,'[1]Import Eletra'!$F:$F,,0,1)</f>
        <v>DELIVERED</v>
      </c>
      <c r="I16" s="108" t="str">
        <f>_xlfn.XLOOKUP($E16,'[1]Import Eletra'!$B:$B,'[1]Import Eletra'!$G:$G,,0,1)</f>
        <v>SEA</v>
      </c>
      <c r="J16" s="326">
        <v>46029</v>
      </c>
      <c r="K16" s="109">
        <v>30</v>
      </c>
      <c r="L16" s="109">
        <f>M16-J16</f>
        <v>58</v>
      </c>
      <c r="M16" s="326">
        <f>IF(_xlfn.XLOOKUP($E16,'[1]Import Eletra'!$B:$B,'[1]Import Eletra'!$J:$J,,0,1)=0,"",_xlfn.XLOOKUP($E16,'[1]Import Eletra'!$B:$B,'[1]Import Eletra'!$J:$J,,0,1))</f>
        <v>46087</v>
      </c>
      <c r="N16" s="332">
        <f>IF(_xlfn.XLOOKUP($E16,'[1]Import Eletra'!$B:$B,'[1]Import Eletra'!$L:$L,,0,1)=0,"",_xlfn.XLOOKUP($E16,'[1]Import Eletra'!$B:$B,'[1]Import Eletra'!$L:$L,,0,1))</f>
        <v>46133</v>
      </c>
      <c r="O16" s="335">
        <f>IF(_xlfn.XLOOKUP($E16,'[1]Import Eletra'!$B:$B,'[1]Import Eletra'!$AK:$AK,,0,1)=0,"",_xlfn.XLOOKUP($E16,'[1]Import Eletra'!$B:$B,'[1]Import Eletra'!$AK:$AK,,0,1))</f>
        <v>46092</v>
      </c>
      <c r="P16" s="326">
        <f>IF(_xlfn.XLOOKUP($E16,'[1]Import Eletra'!$B:$B,'[1]Import Eletra'!$AL:$AL,,0,1)=0,"",_xlfn.XLOOKUP($E16,'[1]Import Eletra'!$B:$B,'[1]Import Eletra'!$AL:$AL,,0,1))</f>
        <v>46092</v>
      </c>
      <c r="Q16" s="326">
        <f>IF(_xlfn.XLOOKUP($E16,'[1]Import Eletra'!$B:$B,'[1]Import Eletra'!$AM:$AM,,0,1)=0,"",_xlfn.XLOOKUP($E16,'[1]Import Eletra'!$B:$B,'[1]Import Eletra'!$AM:$AM,,0,1))</f>
        <v>46092</v>
      </c>
      <c r="R16" s="326">
        <f>IF(_xlfn.XLOOKUP($E16,'[1]Import Eletra'!$B:$B,'[1]Import Eletra'!$AN:$AN,,0,1)=0,"",_xlfn.XLOOKUP($E16,'[1]Import Eletra'!$B:$B,'[1]Import Eletra'!$AN:$AN,,0,1))</f>
        <v>46119</v>
      </c>
      <c r="S16" s="326">
        <f>IF(_xlfn.XLOOKUP($E16,'[1]Import Eletra'!$B:$B,'[1]Import Eletra'!$AO:$AO,,0,1)=0,"",_xlfn.XLOOKUP($E16,'[1]Import Eletra'!$B:$B,'[1]Import Eletra'!$AO:$AO,,0,1))</f>
        <v>46119</v>
      </c>
      <c r="T16" s="326">
        <f>IF(_xlfn.XLOOKUP($E16,'[1]Import Eletra'!$B:$B,'[1]Import Eletra'!$AP:$AP,,0,1)=0,"",_xlfn.XLOOKUP($E16,'[1]Import Eletra'!$B:$B,'[1]Import Eletra'!$AP:$AP,,0,1))</f>
        <v>46119</v>
      </c>
      <c r="U16" s="326">
        <f>IF(_xlfn.XLOOKUP($E16,'[1]Import Eletra'!$B:$B,'[1]Import Eletra'!$AQ:$AQ,,0,1)=0,"",_xlfn.XLOOKUP($E16,'[1]Import Eletra'!$B:$B,'[1]Import Eletra'!$AQ:$AQ,,0,1))</f>
        <v>46126</v>
      </c>
      <c r="V16" s="339">
        <f>IF(_xlfn.XLOOKUP($E16,'[1]Import Eletra'!$B:$B,'[1]Import Eletra'!$AR:$AR,,0,1)=0,"",_xlfn.XLOOKUP($E16,'[1]Import Eletra'!$B:$B,'[1]Import Eletra'!$AR:$AR,,0,1))</f>
        <v>46134</v>
      </c>
      <c r="W16" s="335">
        <f>AB16-$AB$4</f>
        <v>46133</v>
      </c>
      <c r="X16" s="332">
        <f>IF(_xlfn.XLOOKUP($E16,'[1]Import Eletra'!$B:$B,'[1]Import Eletra'!$AS:$AS,,0,1)=0,"",_xlfn.XLOOKUP($E16,'[1]Import Eletra'!$B:$B,'[1]Import Eletra'!$AS:$AS,,0,1))</f>
        <v>46134</v>
      </c>
      <c r="Y16" s="112">
        <f>$W$4</f>
        <v>0</v>
      </c>
      <c r="Z16" s="113">
        <f ca="1">IF(X16="",TODAY()-W16,X16-W16)</f>
        <v>1</v>
      </c>
      <c r="AA16" s="184">
        <f ca="1">Z16-Y16</f>
        <v>1</v>
      </c>
      <c r="AB16" s="346">
        <f>AG16-$AB$4</f>
        <v>46133</v>
      </c>
      <c r="AC16" s="332">
        <f>IF(_xlfn.XLOOKUP($E16,'[1]Import Eletra'!$B:$B,'[1]Import Eletra'!$AD:$AD,,0,1)=0,"",_xlfn.XLOOKUP($E16,'[1]Import Eletra'!$B:$B,'[1]Import Eletra'!$AD:$AD,,0,1))</f>
        <v>46135</v>
      </c>
      <c r="AD16" s="112">
        <f>$AB$4</f>
        <v>0</v>
      </c>
      <c r="AE16" s="112">
        <f ca="1">IF(AC16="",TODAY()-AB16,AC16-AB16)</f>
        <v>2</v>
      </c>
      <c r="AF16" s="184">
        <f ca="1">AE16-AD16</f>
        <v>2</v>
      </c>
      <c r="AG16" s="354">
        <f>AL16-$AL$4</f>
        <v>46133</v>
      </c>
      <c r="AH16" s="332">
        <f>IF(_xlfn.XLOOKUP($E16,'[1]Import Eletra'!$B:$B,'[1]Import Eletra'!$AE:$AE,,0,1)=0,"",_xlfn.XLOOKUP($E16,'[1]Import Eletra'!$B:$B,'[1]Import Eletra'!$AE:$AE,,0,1))</f>
        <v>46135</v>
      </c>
      <c r="AI16" s="112">
        <f>$AG$4</f>
        <v>0</v>
      </c>
      <c r="AJ16" s="112">
        <f ca="1">IF(AH16="",TODAY()-AG16,AH16-AG16)</f>
        <v>2</v>
      </c>
      <c r="AK16" s="184">
        <f ca="1">AJ16-AI16</f>
        <v>2</v>
      </c>
      <c r="AL16" s="355">
        <f>AQ16-$AQ$4</f>
        <v>46133</v>
      </c>
      <c r="AM16" s="332">
        <f>IF(_xlfn.XLOOKUP($E16,'[1]Import Eletra'!$B:$B,'[1]Import Eletra'!$AT:$AT,,0,1)=0,"",_xlfn.XLOOKUP($E16,'[1]Import Eletra'!$B:$B,'[1]Import Eletra'!$AT:$AT,,0,1))</f>
        <v>46135</v>
      </c>
      <c r="AN16" s="112">
        <f>$AL$4</f>
        <v>0</v>
      </c>
      <c r="AO16" s="112">
        <f ca="1">IF(AM16="",TODAY()-AL16,AM16-AL16)</f>
        <v>2</v>
      </c>
      <c r="AP16" s="184">
        <f ca="1">AO16-AN16</f>
        <v>2</v>
      </c>
      <c r="AQ16" s="357">
        <f>AV16-$AV$4</f>
        <v>46134</v>
      </c>
      <c r="AR16" s="332">
        <f>IF(_xlfn.XLOOKUP($E16,'[1]Import Eletra'!$B:$B,'[1]Import Eletra'!$AU:$AU,,0,1)=0,"",_xlfn.XLOOKUP($E16,'[1]Import Eletra'!$B:$B,'[1]Import Eletra'!$AU:$AU,,0,1))</f>
        <v>46135</v>
      </c>
      <c r="AS16" s="112">
        <f>$AQ$4</f>
        <v>1</v>
      </c>
      <c r="AT16" s="112">
        <f ca="1">IF(AR16="",TODAY()-AQ16,AR16-AQ16)</f>
        <v>1</v>
      </c>
      <c r="AU16" s="184">
        <f ca="1">AT16-AS16</f>
        <v>0</v>
      </c>
      <c r="AV16" s="355">
        <f>BA16-$BA$4</f>
        <v>46134</v>
      </c>
      <c r="AW16" s="332" t="str">
        <f>IF(_xlfn.XLOOKUP($E16,'[1]Import Eletra'!$B:$B,'[1]Import Eletra'!$AV:$AV,,0,1)=0,"",_xlfn.XLOOKUP($E16,'[1]Import Eletra'!$B:$B,'[1]Import Eletra'!$AV:$AV,,0,1))</f>
        <v/>
      </c>
      <c r="AX16" s="112"/>
      <c r="AY16" s="113"/>
      <c r="AZ16" s="184">
        <f>AY16-AX16</f>
        <v>0</v>
      </c>
      <c r="BA16" s="357">
        <f>BF16-$BF$4</f>
        <v>46134</v>
      </c>
      <c r="BB16" s="332" t="str">
        <f>IF(_xlfn.XLOOKUP($E16,'[1]Import Eletra'!$B:$B,'[1]Import Eletra'!$AW:$AW,,0,1)=0,"",_xlfn.XLOOKUP($E16,'[1]Import Eletra'!$B:$B,'[1]Import Eletra'!$AW:$AW,,0,1))</f>
        <v/>
      </c>
      <c r="BC16" s="112"/>
      <c r="BD16" s="112"/>
      <c r="BE16" s="184">
        <f>BD16-BC16</f>
        <v>0</v>
      </c>
      <c r="BF16" s="335">
        <f>BK16-$BK$4</f>
        <v>46134</v>
      </c>
      <c r="BG16" s="332" t="str">
        <f>IF(_xlfn.XLOOKUP($E16,'[1]Import Eletra'!$B:$B,'[1]Import Eletra'!$AX:$AX,,0,1)=0,"",_xlfn.XLOOKUP($E16,'[1]Import Eletra'!$B:$B,'[1]Import Eletra'!$AX:$AX,,0,1))</f>
        <v/>
      </c>
      <c r="BH16" s="112"/>
      <c r="BI16" s="112"/>
      <c r="BJ16" s="184">
        <f>BI16-BH16</f>
        <v>0</v>
      </c>
      <c r="BK16" s="362">
        <f>BP16-$BP$4</f>
        <v>46134</v>
      </c>
      <c r="BL16" s="332">
        <f>IF(_xlfn.XLOOKUP($E16,'[1]Import Eletra'!$B:$B,'[1]Import Eletra'!$AY:$AY,,0,1)=0,"",_xlfn.XLOOKUP($E16,'[1]Import Eletra'!$B:$B,'[1]Import Eletra'!$AY:$AY,,0,1))</f>
        <v>46135</v>
      </c>
      <c r="BM16" s="112">
        <f>$BK$4</f>
        <v>0</v>
      </c>
      <c r="BN16" s="112">
        <f ca="1">IF(BL16="",TODAY()-BK16,BL16-BK16)</f>
        <v>1</v>
      </c>
      <c r="BO16" s="184">
        <f ca="1">BN16-BM16</f>
        <v>1</v>
      </c>
      <c r="BP16" s="335">
        <f>BU16-$BU$4</f>
        <v>46134</v>
      </c>
      <c r="BQ16" s="332">
        <f>IF(_xlfn.XLOOKUP($E16,'[1]Import Eletra'!$B:$B,'[1]Import Eletra'!$AZ:$AZ,,0,1)=0,"",_xlfn.XLOOKUP($E16,'[1]Import Eletra'!$B:$B,'[1]Import Eletra'!$AZ:$AZ,,0,1))</f>
        <v>46135</v>
      </c>
      <c r="BR16" s="112">
        <f>$BP$4</f>
        <v>0</v>
      </c>
      <c r="BS16" s="112">
        <f ca="1">IF(BQ16="",TODAY()-BP16,BQ16-BP16)</f>
        <v>1</v>
      </c>
      <c r="BT16" s="184">
        <f ca="1">BS16-BR16</f>
        <v>1</v>
      </c>
      <c r="BU16" s="362">
        <f>BZ16-$BZ$4</f>
        <v>46136</v>
      </c>
      <c r="BV16" s="332">
        <f>IF(_xlfn.XLOOKUP($E16,'[1]Import Eletra'!$B:$B,'[1]Import Eletra'!$BA:$BA,,0,1)=0,"",_xlfn.XLOOKUP($E16,'[1]Import Eletra'!$B:$B,'[1]Import Eletra'!$BA:$BA,,0,1))</f>
        <v>46135</v>
      </c>
      <c r="BW16" s="112">
        <f>$BU$4</f>
        <v>2</v>
      </c>
      <c r="BX16" s="112">
        <f ca="1">IF(BV16="",TODAY()-BU16,BV16-BU16)</f>
        <v>-1</v>
      </c>
      <c r="BY16" s="184">
        <f ca="1">BX16-BW16</f>
        <v>-3</v>
      </c>
      <c r="BZ16" s="335">
        <f>CE16-$CE$4</f>
        <v>46136</v>
      </c>
      <c r="CA16" s="332">
        <f>IF(_xlfn.XLOOKUP($E16,'[1]Import Eletra'!$B:$B,'[1]Import Eletra'!$BB:$BB,,0,1)=0,"",_xlfn.XLOOKUP($E16,'[1]Import Eletra'!$B:$B,'[1]Import Eletra'!$BB:$BB,,0,1))</f>
        <v>46136</v>
      </c>
      <c r="CB16" s="112">
        <f>$BZ$4</f>
        <v>0</v>
      </c>
      <c r="CC16" s="112">
        <f ca="1">IF(CA16="",TODAY()-BZ16,CA16-BZ16)</f>
        <v>0</v>
      </c>
      <c r="CD16" s="184">
        <f ca="1">CC16-CB16</f>
        <v>0</v>
      </c>
      <c r="CE16" s="362">
        <f>CJ16-$CJ$4</f>
        <v>46136</v>
      </c>
      <c r="CF16" s="332">
        <f>IF(_xlfn.XLOOKUP($E16,'[1]Import Eletra'!$B:$B,'[1]Import Eletra'!$BC:$BC,,0,1)=0,"",_xlfn.XLOOKUP($E16,'[1]Import Eletra'!$B:$B,'[1]Import Eletra'!$BC:$BC,,0,1))</f>
        <v>46136</v>
      </c>
      <c r="CG16" s="112">
        <f>$CE$4</f>
        <v>0</v>
      </c>
      <c r="CH16" s="112">
        <f ca="1">IF(CF16="",TODAY()-CE16,CF16-CE16)</f>
        <v>0</v>
      </c>
      <c r="CI16" s="184">
        <f ca="1">CH16-CG16</f>
        <v>0</v>
      </c>
      <c r="CJ16" s="335">
        <f>CO16-$CO$4</f>
        <v>46136</v>
      </c>
      <c r="CK16" s="332">
        <f>IF(_xlfn.XLOOKUP($E16,'[1]Import Eletra'!$B:$B,'[1]Import Eletra'!$BD:$BD,,0,1)=0,"",_xlfn.XLOOKUP($E16,'[1]Import Eletra'!$B:$B,'[1]Import Eletra'!$BD:$BD,,0,1))</f>
        <v>46136</v>
      </c>
      <c r="CL16" s="112"/>
      <c r="CM16" s="112">
        <f ca="1">IF(CK16="",TODAY()-CJ16,CK16-CJ16)</f>
        <v>0</v>
      </c>
      <c r="CN16" s="184">
        <f ca="1">CM16-CL16</f>
        <v>0</v>
      </c>
      <c r="CO16" s="335">
        <f>CT16-$CT$4</f>
        <v>46136</v>
      </c>
      <c r="CP16" s="332">
        <f>IF(_xlfn.XLOOKUP($E16,'[1]Import Eletra'!$B:$B,'[1]Import Eletra'!$BE:$BE,,0,1)=0,"",_xlfn.XLOOKUP($E16,'[1]Import Eletra'!$B:$B,'[1]Import Eletra'!$BE:$BE,,0,1))</f>
        <v>46139</v>
      </c>
      <c r="CQ16" s="112">
        <f>$CO$4</f>
        <v>0</v>
      </c>
      <c r="CR16" s="115">
        <f ca="1">IF(CP16="",TODAY()-CO16,CP16-CO16)</f>
        <v>3</v>
      </c>
      <c r="CS16" s="184">
        <f ca="1">CR16-CQ16</f>
        <v>3</v>
      </c>
      <c r="CT16" s="362">
        <f>CY16-$CY$4</f>
        <v>46136</v>
      </c>
      <c r="CU16" s="332">
        <f>IF(_xlfn.XLOOKUP($E16,'[1]Import Eletra'!$B:$B,'[1]Import Eletra'!$BF:$BF,,0,1)=0,"",_xlfn.XLOOKUP($E16,'[1]Import Eletra'!$B:$B,'[1]Import Eletra'!$BF:$BF,,0,1))</f>
        <v>46139</v>
      </c>
      <c r="CV16" s="112">
        <f>$CT$4</f>
        <v>0</v>
      </c>
      <c r="CW16" s="115">
        <f ca="1">IF(CU16="",TODAY()-CT16,CU16-CT16)</f>
        <v>3</v>
      </c>
      <c r="CX16" s="184">
        <f ca="1">CW16-CV16</f>
        <v>3</v>
      </c>
      <c r="CY16" s="120">
        <f>DD16-$DD$4</f>
        <v>46136</v>
      </c>
      <c r="CZ16" s="104">
        <f>IF(_xlfn.XLOOKUP($E16,'[1]Import Eletra'!$B:$B,'[1]Import Eletra'!$BF:$BF,,0,1)=0,"",_xlfn.XLOOKUP($E16,'[1]Import Eletra'!$B:$B,'[1]Import Eletra'!$BF:$BF,,0,1))</f>
        <v>46139</v>
      </c>
      <c r="DA16" s="112">
        <f>$CY$4</f>
        <v>0</v>
      </c>
      <c r="DB16" s="112">
        <f ca="1">IF(CZ16="",TODAY()-CY16,CZ16-CY16)</f>
        <v>3</v>
      </c>
      <c r="DC16" s="184">
        <f ca="1">DB16-DA16</f>
        <v>3</v>
      </c>
      <c r="DD16" s="110">
        <f>DI16-$DI$4</f>
        <v>46138</v>
      </c>
      <c r="DE16" s="104">
        <f>IF(_xlfn.XLOOKUP($E16,'[1]Import Eletra'!$B:$B,'[1]Import Eletra'!$BG:$BG,,0,1)=0,"",_xlfn.XLOOKUP($E16,'[1]Import Eletra'!$B:$B,'[1]Import Eletra'!$BG:$BG,0,1))</f>
        <v>46141</v>
      </c>
      <c r="DF16" s="112">
        <f>$DD$4</f>
        <v>2</v>
      </c>
      <c r="DG16" s="112">
        <f ca="1">IF(DE16="",TODAY()-DD16,DE16-DD16)</f>
        <v>3</v>
      </c>
      <c r="DH16" s="184">
        <f ca="1">DG16-DF16</f>
        <v>1</v>
      </c>
      <c r="DI16" s="110">
        <f>DO16-$DN$4</f>
        <v>46139</v>
      </c>
      <c r="DJ16" s="104">
        <f>IF(_xlfn.XLOOKUP($E16,'[1]Import Eletra'!$B:$B,'[1]Import Eletra'!$BH:$BH,,0,1)=0,"",_xlfn.XLOOKUP($E16,'[1]Import Eletra'!$B:$B,'[1]Import Eletra'!$BH:$BH,0,1))</f>
        <v>46141</v>
      </c>
      <c r="DK16" s="112">
        <f>$DI$4</f>
        <v>1</v>
      </c>
      <c r="DL16" s="112">
        <f ca="1">IF(DJ16="",TODAY()-DI16,DJ16-DI16)</f>
        <v>2</v>
      </c>
      <c r="DM16" s="184">
        <f ca="1">DL16-DK16</f>
        <v>1</v>
      </c>
      <c r="DN16" s="64">
        <v>46136</v>
      </c>
      <c r="DO16" s="202">
        <f t="shared" si="0"/>
        <v>46140</v>
      </c>
      <c r="DP16" s="165">
        <f>IF(_xlfn.XLOOKUP($E16,'[1]Import Eletra'!$B:$B,'[1]Import Eletra'!$O:$O,,0,1)=0,"",_xlfn.XLOOKUP($E16,'[1]Import Eletra'!$B:$B,'[1]Import Eletra'!$O:$O,0,1))</f>
        <v>46142</v>
      </c>
      <c r="DQ16" s="112">
        <f>$DN$4</f>
        <v>1</v>
      </c>
      <c r="DR16" s="112">
        <f ca="1">IF(DP16="",TODAY()-DO16,DP16-DO16)</f>
        <v>2</v>
      </c>
      <c r="DS16" s="184">
        <f ca="1">DR16-DQ16</f>
        <v>1</v>
      </c>
      <c r="DT16" s="143">
        <f>_xlfn.AGGREGATE(9,6,Y16,AD16,AI16,AN16,AS16,AX16,BC16,BH16,BM16,BR16,BW16,CB16,CG16,CL16,CQ16,CV16,DF16,DK16,DQ16)</f>
        <v>7</v>
      </c>
      <c r="DU16" s="140">
        <f ca="1">IF(DP16="",TODAY()-N16,DP16-N16)</f>
        <v>9</v>
      </c>
      <c r="DV16" s="184">
        <f ca="1">DU16-DT16</f>
        <v>2</v>
      </c>
      <c r="DW16" s="147"/>
      <c r="DX16" s="185" t="s">
        <v>245</v>
      </c>
      <c r="DY16" s="108" t="str">
        <f>IF(_xlfn.XLOOKUP($E16,'[1]Import Eletra'!$B:$B,'[1]Import Eletra'!$DW:$DW,,0,1)=0,"",_xlfn.XLOOKUP($E16,'[1]Import Eletra'!$B:$B,'[1]Import Eletra'!$DW:$DW,0,1))</f>
        <v/>
      </c>
      <c r="DZ16" s="147"/>
      <c r="EA16" s="147"/>
      <c r="EB16" s="288"/>
      <c r="EC16" s="147"/>
      <c r="ED16" s="406" t="str">
        <f>IF(_xlfn.XLOOKUP($E16,'[1]Import Eletra'!$B:$B,'[1]Import Eletra'!$BQ:$BQ,,0,1)=0,"",_xlfn.XLOOKUP($E16,'[1]Import Eletra'!$B:$B,'[1]Import Eletra'!$BQ:$BQ,0,1))</f>
        <v/>
      </c>
      <c r="EE16" s="407" t="str">
        <f>IF(_xlfn.XLOOKUP($E16,'[1]Import Eletra'!$B:$B,'[1]Import Eletra'!$BR:$BR,,0,1)=0,"",_xlfn.XLOOKUP($E16,'[1]Import Eletra'!$B:$B,'[1]Import Eletra'!$BR:$BR,0,1))</f>
        <v/>
      </c>
      <c r="EF16" s="406" t="str">
        <f>IF(_xlfn.XLOOKUP($E16,'[1]Import Eletra'!$B:$B,'[1]Import Eletra'!$BS:$BS,,0,1)=0,"",_xlfn.XLOOKUP($E16,'[1]Import Eletra'!$B:$B,'[1]Import Eletra'!$BS:$BS,0,1))</f>
        <v/>
      </c>
      <c r="EG16" s="407" t="str">
        <f>IF(_xlfn.XLOOKUP($E16,'[1]Import Eletra'!$B:$B,'[1]Import Eletra'!$BT:$BT,,0,1)=0,"",_xlfn.XLOOKUP($E16,'[1]Import Eletra'!$B:$B,'[1]Import Eletra'!$BT:$BT,0,1))</f>
        <v/>
      </c>
      <c r="EH16" s="406" t="str">
        <f>IF(_xlfn.XLOOKUP($E16,'[1]Import Eletra'!$B:$B,'[1]Import Eletra'!$BU:$BU,,0,1)=0,"",_xlfn.XLOOKUP($E16,'[1]Import Eletra'!$B:$B,'[1]Import Eletra'!$BU:$BU,0,1))</f>
        <v/>
      </c>
      <c r="EI16" s="407" t="str">
        <f>IF(_xlfn.XLOOKUP($E16,'[1]Import Eletra'!$B:$B,'[1]Import Eletra'!$BV:$BV,,0,1)=0,"",_xlfn.XLOOKUP($E16,'[1]Import Eletra'!$B:$B,'[1]Import Eletra'!$BV:$BV,0,1))</f>
        <v/>
      </c>
      <c r="EJ16" s="407">
        <f>IF(_xlfn.XLOOKUP($E16,'[1]Import Eletra'!$B:$B,'[1]Import Eletra'!$CI:$CI,,0,1)=0,"",_xlfn.XLOOKUP($E16,'[1]Import Eletra'!$B:$B,'[1]Import Eletra'!$CI:$CI,0,1))</f>
        <v>46151</v>
      </c>
      <c r="EK16" s="407" t="str">
        <f>IF(_xlfn.XLOOKUP($E16,'[1]Import Eletra'!$B:$B,'[1]Import Eletra'!$CD:$CD,,0,1)=0,"",_xlfn.XLOOKUP($E16,'[1]Import Eletra'!$B:$B,'[1]Import Eletra'!$CD:$CD,0,1))</f>
        <v/>
      </c>
      <c r="EL16" s="407" t="str">
        <f>IF(_xlfn.XLOOKUP($E16,'[1]Import Eletra'!$B:$B,'[1]Import Eletra'!$CE:$CE,,0,1)=0,"",_xlfn.XLOOKUP($E16,'[1]Import Eletra'!$B:$B,'[1]Import Eletra'!$CE:$CE,0,1))</f>
        <v>NÃO</v>
      </c>
      <c r="EM16" s="408" t="str">
        <f>IF(_xlfn.XLOOKUP($E16,'[1]Import Eletra'!$B:$B,'[1]Import Eletra'!$E:$E,,0,1)=0,"",_xlfn.XLOOKUP($E16,'[1]Import Eletra'!$B:$B,'[1]Import Eletra'!$E:$E,0,1))</f>
        <v>RENATO</v>
      </c>
      <c r="EN16" s="408" t="str">
        <f>IF(_xlfn.XLOOKUP($E16,'[1]Import Eletra'!$B:$B,'[1]Import Eletra'!$R:$R,,0,1)=0,"",_xlfn.XLOOKUP($E16,'[1]Import Eletra'!$B:$B,'[1]Import Eletra'!$R:$R,0,1))</f>
        <v>PWBR250226B</v>
      </c>
      <c r="EO16" s="408" t="str">
        <f>IF(_xlfn.XLOOKUP($E16,'[1]Import Eletra'!$B:$B,'[1]Import Eletra'!$P:$P,,0,1)=0,"",_xlfn.XLOOKUP($E16,'[1]Import Eletra'!$B:$B,'[1]Import Eletra'!$P:$P,0,1))</f>
        <v>SDBLBS589834</v>
      </c>
      <c r="EP16" s="408" t="str">
        <f>IF(_xlfn.XLOOKUP($E16,'[1]Import Eletra'!$B:$B,'[1]Import Eletra'!$T:$T,,0,1)=0,"",_xlfn.XLOOKUP($E16,'[1]Import Eletra'!$B:$B,'[1]Import Eletra'!$T:$T,0,1))</f>
        <v>CXRU124759/ TTNU824223</v>
      </c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  <c r="GF16" s="147"/>
      <c r="GG16" s="147"/>
      <c r="GH16" s="147"/>
      <c r="GI16" s="147"/>
      <c r="GJ16" s="147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  <c r="HB16" s="147"/>
      <c r="HC16" s="147"/>
      <c r="HD16" s="147"/>
      <c r="HE16" s="147"/>
      <c r="HF16" s="147"/>
      <c r="HG16" s="147"/>
      <c r="HH16" s="147"/>
      <c r="HI16" s="147"/>
      <c r="HJ16" s="147"/>
      <c r="HK16" s="147"/>
      <c r="HL16" s="147"/>
      <c r="HM16" s="147"/>
      <c r="HN16" s="147"/>
      <c r="HO16" s="147"/>
      <c r="HP16" s="147"/>
      <c r="HQ16" s="147"/>
      <c r="HR16" s="147"/>
      <c r="HS16" s="147"/>
      <c r="HT16" s="147"/>
      <c r="HU16" s="147"/>
      <c r="HV16" s="147"/>
      <c r="HW16" s="147"/>
      <c r="HX16" s="147"/>
      <c r="HY16" s="147"/>
      <c r="HZ16" s="147"/>
      <c r="IA16" s="147"/>
      <c r="IB16" s="147"/>
      <c r="IC16" s="147"/>
      <c r="ID16" s="147"/>
      <c r="IE16" s="147"/>
      <c r="IF16" s="147"/>
      <c r="IG16" s="147"/>
      <c r="IH16" s="147"/>
      <c r="II16" s="227"/>
      <c r="IJ16" s="122"/>
      <c r="IK16" s="123"/>
      <c r="IL16" s="296"/>
      <c r="IM16" s="124"/>
      <c r="IN16" s="125"/>
      <c r="IO16" s="123"/>
      <c r="IP16" s="126"/>
      <c r="IQ16" s="126"/>
      <c r="IR16" s="127"/>
      <c r="IS16" s="127"/>
      <c r="IT16" s="126"/>
      <c r="IU16" s="123"/>
      <c r="IV16" s="126"/>
      <c r="IW16" s="126"/>
      <c r="IX16" s="126"/>
      <c r="IY16" s="126"/>
    </row>
    <row r="17" spans="1:242" ht="30" customHeight="1">
      <c r="A17" s="227"/>
      <c r="B17" s="371" t="s">
        <v>336</v>
      </c>
      <c r="C17" s="280"/>
      <c r="D17" s="104" t="s">
        <v>259</v>
      </c>
      <c r="E17" s="245" t="s">
        <v>285</v>
      </c>
      <c r="F17" s="106" t="str">
        <f>IF(_xlfn.XLOOKUP($E17,'[1]Import Eletra'!$B:$B,'[1]Import Eletra'!$U:$U,,0,1)=0,"",_xlfn.XLOOKUP($E17,'[1]Import Eletra'!$B:$B,'[1]Import Eletra'!$U:$U,,0,1))</f>
        <v/>
      </c>
      <c r="G17" s="107" t="s">
        <v>244</v>
      </c>
      <c r="H17" s="104" t="str">
        <f>_xlfn.XLOOKUP($E17,'[1]Import Eletra'!$B:$B,'[1]Import Eletra'!$F:$F,,0,1)</f>
        <v>DELIVERED</v>
      </c>
      <c r="I17" s="108" t="str">
        <f>_xlfn.XLOOKUP($E17,'[1]Import Eletra'!$B:$B,'[1]Import Eletra'!$G:$G,,0,1)</f>
        <v>AIR</v>
      </c>
      <c r="J17" s="326">
        <v>46156</v>
      </c>
      <c r="K17" s="109">
        <v>30</v>
      </c>
      <c r="L17" s="109">
        <f>M17-J17</f>
        <v>-15</v>
      </c>
      <c r="M17" s="326">
        <f>IF(_xlfn.XLOOKUP($E17,'[1]Import Eletra'!$B:$B,'[1]Import Eletra'!$J:$J,,0,1)=0,"",_xlfn.XLOOKUP($E17,'[1]Import Eletra'!$B:$B,'[1]Import Eletra'!$J:$J,,0,1))</f>
        <v>46141</v>
      </c>
      <c r="N17" s="332">
        <f>IF(_xlfn.XLOOKUP($E17,'[1]Import Eletra'!$B:$B,'[1]Import Eletra'!$L:$L,,0,1)=0,"",_xlfn.XLOOKUP($E17,'[1]Import Eletra'!$B:$B,'[1]Import Eletra'!$L:$L,,0,1))</f>
        <v>46143</v>
      </c>
      <c r="O17" s="335">
        <f>IF(_xlfn.XLOOKUP($E17,'[1]Import Eletra'!$B:$B,'[1]Import Eletra'!$AK:$AK,,0,1)=0,"",_xlfn.XLOOKUP($E17,'[1]Import Eletra'!$B:$B,'[1]Import Eletra'!$AK:$AK,,0,1))</f>
        <v>46140</v>
      </c>
      <c r="P17" s="326">
        <f>IF(_xlfn.XLOOKUP($E17,'[1]Import Eletra'!$B:$B,'[1]Import Eletra'!$AL:$AL,,0,1)=0,"",_xlfn.XLOOKUP($E17,'[1]Import Eletra'!$B:$B,'[1]Import Eletra'!$AL:$AL,,0,1))</f>
        <v>46140</v>
      </c>
      <c r="Q17" s="326">
        <f>IF(_xlfn.XLOOKUP($E17,'[1]Import Eletra'!$B:$B,'[1]Import Eletra'!$AM:$AM,,0,1)=0,"",_xlfn.XLOOKUP($E17,'[1]Import Eletra'!$B:$B,'[1]Import Eletra'!$AM:$AM,,0,1))</f>
        <v>46141</v>
      </c>
      <c r="R17" s="326">
        <f>IF(_xlfn.XLOOKUP($E17,'[1]Import Eletra'!$B:$B,'[1]Import Eletra'!$AN:$AN,,0,1)=0,"",_xlfn.XLOOKUP($E17,'[1]Import Eletra'!$B:$B,'[1]Import Eletra'!$AN:$AN,,0,1))</f>
        <v>46141</v>
      </c>
      <c r="S17" s="326">
        <f>IF(_xlfn.XLOOKUP($E17,'[1]Import Eletra'!$B:$B,'[1]Import Eletra'!$AO:$AO,,0,1)=0,"",_xlfn.XLOOKUP($E17,'[1]Import Eletra'!$B:$B,'[1]Import Eletra'!$AO:$AO,,0,1))</f>
        <v>46142</v>
      </c>
      <c r="T17" s="326">
        <f>IF(_xlfn.XLOOKUP($E17,'[1]Import Eletra'!$B:$B,'[1]Import Eletra'!$AP:$AP,,0,1)=0,"",_xlfn.XLOOKUP($E17,'[1]Import Eletra'!$B:$B,'[1]Import Eletra'!$AP:$AP,,0,1))</f>
        <v>46142</v>
      </c>
      <c r="U17" s="326">
        <f>IF(_xlfn.XLOOKUP($E17,'[1]Import Eletra'!$B:$B,'[1]Import Eletra'!$AQ:$AQ,,0,1)=0,"",_xlfn.XLOOKUP($E17,'[1]Import Eletra'!$B:$B,'[1]Import Eletra'!$AQ:$AQ,,0,1))</f>
        <v>46142</v>
      </c>
      <c r="V17" s="339">
        <f>IF(_xlfn.XLOOKUP($E17,'[1]Import Eletra'!$B:$B,'[1]Import Eletra'!$AR:$AR,,0,1)=0,"",_xlfn.XLOOKUP($E17,'[1]Import Eletra'!$B:$B,'[1]Import Eletra'!$AR:$AR,,0,1))</f>
        <v>46146</v>
      </c>
      <c r="W17" s="335">
        <f>AB17-$AB$5</f>
        <v>46144</v>
      </c>
      <c r="X17" s="332">
        <f>IF(_xlfn.XLOOKUP($E17,'[1]Import Eletra'!$B:$B,'[1]Import Eletra'!$AS:$AS,,0,1)=0,"",_xlfn.XLOOKUP($E17,'[1]Import Eletra'!$B:$B,'[1]Import Eletra'!$AS:$AS,,0,1))</f>
        <v>46146</v>
      </c>
      <c r="Y17" s="112">
        <f>$W$4</f>
        <v>0</v>
      </c>
      <c r="Z17" s="113">
        <f ca="1">IF(X17="",TODAY()-W17,X17-W17)</f>
        <v>2</v>
      </c>
      <c r="AA17" s="184">
        <f ca="1">Z17-Y17</f>
        <v>2</v>
      </c>
      <c r="AB17" s="346">
        <f>AG17-$AB$5</f>
        <v>46145</v>
      </c>
      <c r="AC17" s="332">
        <f>IF(_xlfn.XLOOKUP($E17,'[1]Import Eletra'!$B:$B,'[1]Import Eletra'!$AD:$AD,,0,1)=0,"",_xlfn.XLOOKUP($E17,'[1]Import Eletra'!$B:$B,'[1]Import Eletra'!$AD:$AD,,0,1))</f>
        <v>46146</v>
      </c>
      <c r="AD17" s="112">
        <f>$AB$4</f>
        <v>0</v>
      </c>
      <c r="AE17" s="112">
        <f ca="1">IF(AC17="",TODAY()-AB17,AC17-AB17)</f>
        <v>1</v>
      </c>
      <c r="AF17" s="184">
        <f ca="1">AE17-AD17</f>
        <v>1</v>
      </c>
      <c r="AG17" s="354">
        <f>AL17-$AL$5</f>
        <v>46146</v>
      </c>
      <c r="AH17" s="332">
        <f>IF(_xlfn.XLOOKUP($E17,'[1]Import Eletra'!$B:$B,'[1]Import Eletra'!$AE:$AE,,0,1)=0,"",_xlfn.XLOOKUP($E17,'[1]Import Eletra'!$B:$B,'[1]Import Eletra'!$AE:$AE,,0,1))</f>
        <v>46146</v>
      </c>
      <c r="AI17" s="112">
        <f>$AG$4</f>
        <v>0</v>
      </c>
      <c r="AJ17" s="112">
        <f ca="1">IF(AH17="",TODAY()-AG17,AH17-AG17)</f>
        <v>0</v>
      </c>
      <c r="AK17" s="184">
        <f ca="1">AJ17-AI17</f>
        <v>0</v>
      </c>
      <c r="AL17" s="355">
        <f>AQ17-$AQ$5</f>
        <v>46146</v>
      </c>
      <c r="AM17" s="332">
        <f>IF(_xlfn.XLOOKUP($E17,'[1]Import Eletra'!$B:$B,'[1]Import Eletra'!$AT:$AT,,0,1)=0,"",_xlfn.XLOOKUP($E17,'[1]Import Eletra'!$B:$B,'[1]Import Eletra'!$AT:$AT,,0,1))</f>
        <v>46146</v>
      </c>
      <c r="AN17" s="112">
        <f>$AL$4</f>
        <v>0</v>
      </c>
      <c r="AO17" s="112">
        <f ca="1">IF(AM17="",TODAY()-AL17,AM17-AL17)</f>
        <v>0</v>
      </c>
      <c r="AP17" s="184">
        <f ca="1">AO17-AN17</f>
        <v>0</v>
      </c>
      <c r="AQ17" s="357">
        <f>AV17-$AV$5</f>
        <v>46147</v>
      </c>
      <c r="AR17" s="332">
        <f>IF(_xlfn.XLOOKUP($E17,'[1]Import Eletra'!$B:$B,'[1]Import Eletra'!$AU:$AU,,0,1)=0,"",_xlfn.XLOOKUP($E17,'[1]Import Eletra'!$B:$B,'[1]Import Eletra'!$AU:$AU,,0,1))</f>
        <v>46147</v>
      </c>
      <c r="AS17" s="112">
        <f>$AQ$4</f>
        <v>1</v>
      </c>
      <c r="AT17" s="112">
        <f ca="1">IF(AR17="",TODAY()-AQ17,AR17-AQ17)</f>
        <v>0</v>
      </c>
      <c r="AU17" s="184">
        <f ca="1">AT17-AS17</f>
        <v>-1</v>
      </c>
      <c r="AV17" s="355">
        <f>BA17-$BA$5</f>
        <v>46147</v>
      </c>
      <c r="AW17" s="332" t="str">
        <f>IF(_xlfn.XLOOKUP($E17,'[1]Import Eletra'!$B:$B,'[1]Import Eletra'!$AV:$AV,,0,1)=0,"",_xlfn.XLOOKUP($E17,'[1]Import Eletra'!$B:$B,'[1]Import Eletra'!$AV:$AV,,0,1))</f>
        <v/>
      </c>
      <c r="AX17" s="112">
        <f>$AV$4</f>
        <v>0</v>
      </c>
      <c r="AY17" s="113">
        <f ca="1">IF(AW17="",TODAY()-AV17,AW17-AV17)</f>
        <v>64</v>
      </c>
      <c r="AZ17" s="184">
        <f ca="1">AY17-AX17</f>
        <v>64</v>
      </c>
      <c r="BA17" s="357">
        <f>BF17-$BF$5</f>
        <v>46147</v>
      </c>
      <c r="BB17" s="332" t="str">
        <f>IF(_xlfn.XLOOKUP($E17,'[1]Import Eletra'!$B:$B,'[1]Import Eletra'!$AW:$AW,,0,1)=0,"",_xlfn.XLOOKUP($E17,'[1]Import Eletra'!$B:$B,'[1]Import Eletra'!$AW:$AW,,0,1))</f>
        <v/>
      </c>
      <c r="BC17" s="112">
        <f>$BA$4</f>
        <v>0</v>
      </c>
      <c r="BD17" s="112">
        <f ca="1">IF(BB17="",TODAY()-BA17,BB17-BA17)</f>
        <v>64</v>
      </c>
      <c r="BE17" s="184">
        <f ca="1">BD17-BC17</f>
        <v>64</v>
      </c>
      <c r="BF17" s="335">
        <f>BK17-$BK$5</f>
        <v>46147</v>
      </c>
      <c r="BG17" s="332" t="str">
        <f>IF(_xlfn.XLOOKUP($E17,'[1]Import Eletra'!$B:$B,'[1]Import Eletra'!$AX:$AX,,0,1)=0,"",_xlfn.XLOOKUP($E17,'[1]Import Eletra'!$B:$B,'[1]Import Eletra'!$AX:$AX,,0,1))</f>
        <v/>
      </c>
      <c r="BH17" s="112">
        <f>$BF$4</f>
        <v>0</v>
      </c>
      <c r="BI17" s="112">
        <f ca="1">IF(BG17="",TODAY()-BF17,BG17-BF17)</f>
        <v>64</v>
      </c>
      <c r="BJ17" s="184">
        <f ca="1">BI17-BH17</f>
        <v>64</v>
      </c>
      <c r="BK17" s="362">
        <f>BP17-$BP$5</f>
        <v>46147</v>
      </c>
      <c r="BL17" s="332">
        <f>IF(_xlfn.XLOOKUP($E17,'[1]Import Eletra'!$B:$B,'[1]Import Eletra'!$AY:$AY,,0,1)=0,"",_xlfn.XLOOKUP($E17,'[1]Import Eletra'!$B:$B,'[1]Import Eletra'!$AY:$AY,,0,1))</f>
        <v>46146</v>
      </c>
      <c r="BM17" s="112">
        <f>$BK$4</f>
        <v>0</v>
      </c>
      <c r="BN17" s="112">
        <f ca="1">IF(BL17="",TODAY()-BK17,BL17-BK17)</f>
        <v>-1</v>
      </c>
      <c r="BO17" s="184">
        <f ca="1">BN17-BM17</f>
        <v>-1</v>
      </c>
      <c r="BP17" s="335">
        <f>BU17-$BU$5</f>
        <v>46147</v>
      </c>
      <c r="BQ17" s="332">
        <f>IF(_xlfn.XLOOKUP($E17,'[1]Import Eletra'!$B:$B,'[1]Import Eletra'!$AZ:$AZ,,0,1)=0,"",_xlfn.XLOOKUP($E17,'[1]Import Eletra'!$B:$B,'[1]Import Eletra'!$AZ:$AZ,,0,1))</f>
        <v>46147</v>
      </c>
      <c r="BR17" s="112">
        <f>$BP$4</f>
        <v>0</v>
      </c>
      <c r="BS17" s="112">
        <f ca="1">IF(BQ17="",TODAY()-BP17,BQ17-BP17)</f>
        <v>0</v>
      </c>
      <c r="BT17" s="184">
        <f ca="1">BS17-BR17</f>
        <v>0</v>
      </c>
      <c r="BU17" s="362">
        <f>BZ17-$BZ$4</f>
        <v>46149</v>
      </c>
      <c r="BV17" s="332">
        <f>IF(_xlfn.XLOOKUP($E17,'[1]Import Eletra'!$B:$B,'[1]Import Eletra'!$BA:$BA,,0,1)=0,"",_xlfn.XLOOKUP($E17,'[1]Import Eletra'!$B:$B,'[1]Import Eletra'!$BA:$BA,,0,1))</f>
        <v>46147</v>
      </c>
      <c r="BW17" s="112">
        <f>$BU$4</f>
        <v>2</v>
      </c>
      <c r="BX17" s="112">
        <f ca="1">IF(BV17="",TODAY()-BU17,BV17-BU17)</f>
        <v>-2</v>
      </c>
      <c r="BY17" s="184">
        <f ca="1">BX17-BW17</f>
        <v>-4</v>
      </c>
      <c r="BZ17" s="335">
        <f>CE17-$CE$5</f>
        <v>46149</v>
      </c>
      <c r="CA17" s="332">
        <f>IF(_xlfn.XLOOKUP($E17,'[1]Import Eletra'!$B:$B,'[1]Import Eletra'!$BB:$BB,,0,1)=0,"",_xlfn.XLOOKUP($E17,'[1]Import Eletra'!$B:$B,'[1]Import Eletra'!$BB:$BB,,0,1))</f>
        <v>46147</v>
      </c>
      <c r="CB17" s="112">
        <f>$BZ$4</f>
        <v>0</v>
      </c>
      <c r="CC17" s="112">
        <f ca="1">IF(CA17="",TODAY()-BZ17,CA17-BZ17)</f>
        <v>-2</v>
      </c>
      <c r="CD17" s="184">
        <f ca="1">CC17-CB17</f>
        <v>-2</v>
      </c>
      <c r="CE17" s="362">
        <f>CJ17-$CJ$4</f>
        <v>46149</v>
      </c>
      <c r="CF17" s="332">
        <f>IF(_xlfn.XLOOKUP($E17,'[1]Import Eletra'!$B:$B,'[1]Import Eletra'!$BC:$BC,,0,1)=0,"",_xlfn.XLOOKUP($E17,'[1]Import Eletra'!$B:$B,'[1]Import Eletra'!$BC:$BC,,0,1))</f>
        <v>46147</v>
      </c>
      <c r="CG17" s="112">
        <f>$CE$4</f>
        <v>0</v>
      </c>
      <c r="CH17" s="112">
        <f ca="1">IF(CF17="",TODAY()-CE17,CF17-CE17)</f>
        <v>-2</v>
      </c>
      <c r="CI17" s="184">
        <f ca="1">CH17-CG17</f>
        <v>-2</v>
      </c>
      <c r="CJ17" s="335">
        <f>CO17-$CO$4</f>
        <v>46149</v>
      </c>
      <c r="CK17" s="332">
        <f>IF(_xlfn.XLOOKUP($E17,'[1]Import Eletra'!$B:$B,'[1]Import Eletra'!$BD:$BD,,0,1)=0,"",_xlfn.XLOOKUP($E17,'[1]Import Eletra'!$B:$B,'[1]Import Eletra'!$BD:$BD,,0,1))</f>
        <v>46147</v>
      </c>
      <c r="CL17" s="112"/>
      <c r="CM17" s="112">
        <f ca="1">IF(CK17="",TODAY()-CJ17,CK17-CJ17)</f>
        <v>-2</v>
      </c>
      <c r="CN17" s="184">
        <f ca="1">CM17-CL17</f>
        <v>-2</v>
      </c>
      <c r="CO17" s="362">
        <f>CT17-$CT$4</f>
        <v>46149</v>
      </c>
      <c r="CP17" s="332">
        <f>IF(_xlfn.XLOOKUP($E17,'[1]Import Eletra'!$B:$B,'[1]Import Eletra'!$BE:$BE,,0,1)=0,"",_xlfn.XLOOKUP($E17,'[1]Import Eletra'!$B:$B,'[1]Import Eletra'!$BE:$BE,,0,1))</f>
        <v>46147</v>
      </c>
      <c r="CQ17" s="112">
        <f>$CO$4</f>
        <v>0</v>
      </c>
      <c r="CR17" s="112">
        <f ca="1">IF(CP17="",TODAY()-CO17,CP17-CO17)</f>
        <v>-2</v>
      </c>
      <c r="CS17" s="184">
        <f ca="1">CR17-CQ17</f>
        <v>-2</v>
      </c>
      <c r="CT17" s="335">
        <f>CY17-$CY$4</f>
        <v>46149</v>
      </c>
      <c r="CU17" s="332">
        <f>IF(_xlfn.XLOOKUP($E17,'[1]Import Eletra'!$B:$B,'[1]Import Eletra'!$BF:$BF,,0,1)=0,"",_xlfn.XLOOKUP($E17,'[1]Import Eletra'!$B:$B,'[1]Import Eletra'!$BF:$BF,,0,1))</f>
        <v>46147</v>
      </c>
      <c r="CV17" s="112">
        <f>$CT$4</f>
        <v>0</v>
      </c>
      <c r="CW17" s="112">
        <f ca="1">IF(CU17="",TODAY()-CT17,CU17-CT17)</f>
        <v>-2</v>
      </c>
      <c r="CX17" s="184">
        <f ca="1">CW17-CV17</f>
        <v>-2</v>
      </c>
      <c r="CY17" s="110">
        <f>DD17-$DD$4</f>
        <v>46149</v>
      </c>
      <c r="CZ17" s="104">
        <f>IF(_xlfn.XLOOKUP($E17,'[1]Import Eletra'!$B:$B,'[1]Import Eletra'!$BF:$BF,,0,1)=0,"",_xlfn.XLOOKUP($E17,'[1]Import Eletra'!$B:$B,'[1]Import Eletra'!$BF:$BF,,0,1))</f>
        <v>46147</v>
      </c>
      <c r="DA17" s="121">
        <f>$CY$4</f>
        <v>0</v>
      </c>
      <c r="DB17" s="112">
        <f ca="1">IF(CZ17="",TODAY()-CY17,CZ17-CY17)</f>
        <v>-2</v>
      </c>
      <c r="DC17" s="184">
        <f ca="1">DB17-DA17</f>
        <v>-2</v>
      </c>
      <c r="DD17" s="110">
        <f>DI17-$DI$4</f>
        <v>46151</v>
      </c>
      <c r="DE17" s="104">
        <f>IF(_xlfn.XLOOKUP($E17,'[1]Import Eletra'!$B:$B,'[1]Import Eletra'!$BG:$BG,,0,1)=0,"",_xlfn.XLOOKUP($E17,'[1]Import Eletra'!$B:$B,'[1]Import Eletra'!$BG:$BG,0,1))</f>
        <v>46149</v>
      </c>
      <c r="DF17" s="112">
        <f>$DD$4</f>
        <v>2</v>
      </c>
      <c r="DG17" s="112">
        <f ca="1">IF(DE17="",TODAY()-DD17,DE17-DD17)</f>
        <v>-2</v>
      </c>
      <c r="DH17" s="184">
        <f ca="1">DG17-DF17</f>
        <v>-4</v>
      </c>
      <c r="DI17" s="110">
        <f>DO17-$DN$4</f>
        <v>46152</v>
      </c>
      <c r="DJ17" s="104">
        <f>IF(_xlfn.XLOOKUP($E17,'[1]Import Eletra'!$B:$B,'[1]Import Eletra'!$BH:$BH,,0,1)=0,"",_xlfn.XLOOKUP($E17,'[1]Import Eletra'!$B:$B,'[1]Import Eletra'!$BH:$BH,0,1))</f>
        <v>46149</v>
      </c>
      <c r="DK17" s="112">
        <f>$DI$4</f>
        <v>1</v>
      </c>
      <c r="DL17" s="112">
        <f ca="1">IF(DJ17="",TODAY()-DI17,DJ17-DI17)</f>
        <v>-3</v>
      </c>
      <c r="DM17" s="184">
        <f ca="1">DL17-DK17</f>
        <v>-4</v>
      </c>
      <c r="DN17" s="64">
        <v>46149</v>
      </c>
      <c r="DO17" s="202">
        <f t="shared" si="0"/>
        <v>46153</v>
      </c>
      <c r="DP17" s="165">
        <f>IF(_xlfn.XLOOKUP($E17,'[1]Import Eletra'!$B:$B,'[1]Import Eletra'!$O:$O,,0,1)=0,"",_xlfn.XLOOKUP($E17,'[1]Import Eletra'!$B:$B,'[1]Import Eletra'!$O:$O,0,1))</f>
        <v>46150</v>
      </c>
      <c r="DQ17" s="112">
        <f>$DN$4</f>
        <v>1</v>
      </c>
      <c r="DR17" s="112">
        <f ca="1">IF(DP17="",TODAY()-DO17,DP17-DO17)</f>
        <v>-3</v>
      </c>
      <c r="DS17" s="184">
        <f ca="1">DR17-DQ17</f>
        <v>-4</v>
      </c>
      <c r="DT17" s="143">
        <v>10</v>
      </c>
      <c r="DU17" s="140">
        <f ca="1">IF(DP17="",TODAY()-N17,DP17-N17)</f>
        <v>7</v>
      </c>
      <c r="DV17" s="184">
        <f ca="1">DU17-DT17</f>
        <v>-3</v>
      </c>
      <c r="DW17" s="147"/>
      <c r="DX17" s="185" t="s">
        <v>245</v>
      </c>
      <c r="DY17" s="108" t="str">
        <f>IF(_xlfn.XLOOKUP($E17,'[1]Import Eletra'!$B:$B,'[1]Import Eletra'!$DW:$DW,,0,1)=0,"",_xlfn.XLOOKUP($E17,'[1]Import Eletra'!$B:$B,'[1]Import Eletra'!$DW:$DW,0,1))</f>
        <v/>
      </c>
      <c r="DZ17" s="147"/>
      <c r="EA17" s="147"/>
      <c r="EB17" s="288" t="s">
        <v>273</v>
      </c>
      <c r="EC17" s="147"/>
      <c r="ED17" s="406">
        <f>IF(_xlfn.XLOOKUP($E17,'[1]Import Eletra'!$B:$B,'[1]Import Eletra'!$BQ:$BQ,,0,1)=0,"",_xlfn.XLOOKUP($E17,'[1]Import Eletra'!$B:$B,'[1]Import Eletra'!$BQ:$BQ,0,1))</f>
        <v>9667.99</v>
      </c>
      <c r="EE17" s="407">
        <f>IF(_xlfn.XLOOKUP($E17,'[1]Import Eletra'!$B:$B,'[1]Import Eletra'!$BR:$BR,,0,1)=0,"",_xlfn.XLOOKUP($E17,'[1]Import Eletra'!$B:$B,'[1]Import Eletra'!$BR:$BR,0,1))</f>
        <v>46183</v>
      </c>
      <c r="EF17" s="406" t="str">
        <f>IF(_xlfn.XLOOKUP($E17,'[1]Import Eletra'!$B:$B,'[1]Import Eletra'!$BS:$BS,,0,1)=0,"",_xlfn.XLOOKUP($E17,'[1]Import Eletra'!$B:$B,'[1]Import Eletra'!$BS:$BS,0,1))</f>
        <v/>
      </c>
      <c r="EG17" s="407" t="str">
        <f>IF(_xlfn.XLOOKUP($E17,'[1]Import Eletra'!$B:$B,'[1]Import Eletra'!$BT:$BT,,0,1)=0,"",_xlfn.XLOOKUP($E17,'[1]Import Eletra'!$B:$B,'[1]Import Eletra'!$BT:$BT,0,1))</f>
        <v/>
      </c>
      <c r="EH17" s="406" t="str">
        <f>IF(_xlfn.XLOOKUP($E17,'[1]Import Eletra'!$B:$B,'[1]Import Eletra'!$BU:$BU,,0,1)=0,"",_xlfn.XLOOKUP($E17,'[1]Import Eletra'!$B:$B,'[1]Import Eletra'!$BU:$BU,0,1))</f>
        <v/>
      </c>
      <c r="EI17" s="407" t="str">
        <f>IF(_xlfn.XLOOKUP($E17,'[1]Import Eletra'!$B:$B,'[1]Import Eletra'!$BV:$BV,,0,1)=0,"",_xlfn.XLOOKUP($E17,'[1]Import Eletra'!$B:$B,'[1]Import Eletra'!$BV:$BV,0,1))</f>
        <v/>
      </c>
      <c r="EJ17" s="407" t="str">
        <f>IF(_xlfn.XLOOKUP($E17,'[1]Import Eletra'!$B:$B,'[1]Import Eletra'!$CI:$CI,,0,1)=0,"",_xlfn.XLOOKUP($E17,'[1]Import Eletra'!$B:$B,'[1]Import Eletra'!$CI:$CI,0,1))</f>
        <v/>
      </c>
      <c r="EK17" s="407" t="str">
        <f>IF(_xlfn.XLOOKUP($E17,'[1]Import Eletra'!$B:$B,'[1]Import Eletra'!$CD:$CD,,0,1)=0,"",_xlfn.XLOOKUP($E17,'[1]Import Eletra'!$B:$B,'[1]Import Eletra'!$CD:$CD,0,1))</f>
        <v/>
      </c>
      <c r="EL17" s="407" t="str">
        <f>IF(_xlfn.XLOOKUP($E17,'[1]Import Eletra'!$B:$B,'[1]Import Eletra'!$CE:$CE,,0,1)=0,"",_xlfn.XLOOKUP($E17,'[1]Import Eletra'!$B:$B,'[1]Import Eletra'!$CE:$CE,0,1))</f>
        <v>NÃO</v>
      </c>
      <c r="EM17" s="408" t="str">
        <f>IF(_xlfn.XLOOKUP($E17,'[1]Import Eletra'!$B:$B,'[1]Import Eletra'!$E:$E,,0,1)=0,"",_xlfn.XLOOKUP($E17,'[1]Import Eletra'!$B:$B,'[1]Import Eletra'!$E:$E,0,1))</f>
        <v>RENATO</v>
      </c>
      <c r="EN17" s="408" t="str">
        <f>IF(_xlfn.XLOOKUP($E17,'[1]Import Eletra'!$B:$B,'[1]Import Eletra'!$R:$R,,0,1)=0,"",_xlfn.XLOOKUP($E17,'[1]Import Eletra'!$B:$B,'[1]Import Eletra'!$R:$R,0,1))</f>
        <v xml:space="preserve">PWBR260053-10 </v>
      </c>
      <c r="EO17" s="408" t="str">
        <f>IF(_xlfn.XLOOKUP($E17,'[1]Import Eletra'!$B:$B,'[1]Import Eletra'!$P:$P,,0,1)=0,"",_xlfn.XLOOKUP($E17,'[1]Import Eletra'!$B:$B,'[1]Import Eletra'!$P:$P,0,1))</f>
        <v>DTW260420FOR</v>
      </c>
      <c r="EP17" s="408" t="str">
        <f>IF(_xlfn.XLOOKUP($E17,'[1]Import Eletra'!$B:$B,'[1]Import Eletra'!$T:$T,,0,1)=0,"",_xlfn.XLOOKUP($E17,'[1]Import Eletra'!$B:$B,'[1]Import Eletra'!$T:$T,0,1))</f>
        <v/>
      </c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  <c r="GF17" s="147"/>
      <c r="GG17" s="147"/>
      <c r="GH17" s="147"/>
      <c r="GI17" s="147"/>
      <c r="GJ17" s="147"/>
      <c r="GK17" s="147"/>
      <c r="GL17" s="147"/>
      <c r="GM17" s="147"/>
      <c r="GN17" s="147"/>
      <c r="GO17" s="147"/>
      <c r="GP17" s="147"/>
      <c r="GQ17" s="147"/>
      <c r="GR17" s="147"/>
      <c r="GS17" s="147"/>
      <c r="GT17" s="147"/>
      <c r="GU17" s="147"/>
      <c r="GV17" s="147"/>
      <c r="GW17" s="147"/>
      <c r="GX17" s="147"/>
      <c r="GY17" s="147"/>
      <c r="GZ17" s="147"/>
      <c r="HA17" s="147"/>
      <c r="HB17" s="147"/>
      <c r="HC17" s="147"/>
      <c r="HD17" s="147"/>
      <c r="HE17" s="147"/>
      <c r="HF17" s="147"/>
      <c r="HG17" s="147"/>
      <c r="HH17" s="147"/>
      <c r="HI17" s="147"/>
      <c r="HJ17" s="147"/>
      <c r="HK17" s="147"/>
      <c r="HL17" s="147"/>
      <c r="HM17" s="147"/>
      <c r="HN17" s="147"/>
      <c r="HO17" s="147"/>
      <c r="HP17" s="147"/>
      <c r="HQ17" s="147"/>
      <c r="HR17" s="147"/>
      <c r="HS17" s="147"/>
      <c r="HT17" s="147"/>
      <c r="HU17" s="147"/>
      <c r="HV17" s="147"/>
      <c r="HW17" s="147"/>
      <c r="HX17" s="147"/>
      <c r="HY17" s="147"/>
      <c r="HZ17" s="147"/>
      <c r="IA17" s="147"/>
      <c r="IB17" s="147"/>
      <c r="IC17" s="147"/>
      <c r="ID17" s="147"/>
      <c r="IE17" s="147"/>
      <c r="IF17" s="147"/>
      <c r="IG17" s="147"/>
      <c r="IH17" s="147"/>
    </row>
    <row r="18" spans="1:242" ht="30" customHeight="1">
      <c r="B18" s="281"/>
      <c r="C18" s="280"/>
      <c r="D18" s="104" t="s">
        <v>269</v>
      </c>
      <c r="E18" s="213" t="s">
        <v>276</v>
      </c>
      <c r="F18" s="106">
        <f>IF(_xlfn.XLOOKUP($E18,'[1]Import Eletra'!$B:$B,'[1]Import Eletra'!$U:$U,,0,1)=0,"",_xlfn.XLOOKUP($E18,'[1]Import Eletra'!$B:$B,'[1]Import Eletra'!$U:$U,,0,1))</f>
        <v>0.5</v>
      </c>
      <c r="G18" s="107" t="s">
        <v>244</v>
      </c>
      <c r="H18" s="2" t="str">
        <f>_xlfn.XLOOKUP($E18,'[1]Import Eletra'!$B:$B,'[1]Import Eletra'!$F:$F,,0,1)</f>
        <v>DELIVERED</v>
      </c>
      <c r="I18" s="108" t="str">
        <f>_xlfn.XLOOKUP($E18,'[1]Import Eletra'!$B:$B,'[1]Import Eletra'!$G:$G,,0,1)</f>
        <v>SEA</v>
      </c>
      <c r="J18" s="326">
        <v>45948</v>
      </c>
      <c r="K18" s="109">
        <v>30</v>
      </c>
      <c r="L18" s="109">
        <f>M18-J18</f>
        <v>111</v>
      </c>
      <c r="M18" s="326">
        <f>IF(_xlfn.XLOOKUP($E18,'[1]Import Eletra'!$B:$B,'[1]Import Eletra'!$J:$J,,0,1)=0,"",_xlfn.XLOOKUP($E18,'[1]Import Eletra'!$B:$B,'[1]Import Eletra'!$J:$J,,0,1))</f>
        <v>46059</v>
      </c>
      <c r="N18" s="332">
        <f>IF(_xlfn.XLOOKUP($E18,'[1]Import Eletra'!$B:$B,'[1]Import Eletra'!$L:$L,,0,1)=0,"",_xlfn.XLOOKUP($E18,'[1]Import Eletra'!$B:$B,'[1]Import Eletra'!$L:$L,,0,1))</f>
        <v>46138</v>
      </c>
      <c r="O18" s="335">
        <f>IF(_xlfn.XLOOKUP($E18,'[1]Import Eletra'!$B:$B,'[1]Import Eletra'!$AK:$AK,,0,1)=0,"",_xlfn.XLOOKUP($E18,'[1]Import Eletra'!$B:$B,'[1]Import Eletra'!$AK:$AK,,0,1))</f>
        <v>46069</v>
      </c>
      <c r="P18" s="326">
        <f>IF(_xlfn.XLOOKUP($E18,'[1]Import Eletra'!$B:$B,'[1]Import Eletra'!$AL:$AL,,0,1)=0,"",_xlfn.XLOOKUP($E18,'[1]Import Eletra'!$B:$B,'[1]Import Eletra'!$AL:$AL,,0,1))</f>
        <v>46070</v>
      </c>
      <c r="Q18" s="326">
        <f>IF(_xlfn.XLOOKUP($E18,'[1]Import Eletra'!$B:$B,'[1]Import Eletra'!$AM:$AM,,0,1)=0,"",_xlfn.XLOOKUP($E18,'[1]Import Eletra'!$B:$B,'[1]Import Eletra'!$AM:$AM,,0,1))</f>
        <v>46073</v>
      </c>
      <c r="R18" s="326">
        <f>IF(_xlfn.XLOOKUP($E18,'[1]Import Eletra'!$B:$B,'[1]Import Eletra'!$AN:$AN,,0,1)=0,"",_xlfn.XLOOKUP($E18,'[1]Import Eletra'!$B:$B,'[1]Import Eletra'!$AN:$AN,,0,1))</f>
        <v>46076</v>
      </c>
      <c r="S18" s="326">
        <f>IF(_xlfn.XLOOKUP($E18,'[1]Import Eletra'!$B:$B,'[1]Import Eletra'!$AO:$AO,,0,1)=0,"",_xlfn.XLOOKUP($E18,'[1]Import Eletra'!$B:$B,'[1]Import Eletra'!$AO:$AO,,0,1))</f>
        <v>46076</v>
      </c>
      <c r="T18" s="326">
        <f>IF(_xlfn.XLOOKUP($E18,'[1]Import Eletra'!$B:$B,'[1]Import Eletra'!$AP:$AP,,0,1)=0,"",_xlfn.XLOOKUP($E18,'[1]Import Eletra'!$B:$B,'[1]Import Eletra'!$AP:$AP,,0,1))</f>
        <v>46076</v>
      </c>
      <c r="U18" s="326">
        <f>IF(_xlfn.XLOOKUP($E18,'[1]Import Eletra'!$B:$B,'[1]Import Eletra'!$AQ:$AQ,,0,1)=0,"",_xlfn.XLOOKUP($E18,'[1]Import Eletra'!$B:$B,'[1]Import Eletra'!$AQ:$AQ,,0,1))</f>
        <v>46076</v>
      </c>
      <c r="V18" s="339">
        <f>IF(_xlfn.XLOOKUP($E18,'[1]Import Eletra'!$B:$B,'[1]Import Eletra'!$AR:$AR,,0,1)=0,"",_xlfn.XLOOKUP($E18,'[1]Import Eletra'!$B:$B,'[1]Import Eletra'!$AR:$AR,,0,1))</f>
        <v>46141</v>
      </c>
      <c r="W18" s="335">
        <f>AB18-$AB$5</f>
        <v>46139</v>
      </c>
      <c r="X18" s="332">
        <f>IF(_xlfn.XLOOKUP($E18,'[1]Import Eletra'!$B:$B,'[1]Import Eletra'!$AS:$AS,,0,1)=0,"",_xlfn.XLOOKUP($E18,'[1]Import Eletra'!$B:$B,'[1]Import Eletra'!$AS:$AS,,0,1))</f>
        <v>46141</v>
      </c>
      <c r="Y18" s="113">
        <f>$W$4</f>
        <v>0</v>
      </c>
      <c r="Z18" s="113">
        <f ca="1">IF(X18="",TODAY()-W18,X18-W18)</f>
        <v>2</v>
      </c>
      <c r="AA18" s="184">
        <f ca="1">Z18-Y18</f>
        <v>2</v>
      </c>
      <c r="AB18" s="348">
        <f>AG18-$AB$5</f>
        <v>46140</v>
      </c>
      <c r="AC18" s="332">
        <f>IF(_xlfn.XLOOKUP($E18,'[1]Import Eletra'!$B:$B,'[1]Import Eletra'!$AD:$AD,,0,1)=0,"",_xlfn.XLOOKUP($E18,'[1]Import Eletra'!$B:$B,'[1]Import Eletra'!$AD:$AD,,0,1))</f>
        <v>46141</v>
      </c>
      <c r="AD18" s="113">
        <f>$AB$4</f>
        <v>0</v>
      </c>
      <c r="AE18" s="113">
        <f ca="1">IF(AC18="",TODAY()-AB18,AC18-AB18)</f>
        <v>1</v>
      </c>
      <c r="AF18" s="184">
        <f ca="1">AE18-AD18</f>
        <v>1</v>
      </c>
      <c r="AG18" s="355">
        <f>AL18-$AL$5</f>
        <v>46141</v>
      </c>
      <c r="AH18" s="332">
        <f>IF(_xlfn.XLOOKUP($E18,'[1]Import Eletra'!$B:$B,'[1]Import Eletra'!$AE:$AE,,0,1)=0,"",_xlfn.XLOOKUP($E18,'[1]Import Eletra'!$B:$B,'[1]Import Eletra'!$AE:$AE,,0,1))</f>
        <v>46141</v>
      </c>
      <c r="AI18" s="113">
        <f>$AG$4</f>
        <v>0</v>
      </c>
      <c r="AJ18" s="113">
        <f ca="1">IF(AH18="",TODAY()-AG18,AH18-AG18)</f>
        <v>0</v>
      </c>
      <c r="AK18" s="184">
        <f ca="1">AJ18-AI18</f>
        <v>0</v>
      </c>
      <c r="AL18" s="355">
        <f>AQ18-$AQ$5</f>
        <v>46141</v>
      </c>
      <c r="AM18" s="332">
        <f>IF(_xlfn.XLOOKUP($E18,'[1]Import Eletra'!$B:$B,'[1]Import Eletra'!$AT:$AT,,0,1)=0,"",_xlfn.XLOOKUP($E18,'[1]Import Eletra'!$B:$B,'[1]Import Eletra'!$AT:$AT,,0,1))</f>
        <v>46142</v>
      </c>
      <c r="AN18" s="113">
        <f>$AL$4</f>
        <v>0</v>
      </c>
      <c r="AO18" s="113">
        <f ca="1">IF(AM18="",TODAY()-AL18,AM18-AL18)</f>
        <v>1</v>
      </c>
      <c r="AP18" s="184">
        <f ca="1">AO18-AN18</f>
        <v>1</v>
      </c>
      <c r="AQ18" s="357">
        <f>AV18-$AV$5</f>
        <v>46142</v>
      </c>
      <c r="AR18" s="332">
        <f>IF(_xlfn.XLOOKUP($E18,'[1]Import Eletra'!$B:$B,'[1]Import Eletra'!$AU:$AU,,0,1)=0,"",_xlfn.XLOOKUP($E18,'[1]Import Eletra'!$B:$B,'[1]Import Eletra'!$AU:$AU,,0,1))</f>
        <v>46148</v>
      </c>
      <c r="AS18" s="113">
        <f>$AQ$4</f>
        <v>1</v>
      </c>
      <c r="AT18" s="113">
        <f ca="1">IF(AR18="",TODAY()-AQ18,AR18-AQ18)</f>
        <v>6</v>
      </c>
      <c r="AU18" s="184">
        <f ca="1">AT18-AS18</f>
        <v>5</v>
      </c>
      <c r="AV18" s="355">
        <f>BA18-$BA$5</f>
        <v>46142</v>
      </c>
      <c r="AW18" s="332" t="str">
        <f>IF(_xlfn.XLOOKUP($E18,'[1]Import Eletra'!$B:$B,'[1]Import Eletra'!$AV:$AV,,0,1)=0,"",_xlfn.XLOOKUP($E18,'[1]Import Eletra'!$B:$B,'[1]Import Eletra'!$AV:$AV,,0,1))</f>
        <v/>
      </c>
      <c r="AX18" s="113">
        <f>$AV$4</f>
        <v>0</v>
      </c>
      <c r="AY18" s="113">
        <f ca="1">IF(AW18="",TODAY()-AV18,AW18-AV18)</f>
        <v>69</v>
      </c>
      <c r="AZ18" s="184">
        <f ca="1">AY18-AX18</f>
        <v>69</v>
      </c>
      <c r="BA18" s="357">
        <f>BF18-$BF$5</f>
        <v>46142</v>
      </c>
      <c r="BB18" s="332" t="str">
        <f>IF(_xlfn.XLOOKUP($E18,'[1]Import Eletra'!$B:$B,'[1]Import Eletra'!$AW:$AW,,0,1)=0,"",_xlfn.XLOOKUP($E18,'[1]Import Eletra'!$B:$B,'[1]Import Eletra'!$AW:$AW,,0,1))</f>
        <v/>
      </c>
      <c r="BC18" s="113">
        <f>$BA$4</f>
        <v>0</v>
      </c>
      <c r="BD18" s="113">
        <f ca="1">IF(BB18="",TODAY()-BA18,BB18-BA18)</f>
        <v>69</v>
      </c>
      <c r="BE18" s="184">
        <f ca="1">BD18-BC18</f>
        <v>69</v>
      </c>
      <c r="BF18" s="335">
        <f>BK18-$BK$5</f>
        <v>46142</v>
      </c>
      <c r="BG18" s="332" t="str">
        <f>IF(_xlfn.XLOOKUP($E18,'[1]Import Eletra'!$B:$B,'[1]Import Eletra'!$AX:$AX,,0,1)=0,"",_xlfn.XLOOKUP($E18,'[1]Import Eletra'!$B:$B,'[1]Import Eletra'!$AX:$AX,,0,1))</f>
        <v/>
      </c>
      <c r="BH18" s="113">
        <f>$BF$4</f>
        <v>0</v>
      </c>
      <c r="BI18" s="113">
        <f ca="1">IF(BG18="",TODAY()-BF18,BG18-BF18)</f>
        <v>69</v>
      </c>
      <c r="BJ18" s="184">
        <f ca="1">BI18-BH18</f>
        <v>69</v>
      </c>
      <c r="BK18" s="362">
        <f>BP18-$BP$5</f>
        <v>46142</v>
      </c>
      <c r="BL18" s="332">
        <f>IF(_xlfn.XLOOKUP($E18,'[1]Import Eletra'!$B:$B,'[1]Import Eletra'!$AY:$AY,,0,1)=0,"",_xlfn.XLOOKUP($E18,'[1]Import Eletra'!$B:$B,'[1]Import Eletra'!$AY:$AY,,0,1))</f>
        <v>46142</v>
      </c>
      <c r="BM18" s="113">
        <f>$BK$4</f>
        <v>0</v>
      </c>
      <c r="BN18" s="113">
        <f ca="1">IF(BL18="",TODAY()-BK18,BL18-BK18)</f>
        <v>0</v>
      </c>
      <c r="BO18" s="184">
        <f ca="1">BN18-BM18</f>
        <v>0</v>
      </c>
      <c r="BP18" s="335">
        <f>BU18-$BU$5</f>
        <v>46142</v>
      </c>
      <c r="BQ18" s="332">
        <f>IF(_xlfn.XLOOKUP($E18,'[1]Import Eletra'!$B:$B,'[1]Import Eletra'!$AZ:$AZ,,0,1)=0,"",_xlfn.XLOOKUP($E18,'[1]Import Eletra'!$B:$B,'[1]Import Eletra'!$AZ:$AZ,,0,1))</f>
        <v>46142</v>
      </c>
      <c r="BR18" s="113">
        <f>$BP$4</f>
        <v>0</v>
      </c>
      <c r="BS18" s="113">
        <f ca="1">IF(BQ18="",TODAY()-BP18,BQ18-BP18)</f>
        <v>0</v>
      </c>
      <c r="BT18" s="184">
        <f ca="1">BS18-BR18</f>
        <v>0</v>
      </c>
      <c r="BU18" s="362">
        <f>BZ18-$BZ$4</f>
        <v>46144</v>
      </c>
      <c r="BV18" s="332">
        <f>IF(_xlfn.XLOOKUP($E18,'[1]Import Eletra'!$B:$B,'[1]Import Eletra'!$BA:$BA,,0,1)=0,"",_xlfn.XLOOKUP($E18,'[1]Import Eletra'!$B:$B,'[1]Import Eletra'!$BA:$BA,,0,1))</f>
        <v>46146</v>
      </c>
      <c r="BW18" s="113">
        <f>$BU$4</f>
        <v>2</v>
      </c>
      <c r="BX18" s="113">
        <f ca="1">IF(BV18="",TODAY()-BU18,BV18-BU18)</f>
        <v>2</v>
      </c>
      <c r="BY18" s="184">
        <f ca="1">BX18-BW18</f>
        <v>0</v>
      </c>
      <c r="BZ18" s="335">
        <f>CE18-$CE$5</f>
        <v>46144</v>
      </c>
      <c r="CA18" s="332">
        <f>IF(_xlfn.XLOOKUP($E18,'[1]Import Eletra'!$B:$B,'[1]Import Eletra'!$BB:$BB,,0,1)=0,"",_xlfn.XLOOKUP($E18,'[1]Import Eletra'!$B:$B,'[1]Import Eletra'!$BB:$BB,,0,1))</f>
        <v>46146</v>
      </c>
      <c r="CB18" s="113">
        <f>$BZ$4</f>
        <v>0</v>
      </c>
      <c r="CC18" s="113">
        <f ca="1">IF(CA18="",TODAY()-BZ18,CA18-BZ18)</f>
        <v>2</v>
      </c>
      <c r="CD18" s="184">
        <f ca="1">CC18-CB18</f>
        <v>2</v>
      </c>
      <c r="CE18" s="362">
        <f>CJ18-$CJ$4</f>
        <v>46144</v>
      </c>
      <c r="CF18" s="332">
        <f>IF(_xlfn.XLOOKUP($E18,'[1]Import Eletra'!$B:$B,'[1]Import Eletra'!$BC:$BC,,0,1)=0,"",_xlfn.XLOOKUP($E18,'[1]Import Eletra'!$B:$B,'[1]Import Eletra'!$BC:$BC,,0,1))</f>
        <v>46148</v>
      </c>
      <c r="CG18" s="113">
        <f>$CE$4</f>
        <v>0</v>
      </c>
      <c r="CH18" s="113">
        <f ca="1">IF(CF18="",TODAY()-CE18,CF18-CE18)</f>
        <v>4</v>
      </c>
      <c r="CI18" s="184">
        <f ca="1">CH18-CG18</f>
        <v>4</v>
      </c>
      <c r="CJ18" s="335">
        <f>CO18-$CO$4</f>
        <v>46144</v>
      </c>
      <c r="CK18" s="332">
        <f>IF(_xlfn.XLOOKUP($E18,'[1]Import Eletra'!$B:$B,'[1]Import Eletra'!$BD:$BD,,0,1)=0,"",_xlfn.XLOOKUP($E18,'[1]Import Eletra'!$B:$B,'[1]Import Eletra'!$BD:$BD,,0,1))</f>
        <v>46146</v>
      </c>
      <c r="CL18" s="113"/>
      <c r="CM18" s="113">
        <f ca="1">IF(CK18="",TODAY()-CJ18,CK18-CJ18)</f>
        <v>2</v>
      </c>
      <c r="CN18" s="184">
        <f ca="1">CM18-CL18</f>
        <v>2</v>
      </c>
      <c r="CO18" s="362">
        <f>CT18-$CT$4</f>
        <v>46144</v>
      </c>
      <c r="CP18" s="332">
        <f>IF(_xlfn.XLOOKUP($E18,'[1]Import Eletra'!$B:$B,'[1]Import Eletra'!$BE:$BE,,0,1)=0,"",_xlfn.XLOOKUP($E18,'[1]Import Eletra'!$B:$B,'[1]Import Eletra'!$BE:$BE,,0,1))</f>
        <v>46148</v>
      </c>
      <c r="CQ18" s="113">
        <f>$CO$4</f>
        <v>0</v>
      </c>
      <c r="CR18" s="113">
        <f ca="1">IF(CP18="",TODAY()-CO18,CP18-CO18)</f>
        <v>4</v>
      </c>
      <c r="CS18" s="184">
        <f ca="1">CR18-CQ18</f>
        <v>4</v>
      </c>
      <c r="CT18" s="335">
        <f>CY18-$CY$4</f>
        <v>46144</v>
      </c>
      <c r="CU18" s="332">
        <f>IF(_xlfn.XLOOKUP($E18,'[1]Import Eletra'!$B:$B,'[1]Import Eletra'!$BF:$BF,,0,1)=0,"",_xlfn.XLOOKUP($E18,'[1]Import Eletra'!$B:$B,'[1]Import Eletra'!$BF:$BF,,0,1))</f>
        <v>46148</v>
      </c>
      <c r="CV18" s="113">
        <f>$CT$4</f>
        <v>0</v>
      </c>
      <c r="CW18" s="113">
        <f ca="1">IF(CU18="",TODAY()-CT18,CU18-CT18)</f>
        <v>4</v>
      </c>
      <c r="CX18" s="184">
        <f ca="1">CW18-CV18</f>
        <v>4</v>
      </c>
      <c r="CY18" s="110">
        <f>DD18-$DD$4</f>
        <v>46144</v>
      </c>
      <c r="CZ18" s="104">
        <f>IF(_xlfn.XLOOKUP($E18,'[1]Import Eletra'!$B:$B,'[1]Import Eletra'!$BF:$BF,,0,1)=0,"",_xlfn.XLOOKUP($E18,'[1]Import Eletra'!$B:$B,'[1]Import Eletra'!$BF:$BF,,0,1))</f>
        <v>46148</v>
      </c>
      <c r="DA18" s="210">
        <f>$CY$4</f>
        <v>0</v>
      </c>
      <c r="DB18" s="113">
        <f ca="1">IF(CZ18="",TODAY()-CY18,CZ18-CY18)</f>
        <v>4</v>
      </c>
      <c r="DC18" s="184">
        <f ca="1">DB18-DA18</f>
        <v>4</v>
      </c>
      <c r="DD18" s="110">
        <f>DI18-$DI$4</f>
        <v>46146</v>
      </c>
      <c r="DE18" s="104">
        <f>IF(_xlfn.XLOOKUP($E18,'[1]Import Eletra'!$B:$B,'[1]Import Eletra'!$BG:$BG,,0,1)=0,"",_xlfn.XLOOKUP($E18,'[1]Import Eletra'!$B:$B,'[1]Import Eletra'!$BG:$BG,0,1))</f>
        <v>46150</v>
      </c>
      <c r="DF18" s="113">
        <f>$DD$4</f>
        <v>2</v>
      </c>
      <c r="DG18" s="113">
        <f ca="1">IF(DE18="",TODAY()-DD18,DE18-DD18)</f>
        <v>4</v>
      </c>
      <c r="DH18" s="184">
        <f ca="1">DG18-DF18</f>
        <v>2</v>
      </c>
      <c r="DI18" s="110">
        <f>DO18-$DN$4</f>
        <v>46147</v>
      </c>
      <c r="DJ18" s="104">
        <f>IF(_xlfn.XLOOKUP($E18,'[1]Import Eletra'!$B:$B,'[1]Import Eletra'!$BH:$BH,,0,1)=0,"",_xlfn.XLOOKUP($E18,'[1]Import Eletra'!$B:$B,'[1]Import Eletra'!$BH:$BH,0,1))</f>
        <v>46150</v>
      </c>
      <c r="DK18" s="113">
        <f>$DI$4</f>
        <v>1</v>
      </c>
      <c r="DL18" s="113">
        <f ca="1">IF(DJ18="",TODAY()-DI18,DJ18-DI18)</f>
        <v>3</v>
      </c>
      <c r="DM18" s="184">
        <f ca="1">DL18-DK18</f>
        <v>2</v>
      </c>
      <c r="DN18" s="64"/>
      <c r="DO18" s="202">
        <f t="shared" si="0"/>
        <v>46148</v>
      </c>
      <c r="DP18" s="165">
        <f>IF(_xlfn.XLOOKUP($E18,'[1]Import Eletra'!$B:$B,'[1]Import Eletra'!$O:$O,,0,1)=0,"",_xlfn.XLOOKUP($E18,'[1]Import Eletra'!$B:$B,'[1]Import Eletra'!$O:$O,0,1))</f>
        <v>46151</v>
      </c>
      <c r="DQ18" s="113">
        <f>$DN$4</f>
        <v>1</v>
      </c>
      <c r="DR18" s="113">
        <f ca="1">IF(DP18="",TODAY()-DO18,DP18-DO18)</f>
        <v>3</v>
      </c>
      <c r="DS18" s="184">
        <f ca="1">DR18-DQ18</f>
        <v>2</v>
      </c>
      <c r="DT18" s="143">
        <v>10</v>
      </c>
      <c r="DU18" s="140">
        <f ca="1">IF(DP18="",TODAY()-N18,DP18-N18)</f>
        <v>13</v>
      </c>
      <c r="DV18" s="184">
        <f ca="1">DU18-DT18</f>
        <v>3</v>
      </c>
      <c r="DW18" s="147"/>
      <c r="DX18" s="185" t="s">
        <v>245</v>
      </c>
      <c r="DY18" s="108" t="str">
        <f>IF(_xlfn.XLOOKUP($E18,'[1]Import Eletra'!$B:$B,'[1]Import Eletra'!$DW:$DW,,0,1)=0,"",_xlfn.XLOOKUP($E18,'[1]Import Eletra'!$B:$B,'[1]Import Eletra'!$DW:$DW,0,1))</f>
        <v>DELAY AT POST-REGISTRATION VALIDATION</v>
      </c>
      <c r="EB18" s="287"/>
      <c r="ED18" s="406">
        <f>IF(_xlfn.XLOOKUP($E18,'[1]Import Eletra'!$B:$B,'[1]Import Eletra'!$BQ:$BQ,,0,1)=0,"",_xlfn.XLOOKUP($E18,'[1]Import Eletra'!$B:$B,'[1]Import Eletra'!$BQ:$BQ,0,1))</f>
        <v>409.14499999999998</v>
      </c>
      <c r="EE18" s="407">
        <f>IF(_xlfn.XLOOKUP($E18,'[1]Import Eletra'!$B:$B,'[1]Import Eletra'!$BR:$BR,,0,1)=0,"",_xlfn.XLOOKUP($E18,'[1]Import Eletra'!$B:$B,'[1]Import Eletra'!$BR:$BR,0,1))</f>
        <v>46149</v>
      </c>
      <c r="EF18" s="406" t="str">
        <f>IF(_xlfn.XLOOKUP($E18,'[1]Import Eletra'!$B:$B,'[1]Import Eletra'!$BS:$BS,,0,1)=0,"",_xlfn.XLOOKUP($E18,'[1]Import Eletra'!$B:$B,'[1]Import Eletra'!$BS:$BS,0,1))</f>
        <v/>
      </c>
      <c r="EG18" s="407" t="str">
        <f>IF(_xlfn.XLOOKUP($E18,'[1]Import Eletra'!$B:$B,'[1]Import Eletra'!$BT:$BT,,0,1)=0,"",_xlfn.XLOOKUP($E18,'[1]Import Eletra'!$B:$B,'[1]Import Eletra'!$BT:$BT,0,1))</f>
        <v/>
      </c>
      <c r="EH18" s="406" t="str">
        <f>IF(_xlfn.XLOOKUP($E18,'[1]Import Eletra'!$B:$B,'[1]Import Eletra'!$BU:$BU,,0,1)=0,"",_xlfn.XLOOKUP($E18,'[1]Import Eletra'!$B:$B,'[1]Import Eletra'!$BU:$BU,0,1))</f>
        <v/>
      </c>
      <c r="EI18" s="407" t="str">
        <f>IF(_xlfn.XLOOKUP($E18,'[1]Import Eletra'!$B:$B,'[1]Import Eletra'!$BV:$BV,,0,1)=0,"",_xlfn.XLOOKUP($E18,'[1]Import Eletra'!$B:$B,'[1]Import Eletra'!$BV:$BV,0,1))</f>
        <v/>
      </c>
      <c r="EJ18" s="407">
        <f>IF(_xlfn.XLOOKUP($E18,'[1]Import Eletra'!$B:$B,'[1]Import Eletra'!$CI:$CI,,0,1)=0,"",_xlfn.XLOOKUP($E18,'[1]Import Eletra'!$B:$B,'[1]Import Eletra'!$CI:$CI,0,1))</f>
        <v>46156</v>
      </c>
      <c r="EK18" s="407" t="str">
        <f>IF(_xlfn.XLOOKUP($E18,'[1]Import Eletra'!$B:$B,'[1]Import Eletra'!$CD:$CD,,0,1)=0,"",_xlfn.XLOOKUP($E18,'[1]Import Eletra'!$B:$B,'[1]Import Eletra'!$CD:$CD,0,1))</f>
        <v/>
      </c>
      <c r="EL18" s="407" t="str">
        <f>IF(_xlfn.XLOOKUP($E18,'[1]Import Eletra'!$B:$B,'[1]Import Eletra'!$CE:$CE,,0,1)=0,"",_xlfn.XLOOKUP($E18,'[1]Import Eletra'!$B:$B,'[1]Import Eletra'!$CE:$CE,0,1))</f>
        <v>NÃO</v>
      </c>
      <c r="EM18" s="408" t="str">
        <f>IF(_xlfn.XLOOKUP($E18,'[1]Import Eletra'!$B:$B,'[1]Import Eletra'!$E:$E,,0,1)=0,"",_xlfn.XLOOKUP($E18,'[1]Import Eletra'!$B:$B,'[1]Import Eletra'!$E:$E,0,1))</f>
        <v>LEISIANE</v>
      </c>
      <c r="EN18" s="408" t="str">
        <f>IF(_xlfn.XLOOKUP($E18,'[1]Import Eletra'!$B:$B,'[1]Import Eletra'!$R:$R,,0,1)=0,"",_xlfn.XLOOKUP($E18,'[1]Import Eletra'!$B:$B,'[1]Import Eletra'!$R:$R,0,1))</f>
        <v>PWBR250168-30A</v>
      </c>
      <c r="EO18" s="408" t="str">
        <f>IF(_xlfn.XLOOKUP($E18,'[1]Import Eletra'!$B:$B,'[1]Import Eletra'!$P:$P,,0,1)=0,"",_xlfn.XLOOKUP($E18,'[1]Import Eletra'!$B:$B,'[1]Import Eletra'!$P:$P,0,1))</f>
        <v>SYNHGH26SE020287</v>
      </c>
      <c r="EP18" s="408" t="str">
        <f>IF(_xlfn.XLOOKUP($E18,'[1]Import Eletra'!$B:$B,'[1]Import Eletra'!$T:$T,,0,1)=0,"",_xlfn.XLOOKUP($E18,'[1]Import Eletra'!$B:$B,'[1]Import Eletra'!$T:$T,0,1))</f>
        <v>MSMU8919206</v>
      </c>
    </row>
    <row r="19" spans="1:242" ht="30" customHeight="1">
      <c r="B19" s="281"/>
      <c r="C19" s="280"/>
      <c r="D19" s="104" t="s">
        <v>242</v>
      </c>
      <c r="E19" s="213" t="s">
        <v>277</v>
      </c>
      <c r="F19" s="106">
        <f>IF(_xlfn.XLOOKUP($E19,'[1]Import Eletra'!$B:$B,'[1]Import Eletra'!$U:$U,,0,1)=0,"",_xlfn.XLOOKUP($E19,'[1]Import Eletra'!$B:$B,'[1]Import Eletra'!$U:$U,,0,1))</f>
        <v>0.5</v>
      </c>
      <c r="G19" s="107" t="s">
        <v>244</v>
      </c>
      <c r="H19" s="2" t="str">
        <f>_xlfn.XLOOKUP($E19,'[1]Import Eletra'!$B:$B,'[1]Import Eletra'!$F:$F,,0,1)</f>
        <v>DELIVERED</v>
      </c>
      <c r="I19" s="108" t="str">
        <f>_xlfn.XLOOKUP($E19,'[1]Import Eletra'!$B:$B,'[1]Import Eletra'!$G:$G,,0,1)</f>
        <v>SEA</v>
      </c>
      <c r="J19" s="326">
        <v>46025</v>
      </c>
      <c r="K19" s="109">
        <v>30</v>
      </c>
      <c r="L19" s="109">
        <f>M19-J19</f>
        <v>34</v>
      </c>
      <c r="M19" s="326">
        <f>IF(_xlfn.XLOOKUP($E19,'[1]Import Eletra'!$B:$B,'[1]Import Eletra'!$J:$J,,0,1)=0,"",_xlfn.XLOOKUP($E19,'[1]Import Eletra'!$B:$B,'[1]Import Eletra'!$J:$J,,0,1))</f>
        <v>46059</v>
      </c>
      <c r="N19" s="332">
        <f>IF(_xlfn.XLOOKUP($E19,'[1]Import Eletra'!$B:$B,'[1]Import Eletra'!$L:$L,,0,1)=0,"",_xlfn.XLOOKUP($E19,'[1]Import Eletra'!$B:$B,'[1]Import Eletra'!$L:$L,,0,1))</f>
        <v>46138</v>
      </c>
      <c r="O19" s="335">
        <f>IF(_xlfn.XLOOKUP($E19,'[1]Import Eletra'!$B:$B,'[1]Import Eletra'!$AK:$AK,,0,1)=0,"",_xlfn.XLOOKUP($E19,'[1]Import Eletra'!$B:$B,'[1]Import Eletra'!$AK:$AK,,0,1))</f>
        <v>46069</v>
      </c>
      <c r="P19" s="326">
        <f>IF(_xlfn.XLOOKUP($E19,'[1]Import Eletra'!$B:$B,'[1]Import Eletra'!$AL:$AL,,0,1)=0,"",_xlfn.XLOOKUP($E19,'[1]Import Eletra'!$B:$B,'[1]Import Eletra'!$AL:$AL,,0,1))</f>
        <v>46070</v>
      </c>
      <c r="Q19" s="326">
        <f>IF(_xlfn.XLOOKUP($E19,'[1]Import Eletra'!$B:$B,'[1]Import Eletra'!$AM:$AM,,0,1)=0,"",_xlfn.XLOOKUP($E19,'[1]Import Eletra'!$B:$B,'[1]Import Eletra'!$AM:$AM,,0,1))</f>
        <v>46073</v>
      </c>
      <c r="R19" s="326">
        <f>IF(_xlfn.XLOOKUP($E19,'[1]Import Eletra'!$B:$B,'[1]Import Eletra'!$AN:$AN,,0,1)=0,"",_xlfn.XLOOKUP($E19,'[1]Import Eletra'!$B:$B,'[1]Import Eletra'!$AN:$AN,,0,1))</f>
        <v>46076</v>
      </c>
      <c r="S19" s="326">
        <f>IF(_xlfn.XLOOKUP($E19,'[1]Import Eletra'!$B:$B,'[1]Import Eletra'!$AO:$AO,,0,1)=0,"",_xlfn.XLOOKUP($E19,'[1]Import Eletra'!$B:$B,'[1]Import Eletra'!$AO:$AO,,0,1))</f>
        <v>46076</v>
      </c>
      <c r="T19" s="326">
        <f>IF(_xlfn.XLOOKUP($E19,'[1]Import Eletra'!$B:$B,'[1]Import Eletra'!$AP:$AP,,0,1)=0,"",_xlfn.XLOOKUP($E19,'[1]Import Eletra'!$B:$B,'[1]Import Eletra'!$AP:$AP,,0,1))</f>
        <v>46076</v>
      </c>
      <c r="U19" s="326">
        <f>IF(_xlfn.XLOOKUP($E19,'[1]Import Eletra'!$B:$B,'[1]Import Eletra'!$AQ:$AQ,,0,1)=0,"",_xlfn.XLOOKUP($E19,'[1]Import Eletra'!$B:$B,'[1]Import Eletra'!$AQ:$AQ,,0,1))</f>
        <v>46076</v>
      </c>
      <c r="V19" s="339">
        <f>IF(_xlfn.XLOOKUP($E19,'[1]Import Eletra'!$B:$B,'[1]Import Eletra'!$AR:$AR,,0,1)=0,"",_xlfn.XLOOKUP($E19,'[1]Import Eletra'!$B:$B,'[1]Import Eletra'!$AR:$AR,,0,1))</f>
        <v>46141</v>
      </c>
      <c r="W19" s="335">
        <f>AB19-$AB$5</f>
        <v>46139</v>
      </c>
      <c r="X19" s="332">
        <f>IF(_xlfn.XLOOKUP($E19,'[1]Import Eletra'!$B:$B,'[1]Import Eletra'!$AS:$AS,,0,1)=0,"",_xlfn.XLOOKUP($E19,'[1]Import Eletra'!$B:$B,'[1]Import Eletra'!$AS:$AS,,0,1))</f>
        <v>46141</v>
      </c>
      <c r="Y19" s="113">
        <f>$W$4</f>
        <v>0</v>
      </c>
      <c r="Z19" s="113">
        <f ca="1">IF(X19="",TODAY()-W19,X19-W19)</f>
        <v>2</v>
      </c>
      <c r="AA19" s="184">
        <f ca="1">Z19-Y19</f>
        <v>2</v>
      </c>
      <c r="AB19" s="348">
        <f>AG19-$AB$5</f>
        <v>46140</v>
      </c>
      <c r="AC19" s="332">
        <f>IF(_xlfn.XLOOKUP($E19,'[1]Import Eletra'!$B:$B,'[1]Import Eletra'!$AD:$AD,,0,1)=0,"",_xlfn.XLOOKUP($E19,'[1]Import Eletra'!$B:$B,'[1]Import Eletra'!$AD:$AD,,0,1))</f>
        <v>46141</v>
      </c>
      <c r="AD19" s="113">
        <f>$AB$4</f>
        <v>0</v>
      </c>
      <c r="AE19" s="113">
        <f ca="1">IF(AC19="",TODAY()-AB19,AC19-AB19)</f>
        <v>1</v>
      </c>
      <c r="AF19" s="184">
        <f ca="1">AE19-AD19</f>
        <v>1</v>
      </c>
      <c r="AG19" s="355">
        <f>AL19-$AL$5</f>
        <v>46141</v>
      </c>
      <c r="AH19" s="332">
        <f>IF(_xlfn.XLOOKUP($E19,'[1]Import Eletra'!$B:$B,'[1]Import Eletra'!$AE:$AE,,0,1)=0,"",_xlfn.XLOOKUP($E19,'[1]Import Eletra'!$B:$B,'[1]Import Eletra'!$AE:$AE,,0,1))</f>
        <v>46141</v>
      </c>
      <c r="AI19" s="113">
        <f>$AG$4</f>
        <v>0</v>
      </c>
      <c r="AJ19" s="113">
        <f ca="1">IF(AH19="",TODAY()-AG19,AH19-AG19)</f>
        <v>0</v>
      </c>
      <c r="AK19" s="184">
        <f ca="1">AJ19-AI19</f>
        <v>0</v>
      </c>
      <c r="AL19" s="355">
        <f>AQ19-$AQ$5</f>
        <v>46141</v>
      </c>
      <c r="AM19" s="332">
        <f>IF(_xlfn.XLOOKUP($E19,'[1]Import Eletra'!$B:$B,'[1]Import Eletra'!$AT:$AT,,0,1)=0,"",_xlfn.XLOOKUP($E19,'[1]Import Eletra'!$B:$B,'[1]Import Eletra'!$AT:$AT,,0,1))</f>
        <v>46142</v>
      </c>
      <c r="AN19" s="113">
        <f>$AL$4</f>
        <v>0</v>
      </c>
      <c r="AO19" s="113">
        <f ca="1">IF(AM19="",TODAY()-AL19,AM19-AL19)</f>
        <v>1</v>
      </c>
      <c r="AP19" s="184">
        <f ca="1">AO19-AN19</f>
        <v>1</v>
      </c>
      <c r="AQ19" s="357">
        <f>AV19-$AV$5</f>
        <v>46142</v>
      </c>
      <c r="AR19" s="332">
        <f>IF(_xlfn.XLOOKUP($E19,'[1]Import Eletra'!$B:$B,'[1]Import Eletra'!$AU:$AU,,0,1)=0,"",_xlfn.XLOOKUP($E19,'[1]Import Eletra'!$B:$B,'[1]Import Eletra'!$AU:$AU,,0,1))</f>
        <v>46148</v>
      </c>
      <c r="AS19" s="113">
        <f>$AQ$4</f>
        <v>1</v>
      </c>
      <c r="AT19" s="113">
        <f ca="1">IF(AR19="",TODAY()-AQ19,AR19-AQ19)</f>
        <v>6</v>
      </c>
      <c r="AU19" s="184">
        <f ca="1">AT19-AS19</f>
        <v>5</v>
      </c>
      <c r="AV19" s="355">
        <f>BA19-$BA$5</f>
        <v>46142</v>
      </c>
      <c r="AW19" s="332" t="str">
        <f>IF(_xlfn.XLOOKUP($E19,'[1]Import Eletra'!$B:$B,'[1]Import Eletra'!$AV:$AV,,0,1)=0,"",_xlfn.XLOOKUP($E19,'[1]Import Eletra'!$B:$B,'[1]Import Eletra'!$AV:$AV,,0,1))</f>
        <v/>
      </c>
      <c r="AX19" s="113">
        <f>$AV$4</f>
        <v>0</v>
      </c>
      <c r="AY19" s="113">
        <f ca="1">IF(AW19="",TODAY()-AV19,AW19-AV19)</f>
        <v>69</v>
      </c>
      <c r="AZ19" s="184">
        <f ca="1">AY19-AX19</f>
        <v>69</v>
      </c>
      <c r="BA19" s="357">
        <f>BF19-$BF$5</f>
        <v>46142</v>
      </c>
      <c r="BB19" s="332" t="str">
        <f>IF(_xlfn.XLOOKUP($E19,'[1]Import Eletra'!$B:$B,'[1]Import Eletra'!$AW:$AW,,0,1)=0,"",_xlfn.XLOOKUP($E19,'[1]Import Eletra'!$B:$B,'[1]Import Eletra'!$AW:$AW,,0,1))</f>
        <v/>
      </c>
      <c r="BC19" s="113">
        <f>$BA$4</f>
        <v>0</v>
      </c>
      <c r="BD19" s="113">
        <f ca="1">IF(BB19="",TODAY()-BA19,BB19-BA19)</f>
        <v>69</v>
      </c>
      <c r="BE19" s="184">
        <f ca="1">BD19-BC19</f>
        <v>69</v>
      </c>
      <c r="BF19" s="335">
        <f>BK19-$BK$5</f>
        <v>46142</v>
      </c>
      <c r="BG19" s="332" t="str">
        <f>IF(_xlfn.XLOOKUP($E19,'[1]Import Eletra'!$B:$B,'[1]Import Eletra'!$AX:$AX,,0,1)=0,"",_xlfn.XLOOKUP($E19,'[1]Import Eletra'!$B:$B,'[1]Import Eletra'!$AX:$AX,,0,1))</f>
        <v/>
      </c>
      <c r="BH19" s="113">
        <f>$BF$4</f>
        <v>0</v>
      </c>
      <c r="BI19" s="113">
        <f ca="1">IF(BG19="",TODAY()-BF19,BG19-BF19)</f>
        <v>69</v>
      </c>
      <c r="BJ19" s="184">
        <f ca="1">BI19-BH19</f>
        <v>69</v>
      </c>
      <c r="BK19" s="362">
        <f>BP19-$BP$5</f>
        <v>46142</v>
      </c>
      <c r="BL19" s="332">
        <f>IF(_xlfn.XLOOKUP($E19,'[1]Import Eletra'!$B:$B,'[1]Import Eletra'!$AY:$AY,,0,1)=0,"",_xlfn.XLOOKUP($E19,'[1]Import Eletra'!$B:$B,'[1]Import Eletra'!$AY:$AY,,0,1))</f>
        <v>46142</v>
      </c>
      <c r="BM19" s="113">
        <f>$BK$4</f>
        <v>0</v>
      </c>
      <c r="BN19" s="113">
        <f ca="1">IF(BL19="",TODAY()-BK19,BL19-BK19)</f>
        <v>0</v>
      </c>
      <c r="BO19" s="184">
        <f ca="1">BN19-BM19</f>
        <v>0</v>
      </c>
      <c r="BP19" s="335">
        <f>BU19-$BU$5</f>
        <v>46142</v>
      </c>
      <c r="BQ19" s="332">
        <f>IF(_xlfn.XLOOKUP($E19,'[1]Import Eletra'!$B:$B,'[1]Import Eletra'!$AZ:$AZ,,0,1)=0,"",_xlfn.XLOOKUP($E19,'[1]Import Eletra'!$B:$B,'[1]Import Eletra'!$AZ:$AZ,,0,1))</f>
        <v>46142</v>
      </c>
      <c r="BR19" s="113">
        <f>$BP$4</f>
        <v>0</v>
      </c>
      <c r="BS19" s="113">
        <f ca="1">IF(BQ19="",TODAY()-BP19,BQ19-BP19)</f>
        <v>0</v>
      </c>
      <c r="BT19" s="184">
        <f ca="1">BS19-BR19</f>
        <v>0</v>
      </c>
      <c r="BU19" s="362">
        <f>BZ19-$BZ$4</f>
        <v>46144</v>
      </c>
      <c r="BV19" s="332">
        <f>IF(_xlfn.XLOOKUP($E19,'[1]Import Eletra'!$B:$B,'[1]Import Eletra'!$BA:$BA,,0,1)=0,"",_xlfn.XLOOKUP($E19,'[1]Import Eletra'!$B:$B,'[1]Import Eletra'!$BA:$BA,,0,1))</f>
        <v>46146</v>
      </c>
      <c r="BW19" s="113">
        <f>$BU$4</f>
        <v>2</v>
      </c>
      <c r="BX19" s="113">
        <f ca="1">IF(BV19="",TODAY()-BU19,BV19-BU19)</f>
        <v>2</v>
      </c>
      <c r="BY19" s="184">
        <f ca="1">BX19-BW19</f>
        <v>0</v>
      </c>
      <c r="BZ19" s="335">
        <f>CE19-$CE$5</f>
        <v>46144</v>
      </c>
      <c r="CA19" s="332">
        <f>IF(_xlfn.XLOOKUP($E19,'[1]Import Eletra'!$B:$B,'[1]Import Eletra'!$BB:$BB,,0,1)=0,"",_xlfn.XLOOKUP($E19,'[1]Import Eletra'!$B:$B,'[1]Import Eletra'!$BB:$BB,,0,1))</f>
        <v>46146</v>
      </c>
      <c r="CB19" s="113">
        <f>$BZ$4</f>
        <v>0</v>
      </c>
      <c r="CC19" s="113">
        <f ca="1">IF(CA19="",TODAY()-BZ19,CA19-BZ19)</f>
        <v>2</v>
      </c>
      <c r="CD19" s="184">
        <f ca="1">CC19-CB19</f>
        <v>2</v>
      </c>
      <c r="CE19" s="362">
        <f>CJ19-$CJ$4</f>
        <v>46144</v>
      </c>
      <c r="CF19" s="332">
        <f>IF(_xlfn.XLOOKUP($E19,'[1]Import Eletra'!$B:$B,'[1]Import Eletra'!$BC:$BC,,0,1)=0,"",_xlfn.XLOOKUP($E19,'[1]Import Eletra'!$B:$B,'[1]Import Eletra'!$BC:$BC,,0,1))</f>
        <v>46148</v>
      </c>
      <c r="CG19" s="113">
        <f>$CE$4</f>
        <v>0</v>
      </c>
      <c r="CH19" s="113">
        <f ca="1">IF(CF19="",TODAY()-CE19,CF19-CE19)</f>
        <v>4</v>
      </c>
      <c r="CI19" s="184">
        <f ca="1">CH19-CG19</f>
        <v>4</v>
      </c>
      <c r="CJ19" s="335">
        <f>CO19-$CO$4</f>
        <v>46144</v>
      </c>
      <c r="CK19" s="332">
        <f>IF(_xlfn.XLOOKUP($E19,'[1]Import Eletra'!$B:$B,'[1]Import Eletra'!$BD:$BD,,0,1)=0,"",_xlfn.XLOOKUP($E19,'[1]Import Eletra'!$B:$B,'[1]Import Eletra'!$BD:$BD,,0,1))</f>
        <v>46146</v>
      </c>
      <c r="CL19" s="113"/>
      <c r="CM19" s="113">
        <f ca="1">IF(CK19="",TODAY()-CJ19,CK19-CJ19)</f>
        <v>2</v>
      </c>
      <c r="CN19" s="184">
        <f ca="1">CM19-CL19</f>
        <v>2</v>
      </c>
      <c r="CO19" s="362">
        <f>CT19-$CT$4</f>
        <v>46144</v>
      </c>
      <c r="CP19" s="332">
        <f>IF(_xlfn.XLOOKUP($E19,'[1]Import Eletra'!$B:$B,'[1]Import Eletra'!$BE:$BE,,0,1)=0,"",_xlfn.XLOOKUP($E19,'[1]Import Eletra'!$B:$B,'[1]Import Eletra'!$BE:$BE,,0,1))</f>
        <v>46148</v>
      </c>
      <c r="CQ19" s="113">
        <f>$CO$4</f>
        <v>0</v>
      </c>
      <c r="CR19" s="113">
        <f ca="1">IF(CP19="",TODAY()-CO19,CP19-CO19)</f>
        <v>4</v>
      </c>
      <c r="CS19" s="184">
        <f ca="1">CR19-CQ19</f>
        <v>4</v>
      </c>
      <c r="CT19" s="335">
        <f>CY19-$CY$4</f>
        <v>46144</v>
      </c>
      <c r="CU19" s="332">
        <f>IF(_xlfn.XLOOKUP($E19,'[1]Import Eletra'!$B:$B,'[1]Import Eletra'!$BF:$BF,,0,1)=0,"",_xlfn.XLOOKUP($E19,'[1]Import Eletra'!$B:$B,'[1]Import Eletra'!$BF:$BF,,0,1))</f>
        <v>46148</v>
      </c>
      <c r="CV19" s="113">
        <f>$CT$4</f>
        <v>0</v>
      </c>
      <c r="CW19" s="113">
        <f ca="1">IF(CU19="",TODAY()-CT19,CU19-CT19)</f>
        <v>4</v>
      </c>
      <c r="CX19" s="184">
        <f ca="1">CW19-CV19</f>
        <v>4</v>
      </c>
      <c r="CY19" s="110">
        <f>DD19-$DD$4</f>
        <v>46144</v>
      </c>
      <c r="CZ19" s="104">
        <f>IF(_xlfn.XLOOKUP($E19,'[1]Import Eletra'!$B:$B,'[1]Import Eletra'!$BF:$BF,,0,1)=0,"",_xlfn.XLOOKUP($E19,'[1]Import Eletra'!$B:$B,'[1]Import Eletra'!$BF:$BF,,0,1))</f>
        <v>46148</v>
      </c>
      <c r="DA19" s="210">
        <f>$CY$4</f>
        <v>0</v>
      </c>
      <c r="DB19" s="113">
        <f ca="1">IF(CZ19="",TODAY()-CY19,CZ19-CY19)</f>
        <v>4</v>
      </c>
      <c r="DC19" s="184">
        <f ca="1">DB19-DA19</f>
        <v>4</v>
      </c>
      <c r="DD19" s="110">
        <f>DI19-$DI$4</f>
        <v>46146</v>
      </c>
      <c r="DE19" s="104">
        <f>IF(_xlfn.XLOOKUP($E19,'[1]Import Eletra'!$B:$B,'[1]Import Eletra'!$BG:$BG,,0,1)=0,"",_xlfn.XLOOKUP($E19,'[1]Import Eletra'!$B:$B,'[1]Import Eletra'!$BG:$BG,0,1))</f>
        <v>46150</v>
      </c>
      <c r="DF19" s="113">
        <f>$DD$4</f>
        <v>2</v>
      </c>
      <c r="DG19" s="113">
        <f ca="1">IF(DE19="",TODAY()-DD19,DE19-DD19)</f>
        <v>4</v>
      </c>
      <c r="DH19" s="184">
        <f ca="1">DG19-DF19</f>
        <v>2</v>
      </c>
      <c r="DI19" s="110">
        <f>DO19-$DN$4</f>
        <v>46147</v>
      </c>
      <c r="DJ19" s="104">
        <f>IF(_xlfn.XLOOKUP($E19,'[1]Import Eletra'!$B:$B,'[1]Import Eletra'!$BH:$BH,,0,1)=0,"",_xlfn.XLOOKUP($E19,'[1]Import Eletra'!$B:$B,'[1]Import Eletra'!$BH:$BH,0,1))</f>
        <v>46150</v>
      </c>
      <c r="DK19" s="112">
        <f>$DI$4</f>
        <v>1</v>
      </c>
      <c r="DL19" s="112">
        <f ca="1">IF(DJ19="",TODAY()-DI19,DJ19-DI19)</f>
        <v>3</v>
      </c>
      <c r="DM19" s="184">
        <f ca="1">DL19-DK19</f>
        <v>2</v>
      </c>
      <c r="DN19" s="64"/>
      <c r="DO19" s="202">
        <f t="shared" si="0"/>
        <v>46148</v>
      </c>
      <c r="DP19" s="165">
        <f>IF(_xlfn.XLOOKUP($E19,'[1]Import Eletra'!$B:$B,'[1]Import Eletra'!$O:$O,,0,1)=0,"",_xlfn.XLOOKUP($E19,'[1]Import Eletra'!$B:$B,'[1]Import Eletra'!$O:$O,0,1))</f>
        <v>46151</v>
      </c>
      <c r="DQ19" s="112">
        <f>$DN$4</f>
        <v>1</v>
      </c>
      <c r="DR19" s="112">
        <f ca="1">IF(DP19="",TODAY()-DO19,DP19-DO19)</f>
        <v>3</v>
      </c>
      <c r="DS19" s="184">
        <f ca="1">DR19-DQ19</f>
        <v>2</v>
      </c>
      <c r="DT19" s="143">
        <v>10</v>
      </c>
      <c r="DU19" s="140">
        <f ca="1">IF(DP19="",TODAY()-N19,DP19-N19)</f>
        <v>13</v>
      </c>
      <c r="DV19" s="184">
        <f ca="1">DU19-DT19</f>
        <v>3</v>
      </c>
      <c r="DX19" s="185" t="s">
        <v>245</v>
      </c>
      <c r="DY19" s="108" t="str">
        <f>IF(_xlfn.XLOOKUP($E19,'[1]Import Eletra'!$B:$B,'[1]Import Eletra'!$DW:$DW,,0,1)=0,"",_xlfn.XLOOKUP($E19,'[1]Import Eletra'!$B:$B,'[1]Import Eletra'!$DW:$DW,0,1))</f>
        <v>DELAY AT POST-REGISTRATION VALIDATION</v>
      </c>
      <c r="EB19" s="287"/>
      <c r="ED19" s="406">
        <f>IF(_xlfn.XLOOKUP($E19,'[1]Import Eletra'!$B:$B,'[1]Import Eletra'!$BQ:$BQ,,0,1)=0,"",_xlfn.XLOOKUP($E19,'[1]Import Eletra'!$B:$B,'[1]Import Eletra'!$BQ:$BQ,0,1))</f>
        <v>409.14499999999998</v>
      </c>
      <c r="EE19" s="407">
        <f>IF(_xlfn.XLOOKUP($E19,'[1]Import Eletra'!$B:$B,'[1]Import Eletra'!$BR:$BR,,0,1)=0,"",_xlfn.XLOOKUP($E19,'[1]Import Eletra'!$B:$B,'[1]Import Eletra'!$BR:$BR,0,1))</f>
        <v>46149</v>
      </c>
      <c r="EF19" s="406" t="str">
        <f>IF(_xlfn.XLOOKUP($E19,'[1]Import Eletra'!$B:$B,'[1]Import Eletra'!$BS:$BS,,0,1)=0,"",_xlfn.XLOOKUP($E19,'[1]Import Eletra'!$B:$B,'[1]Import Eletra'!$BS:$BS,0,1))</f>
        <v/>
      </c>
      <c r="EG19" s="407" t="str">
        <f>IF(_xlfn.XLOOKUP($E19,'[1]Import Eletra'!$B:$B,'[1]Import Eletra'!$BT:$BT,,0,1)=0,"",_xlfn.XLOOKUP($E19,'[1]Import Eletra'!$B:$B,'[1]Import Eletra'!$BT:$BT,0,1))</f>
        <v/>
      </c>
      <c r="EH19" s="406" t="str">
        <f>IF(_xlfn.XLOOKUP($E19,'[1]Import Eletra'!$B:$B,'[1]Import Eletra'!$BU:$BU,,0,1)=0,"",_xlfn.XLOOKUP($E19,'[1]Import Eletra'!$B:$B,'[1]Import Eletra'!$BU:$BU,0,1))</f>
        <v/>
      </c>
      <c r="EI19" s="407" t="str">
        <f>IF(_xlfn.XLOOKUP($E19,'[1]Import Eletra'!$B:$B,'[1]Import Eletra'!$BV:$BV,,0,1)=0,"",_xlfn.XLOOKUP($E19,'[1]Import Eletra'!$B:$B,'[1]Import Eletra'!$BV:$BV,0,1))</f>
        <v/>
      </c>
      <c r="EJ19" s="407">
        <f>IF(_xlfn.XLOOKUP($E19,'[1]Import Eletra'!$B:$B,'[1]Import Eletra'!$CI:$CI,,0,1)=0,"",_xlfn.XLOOKUP($E19,'[1]Import Eletra'!$B:$B,'[1]Import Eletra'!$CI:$CI,0,1))</f>
        <v>46156</v>
      </c>
      <c r="EK19" s="407" t="str">
        <f>IF(_xlfn.XLOOKUP($E19,'[1]Import Eletra'!$B:$B,'[1]Import Eletra'!$CD:$CD,,0,1)=0,"",_xlfn.XLOOKUP($E19,'[1]Import Eletra'!$B:$B,'[1]Import Eletra'!$CD:$CD,0,1))</f>
        <v/>
      </c>
      <c r="EL19" s="407" t="str">
        <f>IF(_xlfn.XLOOKUP($E19,'[1]Import Eletra'!$B:$B,'[1]Import Eletra'!$CE:$CE,,0,1)=0,"",_xlfn.XLOOKUP($E19,'[1]Import Eletra'!$B:$B,'[1]Import Eletra'!$CE:$CE,0,1))</f>
        <v>NÃO</v>
      </c>
      <c r="EM19" s="408" t="str">
        <f>IF(_xlfn.XLOOKUP($E19,'[1]Import Eletra'!$B:$B,'[1]Import Eletra'!$E:$E,,0,1)=0,"",_xlfn.XLOOKUP($E19,'[1]Import Eletra'!$B:$B,'[1]Import Eletra'!$E:$E,0,1))</f>
        <v>LEISIANE</v>
      </c>
      <c r="EN19" s="408" t="str">
        <f>IF(_xlfn.XLOOKUP($E19,'[1]Import Eletra'!$B:$B,'[1]Import Eletra'!$R:$R,,0,1)=0,"",_xlfn.XLOOKUP($E19,'[1]Import Eletra'!$B:$B,'[1]Import Eletra'!$R:$R,0,1))</f>
        <v>PWBR250168-30B</v>
      </c>
      <c r="EO19" s="408" t="str">
        <f>IF(_xlfn.XLOOKUP($E19,'[1]Import Eletra'!$B:$B,'[1]Import Eletra'!$P:$P,,0,1)=0,"",_xlfn.XLOOKUP($E19,'[1]Import Eletra'!$B:$B,'[1]Import Eletra'!$P:$P,0,1))</f>
        <v>SYNHGH26SE02028701</v>
      </c>
      <c r="EP19" s="408" t="str">
        <f>IF(_xlfn.XLOOKUP($E19,'[1]Import Eletra'!$B:$B,'[1]Import Eletra'!$T:$T,,0,1)=0,"",_xlfn.XLOOKUP($E19,'[1]Import Eletra'!$B:$B,'[1]Import Eletra'!$T:$T,0,1))</f>
        <v>MSMU8919206</v>
      </c>
    </row>
    <row r="20" spans="1:242" ht="30" customHeight="1">
      <c r="B20" s="281"/>
      <c r="C20" s="280"/>
      <c r="D20" s="104" t="s">
        <v>269</v>
      </c>
      <c r="E20" s="213" t="s">
        <v>284</v>
      </c>
      <c r="F20" s="106" t="str">
        <f>IF(_xlfn.XLOOKUP($E20,'[1]Import Eletra'!$B:$B,'[1]Import Eletra'!$U:$U,,0,1)=0,"",_xlfn.XLOOKUP($E20,'[1]Import Eletra'!$B:$B,'[1]Import Eletra'!$U:$U,,0,1))</f>
        <v/>
      </c>
      <c r="G20" s="107" t="s">
        <v>244</v>
      </c>
      <c r="H20" s="2" t="str">
        <f>_xlfn.XLOOKUP($E20,'[1]Import Eletra'!$B:$B,'[1]Import Eletra'!$F:$F,,0,1)</f>
        <v>DELIVERED</v>
      </c>
      <c r="I20" s="108" t="str">
        <f>_xlfn.XLOOKUP($E20,'[1]Import Eletra'!$B:$B,'[1]Import Eletra'!$G:$G,,0,1)</f>
        <v>AIR</v>
      </c>
      <c r="J20" s="326">
        <v>46018</v>
      </c>
      <c r="K20" s="109">
        <v>30</v>
      </c>
      <c r="L20" s="109">
        <f>M20-J20</f>
        <v>105</v>
      </c>
      <c r="M20" s="326">
        <f>IF(_xlfn.XLOOKUP($E20,'[1]Import Eletra'!$B:$B,'[1]Import Eletra'!$J:$J,,0,1)=0,"",_xlfn.XLOOKUP($E20,'[1]Import Eletra'!$B:$B,'[1]Import Eletra'!$J:$J,,0,1))</f>
        <v>46123</v>
      </c>
      <c r="N20" s="366">
        <f>IF(_xlfn.XLOOKUP($E20,'[1]Import Eletra'!$B:$B,'[1]Import Eletra'!$L:$L,,0,1)=0,"",_xlfn.XLOOKUP($E20,'[1]Import Eletra'!$B:$B,'[1]Import Eletra'!$L:$L,,0,1))</f>
        <v>46145</v>
      </c>
      <c r="O20" s="335">
        <f>IF(_xlfn.XLOOKUP($E20,'[1]Import Eletra'!$B:$B,'[1]Import Eletra'!$AK:$AK,,0,1)=0,"",_xlfn.XLOOKUP($E20,'[1]Import Eletra'!$B:$B,'[1]Import Eletra'!$AK:$AK,,0,1))</f>
        <v>46139</v>
      </c>
      <c r="P20" s="326">
        <f>IF(_xlfn.XLOOKUP($E20,'[1]Import Eletra'!$B:$B,'[1]Import Eletra'!$AL:$AL,,0,1)=0,"",_xlfn.XLOOKUP($E20,'[1]Import Eletra'!$B:$B,'[1]Import Eletra'!$AL:$AL,,0,1))</f>
        <v>46139</v>
      </c>
      <c r="Q20" s="326">
        <f>IF(_xlfn.XLOOKUP($E20,'[1]Import Eletra'!$B:$B,'[1]Import Eletra'!$AM:$AM,,0,1)=0,"",_xlfn.XLOOKUP($E20,'[1]Import Eletra'!$B:$B,'[1]Import Eletra'!$AM:$AM,,0,1))</f>
        <v>46141</v>
      </c>
      <c r="R20" s="326">
        <f>IF(_xlfn.XLOOKUP($E20,'[1]Import Eletra'!$B:$B,'[1]Import Eletra'!$AN:$AN,,0,1)=0,"",_xlfn.XLOOKUP($E20,'[1]Import Eletra'!$B:$B,'[1]Import Eletra'!$AN:$AN,,0,1))</f>
        <v>46141</v>
      </c>
      <c r="S20" s="326">
        <f>IF(_xlfn.XLOOKUP($E20,'[1]Import Eletra'!$B:$B,'[1]Import Eletra'!$AO:$AO,,0,1)=0,"",_xlfn.XLOOKUP($E20,'[1]Import Eletra'!$B:$B,'[1]Import Eletra'!$AO:$AO,,0,1))</f>
        <v>46142</v>
      </c>
      <c r="T20" s="326">
        <f>IF(_xlfn.XLOOKUP($E20,'[1]Import Eletra'!$B:$B,'[1]Import Eletra'!$AP:$AP,,0,1)=0,"",_xlfn.XLOOKUP($E20,'[1]Import Eletra'!$B:$B,'[1]Import Eletra'!$AP:$AP,,0,1))</f>
        <v>46142</v>
      </c>
      <c r="U20" s="326">
        <f>IF(_xlfn.XLOOKUP($E20,'[1]Import Eletra'!$B:$B,'[1]Import Eletra'!$AQ:$AQ,,0,1)=0,"",_xlfn.XLOOKUP($E20,'[1]Import Eletra'!$B:$B,'[1]Import Eletra'!$AQ:$AQ,,0,1))</f>
        <v>46142</v>
      </c>
      <c r="V20" s="339">
        <f>IF(_xlfn.XLOOKUP($E20,'[1]Import Eletra'!$B:$B,'[1]Import Eletra'!$AR:$AR,,0,1)=0,"",_xlfn.XLOOKUP($E20,'[1]Import Eletra'!$B:$B,'[1]Import Eletra'!$AR:$AR,,0,1))</f>
        <v>46146</v>
      </c>
      <c r="W20" s="335">
        <f>AB20-$AB$5</f>
        <v>46146</v>
      </c>
      <c r="X20" s="332">
        <f>IF(_xlfn.XLOOKUP($E20,'[1]Import Eletra'!$B:$B,'[1]Import Eletra'!$AS:$AS,,0,1)=0,"",_xlfn.XLOOKUP($E20,'[1]Import Eletra'!$B:$B,'[1]Import Eletra'!$AS:$AS,,0,1))</f>
        <v>46146</v>
      </c>
      <c r="Y20" s="113">
        <f>$W$4</f>
        <v>0</v>
      </c>
      <c r="Z20" s="113">
        <f ca="1">IF(X20="",TODAY()-W20,X20-W20)</f>
        <v>0</v>
      </c>
      <c r="AA20" s="184">
        <f ca="1">Z20-Y20</f>
        <v>0</v>
      </c>
      <c r="AB20" s="348">
        <f>AG20-$AB$5</f>
        <v>46147</v>
      </c>
      <c r="AC20" s="332">
        <f>IF(_xlfn.XLOOKUP($E20,'[1]Import Eletra'!$B:$B,'[1]Import Eletra'!$AD:$AD,,0,1)=0,"",_xlfn.XLOOKUP($E20,'[1]Import Eletra'!$B:$B,'[1]Import Eletra'!$AD:$AD,,0,1))</f>
        <v>46146</v>
      </c>
      <c r="AD20" s="113">
        <f>$AB$4</f>
        <v>0</v>
      </c>
      <c r="AE20" s="113">
        <f ca="1">IF(AC20="",TODAY()-AB20,AC20-AB20)</f>
        <v>-1</v>
      </c>
      <c r="AF20" s="184">
        <f ca="1">AE20-AD20</f>
        <v>-1</v>
      </c>
      <c r="AG20" s="355">
        <f>AL20-$AL$5</f>
        <v>46148</v>
      </c>
      <c r="AH20" s="332">
        <f>IF(_xlfn.XLOOKUP($E20,'[1]Import Eletra'!$B:$B,'[1]Import Eletra'!$AE:$AE,,0,1)=0,"",_xlfn.XLOOKUP($E20,'[1]Import Eletra'!$B:$B,'[1]Import Eletra'!$AE:$AE,,0,1))</f>
        <v>46146</v>
      </c>
      <c r="AI20" s="113">
        <f>$AG$4</f>
        <v>0</v>
      </c>
      <c r="AJ20" s="113">
        <f ca="1">IF(AH20="",TODAY()-AG20,AH20-AG20)</f>
        <v>-2</v>
      </c>
      <c r="AK20" s="184">
        <f ca="1">AJ20-AI20</f>
        <v>-2</v>
      </c>
      <c r="AL20" s="355">
        <f>AQ20-$AQ$5</f>
        <v>46148</v>
      </c>
      <c r="AM20" s="332">
        <f>IF(_xlfn.XLOOKUP($E20,'[1]Import Eletra'!$B:$B,'[1]Import Eletra'!$AT:$AT,,0,1)=0,"",_xlfn.XLOOKUP($E20,'[1]Import Eletra'!$B:$B,'[1]Import Eletra'!$AT:$AT,,0,1))</f>
        <v>46146</v>
      </c>
      <c r="AN20" s="113">
        <f>$AL$4</f>
        <v>0</v>
      </c>
      <c r="AO20" s="113">
        <f ca="1">IF(AM20="",TODAY()-AL20,AM20-AL20)</f>
        <v>-2</v>
      </c>
      <c r="AP20" s="184">
        <f ca="1">AO20-AN20</f>
        <v>-2</v>
      </c>
      <c r="AQ20" s="357">
        <f>AV20-$AV$5</f>
        <v>46149</v>
      </c>
      <c r="AR20" s="332">
        <f>IF(_xlfn.XLOOKUP($E20,'[1]Import Eletra'!$B:$B,'[1]Import Eletra'!$AU:$AU,,0,1)=0,"",_xlfn.XLOOKUP($E20,'[1]Import Eletra'!$B:$B,'[1]Import Eletra'!$AU:$AU,,0,1))</f>
        <v>46147</v>
      </c>
      <c r="AS20" s="113">
        <f>$AQ$4</f>
        <v>1</v>
      </c>
      <c r="AT20" s="113">
        <f ca="1">IF(AR20="",TODAY()-AQ20,AR20-AQ20)</f>
        <v>-2</v>
      </c>
      <c r="AU20" s="184">
        <f ca="1">AT20-AS20</f>
        <v>-3</v>
      </c>
      <c r="AV20" s="355">
        <f>BA20-$BA$5</f>
        <v>46149</v>
      </c>
      <c r="AW20" s="332">
        <f>IF(_xlfn.XLOOKUP($E20,'[1]Import Eletra'!$B:$B,'[1]Import Eletra'!$AV:$AV,,0,1)=0,"",_xlfn.XLOOKUP($E20,'[1]Import Eletra'!$B:$B,'[1]Import Eletra'!$AV:$AV,,0,1))</f>
        <v>46146</v>
      </c>
      <c r="AX20" s="113">
        <f>$AV$4</f>
        <v>0</v>
      </c>
      <c r="AY20" s="113">
        <f ca="1">IF(AW20="",TODAY()-AV20,AW20-AV20)</f>
        <v>-3</v>
      </c>
      <c r="AZ20" s="184">
        <f ca="1">AY20-AX20</f>
        <v>-3</v>
      </c>
      <c r="BA20" s="357">
        <f>BF20-$BF$5</f>
        <v>46149</v>
      </c>
      <c r="BB20" s="332">
        <f>IF(_xlfn.XLOOKUP($E20,'[1]Import Eletra'!$B:$B,'[1]Import Eletra'!$AW:$AW,,0,1)=0,"",_xlfn.XLOOKUP($E20,'[1]Import Eletra'!$B:$B,'[1]Import Eletra'!$AW:$AW,,0,1))</f>
        <v>46147</v>
      </c>
      <c r="BC20" s="113">
        <f>$BA$4</f>
        <v>0</v>
      </c>
      <c r="BD20" s="113">
        <f ca="1">IF(BB20="",TODAY()-BA20,BB20-BA20)</f>
        <v>-2</v>
      </c>
      <c r="BE20" s="184">
        <f ca="1">BD20-BC20</f>
        <v>-2</v>
      </c>
      <c r="BF20" s="335">
        <f>BK20-$BK$5</f>
        <v>46149</v>
      </c>
      <c r="BG20" s="332">
        <f>IF(_xlfn.XLOOKUP($E20,'[1]Import Eletra'!$B:$B,'[1]Import Eletra'!$AX:$AX,,0,1)=0,"",_xlfn.XLOOKUP($E20,'[1]Import Eletra'!$B:$B,'[1]Import Eletra'!$AX:$AX,,0,1))</f>
        <v>46147</v>
      </c>
      <c r="BH20" s="113">
        <f>$BF$4</f>
        <v>0</v>
      </c>
      <c r="BI20" s="113">
        <f ca="1">IF(BG20="",TODAY()-BF20,BG20-BF20)</f>
        <v>-2</v>
      </c>
      <c r="BJ20" s="184">
        <f ca="1">BI20-BH20</f>
        <v>-2</v>
      </c>
      <c r="BK20" s="362">
        <f>BP20-$BP$5</f>
        <v>46149</v>
      </c>
      <c r="BL20" s="332" t="str">
        <f>IF(_xlfn.XLOOKUP($E20,'[1]Import Eletra'!$B:$B,'[1]Import Eletra'!$AY:$AY,,0,1)=0,"",_xlfn.XLOOKUP($E20,'[1]Import Eletra'!$B:$B,'[1]Import Eletra'!$AY:$AY,,0,1))</f>
        <v/>
      </c>
      <c r="BM20" s="113">
        <f>$BK$4</f>
        <v>0</v>
      </c>
      <c r="BN20" s="113">
        <f ca="1">IF(BL20="",TODAY()-BK20,BL20-BK20)</f>
        <v>62</v>
      </c>
      <c r="BO20" s="184">
        <f ca="1">BN20-BM20</f>
        <v>62</v>
      </c>
      <c r="BP20" s="335">
        <f>BU20-$BU$5</f>
        <v>46149</v>
      </c>
      <c r="BQ20" s="332" t="str">
        <f>IF(_xlfn.XLOOKUP($E20,'[1]Import Eletra'!$B:$B,'[1]Import Eletra'!$AZ:$AZ,,0,1)=0,"",_xlfn.XLOOKUP($E20,'[1]Import Eletra'!$B:$B,'[1]Import Eletra'!$AZ:$AZ,,0,1))</f>
        <v/>
      </c>
      <c r="BR20" s="113">
        <f>$BP$4</f>
        <v>0</v>
      </c>
      <c r="BS20" s="113">
        <f ca="1">IF(BQ20="",TODAY()-BP20,BQ20-BP20)</f>
        <v>62</v>
      </c>
      <c r="BT20" s="184">
        <f ca="1">BS20-BR20</f>
        <v>62</v>
      </c>
      <c r="BU20" s="362">
        <f>BZ20-$BZ$4</f>
        <v>46151</v>
      </c>
      <c r="BV20" s="332" t="str">
        <f>IF(_xlfn.XLOOKUP($E20,'[1]Import Eletra'!$B:$B,'[1]Import Eletra'!$BA:$BA,,0,1)=0,"",_xlfn.XLOOKUP($E20,'[1]Import Eletra'!$B:$B,'[1]Import Eletra'!$BA:$BA,,0,1))</f>
        <v/>
      </c>
      <c r="BW20" s="113">
        <f>$BU$4</f>
        <v>2</v>
      </c>
      <c r="BX20" s="113">
        <f ca="1">IF(BV20="",TODAY()-BU20,BV20-BU20)</f>
        <v>60</v>
      </c>
      <c r="BY20" s="184">
        <f ca="1">BX20-BW20</f>
        <v>58</v>
      </c>
      <c r="BZ20" s="335">
        <f>CE20-$CE$5</f>
        <v>46151</v>
      </c>
      <c r="CA20" s="332" t="str">
        <f>IF(_xlfn.XLOOKUP($E20,'[1]Import Eletra'!$B:$B,'[1]Import Eletra'!$BB:$BB,,0,1)=0,"",_xlfn.XLOOKUP($E20,'[1]Import Eletra'!$B:$B,'[1]Import Eletra'!$BB:$BB,,0,1))</f>
        <v/>
      </c>
      <c r="CB20" s="113">
        <f>$BZ$4</f>
        <v>0</v>
      </c>
      <c r="CC20" s="113">
        <f ca="1">IF(CA20="",TODAY()-BZ20,CA20-BZ20)</f>
        <v>60</v>
      </c>
      <c r="CD20" s="184">
        <f ca="1">CC20-CB20</f>
        <v>60</v>
      </c>
      <c r="CE20" s="362">
        <f>CJ20-$CJ$4</f>
        <v>46151</v>
      </c>
      <c r="CF20" s="332" t="str">
        <f>IF(_xlfn.XLOOKUP($E20,'[1]Import Eletra'!$B:$B,'[1]Import Eletra'!$BC:$BC,,0,1)=0,"",_xlfn.XLOOKUP($E20,'[1]Import Eletra'!$B:$B,'[1]Import Eletra'!$BC:$BC,,0,1))</f>
        <v/>
      </c>
      <c r="CG20" s="113">
        <f>$CE$4</f>
        <v>0</v>
      </c>
      <c r="CH20" s="113">
        <f ca="1">IF(CF20="",TODAY()-CE20,CF20-CE20)</f>
        <v>60</v>
      </c>
      <c r="CI20" s="184">
        <f ca="1">CH20-CG20</f>
        <v>60</v>
      </c>
      <c r="CJ20" s="335">
        <f>CO20-$CO$4</f>
        <v>46151</v>
      </c>
      <c r="CK20" s="332">
        <f>IF(_xlfn.XLOOKUP($E20,'[1]Import Eletra'!$B:$B,'[1]Import Eletra'!$BD:$BD,,0,1)=0,"",_xlfn.XLOOKUP($E20,'[1]Import Eletra'!$B:$B,'[1]Import Eletra'!$BD:$BD,,0,1))</f>
        <v>46147</v>
      </c>
      <c r="CL20" s="113"/>
      <c r="CM20" s="113">
        <f ca="1">IF(CK20="",TODAY()-CJ20,CK20-CJ20)</f>
        <v>-4</v>
      </c>
      <c r="CN20" s="184">
        <f ca="1">CM20-CL20</f>
        <v>-4</v>
      </c>
      <c r="CO20" s="335">
        <f>CT20-$CT$4</f>
        <v>46151</v>
      </c>
      <c r="CP20" s="332">
        <f>IF(_xlfn.XLOOKUP($E20,'[1]Import Eletra'!$B:$B,'[1]Import Eletra'!$BE:$BE,,0,1)=0,"",_xlfn.XLOOKUP($E20,'[1]Import Eletra'!$B:$B,'[1]Import Eletra'!$BE:$BE,,0,1))</f>
        <v>46149</v>
      </c>
      <c r="CQ20" s="113">
        <f>$CO$4</f>
        <v>0</v>
      </c>
      <c r="CR20" s="119">
        <f ca="1">IF(CP20="",TODAY()-CO20,CP20-CO20)</f>
        <v>-2</v>
      </c>
      <c r="CS20" s="184">
        <f ca="1">CR20-CQ20</f>
        <v>-2</v>
      </c>
      <c r="CT20" s="362">
        <f>CY20-$CY$4</f>
        <v>46151</v>
      </c>
      <c r="CU20" s="332">
        <f>IF(_xlfn.XLOOKUP($E20,'[1]Import Eletra'!$B:$B,'[1]Import Eletra'!$BF:$BF,,0,1)=0,"",_xlfn.XLOOKUP($E20,'[1]Import Eletra'!$B:$B,'[1]Import Eletra'!$BF:$BF,,0,1))</f>
        <v>46149</v>
      </c>
      <c r="CV20" s="113">
        <f>$CT$4</f>
        <v>0</v>
      </c>
      <c r="CW20" s="113">
        <f ca="1">IF(CU20="",TODAY()-CT20,CU20-CT20)</f>
        <v>-2</v>
      </c>
      <c r="CX20" s="184">
        <f ca="1">CW20-CV20</f>
        <v>-2</v>
      </c>
      <c r="CY20" s="110">
        <f>DD20-$DD$4</f>
        <v>46151</v>
      </c>
      <c r="CZ20" s="104">
        <f>IF(_xlfn.XLOOKUP($E20,'[1]Import Eletra'!$B:$B,'[1]Import Eletra'!$BF:$BF,,0,1)=0,"",_xlfn.XLOOKUP($E20,'[1]Import Eletra'!$B:$B,'[1]Import Eletra'!$BF:$BF,,0,1))</f>
        <v>46149</v>
      </c>
      <c r="DA20" s="210">
        <f>$CY$4</f>
        <v>0</v>
      </c>
      <c r="DB20" s="113">
        <f ca="1">IF(CZ20="",TODAY()-CY20,CZ20-CY20)</f>
        <v>-2</v>
      </c>
      <c r="DC20" s="184">
        <f ca="1">DB20-DA20</f>
        <v>-2</v>
      </c>
      <c r="DD20" s="110">
        <f>DI20-$DI$4</f>
        <v>46153</v>
      </c>
      <c r="DE20" s="104">
        <f>IF(_xlfn.XLOOKUP($E20,'[1]Import Eletra'!$B:$B,'[1]Import Eletra'!$BG:$BG,,0,1)=0,"",_xlfn.XLOOKUP($E20,'[1]Import Eletra'!$B:$B,'[1]Import Eletra'!$BG:$BG,0,1))</f>
        <v>46149</v>
      </c>
      <c r="DF20" s="113">
        <f>$DD$4</f>
        <v>2</v>
      </c>
      <c r="DG20" s="113">
        <f ca="1">IF(DE20="",TODAY()-DD20,DE20-DD20)</f>
        <v>-4</v>
      </c>
      <c r="DH20" s="184">
        <f ca="1">DG20-DF20</f>
        <v>-6</v>
      </c>
      <c r="DI20" s="110">
        <f>DO20-$DN$4</f>
        <v>46154</v>
      </c>
      <c r="DJ20" s="104">
        <f>IF(_xlfn.XLOOKUP($E20,'[1]Import Eletra'!$B:$B,'[1]Import Eletra'!$BH:$BH,,0,1)=0,"",_xlfn.XLOOKUP($E20,'[1]Import Eletra'!$B:$B,'[1]Import Eletra'!$BH:$BH,0,1))</f>
        <v>46153</v>
      </c>
      <c r="DK20" s="113">
        <f>$DI$4</f>
        <v>1</v>
      </c>
      <c r="DL20" s="113">
        <f ca="1">IF(DJ20="",TODAY()-DI20,DJ20-DI20)</f>
        <v>-1</v>
      </c>
      <c r="DM20" s="184">
        <f ca="1">DL20-DK20</f>
        <v>-2</v>
      </c>
      <c r="DN20" s="64"/>
      <c r="DO20" s="202">
        <f t="shared" si="0"/>
        <v>46155</v>
      </c>
      <c r="DP20" s="165">
        <f>IF(_xlfn.XLOOKUP($E20,'[1]Import Eletra'!$B:$B,'[1]Import Eletra'!$O:$O,,0,1)=0,"",_xlfn.XLOOKUP($E20,'[1]Import Eletra'!$B:$B,'[1]Import Eletra'!$O:$O,0,1))</f>
        <v>46157</v>
      </c>
      <c r="DQ20" s="113">
        <f>$DN$4</f>
        <v>1</v>
      </c>
      <c r="DR20" s="113">
        <f ca="1">IF(DP20="",TODAY()-DO20,DP20-DO20)</f>
        <v>2</v>
      </c>
      <c r="DS20" s="184">
        <f ca="1">DR20-DQ20</f>
        <v>1</v>
      </c>
      <c r="DT20" s="143">
        <v>10</v>
      </c>
      <c r="DU20" s="140">
        <f ca="1">IF(DP20="",TODAY()-N20,DP20-N20)</f>
        <v>12</v>
      </c>
      <c r="DV20" s="184">
        <f ca="1">DU20-DT20</f>
        <v>2</v>
      </c>
      <c r="DX20" s="185" t="s">
        <v>245</v>
      </c>
      <c r="DY20" s="108" t="str">
        <f>IF(_xlfn.XLOOKUP($E20,'[1]Import Eletra'!$B:$B,'[1]Import Eletra'!$DW:$DW,,0,1)=0,"",_xlfn.XLOOKUP($E20,'[1]Import Eletra'!$B:$B,'[1]Import Eletra'!$DW:$DW,0,1))</f>
        <v/>
      </c>
      <c r="EB20" s="287"/>
      <c r="ED20" s="406">
        <f>IF(_xlfn.XLOOKUP($E20,'[1]Import Eletra'!$B:$B,'[1]Import Eletra'!$BQ:$BQ,,0,1)=0,"",_xlfn.XLOOKUP($E20,'[1]Import Eletra'!$B:$B,'[1]Import Eletra'!$BQ:$BQ,0,1))</f>
        <v>258.67</v>
      </c>
      <c r="EE20" s="407">
        <f>IF(_xlfn.XLOOKUP($E20,'[1]Import Eletra'!$B:$B,'[1]Import Eletra'!$BR:$BR,,0,1)=0,"",_xlfn.XLOOKUP($E20,'[1]Import Eletra'!$B:$B,'[1]Import Eletra'!$BR:$BR,0,1))</f>
        <v>46149</v>
      </c>
      <c r="EF20" s="406" t="str">
        <f>IF(_xlfn.XLOOKUP($E20,'[1]Import Eletra'!$B:$B,'[1]Import Eletra'!$BS:$BS,,0,1)=0,"",_xlfn.XLOOKUP($E20,'[1]Import Eletra'!$B:$B,'[1]Import Eletra'!$BS:$BS,0,1))</f>
        <v/>
      </c>
      <c r="EG20" s="407" t="str">
        <f>IF(_xlfn.XLOOKUP($E20,'[1]Import Eletra'!$B:$B,'[1]Import Eletra'!$BT:$BT,,0,1)=0,"",_xlfn.XLOOKUP($E20,'[1]Import Eletra'!$B:$B,'[1]Import Eletra'!$BT:$BT,0,1))</f>
        <v/>
      </c>
      <c r="EH20" s="406" t="str">
        <f>IF(_xlfn.XLOOKUP($E20,'[1]Import Eletra'!$B:$B,'[1]Import Eletra'!$BU:$BU,,0,1)=0,"",_xlfn.XLOOKUP($E20,'[1]Import Eletra'!$B:$B,'[1]Import Eletra'!$BU:$BU,0,1))</f>
        <v/>
      </c>
      <c r="EI20" s="407" t="str">
        <f>IF(_xlfn.XLOOKUP($E20,'[1]Import Eletra'!$B:$B,'[1]Import Eletra'!$BV:$BV,,0,1)=0,"",_xlfn.XLOOKUP($E20,'[1]Import Eletra'!$B:$B,'[1]Import Eletra'!$BV:$BV,0,1))</f>
        <v/>
      </c>
      <c r="EJ20" s="407" t="str">
        <f>IF(_xlfn.XLOOKUP($E20,'[1]Import Eletra'!$B:$B,'[1]Import Eletra'!$CI:$CI,,0,1)=0,"",_xlfn.XLOOKUP($E20,'[1]Import Eletra'!$B:$B,'[1]Import Eletra'!$CI:$CI,0,1))</f>
        <v/>
      </c>
      <c r="EK20" s="407" t="str">
        <f>IF(_xlfn.XLOOKUP($E20,'[1]Import Eletra'!$B:$B,'[1]Import Eletra'!$CD:$CD,,0,1)=0,"",_xlfn.XLOOKUP($E20,'[1]Import Eletra'!$B:$B,'[1]Import Eletra'!$CD:$CD,0,1))</f>
        <v/>
      </c>
      <c r="EL20" s="407" t="str">
        <f>IF(_xlfn.XLOOKUP($E20,'[1]Import Eletra'!$B:$B,'[1]Import Eletra'!$CE:$CE,,0,1)=0,"",_xlfn.XLOOKUP($E20,'[1]Import Eletra'!$B:$B,'[1]Import Eletra'!$CE:$CE,0,1))</f>
        <v>NÃO</v>
      </c>
      <c r="EM20" s="408" t="str">
        <f>IF(_xlfn.XLOOKUP($E20,'[1]Import Eletra'!$B:$B,'[1]Import Eletra'!$E:$E,,0,1)=0,"",_xlfn.XLOOKUP($E20,'[1]Import Eletra'!$B:$B,'[1]Import Eletra'!$E:$E,0,1))</f>
        <v>LEISIANE</v>
      </c>
      <c r="EN20" s="408" t="str">
        <f>IF(_xlfn.XLOOKUP($E20,'[1]Import Eletra'!$B:$B,'[1]Import Eletra'!$R:$R,,0,1)=0,"",_xlfn.XLOOKUP($E20,'[1]Import Eletra'!$B:$B,'[1]Import Eletra'!$R:$R,0,1))</f>
        <v>SBR2600002</v>
      </c>
      <c r="EO20" s="408">
        <f>IF(_xlfn.XLOOKUP($E20,'[1]Import Eletra'!$B:$B,'[1]Import Eletra'!$P:$P,,0,1)=0,"",_xlfn.XLOOKUP($E20,'[1]Import Eletra'!$B:$B,'[1]Import Eletra'!$P:$P,0,1))</f>
        <v>2111743340</v>
      </c>
      <c r="EP20" s="408" t="str">
        <f>IF(_xlfn.XLOOKUP($E20,'[1]Import Eletra'!$B:$B,'[1]Import Eletra'!$T:$T,,0,1)=0,"",_xlfn.XLOOKUP($E20,'[1]Import Eletra'!$B:$B,'[1]Import Eletra'!$T:$T,0,1))</f>
        <v/>
      </c>
    </row>
    <row r="21" spans="1:242" ht="30" customHeight="1">
      <c r="A21" s="229"/>
      <c r="B21" s="371" t="s">
        <v>336</v>
      </c>
      <c r="C21" s="280"/>
      <c r="D21" s="104" t="s">
        <v>259</v>
      </c>
      <c r="E21" s="212" t="s">
        <v>263</v>
      </c>
      <c r="F21" s="106">
        <f>IF(_xlfn.XLOOKUP($E21,'[1]Import Eletra'!$B:$B,'[1]Import Eletra'!$U:$U,,0,1)=0,"",_xlfn.XLOOKUP($E21,'[1]Import Eletra'!$B:$B,'[1]Import Eletra'!$U:$U,,0,1))</f>
        <v>3</v>
      </c>
      <c r="G21" s="104" t="s">
        <v>244</v>
      </c>
      <c r="H21" s="2" t="str">
        <f>_xlfn.XLOOKUP($E21,'[1]Import Eletra'!$B:$B,'[1]Import Eletra'!$F:$F,,0,1)</f>
        <v>DELIVERED</v>
      </c>
      <c r="I21" s="108" t="str">
        <f>_xlfn.XLOOKUP($E21,'[1]Import Eletra'!$B:$B,'[1]Import Eletra'!$G:$G,,0,1)</f>
        <v>SEA</v>
      </c>
      <c r="J21" s="326">
        <v>46052</v>
      </c>
      <c r="K21" s="109">
        <v>30</v>
      </c>
      <c r="L21" s="109">
        <f>M21-J21</f>
        <v>45</v>
      </c>
      <c r="M21" s="326">
        <f>IF(_xlfn.XLOOKUP($E21,'[1]Import Eletra'!$B:$B,'[1]Import Eletra'!$J:$J,,0,1)=0,"",_xlfn.XLOOKUP($E21,'[1]Import Eletra'!$B:$B,'[1]Import Eletra'!$J:$J,,0,1))</f>
        <v>46097</v>
      </c>
      <c r="N21" s="366">
        <f>IF(_xlfn.XLOOKUP($E21,'[1]Import Eletra'!$B:$B,'[1]Import Eletra'!$L:$L,,0,1)=0,"",_xlfn.XLOOKUP($E21,'[1]Import Eletra'!$B:$B,'[1]Import Eletra'!$L:$L,,0,1))</f>
        <v>46147</v>
      </c>
      <c r="O21" s="335">
        <f>IF(_xlfn.XLOOKUP($E21,'[1]Import Eletra'!$B:$B,'[1]Import Eletra'!$AK:$AK,,0,1)=0,"",_xlfn.XLOOKUP($E21,'[1]Import Eletra'!$B:$B,'[1]Import Eletra'!$AK:$AK,,0,1))</f>
        <v>46132</v>
      </c>
      <c r="P21" s="326">
        <f>IF(_xlfn.XLOOKUP($E21,'[1]Import Eletra'!$B:$B,'[1]Import Eletra'!$AL:$AL,,0,1)=0,"",_xlfn.XLOOKUP($E21,'[1]Import Eletra'!$B:$B,'[1]Import Eletra'!$AL:$AL,,0,1))</f>
        <v>46140</v>
      </c>
      <c r="Q21" s="326">
        <f>IF(_xlfn.XLOOKUP($E21,'[1]Import Eletra'!$B:$B,'[1]Import Eletra'!$AM:$AM,,0,1)=0,"",_xlfn.XLOOKUP($E21,'[1]Import Eletra'!$B:$B,'[1]Import Eletra'!$AM:$AM,,0,1))</f>
        <v>46147</v>
      </c>
      <c r="R21" s="326">
        <f>IF(_xlfn.XLOOKUP($E21,'[1]Import Eletra'!$B:$B,'[1]Import Eletra'!$AN:$AN,,0,1)=0,"",_xlfn.XLOOKUP($E21,'[1]Import Eletra'!$B:$B,'[1]Import Eletra'!$AN:$AN,,0,1))</f>
        <v>46147</v>
      </c>
      <c r="S21" s="326">
        <f>IF(_xlfn.XLOOKUP($E21,'[1]Import Eletra'!$B:$B,'[1]Import Eletra'!$AO:$AO,,0,1)=0,"",_xlfn.XLOOKUP($E21,'[1]Import Eletra'!$B:$B,'[1]Import Eletra'!$AO:$AO,,0,1))</f>
        <v>46148</v>
      </c>
      <c r="T21" s="326">
        <f>IF(_xlfn.XLOOKUP($E21,'[1]Import Eletra'!$B:$B,'[1]Import Eletra'!$AP:$AP,,0,1)=0,"",_xlfn.XLOOKUP($E21,'[1]Import Eletra'!$B:$B,'[1]Import Eletra'!$AP:$AP,,0,1))</f>
        <v>46148</v>
      </c>
      <c r="U21" s="326">
        <f>IF(_xlfn.XLOOKUP($E21,'[1]Import Eletra'!$B:$B,'[1]Import Eletra'!$AQ:$AQ,,0,1)=0,"",_xlfn.XLOOKUP($E21,'[1]Import Eletra'!$B:$B,'[1]Import Eletra'!$AQ:$AQ,,0,1))</f>
        <v>46150</v>
      </c>
      <c r="V21" s="339">
        <f>IF(_xlfn.XLOOKUP($E21,'[1]Import Eletra'!$B:$B,'[1]Import Eletra'!$AR:$AR,,0,1)=0,"",_xlfn.XLOOKUP($E21,'[1]Import Eletra'!$B:$B,'[1]Import Eletra'!$AR:$AR,,0,1))</f>
        <v>46150</v>
      </c>
      <c r="W21" s="344">
        <f>AB21-$AB$5</f>
        <v>46145</v>
      </c>
      <c r="X21" s="332">
        <f>IF(_xlfn.XLOOKUP($E21,'[1]Import Eletra'!$B:$B,'[1]Import Eletra'!$AS:$AS,,0,1)=0,"",_xlfn.XLOOKUP($E21,'[1]Import Eletra'!$B:$B,'[1]Import Eletra'!$AS:$AS,,0,1))</f>
        <v>46150</v>
      </c>
      <c r="Y21" s="113">
        <f>$W$4</f>
        <v>0</v>
      </c>
      <c r="Z21" s="113">
        <f ca="1">IF(X21="",TODAY()-W21,X21-W21)</f>
        <v>5</v>
      </c>
      <c r="AA21" s="184">
        <f ca="1">Z21-Y21</f>
        <v>5</v>
      </c>
      <c r="AB21" s="348">
        <f>AG21-$AB$5</f>
        <v>46146</v>
      </c>
      <c r="AC21" s="332">
        <f>IF(_xlfn.XLOOKUP($E21,'[1]Import Eletra'!$B:$B,'[1]Import Eletra'!$AD:$AD,,0,1)=0,"",_xlfn.XLOOKUP($E21,'[1]Import Eletra'!$B:$B,'[1]Import Eletra'!$AD:$AD,,0,1))</f>
        <v>46150</v>
      </c>
      <c r="AD21" s="113">
        <f>$AB$4</f>
        <v>0</v>
      </c>
      <c r="AE21" s="113">
        <f ca="1">IF(AC21="",TODAY()-AB21,AC21-AB21)</f>
        <v>4</v>
      </c>
      <c r="AF21" s="184">
        <f ca="1">AE21-AD21</f>
        <v>4</v>
      </c>
      <c r="AG21" s="355">
        <f>AL21-$AL$5</f>
        <v>46147</v>
      </c>
      <c r="AH21" s="332">
        <f>IF(_xlfn.XLOOKUP($E21,'[1]Import Eletra'!$B:$B,'[1]Import Eletra'!$AE:$AE,,0,1)=0,"",_xlfn.XLOOKUP($E21,'[1]Import Eletra'!$B:$B,'[1]Import Eletra'!$AE:$AE,,0,1))</f>
        <v>46150</v>
      </c>
      <c r="AI21" s="113">
        <f>$AG$4</f>
        <v>0</v>
      </c>
      <c r="AJ21" s="113">
        <f ca="1">IF(AH21="",TODAY()-AG21,AH21-AG21)</f>
        <v>3</v>
      </c>
      <c r="AK21" s="184">
        <f ca="1">AJ21-AI21</f>
        <v>3</v>
      </c>
      <c r="AL21" s="355">
        <f>AQ21-$AQ$5</f>
        <v>46147</v>
      </c>
      <c r="AM21" s="332">
        <f>IF(_xlfn.XLOOKUP($E21,'[1]Import Eletra'!$B:$B,'[1]Import Eletra'!$AT:$AT,,0,1)=0,"",_xlfn.XLOOKUP($E21,'[1]Import Eletra'!$B:$B,'[1]Import Eletra'!$AT:$AT,,0,1))</f>
        <v>46153</v>
      </c>
      <c r="AN21" s="113">
        <f>$AL$4</f>
        <v>0</v>
      </c>
      <c r="AO21" s="113">
        <f ca="1">IF(AM21="",TODAY()-AL21,AM21-AL21)</f>
        <v>6</v>
      </c>
      <c r="AP21" s="184">
        <f ca="1">AO21-AN21</f>
        <v>6</v>
      </c>
      <c r="AQ21" s="357">
        <f>AV21-$AV$5</f>
        <v>46148</v>
      </c>
      <c r="AR21" s="332">
        <f>IF(_xlfn.XLOOKUP($E21,'[1]Import Eletra'!$B:$B,'[1]Import Eletra'!$AU:$AU,,0,1)=0,"",_xlfn.XLOOKUP($E21,'[1]Import Eletra'!$B:$B,'[1]Import Eletra'!$AU:$AU,,0,1))</f>
        <v>46153</v>
      </c>
      <c r="AS21" s="113">
        <f>$AQ$4</f>
        <v>1</v>
      </c>
      <c r="AT21" s="113">
        <f ca="1">IF(AR21="",TODAY()-AQ21,AR21-AQ21)</f>
        <v>5</v>
      </c>
      <c r="AU21" s="184">
        <f ca="1">AT21-AS21</f>
        <v>4</v>
      </c>
      <c r="AV21" s="355">
        <f>BA21-$BA$5</f>
        <v>46148</v>
      </c>
      <c r="AW21" s="332" t="str">
        <f>IF(_xlfn.XLOOKUP($E21,'[1]Import Eletra'!$B:$B,'[1]Import Eletra'!$AV:$AV,,0,1)=0,"",_xlfn.XLOOKUP($E21,'[1]Import Eletra'!$B:$B,'[1]Import Eletra'!$AV:$AV,,0,1))</f>
        <v/>
      </c>
      <c r="AX21" s="113">
        <f>$AV$4</f>
        <v>0</v>
      </c>
      <c r="AY21" s="113">
        <f ca="1">IF(AW21="",TODAY()-AV21,AW21-AV21)</f>
        <v>63</v>
      </c>
      <c r="AZ21" s="184">
        <f ca="1">AY21-AX21</f>
        <v>63</v>
      </c>
      <c r="BA21" s="357">
        <f>BF21-$BF$5</f>
        <v>46148</v>
      </c>
      <c r="BB21" s="332" t="str">
        <f>IF(_xlfn.XLOOKUP($E21,'[1]Import Eletra'!$B:$B,'[1]Import Eletra'!$AW:$AW,,0,1)=0,"",_xlfn.XLOOKUP($E21,'[1]Import Eletra'!$B:$B,'[1]Import Eletra'!$AW:$AW,,0,1))</f>
        <v/>
      </c>
      <c r="BC21" s="113">
        <f>$BA$4</f>
        <v>0</v>
      </c>
      <c r="BD21" s="113">
        <f ca="1">IF(BB21="",TODAY()-BA21,BB21-BA21)</f>
        <v>63</v>
      </c>
      <c r="BE21" s="184">
        <f ca="1">BD21-BC21</f>
        <v>63</v>
      </c>
      <c r="BF21" s="335">
        <f>BK21-$BK$5</f>
        <v>46148</v>
      </c>
      <c r="BG21" s="332" t="str">
        <f>IF(_xlfn.XLOOKUP($E21,'[1]Import Eletra'!$B:$B,'[1]Import Eletra'!$AX:$AX,,0,1)=0,"",_xlfn.XLOOKUP($E21,'[1]Import Eletra'!$B:$B,'[1]Import Eletra'!$AX:$AX,,0,1))</f>
        <v/>
      </c>
      <c r="BH21" s="113">
        <f>$BF$4</f>
        <v>0</v>
      </c>
      <c r="BI21" s="113">
        <f ca="1">IF(BG21="",TODAY()-BF21,BG21-BF21)</f>
        <v>63</v>
      </c>
      <c r="BJ21" s="184">
        <f ca="1">BI21-BH21</f>
        <v>63</v>
      </c>
      <c r="BK21" s="362">
        <f>BP21-$BP$5</f>
        <v>46148</v>
      </c>
      <c r="BL21" s="332">
        <f>IF(_xlfn.XLOOKUP($E21,'[1]Import Eletra'!$B:$B,'[1]Import Eletra'!$AY:$AY,,0,1)=0,"",_xlfn.XLOOKUP($E21,'[1]Import Eletra'!$B:$B,'[1]Import Eletra'!$AY:$AY,,0,1))</f>
        <v>46153</v>
      </c>
      <c r="BM21" s="113">
        <f>$BK$4</f>
        <v>0</v>
      </c>
      <c r="BN21" s="113">
        <f ca="1">IF(BL21="",TODAY()-BK21,BL21-BK21)</f>
        <v>5</v>
      </c>
      <c r="BO21" s="184">
        <f ca="1">BN21-BM21</f>
        <v>5</v>
      </c>
      <c r="BP21" s="335">
        <f>BU21-$BU$5</f>
        <v>46148</v>
      </c>
      <c r="BQ21" s="332">
        <f>IF(_xlfn.XLOOKUP($E21,'[1]Import Eletra'!$B:$B,'[1]Import Eletra'!$AZ:$AZ,,0,1)=0,"",_xlfn.XLOOKUP($E21,'[1]Import Eletra'!$B:$B,'[1]Import Eletra'!$AZ:$AZ,,0,1))</f>
        <v>46153</v>
      </c>
      <c r="BR21" s="113">
        <f>$BP$4</f>
        <v>0</v>
      </c>
      <c r="BS21" s="113">
        <f ca="1">IF(BQ21="",TODAY()-BP21,BQ21-BP21)</f>
        <v>5</v>
      </c>
      <c r="BT21" s="184">
        <f ca="1">BS21-BR21</f>
        <v>5</v>
      </c>
      <c r="BU21" s="362">
        <f>BZ21-$BZ$4</f>
        <v>46150</v>
      </c>
      <c r="BV21" s="332">
        <f>IF(_xlfn.XLOOKUP($E21,'[1]Import Eletra'!$B:$B,'[1]Import Eletra'!$BA:$BA,,0,1)=0,"",_xlfn.XLOOKUP($E21,'[1]Import Eletra'!$B:$B,'[1]Import Eletra'!$BA:$BA,,0,1))</f>
        <v>46154</v>
      </c>
      <c r="BW21" s="113">
        <f>$BU$4</f>
        <v>2</v>
      </c>
      <c r="BX21" s="113">
        <f ca="1">IF(BV21="",TODAY()-BU21,BV21-BU21)</f>
        <v>4</v>
      </c>
      <c r="BY21" s="184">
        <f ca="1">BX21-BW21</f>
        <v>2</v>
      </c>
      <c r="BZ21" s="335">
        <f>CE21-$CE$5</f>
        <v>46150</v>
      </c>
      <c r="CA21" s="332">
        <f>IF(_xlfn.XLOOKUP($E21,'[1]Import Eletra'!$B:$B,'[1]Import Eletra'!$BB:$BB,,0,1)=0,"",_xlfn.XLOOKUP($E21,'[1]Import Eletra'!$B:$B,'[1]Import Eletra'!$BB:$BB,,0,1))</f>
        <v>46154</v>
      </c>
      <c r="CB21" s="113">
        <f>$BZ$4</f>
        <v>0</v>
      </c>
      <c r="CC21" s="113">
        <f ca="1">IF(CA21="",TODAY()-BZ21,CA21-BZ21)</f>
        <v>4</v>
      </c>
      <c r="CD21" s="184">
        <f ca="1">CC21-CB21</f>
        <v>4</v>
      </c>
      <c r="CE21" s="362">
        <f>CJ21-$CJ$4</f>
        <v>46150</v>
      </c>
      <c r="CF21" s="332">
        <f>IF(_xlfn.XLOOKUP($E21,'[1]Import Eletra'!$B:$B,'[1]Import Eletra'!$BC:$BC,,0,1)=0,"",_xlfn.XLOOKUP($E21,'[1]Import Eletra'!$B:$B,'[1]Import Eletra'!$BC:$BC,,0,1))</f>
        <v>46154</v>
      </c>
      <c r="CG21" s="113">
        <f>$CE$4</f>
        <v>0</v>
      </c>
      <c r="CH21" s="113">
        <f ca="1">IF(CF21="",TODAY()-CE21,CF21-CE21)</f>
        <v>4</v>
      </c>
      <c r="CI21" s="184">
        <f ca="1">CH21-CG21</f>
        <v>4</v>
      </c>
      <c r="CJ21" s="335">
        <f>CO21-$CO$4</f>
        <v>46150</v>
      </c>
      <c r="CK21" s="332">
        <f>IF(_xlfn.XLOOKUP($E21,'[1]Import Eletra'!$B:$B,'[1]Import Eletra'!$BD:$BD,,0,1)=0,"",_xlfn.XLOOKUP($E21,'[1]Import Eletra'!$B:$B,'[1]Import Eletra'!$BD:$BD,,0,1))</f>
        <v>46154</v>
      </c>
      <c r="CL21" s="113"/>
      <c r="CM21" s="113">
        <f ca="1">IF(CK21="",TODAY()-CJ21,CK21-CJ21)</f>
        <v>4</v>
      </c>
      <c r="CN21" s="184">
        <f ca="1">CM21-CL21</f>
        <v>4</v>
      </c>
      <c r="CO21" s="362">
        <f>CT21-$CT$4</f>
        <v>46150</v>
      </c>
      <c r="CP21" s="332">
        <f>IF(_xlfn.XLOOKUP($E21,'[1]Import Eletra'!$B:$B,'[1]Import Eletra'!$BE:$BE,,0,1)=0,"",_xlfn.XLOOKUP($E21,'[1]Import Eletra'!$B:$B,'[1]Import Eletra'!$BE:$BE,,0,1))</f>
        <v>46155</v>
      </c>
      <c r="CQ21" s="113">
        <f>$CO$4</f>
        <v>0</v>
      </c>
      <c r="CR21" s="113">
        <f ca="1">IF(CP21="",TODAY()-CO21,CP21-CO21)</f>
        <v>5</v>
      </c>
      <c r="CS21" s="184">
        <f ca="1">CR21-CQ21</f>
        <v>5</v>
      </c>
      <c r="CT21" s="335">
        <f>CY21-$CY$4</f>
        <v>46150</v>
      </c>
      <c r="CU21" s="332">
        <f>IF(_xlfn.XLOOKUP($E21,'[1]Import Eletra'!$B:$B,'[1]Import Eletra'!$BF:$BF,,0,1)=0,"",_xlfn.XLOOKUP($E21,'[1]Import Eletra'!$B:$B,'[1]Import Eletra'!$BF:$BF,,0,1))</f>
        <v>46155</v>
      </c>
      <c r="CV21" s="113">
        <f>$CT$4</f>
        <v>0</v>
      </c>
      <c r="CW21" s="113">
        <f ca="1">IF(CU21="",TODAY()-CT21,CU21-CT21)</f>
        <v>5</v>
      </c>
      <c r="CX21" s="184">
        <f ca="1">CW21-CV21</f>
        <v>5</v>
      </c>
      <c r="CY21" s="110">
        <f>DD21-$DD$4</f>
        <v>46150</v>
      </c>
      <c r="CZ21" s="104">
        <f>IF(_xlfn.XLOOKUP($E21,'[1]Import Eletra'!$B:$B,'[1]Import Eletra'!$BF:$BF,,0,1)=0,"",_xlfn.XLOOKUP($E21,'[1]Import Eletra'!$B:$B,'[1]Import Eletra'!$BF:$BF,,0,1))</f>
        <v>46155</v>
      </c>
      <c r="DA21" s="210">
        <f>$CY$4</f>
        <v>0</v>
      </c>
      <c r="DB21" s="113">
        <f ca="1">IF(CZ21="",TODAY()-CY21,CZ21-CY21)</f>
        <v>5</v>
      </c>
      <c r="DC21" s="184">
        <f ca="1">DB21-DA21</f>
        <v>5</v>
      </c>
      <c r="DD21" s="110">
        <f>DI21-$DI$4</f>
        <v>46152</v>
      </c>
      <c r="DE21" s="104">
        <f>IF(_xlfn.XLOOKUP($E21,'[1]Import Eletra'!$B:$B,'[1]Import Eletra'!$BG:$BG,,0,1)=0,"",_xlfn.XLOOKUP($E21,'[1]Import Eletra'!$B:$B,'[1]Import Eletra'!$BG:$BG,0,1))</f>
        <v>46157</v>
      </c>
      <c r="DF21" s="113">
        <f>$DD$4</f>
        <v>2</v>
      </c>
      <c r="DG21" s="113">
        <f ca="1">IF(DE21="",TODAY()-DD21,DE21-DD21)</f>
        <v>5</v>
      </c>
      <c r="DH21" s="184">
        <f ca="1">DG21-DF21</f>
        <v>3</v>
      </c>
      <c r="DI21" s="110">
        <f>DO21-$DN$4</f>
        <v>46153</v>
      </c>
      <c r="DJ21" s="104">
        <f>IF(_xlfn.XLOOKUP($E21,'[1]Import Eletra'!$B:$B,'[1]Import Eletra'!$BH:$BH,,0,1)=0,"",_xlfn.XLOOKUP($E21,'[1]Import Eletra'!$B:$B,'[1]Import Eletra'!$BH:$BH,0,1))</f>
        <v>46157</v>
      </c>
      <c r="DK21" s="112">
        <f>$DI$4</f>
        <v>1</v>
      </c>
      <c r="DL21" s="112">
        <f ca="1">IF(DJ21="",TODAY()-DI21,DJ21-DI21)</f>
        <v>4</v>
      </c>
      <c r="DM21" s="184">
        <f ca="1">DL21-DK21</f>
        <v>3</v>
      </c>
      <c r="DN21" s="64"/>
      <c r="DO21" s="202">
        <f t="shared" si="0"/>
        <v>46154</v>
      </c>
      <c r="DP21" s="165">
        <f>IF(_xlfn.XLOOKUP($E21,'[1]Import Eletra'!$B:$B,'[1]Import Eletra'!$O:$O,,0,1)=0,"",_xlfn.XLOOKUP($E21,'[1]Import Eletra'!$B:$B,'[1]Import Eletra'!$O:$O,0,1))</f>
        <v>46158</v>
      </c>
      <c r="DQ21" s="112">
        <f>$DN$4</f>
        <v>1</v>
      </c>
      <c r="DR21" s="112">
        <f ca="1">IF(DP21="",TODAY()-DO21,DP21-DO21)</f>
        <v>4</v>
      </c>
      <c r="DS21" s="184">
        <f ca="1">DR21-DQ21</f>
        <v>3</v>
      </c>
      <c r="DT21" s="143">
        <v>7</v>
      </c>
      <c r="DU21" s="140">
        <f ca="1">IF(DP21="",TODAY()-N21,DP21-N21)</f>
        <v>11</v>
      </c>
      <c r="DV21" s="184">
        <f ca="1">DU21-DT21</f>
        <v>4</v>
      </c>
      <c r="DX21" s="185" t="s">
        <v>245</v>
      </c>
      <c r="DY21" s="108" t="str">
        <f>IF(_xlfn.XLOOKUP($E21,'[1]Import Eletra'!$B:$B,'[1]Import Eletra'!$DW:$DW,,0,1)=0,"",_xlfn.XLOOKUP($E21,'[1]Import Eletra'!$B:$B,'[1]Import Eletra'!$DW:$DW,0,1))</f>
        <v>DELAY AT CARGO PRESENCE AT PORT/AIRPORT</v>
      </c>
      <c r="EB21" s="287" t="s">
        <v>264</v>
      </c>
      <c r="ED21" s="406">
        <f>IF(_xlfn.XLOOKUP($E21,'[1]Import Eletra'!$B:$B,'[1]Import Eletra'!$BQ:$BQ,,0,1)=0,"",_xlfn.XLOOKUP($E21,'[1]Import Eletra'!$B:$B,'[1]Import Eletra'!$BQ:$BQ,0,1))</f>
        <v>2454.87</v>
      </c>
      <c r="EE21" s="407">
        <f>IF(_xlfn.XLOOKUP($E21,'[1]Import Eletra'!$B:$B,'[1]Import Eletra'!$BR:$BR,,0,1)=0,"",_xlfn.XLOOKUP($E21,'[1]Import Eletra'!$B:$B,'[1]Import Eletra'!$BR:$BR,0,1))</f>
        <v>46160</v>
      </c>
      <c r="EF21" s="406" t="str">
        <f>IF(_xlfn.XLOOKUP($E21,'[1]Import Eletra'!$B:$B,'[1]Import Eletra'!$BS:$BS,,0,1)=0,"",_xlfn.XLOOKUP($E21,'[1]Import Eletra'!$B:$B,'[1]Import Eletra'!$BS:$BS,0,1))</f>
        <v/>
      </c>
      <c r="EG21" s="407" t="str">
        <f>IF(_xlfn.XLOOKUP($E21,'[1]Import Eletra'!$B:$B,'[1]Import Eletra'!$BT:$BT,,0,1)=0,"",_xlfn.XLOOKUP($E21,'[1]Import Eletra'!$B:$B,'[1]Import Eletra'!$BT:$BT,0,1))</f>
        <v/>
      </c>
      <c r="EH21" s="406" t="str">
        <f>IF(_xlfn.XLOOKUP($E21,'[1]Import Eletra'!$B:$B,'[1]Import Eletra'!$BU:$BU,,0,1)=0,"",_xlfn.XLOOKUP($E21,'[1]Import Eletra'!$B:$B,'[1]Import Eletra'!$BU:$BU,0,1))</f>
        <v/>
      </c>
      <c r="EI21" s="407" t="str">
        <f>IF(_xlfn.XLOOKUP($E21,'[1]Import Eletra'!$B:$B,'[1]Import Eletra'!$BV:$BV,,0,1)=0,"",_xlfn.XLOOKUP($E21,'[1]Import Eletra'!$B:$B,'[1]Import Eletra'!$BV:$BV,0,1))</f>
        <v/>
      </c>
      <c r="EJ21" s="407" t="str">
        <f>IF(_xlfn.XLOOKUP($E21,'[1]Import Eletra'!$B:$B,'[1]Import Eletra'!$CI:$CI,,0,1)=0,"",_xlfn.XLOOKUP($E21,'[1]Import Eletra'!$B:$B,'[1]Import Eletra'!$CI:$CI,0,1))</f>
        <v/>
      </c>
      <c r="EK21" s="407" t="str">
        <f>IF(_xlfn.XLOOKUP($E21,'[1]Import Eletra'!$B:$B,'[1]Import Eletra'!$CD:$CD,,0,1)=0,"",_xlfn.XLOOKUP($E21,'[1]Import Eletra'!$B:$B,'[1]Import Eletra'!$CD:$CD,0,1))</f>
        <v/>
      </c>
      <c r="EL21" s="407" t="str">
        <f>IF(_xlfn.XLOOKUP($E21,'[1]Import Eletra'!$B:$B,'[1]Import Eletra'!$CE:$CE,,0,1)=0,"",_xlfn.XLOOKUP($E21,'[1]Import Eletra'!$B:$B,'[1]Import Eletra'!$CE:$CE,0,1))</f>
        <v/>
      </c>
      <c r="EM21" s="408" t="str">
        <f>IF(_xlfn.XLOOKUP($E21,'[1]Import Eletra'!$B:$B,'[1]Import Eletra'!$E:$E,,0,1)=0,"",_xlfn.XLOOKUP($E21,'[1]Import Eletra'!$B:$B,'[1]Import Eletra'!$E:$E,0,1))</f>
        <v>LEISIANE</v>
      </c>
      <c r="EN21" s="408" t="str">
        <f>IF(_xlfn.XLOOKUP($E21,'[1]Import Eletra'!$B:$B,'[1]Import Eletra'!$R:$R,,0,1)=0,"",_xlfn.XLOOKUP($E21,'[1]Import Eletra'!$B:$B,'[1]Import Eletra'!$R:$R,0,1))</f>
        <v/>
      </c>
      <c r="EO21" s="408" t="str">
        <f>IF(_xlfn.XLOOKUP($E21,'[1]Import Eletra'!$B:$B,'[1]Import Eletra'!$P:$P,,0,1)=0,"",_xlfn.XLOOKUP($E21,'[1]Import Eletra'!$B:$B,'[1]Import Eletra'!$P:$P,0,1))</f>
        <v>SDBLBS593293</v>
      </c>
      <c r="EP21" s="408" t="str">
        <f>IF(_xlfn.XLOOKUP($E21,'[1]Import Eletra'!$B:$B,'[1]Import Eletra'!$T:$T,,0,1)=0,"",_xlfn.XLOOKUP($E21,'[1]Import Eletra'!$B:$B,'[1]Import Eletra'!$T:$T,0,1))</f>
        <v>CGMU939742/1;  TEMU988093/6;  TTNU809331/1</v>
      </c>
    </row>
    <row r="22" spans="1:242" ht="30" customHeight="1">
      <c r="B22" s="371" t="s">
        <v>336</v>
      </c>
      <c r="C22" s="280"/>
      <c r="D22" s="104" t="s">
        <v>259</v>
      </c>
      <c r="E22" s="212" t="s">
        <v>261</v>
      </c>
      <c r="F22" s="106">
        <f>IF(_xlfn.XLOOKUP($E22,'[1]Import Eletra'!$B:$B,'[1]Import Eletra'!$U:$U,,0,1)=0,"",_xlfn.XLOOKUP($E22,'[1]Import Eletra'!$B:$B,'[1]Import Eletra'!$U:$U,,0,1))</f>
        <v>3</v>
      </c>
      <c r="G22" s="107" t="s">
        <v>244</v>
      </c>
      <c r="H22" s="2" t="str">
        <f>_xlfn.XLOOKUP($E22,'[1]Import Eletra'!$B:$B,'[1]Import Eletra'!$F:$F,,0,1)</f>
        <v>DELIVERED</v>
      </c>
      <c r="I22" s="108" t="str">
        <f>_xlfn.XLOOKUP($E22,'[1]Import Eletra'!$B:$B,'[1]Import Eletra'!$G:$G,,0,1)</f>
        <v>SEA</v>
      </c>
      <c r="J22" s="326">
        <v>46052</v>
      </c>
      <c r="K22" s="109">
        <v>30</v>
      </c>
      <c r="L22" s="109">
        <f>M22-J22</f>
        <v>42</v>
      </c>
      <c r="M22" s="326">
        <f>IF(_xlfn.XLOOKUP($E22,'[1]Import Eletra'!$B:$B,'[1]Import Eletra'!$J:$J,,0,1)=0,"",_xlfn.XLOOKUP($E22,'[1]Import Eletra'!$B:$B,'[1]Import Eletra'!$J:$J,,0,1))</f>
        <v>46094</v>
      </c>
      <c r="N22" s="366">
        <f>IF(_xlfn.XLOOKUP($E22,'[1]Import Eletra'!$B:$B,'[1]Import Eletra'!$L:$L,,0,1)=0,"",_xlfn.XLOOKUP($E22,'[1]Import Eletra'!$B:$B,'[1]Import Eletra'!$L:$L,,0,1))</f>
        <v>46147</v>
      </c>
      <c r="O22" s="335">
        <f>IF(_xlfn.XLOOKUP($E22,'[1]Import Eletra'!$B:$B,'[1]Import Eletra'!$AK:$AK,,0,1)=0,"",_xlfn.XLOOKUP($E22,'[1]Import Eletra'!$B:$B,'[1]Import Eletra'!$AK:$AK,,0,1))</f>
        <v>46134</v>
      </c>
      <c r="P22" s="326">
        <f>IF(_xlfn.XLOOKUP($E22,'[1]Import Eletra'!$B:$B,'[1]Import Eletra'!$AL:$AL,,0,1)=0,"",_xlfn.XLOOKUP($E22,'[1]Import Eletra'!$B:$B,'[1]Import Eletra'!$AL:$AL,,0,1))</f>
        <v>46134</v>
      </c>
      <c r="Q22" s="326">
        <f>IF(_xlfn.XLOOKUP($E22,'[1]Import Eletra'!$B:$B,'[1]Import Eletra'!$AM:$AM,,0,1)=0,"",_xlfn.XLOOKUP($E22,'[1]Import Eletra'!$B:$B,'[1]Import Eletra'!$AM:$AM,,0,1))</f>
        <v>46139</v>
      </c>
      <c r="R22" s="326">
        <f>IF(_xlfn.XLOOKUP($E22,'[1]Import Eletra'!$B:$B,'[1]Import Eletra'!$AN:$AN,,0,1)=0,"",_xlfn.XLOOKUP($E22,'[1]Import Eletra'!$B:$B,'[1]Import Eletra'!$AN:$AN,,0,1))</f>
        <v>46139</v>
      </c>
      <c r="S22" s="326">
        <f>IF(_xlfn.XLOOKUP($E22,'[1]Import Eletra'!$B:$B,'[1]Import Eletra'!$AO:$AO,,0,1)=0,"",_xlfn.XLOOKUP($E22,'[1]Import Eletra'!$B:$B,'[1]Import Eletra'!$AO:$AO,,0,1))</f>
        <v>46142</v>
      </c>
      <c r="T22" s="326">
        <f>IF(_xlfn.XLOOKUP($E22,'[1]Import Eletra'!$B:$B,'[1]Import Eletra'!$AP:$AP,,0,1)=0,"",_xlfn.XLOOKUP($E22,'[1]Import Eletra'!$B:$B,'[1]Import Eletra'!$AP:$AP,,0,1))</f>
        <v>46142</v>
      </c>
      <c r="U22" s="326">
        <f>IF(_xlfn.XLOOKUP($E22,'[1]Import Eletra'!$B:$B,'[1]Import Eletra'!$AQ:$AQ,,0,1)=0,"",_xlfn.XLOOKUP($E22,'[1]Import Eletra'!$B:$B,'[1]Import Eletra'!$AQ:$AQ,,0,1))</f>
        <v>46142</v>
      </c>
      <c r="V22" s="339">
        <f>IF(_xlfn.XLOOKUP($E22,'[1]Import Eletra'!$B:$B,'[1]Import Eletra'!$AR:$AR,,0,1)=0,"",_xlfn.XLOOKUP($E22,'[1]Import Eletra'!$B:$B,'[1]Import Eletra'!$AR:$AR,,0,1))</f>
        <v>46150</v>
      </c>
      <c r="W22" s="335">
        <f>AB22-$AB$4</f>
        <v>46147</v>
      </c>
      <c r="X22" s="332">
        <f>IF(_xlfn.XLOOKUP($E22,'[1]Import Eletra'!$B:$B,'[1]Import Eletra'!$AS:$AS,,0,1)=0,"",_xlfn.XLOOKUP($E22,'[1]Import Eletra'!$B:$B,'[1]Import Eletra'!$AS:$AS,,0,1))</f>
        <v>46150</v>
      </c>
      <c r="Y22" s="113">
        <f>$W$4</f>
        <v>0</v>
      </c>
      <c r="Z22" s="113">
        <f ca="1">IF(X22="",TODAY()-W22,X22-W22)</f>
        <v>3</v>
      </c>
      <c r="AA22" s="184">
        <f ca="1">Z22-Y22</f>
        <v>3</v>
      </c>
      <c r="AB22" s="348">
        <f>AG22-$AB$4</f>
        <v>46147</v>
      </c>
      <c r="AC22" s="332">
        <f>IF(_xlfn.XLOOKUP($E22,'[1]Import Eletra'!$B:$B,'[1]Import Eletra'!$AD:$AD,,0,1)=0,"",_xlfn.XLOOKUP($E22,'[1]Import Eletra'!$B:$B,'[1]Import Eletra'!$AD:$AD,,0,1))</f>
        <v>46150</v>
      </c>
      <c r="AD22" s="113">
        <f>$AB$4</f>
        <v>0</v>
      </c>
      <c r="AE22" s="113">
        <f ca="1">IF(AC22="",TODAY()-AB22,AC22-AB22)</f>
        <v>3</v>
      </c>
      <c r="AF22" s="184">
        <f ca="1">AE22-AD22</f>
        <v>3</v>
      </c>
      <c r="AG22" s="355">
        <f>AL22-$AL$4</f>
        <v>46147</v>
      </c>
      <c r="AH22" s="332">
        <f>IF(_xlfn.XLOOKUP($E22,'[1]Import Eletra'!$B:$B,'[1]Import Eletra'!$AE:$AE,,0,1)=0,"",_xlfn.XLOOKUP($E22,'[1]Import Eletra'!$B:$B,'[1]Import Eletra'!$AE:$AE,,0,1))</f>
        <v>46150</v>
      </c>
      <c r="AI22" s="113">
        <f>$AG$4</f>
        <v>0</v>
      </c>
      <c r="AJ22" s="113">
        <f ca="1">IF(AH22="",TODAY()-AG22,AH22-AG22)</f>
        <v>3</v>
      </c>
      <c r="AK22" s="184">
        <f ca="1">AJ22-AI22</f>
        <v>3</v>
      </c>
      <c r="AL22" s="355">
        <f>AQ22-$AQ$4</f>
        <v>46147</v>
      </c>
      <c r="AM22" s="332">
        <f>IF(_xlfn.XLOOKUP($E22,'[1]Import Eletra'!$B:$B,'[1]Import Eletra'!$AT:$AT,,0,1)=0,"",_xlfn.XLOOKUP($E22,'[1]Import Eletra'!$B:$B,'[1]Import Eletra'!$AT:$AT,,0,1))</f>
        <v>46153</v>
      </c>
      <c r="AN22" s="113">
        <f>$AL$4</f>
        <v>0</v>
      </c>
      <c r="AO22" s="113">
        <f ca="1">IF(AM22="",TODAY()-AL22,AM22-AL22)</f>
        <v>6</v>
      </c>
      <c r="AP22" s="184">
        <f ca="1">AO22-AN22</f>
        <v>6</v>
      </c>
      <c r="AQ22" s="357">
        <f>AV22-$AV$4</f>
        <v>46148</v>
      </c>
      <c r="AR22" s="332">
        <f>IF(_xlfn.XLOOKUP($E22,'[1]Import Eletra'!$B:$B,'[1]Import Eletra'!$AU:$AU,,0,1)=0,"",_xlfn.XLOOKUP($E22,'[1]Import Eletra'!$B:$B,'[1]Import Eletra'!$AU:$AU,,0,1))</f>
        <v>46153</v>
      </c>
      <c r="AS22" s="113">
        <f>$AQ$4</f>
        <v>1</v>
      </c>
      <c r="AT22" s="113">
        <f ca="1">IF(AR22="",TODAY()-AQ22,AR22-AQ22)</f>
        <v>5</v>
      </c>
      <c r="AU22" s="184">
        <f ca="1">AT22-AS22</f>
        <v>4</v>
      </c>
      <c r="AV22" s="355">
        <f>BA22-$BA$4</f>
        <v>46148</v>
      </c>
      <c r="AW22" s="332" t="str">
        <f>IF(_xlfn.XLOOKUP($E22,'[1]Import Eletra'!$B:$B,'[1]Import Eletra'!$AV:$AV,,0,1)=0,"",_xlfn.XLOOKUP($E22,'[1]Import Eletra'!$B:$B,'[1]Import Eletra'!$AV:$AV,,0,1))</f>
        <v/>
      </c>
      <c r="AX22" s="113">
        <f>$AV$4</f>
        <v>0</v>
      </c>
      <c r="AY22" s="113">
        <f ca="1">IF(AW22="",TODAY()-AV22,AW22-AV22)</f>
        <v>63</v>
      </c>
      <c r="AZ22" s="184">
        <f ca="1">AY22-AX22</f>
        <v>63</v>
      </c>
      <c r="BA22" s="357">
        <f>BF22-$BF$4</f>
        <v>46148</v>
      </c>
      <c r="BB22" s="332" t="str">
        <f>IF(_xlfn.XLOOKUP($E22,'[1]Import Eletra'!$B:$B,'[1]Import Eletra'!$AW:$AW,,0,1)=0,"",_xlfn.XLOOKUP($E22,'[1]Import Eletra'!$B:$B,'[1]Import Eletra'!$AW:$AW,,0,1))</f>
        <v/>
      </c>
      <c r="BC22" s="113">
        <f>$BA$4</f>
        <v>0</v>
      </c>
      <c r="BD22" s="113">
        <f ca="1">IF(BB22="",TODAY()-BA22,BB22-BA22)</f>
        <v>63</v>
      </c>
      <c r="BE22" s="184">
        <f ca="1">BD22-BC22</f>
        <v>63</v>
      </c>
      <c r="BF22" s="335">
        <f>BK22-$BK$4</f>
        <v>46148</v>
      </c>
      <c r="BG22" s="332" t="str">
        <f>IF(_xlfn.XLOOKUP($E22,'[1]Import Eletra'!$B:$B,'[1]Import Eletra'!$AX:$AX,,0,1)=0,"",_xlfn.XLOOKUP($E22,'[1]Import Eletra'!$B:$B,'[1]Import Eletra'!$AX:$AX,,0,1))</f>
        <v/>
      </c>
      <c r="BH22" s="113">
        <f>$BF$4</f>
        <v>0</v>
      </c>
      <c r="BI22" s="113">
        <f ca="1">IF(BG22="",TODAY()-BF22,BG22-BF22)</f>
        <v>63</v>
      </c>
      <c r="BJ22" s="184">
        <f ca="1">BI22-BH22</f>
        <v>63</v>
      </c>
      <c r="BK22" s="362">
        <f>BP22-$BP$4</f>
        <v>46148</v>
      </c>
      <c r="BL22" s="332">
        <f>IF(_xlfn.XLOOKUP($E22,'[1]Import Eletra'!$B:$B,'[1]Import Eletra'!$AY:$AY,,0,1)=0,"",_xlfn.XLOOKUP($E22,'[1]Import Eletra'!$B:$B,'[1]Import Eletra'!$AY:$AY,,0,1))</f>
        <v>46153</v>
      </c>
      <c r="BM22" s="113">
        <f>$BK$4</f>
        <v>0</v>
      </c>
      <c r="BN22" s="113">
        <f ca="1">IF(BL22="",TODAY()-BK22,BL22-BK22)</f>
        <v>5</v>
      </c>
      <c r="BO22" s="184">
        <f ca="1">BN22-BM22</f>
        <v>5</v>
      </c>
      <c r="BP22" s="335">
        <f>BU22-$BU$4</f>
        <v>46148</v>
      </c>
      <c r="BQ22" s="332">
        <f>IF(_xlfn.XLOOKUP($E22,'[1]Import Eletra'!$B:$B,'[1]Import Eletra'!$AZ:$AZ,,0,1)=0,"",_xlfn.XLOOKUP($E22,'[1]Import Eletra'!$B:$B,'[1]Import Eletra'!$AZ:$AZ,,0,1))</f>
        <v>46153</v>
      </c>
      <c r="BR22" s="113">
        <f>$BP$4</f>
        <v>0</v>
      </c>
      <c r="BS22" s="113">
        <f ca="1">IF(BQ22="",TODAY()-BP22,BQ22-BP22)</f>
        <v>5</v>
      </c>
      <c r="BT22" s="184">
        <f ca="1">BS22-BR22</f>
        <v>5</v>
      </c>
      <c r="BU22" s="362">
        <f>BZ22-$BZ$4</f>
        <v>46150</v>
      </c>
      <c r="BV22" s="332">
        <f>IF(_xlfn.XLOOKUP($E22,'[1]Import Eletra'!$B:$B,'[1]Import Eletra'!$BA:$BA,,0,1)=0,"",_xlfn.XLOOKUP($E22,'[1]Import Eletra'!$B:$B,'[1]Import Eletra'!$BA:$BA,,0,1))</f>
        <v>46154</v>
      </c>
      <c r="BW22" s="113">
        <f>$BU$4</f>
        <v>2</v>
      </c>
      <c r="BX22" s="113">
        <f ca="1">IF(BV22="",TODAY()-BU22,BV22-BU22)</f>
        <v>4</v>
      </c>
      <c r="BY22" s="184">
        <f ca="1">BX22-BW22</f>
        <v>2</v>
      </c>
      <c r="BZ22" s="335">
        <f>CE22-$CE$4</f>
        <v>46150</v>
      </c>
      <c r="CA22" s="332">
        <f>IF(_xlfn.XLOOKUP($E22,'[1]Import Eletra'!$B:$B,'[1]Import Eletra'!$BB:$BB,,0,1)=0,"",_xlfn.XLOOKUP($E22,'[1]Import Eletra'!$B:$B,'[1]Import Eletra'!$BB:$BB,,0,1))</f>
        <v>46154</v>
      </c>
      <c r="CB22" s="113">
        <f>$BZ$4</f>
        <v>0</v>
      </c>
      <c r="CC22" s="113">
        <f ca="1">IF(CA22="",TODAY()-BZ22,CA22-BZ22)</f>
        <v>4</v>
      </c>
      <c r="CD22" s="184">
        <f ca="1">CC22-CB22</f>
        <v>4</v>
      </c>
      <c r="CE22" s="362">
        <f>CJ22-$CJ$4</f>
        <v>46150</v>
      </c>
      <c r="CF22" s="332">
        <f>IF(_xlfn.XLOOKUP($E22,'[1]Import Eletra'!$B:$B,'[1]Import Eletra'!$BC:$BC,,0,1)=0,"",_xlfn.XLOOKUP($E22,'[1]Import Eletra'!$B:$B,'[1]Import Eletra'!$BC:$BC,,0,1))</f>
        <v>46154</v>
      </c>
      <c r="CG22" s="113">
        <f>$CE$4</f>
        <v>0</v>
      </c>
      <c r="CH22" s="113">
        <f ca="1">IF(CF22="",TODAY()-CE22,CF22-CE22)</f>
        <v>4</v>
      </c>
      <c r="CI22" s="184">
        <f ca="1">CH22-CG22</f>
        <v>4</v>
      </c>
      <c r="CJ22" s="335">
        <f>CO22-$CO$4</f>
        <v>46150</v>
      </c>
      <c r="CK22" s="332">
        <f>IF(_xlfn.XLOOKUP($E22,'[1]Import Eletra'!$B:$B,'[1]Import Eletra'!$BD:$BD,,0,1)=0,"",_xlfn.XLOOKUP($E22,'[1]Import Eletra'!$B:$B,'[1]Import Eletra'!$BD:$BD,,0,1))</f>
        <v>46154</v>
      </c>
      <c r="CL22" s="113"/>
      <c r="CM22" s="113">
        <f ca="1">IF(CK22="",TODAY()-CJ22,CK22-CJ22)</f>
        <v>4</v>
      </c>
      <c r="CN22" s="184">
        <f ca="1">CM22-CL22</f>
        <v>4</v>
      </c>
      <c r="CO22" s="362">
        <f>CT22-$CT$4</f>
        <v>46150</v>
      </c>
      <c r="CP22" s="332">
        <f>IF(_xlfn.XLOOKUP($E22,'[1]Import Eletra'!$B:$B,'[1]Import Eletra'!$BE:$BE,,0,1)=0,"",_xlfn.XLOOKUP($E22,'[1]Import Eletra'!$B:$B,'[1]Import Eletra'!$BE:$BE,,0,1))</f>
        <v>46157</v>
      </c>
      <c r="CQ22" s="113">
        <f>$CO$4</f>
        <v>0</v>
      </c>
      <c r="CR22" s="113">
        <f ca="1">IF(CP22="",TODAY()-CO22,CP22-CO22)</f>
        <v>7</v>
      </c>
      <c r="CS22" s="184">
        <f ca="1">CR22-CQ22</f>
        <v>7</v>
      </c>
      <c r="CT22" s="335">
        <f>CY22-$CY$4</f>
        <v>46150</v>
      </c>
      <c r="CU22" s="332">
        <f>IF(_xlfn.XLOOKUP($E22,'[1]Import Eletra'!$B:$B,'[1]Import Eletra'!$BF:$BF,,0,1)=0,"",_xlfn.XLOOKUP($E22,'[1]Import Eletra'!$B:$B,'[1]Import Eletra'!$BF:$BF,,0,1))</f>
        <v>46157</v>
      </c>
      <c r="CV22" s="113">
        <f>$CT$4</f>
        <v>0</v>
      </c>
      <c r="CW22" s="113">
        <f ca="1">IF(CU22="",TODAY()-CT22,CU22-CT22)</f>
        <v>7</v>
      </c>
      <c r="CX22" s="184">
        <f ca="1">CW22-CV22</f>
        <v>7</v>
      </c>
      <c r="CY22" s="110">
        <f>DD22-$DD$4</f>
        <v>46150</v>
      </c>
      <c r="CZ22" s="104">
        <f>IF(_xlfn.XLOOKUP($E22,'[1]Import Eletra'!$B:$B,'[1]Import Eletra'!$BF:$BF,,0,1)=0,"",_xlfn.XLOOKUP($E22,'[1]Import Eletra'!$B:$B,'[1]Import Eletra'!$BF:$BF,,0,1))</f>
        <v>46157</v>
      </c>
      <c r="DA22" s="210">
        <f>$CY$4</f>
        <v>0</v>
      </c>
      <c r="DB22" s="113">
        <f ca="1">IF(CZ22="",TODAY()-CY22,CZ22-CY22)</f>
        <v>7</v>
      </c>
      <c r="DC22" s="184">
        <f ca="1">DB22-DA22</f>
        <v>7</v>
      </c>
      <c r="DD22" s="110">
        <f>DI22-$DI$4</f>
        <v>46152</v>
      </c>
      <c r="DE22" s="104">
        <f>IF(_xlfn.XLOOKUP($E22,'[1]Import Eletra'!$B:$B,'[1]Import Eletra'!$BG:$BG,,0,1)=0,"",_xlfn.XLOOKUP($E22,'[1]Import Eletra'!$B:$B,'[1]Import Eletra'!$BG:$BG,0,1))</f>
        <v>46161</v>
      </c>
      <c r="DF22" s="113">
        <f>$DD$4</f>
        <v>2</v>
      </c>
      <c r="DG22" s="113">
        <f ca="1">IF(DE22="",TODAY()-DD22,DE22-DD22)</f>
        <v>9</v>
      </c>
      <c r="DH22" s="184">
        <f ca="1">DG22-DF22</f>
        <v>7</v>
      </c>
      <c r="DI22" s="110">
        <f>DO22-$DN$4</f>
        <v>46153</v>
      </c>
      <c r="DJ22" s="104">
        <f>IF(_xlfn.XLOOKUP($E22,'[1]Import Eletra'!$B:$B,'[1]Import Eletra'!$BH:$BH,,0,1)=0,"",_xlfn.XLOOKUP($E22,'[1]Import Eletra'!$B:$B,'[1]Import Eletra'!$BH:$BH,0,1))</f>
        <v>46161</v>
      </c>
      <c r="DK22" s="113">
        <f>$DI$4</f>
        <v>1</v>
      </c>
      <c r="DL22" s="113">
        <f ca="1">IF(DJ22="",TODAY()-DI22,DJ22-DI22)</f>
        <v>8</v>
      </c>
      <c r="DM22" s="184">
        <f ca="1">DL22-DK22</f>
        <v>7</v>
      </c>
      <c r="DN22" s="64"/>
      <c r="DO22" s="202">
        <f t="shared" si="0"/>
        <v>46154</v>
      </c>
      <c r="DP22" s="165">
        <f>IF(_xlfn.XLOOKUP($E22,'[1]Import Eletra'!$B:$B,'[1]Import Eletra'!$O:$O,,0,1)=0,"",_xlfn.XLOOKUP($E22,'[1]Import Eletra'!$B:$B,'[1]Import Eletra'!$O:$O,0,1))</f>
        <v>46161</v>
      </c>
      <c r="DQ22" s="113">
        <f>$DN$4</f>
        <v>1</v>
      </c>
      <c r="DR22" s="113">
        <f ca="1">IF(DP22="",TODAY()-DO22,DP22-DO22)</f>
        <v>7</v>
      </c>
      <c r="DS22" s="184">
        <f ca="1">DR22-DQ22</f>
        <v>6</v>
      </c>
      <c r="DT22" s="143">
        <f>_xlfn.AGGREGATE(9,6,Y22,AD22,AI22,AN22,AS22,AX22,BC22,BH22,BM22,BR22,BW22,CB22,CG22,CL22,CQ22,CV22,DF22,DK22,DQ22)</f>
        <v>7</v>
      </c>
      <c r="DU22" s="140">
        <f ca="1">IF(DP22="",TODAY()-N22,DP22-N22)</f>
        <v>14</v>
      </c>
      <c r="DV22" s="184">
        <f ca="1">DU22-DT22</f>
        <v>7</v>
      </c>
      <c r="DX22" s="185" t="s">
        <v>245</v>
      </c>
      <c r="DY22" s="108" t="str">
        <f>IF(_xlfn.XLOOKUP($E22,'[1]Import Eletra'!$B:$B,'[1]Import Eletra'!$DW:$DW,,0,1)=0,"",_xlfn.XLOOKUP($E22,'[1]Import Eletra'!$B:$B,'[1]Import Eletra'!$DW:$DW,0,1))</f>
        <v>SEFAZ HOMOLOGATION - NF/GLME</v>
      </c>
      <c r="EB22" s="287" t="s">
        <v>262</v>
      </c>
      <c r="ED22" s="406">
        <f>IF(_xlfn.XLOOKUP($E22,'[1]Import Eletra'!$B:$B,'[1]Import Eletra'!$BQ:$BQ,,0,1)=0,"",_xlfn.XLOOKUP($E22,'[1]Import Eletra'!$B:$B,'[1]Import Eletra'!$BQ:$BQ,0,1))</f>
        <v>2454.87</v>
      </c>
      <c r="EE22" s="407">
        <f>IF(_xlfn.XLOOKUP($E22,'[1]Import Eletra'!$B:$B,'[1]Import Eletra'!$BR:$BR,,0,1)=0,"",_xlfn.XLOOKUP($E22,'[1]Import Eletra'!$B:$B,'[1]Import Eletra'!$BR:$BR,0,1))</f>
        <v>46160</v>
      </c>
      <c r="EF22" s="406" t="str">
        <f>IF(_xlfn.XLOOKUP($E22,'[1]Import Eletra'!$B:$B,'[1]Import Eletra'!$BS:$BS,,0,1)=0,"",_xlfn.XLOOKUP($E22,'[1]Import Eletra'!$B:$B,'[1]Import Eletra'!$BS:$BS,0,1))</f>
        <v/>
      </c>
      <c r="EG22" s="407" t="str">
        <f>IF(_xlfn.XLOOKUP($E22,'[1]Import Eletra'!$B:$B,'[1]Import Eletra'!$BT:$BT,,0,1)=0,"",_xlfn.XLOOKUP($E22,'[1]Import Eletra'!$B:$B,'[1]Import Eletra'!$BT:$BT,0,1))</f>
        <v/>
      </c>
      <c r="EH22" s="406" t="str">
        <f>IF(_xlfn.XLOOKUP($E22,'[1]Import Eletra'!$B:$B,'[1]Import Eletra'!$BU:$BU,,0,1)=0,"",_xlfn.XLOOKUP($E22,'[1]Import Eletra'!$B:$B,'[1]Import Eletra'!$BU:$BU,0,1))</f>
        <v/>
      </c>
      <c r="EI22" s="407" t="str">
        <f>IF(_xlfn.XLOOKUP($E22,'[1]Import Eletra'!$B:$B,'[1]Import Eletra'!$BV:$BV,,0,1)=0,"",_xlfn.XLOOKUP($E22,'[1]Import Eletra'!$B:$B,'[1]Import Eletra'!$BV:$BV,0,1))</f>
        <v/>
      </c>
      <c r="EJ22" s="407" t="str">
        <f>IF(_xlfn.XLOOKUP($E22,'[1]Import Eletra'!$B:$B,'[1]Import Eletra'!$CI:$CI,,0,1)=0,"",_xlfn.XLOOKUP($E22,'[1]Import Eletra'!$B:$B,'[1]Import Eletra'!$CI:$CI,0,1))</f>
        <v/>
      </c>
      <c r="EK22" s="407" t="str">
        <f>IF(_xlfn.XLOOKUP($E22,'[1]Import Eletra'!$B:$B,'[1]Import Eletra'!$CD:$CD,,0,1)=0,"",_xlfn.XLOOKUP($E22,'[1]Import Eletra'!$B:$B,'[1]Import Eletra'!$CD:$CD,0,1))</f>
        <v/>
      </c>
      <c r="EL22" s="407" t="str">
        <f>IF(_xlfn.XLOOKUP($E22,'[1]Import Eletra'!$B:$B,'[1]Import Eletra'!$CE:$CE,,0,1)=0,"",_xlfn.XLOOKUP($E22,'[1]Import Eletra'!$B:$B,'[1]Import Eletra'!$CE:$CE,0,1))</f>
        <v/>
      </c>
      <c r="EM22" s="408" t="str">
        <f>IF(_xlfn.XLOOKUP($E22,'[1]Import Eletra'!$B:$B,'[1]Import Eletra'!$E:$E,,0,1)=0,"",_xlfn.XLOOKUP($E22,'[1]Import Eletra'!$B:$B,'[1]Import Eletra'!$E:$E,0,1))</f>
        <v>LEISIANE</v>
      </c>
      <c r="EN22" s="408" t="str">
        <f>IF(_xlfn.XLOOKUP($E22,'[1]Import Eletra'!$B:$B,'[1]Import Eletra'!$R:$R,,0,1)=0,"",_xlfn.XLOOKUP($E22,'[1]Import Eletra'!$B:$B,'[1]Import Eletra'!$R:$R,0,1))</f>
        <v/>
      </c>
      <c r="EO22" s="408" t="str">
        <f>IF(_xlfn.XLOOKUP($E22,'[1]Import Eletra'!$B:$B,'[1]Import Eletra'!$P:$P,,0,1)=0,"",_xlfn.XLOOKUP($E22,'[1]Import Eletra'!$B:$B,'[1]Import Eletra'!$P:$P,0,1))</f>
        <v>SDBLBS593295</v>
      </c>
      <c r="EP22" s="408" t="str">
        <f>IF(_xlfn.XLOOKUP($E22,'[1]Import Eletra'!$B:$B,'[1]Import Eletra'!$T:$T,,0,1)=0,"",_xlfn.XLOOKUP($E22,'[1]Import Eletra'!$B:$B,'[1]Import Eletra'!$T:$T,0,1))</f>
        <v>CGMU527113;  CGMU553254; CGMU574800</v>
      </c>
    </row>
    <row r="23" spans="1:242" ht="30" customHeight="1">
      <c r="B23" s="371" t="s">
        <v>336</v>
      </c>
      <c r="C23" s="280"/>
      <c r="D23" s="104" t="s">
        <v>251</v>
      </c>
      <c r="E23" s="212" t="s">
        <v>256</v>
      </c>
      <c r="F23" s="106">
        <f>IF(_xlfn.XLOOKUP($E23,'[1]Import Eletra'!$B:$B,'[1]Import Eletra'!$U:$U,,0,1)=0,"",_xlfn.XLOOKUP($E23,'[1]Import Eletra'!$B:$B,'[1]Import Eletra'!$U:$U,,0,1))</f>
        <v>0.5</v>
      </c>
      <c r="G23" s="107" t="s">
        <v>244</v>
      </c>
      <c r="H23" s="2" t="str">
        <f>_xlfn.XLOOKUP($E23,'[1]Import Eletra'!$B:$B,'[1]Import Eletra'!$F:$F,,0,1)</f>
        <v>DELIVERED</v>
      </c>
      <c r="I23" s="108" t="str">
        <f>_xlfn.XLOOKUP($E23,'[1]Import Eletra'!$B:$B,'[1]Import Eletra'!$G:$G,,0,1)</f>
        <v>SEA</v>
      </c>
      <c r="J23" s="326">
        <v>46054</v>
      </c>
      <c r="K23" s="109">
        <v>30</v>
      </c>
      <c r="L23" s="109">
        <f>M23-J23</f>
        <v>40</v>
      </c>
      <c r="M23" s="326">
        <f>IF(_xlfn.XLOOKUP($E23,'[1]Import Eletra'!$B:$B,'[1]Import Eletra'!$J:$J,,0,1)=0,"",_xlfn.XLOOKUP($E23,'[1]Import Eletra'!$B:$B,'[1]Import Eletra'!$J:$J,,0,1))</f>
        <v>46094</v>
      </c>
      <c r="N23" s="366">
        <f>IF(_xlfn.XLOOKUP($E23,'[1]Import Eletra'!$B:$B,'[1]Import Eletra'!$L:$L,,0,1)=0,"",_xlfn.XLOOKUP($E23,'[1]Import Eletra'!$B:$B,'[1]Import Eletra'!$L:$L,,0,1))</f>
        <v>46147</v>
      </c>
      <c r="O23" s="335">
        <f>IF(_xlfn.XLOOKUP($E23,'[1]Import Eletra'!$B:$B,'[1]Import Eletra'!$AK:$AK,,0,1)=0,"",_xlfn.XLOOKUP($E23,'[1]Import Eletra'!$B:$B,'[1]Import Eletra'!$AK:$AK,,0,1))</f>
        <v>46128</v>
      </c>
      <c r="P23" s="326">
        <f>IF(_xlfn.XLOOKUP($E23,'[1]Import Eletra'!$B:$B,'[1]Import Eletra'!$AL:$AL,,0,1)=0,"",_xlfn.XLOOKUP($E23,'[1]Import Eletra'!$B:$B,'[1]Import Eletra'!$AL:$AL,,0,1))</f>
        <v>46128</v>
      </c>
      <c r="Q23" s="326">
        <f>IF(_xlfn.XLOOKUP($E23,'[1]Import Eletra'!$B:$B,'[1]Import Eletra'!$AM:$AM,,0,1)=0,"",_xlfn.XLOOKUP($E23,'[1]Import Eletra'!$B:$B,'[1]Import Eletra'!$AM:$AM,,0,1))</f>
        <v>46129</v>
      </c>
      <c r="R23" s="326">
        <f>IF(_xlfn.XLOOKUP($E23,'[1]Import Eletra'!$B:$B,'[1]Import Eletra'!$AN:$AN,,0,1)=0,"",_xlfn.XLOOKUP($E23,'[1]Import Eletra'!$B:$B,'[1]Import Eletra'!$AN:$AN,,0,1))</f>
        <v>46129</v>
      </c>
      <c r="S23" s="326">
        <f>IF(_xlfn.XLOOKUP($E23,'[1]Import Eletra'!$B:$B,'[1]Import Eletra'!$AO:$AO,,0,1)=0,"",_xlfn.XLOOKUP($E23,'[1]Import Eletra'!$B:$B,'[1]Import Eletra'!$AO:$AO,,0,1))</f>
        <v>46129</v>
      </c>
      <c r="T23" s="326">
        <f>IF(_xlfn.XLOOKUP($E23,'[1]Import Eletra'!$B:$B,'[1]Import Eletra'!$AP:$AP,,0,1)=0,"",_xlfn.XLOOKUP($E23,'[1]Import Eletra'!$B:$B,'[1]Import Eletra'!$AP:$AP,,0,1))</f>
        <v>46129</v>
      </c>
      <c r="U23" s="326">
        <f>IF(_xlfn.XLOOKUP($E23,'[1]Import Eletra'!$B:$B,'[1]Import Eletra'!$AQ:$AQ,,0,1)=0,"",_xlfn.XLOOKUP($E23,'[1]Import Eletra'!$B:$B,'[1]Import Eletra'!$AQ:$AQ,,0,1))</f>
        <v>46130</v>
      </c>
      <c r="V23" s="339">
        <f>IF(_xlfn.XLOOKUP($E23,'[1]Import Eletra'!$B:$B,'[1]Import Eletra'!$AR:$AR,,0,1)=0,"",_xlfn.XLOOKUP($E23,'[1]Import Eletra'!$B:$B,'[1]Import Eletra'!$AR:$AR,,0,1))</f>
        <v>46150</v>
      </c>
      <c r="W23" s="335">
        <f>AB23-$AB$4</f>
        <v>46147</v>
      </c>
      <c r="X23" s="332">
        <f>IF(_xlfn.XLOOKUP($E23,'[1]Import Eletra'!$B:$B,'[1]Import Eletra'!$AS:$AS,,0,1)=0,"",_xlfn.XLOOKUP($E23,'[1]Import Eletra'!$B:$B,'[1]Import Eletra'!$AS:$AS,,0,1))</f>
        <v>46150</v>
      </c>
      <c r="Y23" s="113">
        <f>$W$4</f>
        <v>0</v>
      </c>
      <c r="Z23" s="113">
        <f ca="1">IF(X23="",TODAY()-W23,X23-W23)</f>
        <v>3</v>
      </c>
      <c r="AA23" s="184">
        <f ca="1">Z23-Y23</f>
        <v>3</v>
      </c>
      <c r="AB23" s="348">
        <f>AG23-$AB$4</f>
        <v>46147</v>
      </c>
      <c r="AC23" s="332">
        <f>IF(_xlfn.XLOOKUP($E23,'[1]Import Eletra'!$B:$B,'[1]Import Eletra'!$AD:$AD,,0,1)=0,"",_xlfn.XLOOKUP($E23,'[1]Import Eletra'!$B:$B,'[1]Import Eletra'!$AD:$AD,,0,1))</f>
        <v>46150</v>
      </c>
      <c r="AD23" s="113">
        <f>$AB$4</f>
        <v>0</v>
      </c>
      <c r="AE23" s="113">
        <f ca="1">IF(AC23="",TODAY()-AB23,AC23-AB23)</f>
        <v>3</v>
      </c>
      <c r="AF23" s="184">
        <f ca="1">AE23-AD23</f>
        <v>3</v>
      </c>
      <c r="AG23" s="355">
        <f>AL23-$AL$4</f>
        <v>46147</v>
      </c>
      <c r="AH23" s="332">
        <f>IF(_xlfn.XLOOKUP($E23,'[1]Import Eletra'!$B:$B,'[1]Import Eletra'!$AE:$AE,,0,1)=0,"",_xlfn.XLOOKUP($E23,'[1]Import Eletra'!$B:$B,'[1]Import Eletra'!$AE:$AE,,0,1))</f>
        <v>46150</v>
      </c>
      <c r="AI23" s="113">
        <f>$AG$4</f>
        <v>0</v>
      </c>
      <c r="AJ23" s="113">
        <f ca="1">IF(AH23="",TODAY()-AG23,AH23-AG23)</f>
        <v>3</v>
      </c>
      <c r="AK23" s="184">
        <f ca="1">AJ23-AI23</f>
        <v>3</v>
      </c>
      <c r="AL23" s="355">
        <f>AQ23-$AQ$4</f>
        <v>46147</v>
      </c>
      <c r="AM23" s="332">
        <f>IF(_xlfn.XLOOKUP($E23,'[1]Import Eletra'!$B:$B,'[1]Import Eletra'!$AT:$AT,,0,1)=0,"",_xlfn.XLOOKUP($E23,'[1]Import Eletra'!$B:$B,'[1]Import Eletra'!$AT:$AT,,0,1))</f>
        <v>46153</v>
      </c>
      <c r="AN23" s="113">
        <f>$AL$4</f>
        <v>0</v>
      </c>
      <c r="AO23" s="113">
        <f ca="1">IF(AM23="",TODAY()-AL23,AM23-AL23)</f>
        <v>6</v>
      </c>
      <c r="AP23" s="184">
        <f ca="1">AO23-AN23</f>
        <v>6</v>
      </c>
      <c r="AQ23" s="357">
        <f>AV23-$AV$4</f>
        <v>46148</v>
      </c>
      <c r="AR23" s="332">
        <f>IF(_xlfn.XLOOKUP($E23,'[1]Import Eletra'!$B:$B,'[1]Import Eletra'!$AU:$AU,,0,1)=0,"",_xlfn.XLOOKUP($E23,'[1]Import Eletra'!$B:$B,'[1]Import Eletra'!$AU:$AU,,0,1))</f>
        <v>46153</v>
      </c>
      <c r="AS23" s="113">
        <f>$AQ$4</f>
        <v>1</v>
      </c>
      <c r="AT23" s="113">
        <f ca="1">IF(AR23="",TODAY()-AQ23,AR23-AQ23)</f>
        <v>5</v>
      </c>
      <c r="AU23" s="184">
        <f ca="1">AT23-AS23</f>
        <v>4</v>
      </c>
      <c r="AV23" s="355">
        <f>BA23-$BA$4</f>
        <v>46148</v>
      </c>
      <c r="AW23" s="332" t="str">
        <f>IF(_xlfn.XLOOKUP($E23,'[1]Import Eletra'!$B:$B,'[1]Import Eletra'!$AV:$AV,,0,1)=0,"",_xlfn.XLOOKUP($E23,'[1]Import Eletra'!$B:$B,'[1]Import Eletra'!$AV:$AV,,0,1))</f>
        <v/>
      </c>
      <c r="AX23" s="113">
        <f>$AV$4</f>
        <v>0</v>
      </c>
      <c r="AY23" s="113">
        <f ca="1">IF(AW23="",TODAY()-AV23,AW23-AV23)</f>
        <v>63</v>
      </c>
      <c r="AZ23" s="184">
        <f ca="1">AY23-AX23</f>
        <v>63</v>
      </c>
      <c r="BA23" s="357">
        <f>BF23-$BF$4</f>
        <v>46148</v>
      </c>
      <c r="BB23" s="332" t="str">
        <f>IF(_xlfn.XLOOKUP($E23,'[1]Import Eletra'!$B:$B,'[1]Import Eletra'!$AW:$AW,,0,1)=0,"",_xlfn.XLOOKUP($E23,'[1]Import Eletra'!$B:$B,'[1]Import Eletra'!$AW:$AW,,0,1))</f>
        <v/>
      </c>
      <c r="BC23" s="113">
        <f>$BA$4</f>
        <v>0</v>
      </c>
      <c r="BD23" s="113">
        <f ca="1">IF(BB23="",TODAY()-BA23,BB23-BA23)</f>
        <v>63</v>
      </c>
      <c r="BE23" s="184">
        <f ca="1">BD23-BC23</f>
        <v>63</v>
      </c>
      <c r="BF23" s="335">
        <f>BK23-$BK$4</f>
        <v>46148</v>
      </c>
      <c r="BG23" s="332" t="str">
        <f>IF(_xlfn.XLOOKUP($E23,'[1]Import Eletra'!$B:$B,'[1]Import Eletra'!$AX:$AX,,0,1)=0,"",_xlfn.XLOOKUP($E23,'[1]Import Eletra'!$B:$B,'[1]Import Eletra'!$AX:$AX,,0,1))</f>
        <v/>
      </c>
      <c r="BH23" s="113">
        <f>$BF$4</f>
        <v>0</v>
      </c>
      <c r="BI23" s="113">
        <f ca="1">IF(BG23="",TODAY()-BF23,BG23-BF23)</f>
        <v>63</v>
      </c>
      <c r="BJ23" s="184">
        <f ca="1">BI23-BH23</f>
        <v>63</v>
      </c>
      <c r="BK23" s="362">
        <f>BP23-$BP$4</f>
        <v>46148</v>
      </c>
      <c r="BL23" s="332">
        <f>IF(_xlfn.XLOOKUP($E23,'[1]Import Eletra'!$B:$B,'[1]Import Eletra'!$AY:$AY,,0,1)=0,"",_xlfn.XLOOKUP($E23,'[1]Import Eletra'!$B:$B,'[1]Import Eletra'!$AY:$AY,,0,1))</f>
        <v>46153</v>
      </c>
      <c r="BM23" s="113">
        <f>$BK$4</f>
        <v>0</v>
      </c>
      <c r="BN23" s="113">
        <f ca="1">IF(BL23="",TODAY()-BK23,BL23-BK23)</f>
        <v>5</v>
      </c>
      <c r="BO23" s="184">
        <f ca="1">BN23-BM23</f>
        <v>5</v>
      </c>
      <c r="BP23" s="335">
        <f>BU23-$BU$4</f>
        <v>46148</v>
      </c>
      <c r="BQ23" s="332">
        <f>IF(_xlfn.XLOOKUP($E23,'[1]Import Eletra'!$B:$B,'[1]Import Eletra'!$AZ:$AZ,,0,1)=0,"",_xlfn.XLOOKUP($E23,'[1]Import Eletra'!$B:$B,'[1]Import Eletra'!$AZ:$AZ,,0,1))</f>
        <v>46153</v>
      </c>
      <c r="BR23" s="113">
        <f>$BP$4</f>
        <v>0</v>
      </c>
      <c r="BS23" s="113">
        <f ca="1">IF(BQ23="",TODAY()-BP23,BQ23-BP23)</f>
        <v>5</v>
      </c>
      <c r="BT23" s="184">
        <f ca="1">BS23-BR23</f>
        <v>5</v>
      </c>
      <c r="BU23" s="362">
        <f>BZ23-$BZ$4</f>
        <v>46150</v>
      </c>
      <c r="BV23" s="332">
        <f>IF(_xlfn.XLOOKUP($E23,'[1]Import Eletra'!$B:$B,'[1]Import Eletra'!$BA:$BA,,0,1)=0,"",_xlfn.XLOOKUP($E23,'[1]Import Eletra'!$B:$B,'[1]Import Eletra'!$BA:$BA,,0,1))</f>
        <v>46154</v>
      </c>
      <c r="BW23" s="113">
        <f>$BU$4</f>
        <v>2</v>
      </c>
      <c r="BX23" s="113">
        <f ca="1">IF(BV23="",TODAY()-BU23,BV23-BU23)</f>
        <v>4</v>
      </c>
      <c r="BY23" s="184">
        <f ca="1">BX23-BW23</f>
        <v>2</v>
      </c>
      <c r="BZ23" s="335">
        <f>CE23-$CE$4</f>
        <v>46150</v>
      </c>
      <c r="CA23" s="332">
        <f>IF(_xlfn.XLOOKUP($E23,'[1]Import Eletra'!$B:$B,'[1]Import Eletra'!$BB:$BB,,0,1)=0,"",_xlfn.XLOOKUP($E23,'[1]Import Eletra'!$B:$B,'[1]Import Eletra'!$BB:$BB,,0,1))</f>
        <v>46154</v>
      </c>
      <c r="CB23" s="113">
        <f>$BZ$4</f>
        <v>0</v>
      </c>
      <c r="CC23" s="113">
        <f ca="1">IF(CA23="",TODAY()-BZ23,CA23-BZ23)</f>
        <v>4</v>
      </c>
      <c r="CD23" s="184">
        <f ca="1">CC23-CB23</f>
        <v>4</v>
      </c>
      <c r="CE23" s="362">
        <f>CJ23-$CJ$4</f>
        <v>46150</v>
      </c>
      <c r="CF23" s="332">
        <f>IF(_xlfn.XLOOKUP($E23,'[1]Import Eletra'!$B:$B,'[1]Import Eletra'!$BC:$BC,,0,1)=0,"",_xlfn.XLOOKUP($E23,'[1]Import Eletra'!$B:$B,'[1]Import Eletra'!$BC:$BC,,0,1))</f>
        <v>46154</v>
      </c>
      <c r="CG23" s="113">
        <f>$CE$4</f>
        <v>0</v>
      </c>
      <c r="CH23" s="113">
        <f ca="1">IF(CF23="",TODAY()-CE23,CF23-CE23)</f>
        <v>4</v>
      </c>
      <c r="CI23" s="184">
        <f ca="1">CH23-CG23</f>
        <v>4</v>
      </c>
      <c r="CJ23" s="335">
        <f>CO23-$CO$4</f>
        <v>46150</v>
      </c>
      <c r="CK23" s="332">
        <f>IF(_xlfn.XLOOKUP($E23,'[1]Import Eletra'!$B:$B,'[1]Import Eletra'!$BD:$BD,,0,1)=0,"",_xlfn.XLOOKUP($E23,'[1]Import Eletra'!$B:$B,'[1]Import Eletra'!$BD:$BD,,0,1))</f>
        <v>46154</v>
      </c>
      <c r="CL23" s="113"/>
      <c r="CM23" s="113">
        <f ca="1">IF(CK23="",TODAY()-CJ23,CK23-CJ23)</f>
        <v>4</v>
      </c>
      <c r="CN23" s="184">
        <f ca="1">CM23-CL23</f>
        <v>4</v>
      </c>
      <c r="CO23" s="362">
        <f>CT23-$CT$4</f>
        <v>46150</v>
      </c>
      <c r="CP23" s="332">
        <f>IF(_xlfn.XLOOKUP($E23,'[1]Import Eletra'!$B:$B,'[1]Import Eletra'!$BE:$BE,,0,1)=0,"",_xlfn.XLOOKUP($E23,'[1]Import Eletra'!$B:$B,'[1]Import Eletra'!$BE:$BE,,0,1))</f>
        <v>46154</v>
      </c>
      <c r="CQ23" s="113">
        <f>$CO$4</f>
        <v>0</v>
      </c>
      <c r="CR23" s="113">
        <f ca="1">IF(CP23="",TODAY()-CO23,CP23-CO23)</f>
        <v>4</v>
      </c>
      <c r="CS23" s="184">
        <f ca="1">CR23-CQ23</f>
        <v>4</v>
      </c>
      <c r="CT23" s="335">
        <f>CY23-$CY$4</f>
        <v>46150</v>
      </c>
      <c r="CU23" s="332">
        <f>IF(_xlfn.XLOOKUP($E23,'[1]Import Eletra'!$B:$B,'[1]Import Eletra'!$BF:$BF,,0,1)=0,"",_xlfn.XLOOKUP($E23,'[1]Import Eletra'!$B:$B,'[1]Import Eletra'!$BF:$BF,,0,1))</f>
        <v>46154</v>
      </c>
      <c r="CV23" s="113">
        <f>$CT$4</f>
        <v>0</v>
      </c>
      <c r="CW23" s="113">
        <f ca="1">IF(CU23="",TODAY()-CT23,CU23-CT23)</f>
        <v>4</v>
      </c>
      <c r="CX23" s="184">
        <f ca="1">CW23-CV23</f>
        <v>4</v>
      </c>
      <c r="CY23" s="110">
        <f>DD23-$DD$4</f>
        <v>46150</v>
      </c>
      <c r="CZ23" s="104">
        <f>IF(_xlfn.XLOOKUP($E23,'[1]Import Eletra'!$B:$B,'[1]Import Eletra'!$BF:$BF,,0,1)=0,"",_xlfn.XLOOKUP($E23,'[1]Import Eletra'!$B:$B,'[1]Import Eletra'!$BF:$BF,,0,1))</f>
        <v>46154</v>
      </c>
      <c r="DA23" s="210">
        <f>$CY$4</f>
        <v>0</v>
      </c>
      <c r="DB23" s="113">
        <f ca="1">IF(CZ23="",TODAY()-CY23,CZ23-CY23)</f>
        <v>4</v>
      </c>
      <c r="DC23" s="184">
        <f ca="1">DB23-DA23</f>
        <v>4</v>
      </c>
      <c r="DD23" s="110">
        <f>DI23-$DI$4</f>
        <v>46152</v>
      </c>
      <c r="DE23" s="104">
        <f>IF(_xlfn.XLOOKUP($E23,'[1]Import Eletra'!$B:$B,'[1]Import Eletra'!$BG:$BG,,0,1)=0,"",_xlfn.XLOOKUP($E23,'[1]Import Eletra'!$B:$B,'[1]Import Eletra'!$BG:$BG,0,1))</f>
        <v>46156</v>
      </c>
      <c r="DF23" s="113">
        <f>$DD$4</f>
        <v>2</v>
      </c>
      <c r="DG23" s="113">
        <f ca="1">IF(DE23="",TODAY()-DD23,DE23-DD23)</f>
        <v>4</v>
      </c>
      <c r="DH23" s="184">
        <f ca="1">DG23-DF23</f>
        <v>2</v>
      </c>
      <c r="DI23" s="110">
        <f>DO23-$DN$4</f>
        <v>46153</v>
      </c>
      <c r="DJ23" s="104">
        <f>IF(_xlfn.XLOOKUP($E23,'[1]Import Eletra'!$B:$B,'[1]Import Eletra'!$BH:$BH,,0,1)=0,"",_xlfn.XLOOKUP($E23,'[1]Import Eletra'!$B:$B,'[1]Import Eletra'!$BH:$BH,0,1))</f>
        <v>46162</v>
      </c>
      <c r="DK23" s="113">
        <f>$DI$4</f>
        <v>1</v>
      </c>
      <c r="DL23" s="113">
        <f ca="1">IF(DJ23="",TODAY()-DI23,DJ23-DI23)</f>
        <v>9</v>
      </c>
      <c r="DM23" s="184">
        <f ca="1">DL23-DK23</f>
        <v>8</v>
      </c>
      <c r="DN23" s="64">
        <v>46154</v>
      </c>
      <c r="DO23" s="202">
        <f t="shared" si="0"/>
        <v>46154</v>
      </c>
      <c r="DP23" s="165">
        <f>IF(_xlfn.XLOOKUP($E23,'[1]Import Eletra'!$B:$B,'[1]Import Eletra'!$O:$O,,0,1)=0,"",_xlfn.XLOOKUP($E23,'[1]Import Eletra'!$B:$B,'[1]Import Eletra'!$O:$O,0,1))</f>
        <v>46162</v>
      </c>
      <c r="DQ23" s="113">
        <f>$DN$4</f>
        <v>1</v>
      </c>
      <c r="DR23" s="113">
        <f ca="1">IF(DP23="",TODAY()-DO23,DP23-DO23)</f>
        <v>8</v>
      </c>
      <c r="DS23" s="184">
        <f ca="1">DR23-DQ23</f>
        <v>7</v>
      </c>
      <c r="DT23" s="143">
        <v>7</v>
      </c>
      <c r="DU23" s="140">
        <f ca="1">IF(DP23="",TODAY()-N23,DP23-N23)</f>
        <v>15</v>
      </c>
      <c r="DV23" s="184">
        <f ca="1">DU23-DT23</f>
        <v>8</v>
      </c>
      <c r="DX23" s="185" t="s">
        <v>245</v>
      </c>
      <c r="DY23" s="108" t="str">
        <f>IF(_xlfn.XLOOKUP($E23,'[1]Import Eletra'!$B:$B,'[1]Import Eletra'!$DW:$DW,,0,1)=0,"",_xlfn.XLOOKUP($E23,'[1]Import Eletra'!$B:$B,'[1]Import Eletra'!$DW:$DW,0,1))</f>
        <v>SEFAZ HOMOLOGATION - NF/GLME</v>
      </c>
      <c r="EB23" s="287" t="s">
        <v>258</v>
      </c>
      <c r="ED23" s="406">
        <f>IF(_xlfn.XLOOKUP($E23,'[1]Import Eletra'!$B:$B,'[1]Import Eletra'!$BQ:$BQ,,0,1)=0,"",_xlfn.XLOOKUP($E23,'[1]Import Eletra'!$B:$B,'[1]Import Eletra'!$BQ:$BQ,0,1))</f>
        <v>409.14499999999998</v>
      </c>
      <c r="EE23" s="407">
        <f>IF(_xlfn.XLOOKUP($E23,'[1]Import Eletra'!$B:$B,'[1]Import Eletra'!$BR:$BR,,0,1)=0,"",_xlfn.XLOOKUP($E23,'[1]Import Eletra'!$B:$B,'[1]Import Eletra'!$BR:$BR,0,1))</f>
        <v>46160</v>
      </c>
      <c r="EF23" s="406" t="str">
        <f>IF(_xlfn.XLOOKUP($E23,'[1]Import Eletra'!$B:$B,'[1]Import Eletra'!$BS:$BS,,0,1)=0,"",_xlfn.XLOOKUP($E23,'[1]Import Eletra'!$B:$B,'[1]Import Eletra'!$BS:$BS,0,1))</f>
        <v/>
      </c>
      <c r="EG23" s="407" t="str">
        <f>IF(_xlfn.XLOOKUP($E23,'[1]Import Eletra'!$B:$B,'[1]Import Eletra'!$BT:$BT,,0,1)=0,"",_xlfn.XLOOKUP($E23,'[1]Import Eletra'!$B:$B,'[1]Import Eletra'!$BT:$BT,0,1))</f>
        <v/>
      </c>
      <c r="EH23" s="406" t="str">
        <f>IF(_xlfn.XLOOKUP($E23,'[1]Import Eletra'!$B:$B,'[1]Import Eletra'!$BU:$BU,,0,1)=0,"",_xlfn.XLOOKUP($E23,'[1]Import Eletra'!$B:$B,'[1]Import Eletra'!$BU:$BU,0,1))</f>
        <v/>
      </c>
      <c r="EI23" s="407" t="str">
        <f>IF(_xlfn.XLOOKUP($E23,'[1]Import Eletra'!$B:$B,'[1]Import Eletra'!$BV:$BV,,0,1)=0,"",_xlfn.XLOOKUP($E23,'[1]Import Eletra'!$B:$B,'[1]Import Eletra'!$BV:$BV,0,1))</f>
        <v/>
      </c>
      <c r="EJ23" s="407" t="str">
        <f>IF(_xlfn.XLOOKUP($E23,'[1]Import Eletra'!$B:$B,'[1]Import Eletra'!$CI:$CI,,0,1)=0,"",_xlfn.XLOOKUP($E23,'[1]Import Eletra'!$B:$B,'[1]Import Eletra'!$CI:$CI,0,1))</f>
        <v/>
      </c>
      <c r="EK23" s="407" t="str">
        <f>IF(_xlfn.XLOOKUP($E23,'[1]Import Eletra'!$B:$B,'[1]Import Eletra'!$CD:$CD,,0,1)=0,"",_xlfn.XLOOKUP($E23,'[1]Import Eletra'!$B:$B,'[1]Import Eletra'!$CD:$CD,0,1))</f>
        <v/>
      </c>
      <c r="EL23" s="407" t="str">
        <f>IF(_xlfn.XLOOKUP($E23,'[1]Import Eletra'!$B:$B,'[1]Import Eletra'!$CE:$CE,,0,1)=0,"",_xlfn.XLOOKUP($E23,'[1]Import Eletra'!$B:$B,'[1]Import Eletra'!$CE:$CE,0,1))</f>
        <v/>
      </c>
      <c r="EM23" s="408" t="str">
        <f>IF(_xlfn.XLOOKUP($E23,'[1]Import Eletra'!$B:$B,'[1]Import Eletra'!$E:$E,,0,1)=0,"",_xlfn.XLOOKUP($E23,'[1]Import Eletra'!$B:$B,'[1]Import Eletra'!$E:$E,0,1))</f>
        <v>LEISIANE</v>
      </c>
      <c r="EN23" s="408" t="str">
        <f>IF(_xlfn.XLOOKUP($E23,'[1]Import Eletra'!$B:$B,'[1]Import Eletra'!$R:$R,,0,1)=0,"",_xlfn.XLOOKUP($E23,'[1]Import Eletra'!$B:$B,'[1]Import Eletra'!$R:$R,0,1))</f>
        <v>Z-003A/2026</v>
      </c>
      <c r="EO23" s="408" t="str">
        <f>IF(_xlfn.XLOOKUP($E23,'[1]Import Eletra'!$B:$B,'[1]Import Eletra'!$P:$P,,0,1)=0,"",_xlfn.XLOOKUP($E23,'[1]Import Eletra'!$B:$B,'[1]Import Eletra'!$P:$P,0,1))</f>
        <v>SDBLBS593291</v>
      </c>
      <c r="EP23" s="408" t="str">
        <f>IF(_xlfn.XLOOKUP($E23,'[1]Import Eletra'!$B:$B,'[1]Import Eletra'!$T:$T,,0,1)=0,"",_xlfn.XLOOKUP($E23,'[1]Import Eletra'!$B:$B,'[1]Import Eletra'!$T:$T,0,1))</f>
        <v>CXRU152692/6</v>
      </c>
    </row>
    <row r="24" spans="1:242" ht="30" customHeight="1">
      <c r="B24" s="371" t="s">
        <v>336</v>
      </c>
      <c r="C24" s="280"/>
      <c r="D24" s="104" t="s">
        <v>259</v>
      </c>
      <c r="E24" s="212" t="s">
        <v>260</v>
      </c>
      <c r="F24" s="106">
        <f>IF(_xlfn.XLOOKUP($E24,'[1]Import Eletra'!$B:$B,'[1]Import Eletra'!$U:$U,,0,1)=0,"",_xlfn.XLOOKUP($E24,'[1]Import Eletra'!$B:$B,'[1]Import Eletra'!$U:$U,,0,1))</f>
        <v>0.5</v>
      </c>
      <c r="G24" s="104" t="s">
        <v>244</v>
      </c>
      <c r="H24" s="2" t="str">
        <f>_xlfn.XLOOKUP($E24,'[1]Import Eletra'!$B:$B,'[1]Import Eletra'!$F:$F,,0,1)</f>
        <v>DELIVERED</v>
      </c>
      <c r="I24" s="108" t="str">
        <f>_xlfn.XLOOKUP($E24,'[1]Import Eletra'!$B:$B,'[1]Import Eletra'!$G:$G,,0,1)</f>
        <v>SEA</v>
      </c>
      <c r="J24" s="326">
        <v>46052</v>
      </c>
      <c r="K24" s="109">
        <v>30</v>
      </c>
      <c r="L24" s="109">
        <f>M24-J24</f>
        <v>41</v>
      </c>
      <c r="M24" s="326">
        <f>IF(_xlfn.XLOOKUP($E24,'[1]Import Eletra'!$B:$B,'[1]Import Eletra'!$J:$J,,0,1)=0,"",_xlfn.XLOOKUP($E24,'[1]Import Eletra'!$B:$B,'[1]Import Eletra'!$J:$J,,0,1))</f>
        <v>46093</v>
      </c>
      <c r="N24" s="366">
        <f>IF(_xlfn.XLOOKUP($E24,'[1]Import Eletra'!$B:$B,'[1]Import Eletra'!$L:$L,,0,1)=0,"",_xlfn.XLOOKUP($E24,'[1]Import Eletra'!$B:$B,'[1]Import Eletra'!$L:$L,,0,1))</f>
        <v>46147</v>
      </c>
      <c r="O24" s="335">
        <f>IF(_xlfn.XLOOKUP($E24,'[1]Import Eletra'!$B:$B,'[1]Import Eletra'!$AK:$AK,,0,1)=0,"",_xlfn.XLOOKUP($E24,'[1]Import Eletra'!$B:$B,'[1]Import Eletra'!$AK:$AK,,0,1))</f>
        <v>46129</v>
      </c>
      <c r="P24" s="326">
        <f>IF(_xlfn.XLOOKUP($E24,'[1]Import Eletra'!$B:$B,'[1]Import Eletra'!$AL:$AL,,0,1)=0,"",_xlfn.XLOOKUP($E24,'[1]Import Eletra'!$B:$B,'[1]Import Eletra'!$AL:$AL,,0,1))</f>
        <v>46129</v>
      </c>
      <c r="Q24" s="326">
        <f>IF(_xlfn.XLOOKUP($E24,'[1]Import Eletra'!$B:$B,'[1]Import Eletra'!$AM:$AM,,0,1)=0,"",_xlfn.XLOOKUP($E24,'[1]Import Eletra'!$B:$B,'[1]Import Eletra'!$AM:$AM,,0,1))</f>
        <v>46134</v>
      </c>
      <c r="R24" s="326">
        <f>IF(_xlfn.XLOOKUP($E24,'[1]Import Eletra'!$B:$B,'[1]Import Eletra'!$AN:$AN,,0,1)=0,"",_xlfn.XLOOKUP($E24,'[1]Import Eletra'!$B:$B,'[1]Import Eletra'!$AN:$AN,,0,1))</f>
        <v>46139</v>
      </c>
      <c r="S24" s="326">
        <f>IF(_xlfn.XLOOKUP($E24,'[1]Import Eletra'!$B:$B,'[1]Import Eletra'!$AO:$AO,,0,1)=0,"",_xlfn.XLOOKUP($E24,'[1]Import Eletra'!$B:$B,'[1]Import Eletra'!$AO:$AO,,0,1))</f>
        <v>46141</v>
      </c>
      <c r="T24" s="326">
        <f>IF(_xlfn.XLOOKUP($E24,'[1]Import Eletra'!$B:$B,'[1]Import Eletra'!$AP:$AP,,0,1)=0,"",_xlfn.XLOOKUP($E24,'[1]Import Eletra'!$B:$B,'[1]Import Eletra'!$AP:$AP,,0,1))</f>
        <v>46142</v>
      </c>
      <c r="U24" s="326">
        <f>IF(_xlfn.XLOOKUP($E24,'[1]Import Eletra'!$B:$B,'[1]Import Eletra'!$AQ:$AQ,,0,1)=0,"",_xlfn.XLOOKUP($E24,'[1]Import Eletra'!$B:$B,'[1]Import Eletra'!$AQ:$AQ,,0,1))</f>
        <v>46142</v>
      </c>
      <c r="V24" s="339">
        <f>IF(_xlfn.XLOOKUP($E24,'[1]Import Eletra'!$B:$B,'[1]Import Eletra'!$AR:$AR,,0,1)=0,"",_xlfn.XLOOKUP($E24,'[1]Import Eletra'!$B:$B,'[1]Import Eletra'!$AR:$AR,,0,1))</f>
        <v>46150</v>
      </c>
      <c r="W24" s="335">
        <f>AB24-$AB$4</f>
        <v>46147</v>
      </c>
      <c r="X24" s="332">
        <f>IF(_xlfn.XLOOKUP($E24,'[1]Import Eletra'!$B:$B,'[1]Import Eletra'!$AS:$AS,,0,1)=0,"",_xlfn.XLOOKUP($E24,'[1]Import Eletra'!$B:$B,'[1]Import Eletra'!$AS:$AS,,0,1))</f>
        <v>46150</v>
      </c>
      <c r="Y24" s="112">
        <f>$W$4</f>
        <v>0</v>
      </c>
      <c r="Z24" s="112">
        <f ca="1">IF(X24="",TODAY()-W24,X24-W24)</f>
        <v>3</v>
      </c>
      <c r="AA24" s="184">
        <f ca="1">Z24-Y24</f>
        <v>3</v>
      </c>
      <c r="AB24" s="346">
        <f>AG24-$AB$4</f>
        <v>46147</v>
      </c>
      <c r="AC24" s="332">
        <f>IF(_xlfn.XLOOKUP($E24,'[1]Import Eletra'!$B:$B,'[1]Import Eletra'!$AD:$AD,,0,1)=0,"",_xlfn.XLOOKUP($E24,'[1]Import Eletra'!$B:$B,'[1]Import Eletra'!$AD:$AD,,0,1))</f>
        <v>46154</v>
      </c>
      <c r="AD24" s="112">
        <f>$AB$4</f>
        <v>0</v>
      </c>
      <c r="AE24" s="112">
        <f ca="1">IF(AC24="",TODAY()-AB24,AC24-AB24)</f>
        <v>7</v>
      </c>
      <c r="AF24" s="184">
        <f ca="1">AE24-AD24</f>
        <v>7</v>
      </c>
      <c r="AG24" s="354">
        <f>AL24-$AL$4</f>
        <v>46147</v>
      </c>
      <c r="AH24" s="332">
        <f>IF(_xlfn.XLOOKUP($E24,'[1]Import Eletra'!$B:$B,'[1]Import Eletra'!$AE:$AE,,0,1)=0,"",_xlfn.XLOOKUP($E24,'[1]Import Eletra'!$B:$B,'[1]Import Eletra'!$AE:$AE,,0,1))</f>
        <v>46154</v>
      </c>
      <c r="AI24" s="112">
        <f>$AG$4</f>
        <v>0</v>
      </c>
      <c r="AJ24" s="112">
        <f ca="1">IF(AH24="",TODAY()-AG24,AH24-AG24)</f>
        <v>7</v>
      </c>
      <c r="AK24" s="184">
        <f ca="1">AJ24-AI24</f>
        <v>7</v>
      </c>
      <c r="AL24" s="354">
        <f>AQ24-$AQ$4</f>
        <v>46147</v>
      </c>
      <c r="AM24" s="332">
        <f>IF(_xlfn.XLOOKUP($E24,'[1]Import Eletra'!$B:$B,'[1]Import Eletra'!$AT:$AT,,0,1)=0,"",_xlfn.XLOOKUP($E24,'[1]Import Eletra'!$B:$B,'[1]Import Eletra'!$AT:$AT,,0,1))</f>
        <v>46155</v>
      </c>
      <c r="AN24" s="112">
        <f>$AL$4</f>
        <v>0</v>
      </c>
      <c r="AO24" s="112">
        <f ca="1">IF(AM24="",TODAY()-AL24,AM24-AL24)</f>
        <v>8</v>
      </c>
      <c r="AP24" s="184">
        <f ca="1">AO24-AN24</f>
        <v>8</v>
      </c>
      <c r="AQ24" s="358">
        <f>AV24-$AV$4</f>
        <v>46148</v>
      </c>
      <c r="AR24" s="332" t="str">
        <f>IF(_xlfn.XLOOKUP($E24,'[1]Import Eletra'!$B:$B,'[1]Import Eletra'!$AU:$AU,,0,1)=0,"",_xlfn.XLOOKUP($E24,'[1]Import Eletra'!$B:$B,'[1]Import Eletra'!$AU:$AU,,0,1))</f>
        <v>13/05/2026</v>
      </c>
      <c r="AS24" s="112">
        <f>$AQ$4</f>
        <v>1</v>
      </c>
      <c r="AT24" s="112">
        <f ca="1">IF(AR24="",TODAY()-AQ24,AR24-AQ24)</f>
        <v>7</v>
      </c>
      <c r="AU24" s="184">
        <f ca="1">AT24-AS24</f>
        <v>6</v>
      </c>
      <c r="AV24" s="354">
        <f>BA24-$BA$4</f>
        <v>46148</v>
      </c>
      <c r="AW24" s="332" t="str">
        <f>IF(_xlfn.XLOOKUP($E24,'[1]Import Eletra'!$B:$B,'[1]Import Eletra'!$AV:$AV,,0,1)=0,"",_xlfn.XLOOKUP($E24,'[1]Import Eletra'!$B:$B,'[1]Import Eletra'!$AV:$AV,,0,1))</f>
        <v/>
      </c>
      <c r="AX24" s="112">
        <f>$AV$4</f>
        <v>0</v>
      </c>
      <c r="AY24" s="112">
        <f ca="1">IF(AW24="",TODAY()-AV24,AW24-AV24)</f>
        <v>63</v>
      </c>
      <c r="AZ24" s="184">
        <f ca="1">AY24-AX24</f>
        <v>63</v>
      </c>
      <c r="BA24" s="358">
        <f>BF24-$BF$4</f>
        <v>46148</v>
      </c>
      <c r="BB24" s="332" t="str">
        <f>IF(_xlfn.XLOOKUP($E24,'[1]Import Eletra'!$B:$B,'[1]Import Eletra'!$AW:$AW,,0,1)=0,"",_xlfn.XLOOKUP($E24,'[1]Import Eletra'!$B:$B,'[1]Import Eletra'!$AW:$AW,,0,1))</f>
        <v/>
      </c>
      <c r="BC24" s="112">
        <f>$BA$4</f>
        <v>0</v>
      </c>
      <c r="BD24" s="112">
        <f ca="1">IF(BB24="",TODAY()-BA24,BB24-BA24)</f>
        <v>63</v>
      </c>
      <c r="BE24" s="184">
        <f ca="1">BD24-BC24</f>
        <v>63</v>
      </c>
      <c r="BF24" s="335">
        <f>BK24-$BK$4</f>
        <v>46148</v>
      </c>
      <c r="BG24" s="332" t="str">
        <f>IF(_xlfn.XLOOKUP($E24,'[1]Import Eletra'!$B:$B,'[1]Import Eletra'!$AX:$AX,,0,1)=0,"",_xlfn.XLOOKUP($E24,'[1]Import Eletra'!$B:$B,'[1]Import Eletra'!$AX:$AX,,0,1))</f>
        <v/>
      </c>
      <c r="BH24" s="112">
        <f>$BF$4</f>
        <v>0</v>
      </c>
      <c r="BI24" s="112">
        <f ca="1">IF(BG24="",TODAY()-BF24,BG24-BF24)</f>
        <v>63</v>
      </c>
      <c r="BJ24" s="184">
        <f ca="1">BI24-BH24</f>
        <v>63</v>
      </c>
      <c r="BK24" s="362">
        <f>BP24-$BP$4</f>
        <v>46148</v>
      </c>
      <c r="BL24" s="332" t="str">
        <f>IF(_xlfn.XLOOKUP($E24,'[1]Import Eletra'!$B:$B,'[1]Import Eletra'!$AY:$AY,,0,1)=0,"",_xlfn.XLOOKUP($E24,'[1]Import Eletra'!$B:$B,'[1]Import Eletra'!$AY:$AY,,0,1))</f>
        <v/>
      </c>
      <c r="BM24" s="112">
        <f>$BK$4</f>
        <v>0</v>
      </c>
      <c r="BN24" s="112">
        <f ca="1">IF(BL24="",TODAY()-BK24,BL24-BK24)</f>
        <v>63</v>
      </c>
      <c r="BO24" s="184">
        <f ca="1">BN24-BM24</f>
        <v>63</v>
      </c>
      <c r="BP24" s="335">
        <f>BU24-$BU$4</f>
        <v>46148</v>
      </c>
      <c r="BQ24" s="332" t="str">
        <f>IF(_xlfn.XLOOKUP($E24,'[1]Import Eletra'!$B:$B,'[1]Import Eletra'!$AZ:$AZ,,0,1)=0,"",_xlfn.XLOOKUP($E24,'[1]Import Eletra'!$B:$B,'[1]Import Eletra'!$AZ:$AZ,,0,1))</f>
        <v/>
      </c>
      <c r="BR24" s="112">
        <f>$BP$4</f>
        <v>0</v>
      </c>
      <c r="BS24" s="112">
        <f ca="1">IF(BQ24="",TODAY()-BP24,BQ24-BP24)</f>
        <v>63</v>
      </c>
      <c r="BT24" s="184">
        <f ca="1">BS24-BR24</f>
        <v>63</v>
      </c>
      <c r="BU24" s="362">
        <f>BZ24-$BZ$4</f>
        <v>46150</v>
      </c>
      <c r="BV24" s="332" t="str">
        <f>IF(_xlfn.XLOOKUP($E24,'[1]Import Eletra'!$B:$B,'[1]Import Eletra'!$BA:$BA,,0,1)=0,"",_xlfn.XLOOKUP($E24,'[1]Import Eletra'!$B:$B,'[1]Import Eletra'!$BA:$BA,,0,1))</f>
        <v>14/05/2026</v>
      </c>
      <c r="BW24" s="112">
        <f>$BU$4</f>
        <v>2</v>
      </c>
      <c r="BX24" s="112">
        <f ca="1">IF(BV24="",TODAY()-BU24,BV24-BU24)</f>
        <v>6</v>
      </c>
      <c r="BY24" s="184">
        <f ca="1">BX24-BW24</f>
        <v>4</v>
      </c>
      <c r="BZ24" s="335">
        <f>CE24-$CE$4</f>
        <v>46150</v>
      </c>
      <c r="CA24" s="332" t="str">
        <f>IF(_xlfn.XLOOKUP($E24,'[1]Import Eletra'!$B:$B,'[1]Import Eletra'!$BB:$BB,,0,1)=0,"",_xlfn.XLOOKUP($E24,'[1]Import Eletra'!$B:$B,'[1]Import Eletra'!$BB:$BB,,0,1))</f>
        <v>14/05/2026</v>
      </c>
      <c r="CB24" s="112">
        <f>$BZ$4</f>
        <v>0</v>
      </c>
      <c r="CC24" s="112">
        <f ca="1">IF(CA24="",TODAY()-BZ24,CA24-BZ24)</f>
        <v>6</v>
      </c>
      <c r="CD24" s="184">
        <f ca="1">CC24-CB24</f>
        <v>6</v>
      </c>
      <c r="CE24" s="362">
        <f>CJ24-$CJ$4</f>
        <v>46150</v>
      </c>
      <c r="CF24" s="332">
        <f>IF(_xlfn.XLOOKUP($E24,'[1]Import Eletra'!$B:$B,'[1]Import Eletra'!$BC:$BC,,0,1)=0,"",_xlfn.XLOOKUP($E24,'[1]Import Eletra'!$B:$B,'[1]Import Eletra'!$BC:$BC,,0,1))</f>
        <v>46157</v>
      </c>
      <c r="CG24" s="112">
        <f>$CE$4</f>
        <v>0</v>
      </c>
      <c r="CH24" s="112">
        <f ca="1">IF(CF24="",TODAY()-CE24,CF24-CE24)</f>
        <v>7</v>
      </c>
      <c r="CI24" s="184">
        <f ca="1">CH24-CG24</f>
        <v>7</v>
      </c>
      <c r="CJ24" s="335">
        <f>CO24-$CO$4</f>
        <v>46150</v>
      </c>
      <c r="CK24" s="332">
        <f>IF(_xlfn.XLOOKUP($E24,'[1]Import Eletra'!$B:$B,'[1]Import Eletra'!$BD:$BD,,0,1)=0,"",_xlfn.XLOOKUP($E24,'[1]Import Eletra'!$B:$B,'[1]Import Eletra'!$BD:$BD,,0,1))</f>
        <v>46156</v>
      </c>
      <c r="CL24" s="112"/>
      <c r="CM24" s="112">
        <f ca="1">IF(CK24="",TODAY()-CJ24,CK24-CJ24)</f>
        <v>6</v>
      </c>
      <c r="CN24" s="184">
        <f ca="1">CM24-CL24</f>
        <v>6</v>
      </c>
      <c r="CO24" s="362">
        <f>CT24-$CT$4</f>
        <v>46150</v>
      </c>
      <c r="CP24" s="332">
        <f>IF(_xlfn.XLOOKUP($E24,'[1]Import Eletra'!$B:$B,'[1]Import Eletra'!$BE:$BE,,0,1)=0,"",_xlfn.XLOOKUP($E24,'[1]Import Eletra'!$B:$B,'[1]Import Eletra'!$BE:$BE,,0,1))</f>
        <v>46157</v>
      </c>
      <c r="CQ24" s="112">
        <f>$CO$4</f>
        <v>0</v>
      </c>
      <c r="CR24" s="112">
        <f ca="1">IF(CP24="",TODAY()-CO24,CP24-CO24)</f>
        <v>7</v>
      </c>
      <c r="CS24" s="184">
        <f ca="1">CR24-CQ24</f>
        <v>7</v>
      </c>
      <c r="CT24" s="335">
        <f>CY24-$CY$4</f>
        <v>46150</v>
      </c>
      <c r="CU24" s="332">
        <f>IF(_xlfn.XLOOKUP($E24,'[1]Import Eletra'!$B:$B,'[1]Import Eletra'!$BF:$BF,,0,1)=0,"",_xlfn.XLOOKUP($E24,'[1]Import Eletra'!$B:$B,'[1]Import Eletra'!$BF:$BF,,0,1))</f>
        <v>46157</v>
      </c>
      <c r="CV24" s="112">
        <f>$CT$4</f>
        <v>0</v>
      </c>
      <c r="CW24" s="112">
        <f ca="1">IF(CU24="",TODAY()-CT24,CU24-CT24)</f>
        <v>7</v>
      </c>
      <c r="CX24" s="184">
        <f ca="1">CW24-CV24</f>
        <v>7</v>
      </c>
      <c r="CY24" s="110">
        <f>DD24-$DD$4</f>
        <v>46150</v>
      </c>
      <c r="CZ24" s="104">
        <f>IF(_xlfn.XLOOKUP($E24,'[1]Import Eletra'!$B:$B,'[1]Import Eletra'!$BF:$BF,,0,1)=0,"",_xlfn.XLOOKUP($E24,'[1]Import Eletra'!$B:$B,'[1]Import Eletra'!$BF:$BF,,0,1))</f>
        <v>46157</v>
      </c>
      <c r="DA24" s="121">
        <f>$CY$4</f>
        <v>0</v>
      </c>
      <c r="DB24" s="112">
        <f ca="1">IF(CZ24="",TODAY()-CY24,CZ24-CY24)</f>
        <v>7</v>
      </c>
      <c r="DC24" s="184">
        <f ca="1">DB24-DA24</f>
        <v>7</v>
      </c>
      <c r="DD24" s="110">
        <f>DI24-$DI$4</f>
        <v>46152</v>
      </c>
      <c r="DE24" s="104">
        <f>IF(_xlfn.XLOOKUP($E24,'[1]Import Eletra'!$B:$B,'[1]Import Eletra'!$BG:$BG,,0,1)=0,"",_xlfn.XLOOKUP($E24,'[1]Import Eletra'!$B:$B,'[1]Import Eletra'!$BG:$BG,0,1))</f>
        <v>46162</v>
      </c>
      <c r="DF24" s="112">
        <f>$DD$4</f>
        <v>2</v>
      </c>
      <c r="DG24" s="112">
        <f ca="1">IF(DE24="",TODAY()-DD24,DE24-DD24)</f>
        <v>10</v>
      </c>
      <c r="DH24" s="184">
        <f ca="1">DG24-DF24</f>
        <v>8</v>
      </c>
      <c r="DI24" s="110">
        <f>DO24-$DN$4</f>
        <v>46153</v>
      </c>
      <c r="DJ24" s="104">
        <f>IF(_xlfn.XLOOKUP($E24,'[1]Import Eletra'!$B:$B,'[1]Import Eletra'!$BH:$BH,,0,1)=0,"",_xlfn.XLOOKUP($E24,'[1]Import Eletra'!$B:$B,'[1]Import Eletra'!$BH:$BH,0,1))</f>
        <v>46162</v>
      </c>
      <c r="DK24" s="112">
        <f>$DI$4</f>
        <v>1</v>
      </c>
      <c r="DL24" s="112">
        <f ca="1">IF(DJ24="",TODAY()-DI24,DJ24-DI24)</f>
        <v>9</v>
      </c>
      <c r="DM24" s="184">
        <f ca="1">DL24-DK24</f>
        <v>8</v>
      </c>
      <c r="DN24" s="64">
        <v>46154</v>
      </c>
      <c r="DO24" s="202">
        <f t="shared" si="0"/>
        <v>46154</v>
      </c>
      <c r="DP24" s="165">
        <f>IF(_xlfn.XLOOKUP($E24,'[1]Import Eletra'!$B:$B,'[1]Import Eletra'!$O:$O,,0,1)=0,"",_xlfn.XLOOKUP($E24,'[1]Import Eletra'!$B:$B,'[1]Import Eletra'!$O:$O,0,1))</f>
        <v>46162</v>
      </c>
      <c r="DQ24" s="112">
        <f>$DN$4</f>
        <v>1</v>
      </c>
      <c r="DR24" s="112">
        <f ca="1">IF(DP24="",TODAY()-DO24,DP24-DO24)</f>
        <v>8</v>
      </c>
      <c r="DS24" s="184">
        <f ca="1">DR24-DQ24</f>
        <v>7</v>
      </c>
      <c r="DT24" s="143">
        <v>7</v>
      </c>
      <c r="DU24" s="140">
        <f ca="1">IF(DP24="",TODAY()-N24,DP24-N24)</f>
        <v>15</v>
      </c>
      <c r="DV24" s="184">
        <f ca="1">DU24-DT24</f>
        <v>8</v>
      </c>
      <c r="DX24" s="185" t="s">
        <v>245</v>
      </c>
      <c r="DY24" s="108" t="str">
        <f>IF(_xlfn.XLOOKUP($E24,'[1]Import Eletra'!$B:$B,'[1]Import Eletra'!$DW:$DW,,0,1)=0,"",_xlfn.XLOOKUP($E24,'[1]Import Eletra'!$B:$B,'[1]Import Eletra'!$DW:$DW,0,1))</f>
        <v>ISSUE WITH RFB/PORT SYSTEMS</v>
      </c>
      <c r="EB24" s="287"/>
      <c r="ED24" s="406">
        <f>IF(_xlfn.XLOOKUP($E24,'[1]Import Eletra'!$B:$B,'[1]Import Eletra'!$BQ:$BQ,,0,1)=0,"",_xlfn.XLOOKUP($E24,'[1]Import Eletra'!$B:$B,'[1]Import Eletra'!$BQ:$BQ,0,1))</f>
        <v>409.14499999999998</v>
      </c>
      <c r="EE24" s="407">
        <f>IF(_xlfn.XLOOKUP($E24,'[1]Import Eletra'!$B:$B,'[1]Import Eletra'!$BR:$BR,,0,1)=0,"",_xlfn.XLOOKUP($E24,'[1]Import Eletra'!$B:$B,'[1]Import Eletra'!$BR:$BR,0,1))</f>
        <v>46160</v>
      </c>
      <c r="EF24" s="406" t="str">
        <f>IF(_xlfn.XLOOKUP($E24,'[1]Import Eletra'!$B:$B,'[1]Import Eletra'!$BS:$BS,,0,1)=0,"",_xlfn.XLOOKUP($E24,'[1]Import Eletra'!$B:$B,'[1]Import Eletra'!$BS:$BS,0,1))</f>
        <v/>
      </c>
      <c r="EG24" s="407" t="str">
        <f>IF(_xlfn.XLOOKUP($E24,'[1]Import Eletra'!$B:$B,'[1]Import Eletra'!$BT:$BT,,0,1)=0,"",_xlfn.XLOOKUP($E24,'[1]Import Eletra'!$B:$B,'[1]Import Eletra'!$BT:$BT,0,1))</f>
        <v/>
      </c>
      <c r="EH24" s="406" t="str">
        <f>IF(_xlfn.XLOOKUP($E24,'[1]Import Eletra'!$B:$B,'[1]Import Eletra'!$BU:$BU,,0,1)=0,"",_xlfn.XLOOKUP($E24,'[1]Import Eletra'!$B:$B,'[1]Import Eletra'!$BU:$BU,0,1))</f>
        <v/>
      </c>
      <c r="EI24" s="407" t="str">
        <f>IF(_xlfn.XLOOKUP($E24,'[1]Import Eletra'!$B:$B,'[1]Import Eletra'!$BV:$BV,,0,1)=0,"",_xlfn.XLOOKUP($E24,'[1]Import Eletra'!$B:$B,'[1]Import Eletra'!$BV:$BV,0,1))</f>
        <v/>
      </c>
      <c r="EJ24" s="407">
        <f>IF(_xlfn.XLOOKUP($E24,'[1]Import Eletra'!$B:$B,'[1]Import Eletra'!$CI:$CI,,0,1)=0,"",_xlfn.XLOOKUP($E24,'[1]Import Eletra'!$B:$B,'[1]Import Eletra'!$CI:$CI,0,1))</f>
        <v>46165</v>
      </c>
      <c r="EK24" s="407" t="str">
        <f>IF(_xlfn.XLOOKUP($E24,'[1]Import Eletra'!$B:$B,'[1]Import Eletra'!$CD:$CD,,0,1)=0,"",_xlfn.XLOOKUP($E24,'[1]Import Eletra'!$B:$B,'[1]Import Eletra'!$CD:$CD,0,1))</f>
        <v/>
      </c>
      <c r="EL24" s="407" t="str">
        <f>IF(_xlfn.XLOOKUP($E24,'[1]Import Eletra'!$B:$B,'[1]Import Eletra'!$CE:$CE,,0,1)=0,"",_xlfn.XLOOKUP($E24,'[1]Import Eletra'!$B:$B,'[1]Import Eletra'!$CE:$CE,0,1))</f>
        <v>NÃO</v>
      </c>
      <c r="EM24" s="408" t="str">
        <f>IF(_xlfn.XLOOKUP($E24,'[1]Import Eletra'!$B:$B,'[1]Import Eletra'!$E:$E,,0,1)=0,"",_xlfn.XLOOKUP($E24,'[1]Import Eletra'!$B:$B,'[1]Import Eletra'!$E:$E,0,1))</f>
        <v>LEISIANE</v>
      </c>
      <c r="EN24" s="408" t="str">
        <f>IF(_xlfn.XLOOKUP($E24,'[1]Import Eletra'!$B:$B,'[1]Import Eletra'!$R:$R,,0,1)=0,"",_xlfn.XLOOKUP($E24,'[1]Import Eletra'!$B:$B,'[1]Import Eletra'!$R:$R,0,1))</f>
        <v/>
      </c>
      <c r="EO24" s="408" t="str">
        <f>IF(_xlfn.XLOOKUP($E24,'[1]Import Eletra'!$B:$B,'[1]Import Eletra'!$P:$P,,0,1)=0,"",_xlfn.XLOOKUP($E24,'[1]Import Eletra'!$B:$B,'[1]Import Eletra'!$P:$P,0,1))</f>
        <v>SDBLBS593292</v>
      </c>
      <c r="EP24" s="408" t="str">
        <f>IF(_xlfn.XLOOKUP($E24,'[1]Import Eletra'!$B:$B,'[1]Import Eletra'!$T:$T,,0,1)=0,"",_xlfn.XLOOKUP($E24,'[1]Import Eletra'!$B:$B,'[1]Import Eletra'!$T:$T,0,1))</f>
        <v>CXRU152692/6</v>
      </c>
    </row>
    <row r="25" spans="1:242" ht="30" customHeight="1">
      <c r="A25" s="229"/>
      <c r="B25" s="371" t="s">
        <v>336</v>
      </c>
      <c r="C25" s="280"/>
      <c r="D25" s="104" t="s">
        <v>259</v>
      </c>
      <c r="E25" s="212" t="s">
        <v>265</v>
      </c>
      <c r="F25" s="106">
        <f>IF(_xlfn.XLOOKUP($E25,'[1]Import Eletra'!$B:$B,'[1]Import Eletra'!$U:$U,,0,1)=0,"",_xlfn.XLOOKUP($E25,'[1]Import Eletra'!$B:$B,'[1]Import Eletra'!$U:$U,,0,1))</f>
        <v>2</v>
      </c>
      <c r="G25" s="104" t="s">
        <v>244</v>
      </c>
      <c r="H25" s="2" t="str">
        <f>_xlfn.XLOOKUP($E25,'[1]Import Eletra'!$B:$B,'[1]Import Eletra'!$F:$F,,0,1)</f>
        <v>DELIVERED</v>
      </c>
      <c r="I25" s="108" t="str">
        <f>_xlfn.XLOOKUP($E25,'[1]Import Eletra'!$B:$B,'[1]Import Eletra'!$G:$G,,0,1)</f>
        <v>SEA</v>
      </c>
      <c r="J25" s="326">
        <v>46052</v>
      </c>
      <c r="K25" s="109">
        <v>30</v>
      </c>
      <c r="L25" s="109">
        <f>M25-J25</f>
        <v>42</v>
      </c>
      <c r="M25" s="326">
        <f>IF(_xlfn.XLOOKUP($E25,'[1]Import Eletra'!$B:$B,'[1]Import Eletra'!$J:$J,,0,1)=0,"",_xlfn.XLOOKUP($E25,'[1]Import Eletra'!$B:$B,'[1]Import Eletra'!$J:$J,,0,1))</f>
        <v>46094</v>
      </c>
      <c r="N25" s="366">
        <f>IF(_xlfn.XLOOKUP($E25,'[1]Import Eletra'!$B:$B,'[1]Import Eletra'!$L:$L,,0,1)=0,"",_xlfn.XLOOKUP($E25,'[1]Import Eletra'!$B:$B,'[1]Import Eletra'!$L:$L,,0,1))</f>
        <v>46147</v>
      </c>
      <c r="O25" s="335">
        <f>IF(_xlfn.XLOOKUP($E25,'[1]Import Eletra'!$B:$B,'[1]Import Eletra'!$AK:$AK,,0,1)=0,"",_xlfn.XLOOKUP($E25,'[1]Import Eletra'!$B:$B,'[1]Import Eletra'!$AK:$AK,,0,1))</f>
        <v>46135</v>
      </c>
      <c r="P25" s="326">
        <f>IF(_xlfn.XLOOKUP($E25,'[1]Import Eletra'!$B:$B,'[1]Import Eletra'!$AL:$AL,,0,1)=0,"",_xlfn.XLOOKUP($E25,'[1]Import Eletra'!$B:$B,'[1]Import Eletra'!$AL:$AL,,0,1))</f>
        <v>46140</v>
      </c>
      <c r="Q25" s="326">
        <f>IF(_xlfn.XLOOKUP($E25,'[1]Import Eletra'!$B:$B,'[1]Import Eletra'!$AM:$AM,,0,1)=0,"",_xlfn.XLOOKUP($E25,'[1]Import Eletra'!$B:$B,'[1]Import Eletra'!$AM:$AM,,0,1))</f>
        <v>46153</v>
      </c>
      <c r="R25" s="326">
        <f>IF(_xlfn.XLOOKUP($E25,'[1]Import Eletra'!$B:$B,'[1]Import Eletra'!$AN:$AN,,0,1)=0,"",_xlfn.XLOOKUP($E25,'[1]Import Eletra'!$B:$B,'[1]Import Eletra'!$AN:$AN,,0,1))</f>
        <v>46153</v>
      </c>
      <c r="S25" s="326">
        <f>IF(_xlfn.XLOOKUP($E25,'[1]Import Eletra'!$B:$B,'[1]Import Eletra'!$AO:$AO,,0,1)=0,"",_xlfn.XLOOKUP($E25,'[1]Import Eletra'!$B:$B,'[1]Import Eletra'!$AO:$AO,,0,1))</f>
        <v>46153</v>
      </c>
      <c r="T25" s="326">
        <f>IF(_xlfn.XLOOKUP($E25,'[1]Import Eletra'!$B:$B,'[1]Import Eletra'!$AP:$AP,,0,1)=0,"",_xlfn.XLOOKUP($E25,'[1]Import Eletra'!$B:$B,'[1]Import Eletra'!$AP:$AP,,0,1))</f>
        <v>46153</v>
      </c>
      <c r="U25" s="326">
        <f>IF(_xlfn.XLOOKUP($E25,'[1]Import Eletra'!$B:$B,'[1]Import Eletra'!$AQ:$AQ,,0,1)=0,"",_xlfn.XLOOKUP($E25,'[1]Import Eletra'!$B:$B,'[1]Import Eletra'!$AQ:$AQ,,0,1))</f>
        <v>46154</v>
      </c>
      <c r="V25" s="339">
        <f>IF(_xlfn.XLOOKUP($E25,'[1]Import Eletra'!$B:$B,'[1]Import Eletra'!$AR:$AR,,0,1)=0,"",_xlfn.XLOOKUP($E25,'[1]Import Eletra'!$B:$B,'[1]Import Eletra'!$AR:$AR,,0,1))</f>
        <v>46150</v>
      </c>
      <c r="W25" s="344">
        <f>AB25-$AB$5</f>
        <v>46145</v>
      </c>
      <c r="X25" s="332">
        <f>IF(_xlfn.XLOOKUP($E25,'[1]Import Eletra'!$B:$B,'[1]Import Eletra'!$AS:$AS,,0,1)=0,"",_xlfn.XLOOKUP($E25,'[1]Import Eletra'!$B:$B,'[1]Import Eletra'!$AS:$AS,,0,1))</f>
        <v>46154</v>
      </c>
      <c r="Y25" s="113">
        <f>$W$4</f>
        <v>0</v>
      </c>
      <c r="Z25" s="113">
        <f ca="1">IF(X25="",TODAY()-W25,X25-W25)</f>
        <v>9</v>
      </c>
      <c r="AA25" s="184">
        <f ca="1">Z25-Y25</f>
        <v>9</v>
      </c>
      <c r="AB25" s="348">
        <f>AG25-$AB$5</f>
        <v>46146</v>
      </c>
      <c r="AC25" s="332">
        <f>IF(_xlfn.XLOOKUP($E25,'[1]Import Eletra'!$B:$B,'[1]Import Eletra'!$AD:$AD,,0,1)=0,"",_xlfn.XLOOKUP($E25,'[1]Import Eletra'!$B:$B,'[1]Import Eletra'!$AD:$AD,,0,1))</f>
        <v>46155</v>
      </c>
      <c r="AD25" s="113">
        <f>$AB$4</f>
        <v>0</v>
      </c>
      <c r="AE25" s="113">
        <f ca="1">IF(AC25="",TODAY()-AB25,AC25-AB25)</f>
        <v>9</v>
      </c>
      <c r="AF25" s="184">
        <f ca="1">AE25-AD25</f>
        <v>9</v>
      </c>
      <c r="AG25" s="355">
        <f>AL25-$AL$5</f>
        <v>46147</v>
      </c>
      <c r="AH25" s="332">
        <f>IF(_xlfn.XLOOKUP($E25,'[1]Import Eletra'!$B:$B,'[1]Import Eletra'!$AE:$AE,,0,1)=0,"",_xlfn.XLOOKUP($E25,'[1]Import Eletra'!$B:$B,'[1]Import Eletra'!$AE:$AE,,0,1))</f>
        <v>46155</v>
      </c>
      <c r="AI25" s="113">
        <f>$AG$4</f>
        <v>0</v>
      </c>
      <c r="AJ25" s="113">
        <f ca="1">IF(AH25="",TODAY()-AG25,AH25-AG25)</f>
        <v>8</v>
      </c>
      <c r="AK25" s="184">
        <f ca="1">AJ25-AI25</f>
        <v>8</v>
      </c>
      <c r="AL25" s="355">
        <f>AQ25-$AQ$5</f>
        <v>46147</v>
      </c>
      <c r="AM25" s="332" t="str">
        <f>IF(_xlfn.XLOOKUP($E25,'[1]Import Eletra'!$B:$B,'[1]Import Eletra'!$AT:$AT,,0,1)=0,"",_xlfn.XLOOKUP($E25,'[1]Import Eletra'!$B:$B,'[1]Import Eletra'!$AT:$AT,,0,1))</f>
        <v>14/05/2026</v>
      </c>
      <c r="AN25" s="113">
        <f>$AL$4</f>
        <v>0</v>
      </c>
      <c r="AO25" s="113">
        <f ca="1">IF(AM25="",TODAY()-AL25,AM25-AL25)</f>
        <v>9</v>
      </c>
      <c r="AP25" s="184">
        <f ca="1">AO25-AN25</f>
        <v>9</v>
      </c>
      <c r="AQ25" s="357">
        <f>AV25-$AV$5</f>
        <v>46148</v>
      </c>
      <c r="AR25" s="332" t="str">
        <f>IF(_xlfn.XLOOKUP($E25,'[1]Import Eletra'!$B:$B,'[1]Import Eletra'!$AU:$AU,,0,1)=0,"",_xlfn.XLOOKUP($E25,'[1]Import Eletra'!$B:$B,'[1]Import Eletra'!$AU:$AU,,0,1))</f>
        <v>14/05/2026</v>
      </c>
      <c r="AS25" s="113">
        <f>$AQ$4</f>
        <v>1</v>
      </c>
      <c r="AT25" s="113">
        <f ca="1">IF(AR25="",TODAY()-AQ25,AR25-AQ25)</f>
        <v>8</v>
      </c>
      <c r="AU25" s="184">
        <f ca="1">AT25-AS25</f>
        <v>7</v>
      </c>
      <c r="AV25" s="355">
        <f>BA25-$BA$5</f>
        <v>46148</v>
      </c>
      <c r="AW25" s="332" t="str">
        <f>IF(_xlfn.XLOOKUP($E25,'[1]Import Eletra'!$B:$B,'[1]Import Eletra'!$AV:$AV,,0,1)=0,"",_xlfn.XLOOKUP($E25,'[1]Import Eletra'!$B:$B,'[1]Import Eletra'!$AV:$AV,,0,1))</f>
        <v/>
      </c>
      <c r="AX25" s="113">
        <f>$AV$4</f>
        <v>0</v>
      </c>
      <c r="AY25" s="113">
        <f ca="1">IF(AW25="",TODAY()-AV25,AW25-AV25)</f>
        <v>63</v>
      </c>
      <c r="AZ25" s="184">
        <f ca="1">AY25-AX25</f>
        <v>63</v>
      </c>
      <c r="BA25" s="357">
        <f>BF25-$BF$5</f>
        <v>46148</v>
      </c>
      <c r="BB25" s="332" t="str">
        <f>IF(_xlfn.XLOOKUP($E25,'[1]Import Eletra'!$B:$B,'[1]Import Eletra'!$AW:$AW,,0,1)=0,"",_xlfn.XLOOKUP($E25,'[1]Import Eletra'!$B:$B,'[1]Import Eletra'!$AW:$AW,,0,1))</f>
        <v/>
      </c>
      <c r="BC25" s="113">
        <f>$BA$4</f>
        <v>0</v>
      </c>
      <c r="BD25" s="113">
        <f ca="1">IF(BB25="",TODAY()-BA25,BB25-BA25)</f>
        <v>63</v>
      </c>
      <c r="BE25" s="184">
        <f ca="1">BD25-BC25</f>
        <v>63</v>
      </c>
      <c r="BF25" s="335">
        <f>BK25-$BK$5</f>
        <v>46148</v>
      </c>
      <c r="BG25" s="332" t="str">
        <f>IF(_xlfn.XLOOKUP($E25,'[1]Import Eletra'!$B:$B,'[1]Import Eletra'!$AX:$AX,,0,1)=0,"",_xlfn.XLOOKUP($E25,'[1]Import Eletra'!$B:$B,'[1]Import Eletra'!$AX:$AX,,0,1))</f>
        <v/>
      </c>
      <c r="BH25" s="113">
        <f>$BF$4</f>
        <v>0</v>
      </c>
      <c r="BI25" s="113">
        <f ca="1">IF(BG25="",TODAY()-BF25,BG25-BF25)</f>
        <v>63</v>
      </c>
      <c r="BJ25" s="184">
        <f ca="1">BI25-BH25</f>
        <v>63</v>
      </c>
      <c r="BK25" s="362">
        <f>BP25-$BP$5</f>
        <v>46148</v>
      </c>
      <c r="BL25" s="332" t="str">
        <f>IF(_xlfn.XLOOKUP($E25,'[1]Import Eletra'!$B:$B,'[1]Import Eletra'!$AY:$AY,,0,1)=0,"",_xlfn.XLOOKUP($E25,'[1]Import Eletra'!$B:$B,'[1]Import Eletra'!$AY:$AY,,0,1))</f>
        <v/>
      </c>
      <c r="BM25" s="113">
        <f>$BK$4</f>
        <v>0</v>
      </c>
      <c r="BN25" s="113">
        <f ca="1">IF(BL25="",TODAY()-BK25,BL25-BK25)</f>
        <v>63</v>
      </c>
      <c r="BO25" s="184">
        <f ca="1">BN25-BM25</f>
        <v>63</v>
      </c>
      <c r="BP25" s="335">
        <f>BU25-$BU$5</f>
        <v>46148</v>
      </c>
      <c r="BQ25" s="332" t="str">
        <f>IF(_xlfn.XLOOKUP($E25,'[1]Import Eletra'!$B:$B,'[1]Import Eletra'!$AZ:$AZ,,0,1)=0,"",_xlfn.XLOOKUP($E25,'[1]Import Eletra'!$B:$B,'[1]Import Eletra'!$AZ:$AZ,,0,1))</f>
        <v/>
      </c>
      <c r="BR25" s="113">
        <f>$BP$4</f>
        <v>0</v>
      </c>
      <c r="BS25" s="113">
        <f ca="1">IF(BQ25="",TODAY()-BP25,BQ25-BP25)</f>
        <v>63</v>
      </c>
      <c r="BT25" s="184">
        <f ca="1">BS25-BR25</f>
        <v>63</v>
      </c>
      <c r="BU25" s="362">
        <f>BZ25-$BZ$4</f>
        <v>46150</v>
      </c>
      <c r="BV25" s="332" t="str">
        <f>IF(_xlfn.XLOOKUP($E25,'[1]Import Eletra'!$B:$B,'[1]Import Eletra'!$BA:$BA,,0,1)=0,"",_xlfn.XLOOKUP($E25,'[1]Import Eletra'!$B:$B,'[1]Import Eletra'!$BA:$BA,,0,1))</f>
        <v>14/05/2026</v>
      </c>
      <c r="BW25" s="113">
        <f>$BU$4</f>
        <v>2</v>
      </c>
      <c r="BX25" s="113">
        <f ca="1">IF(BV25="",TODAY()-BU25,BV25-BU25)</f>
        <v>6</v>
      </c>
      <c r="BY25" s="184">
        <f ca="1">BX25-BW25</f>
        <v>4</v>
      </c>
      <c r="BZ25" s="335">
        <f>CE25-$CE$5</f>
        <v>46150</v>
      </c>
      <c r="CA25" s="332" t="str">
        <f>IF(_xlfn.XLOOKUP($E25,'[1]Import Eletra'!$B:$B,'[1]Import Eletra'!$BB:$BB,,0,1)=0,"",_xlfn.XLOOKUP($E25,'[1]Import Eletra'!$B:$B,'[1]Import Eletra'!$BB:$BB,,0,1))</f>
        <v>14/05/2026</v>
      </c>
      <c r="CB25" s="113">
        <f>$BZ$4</f>
        <v>0</v>
      </c>
      <c r="CC25" s="113">
        <f ca="1">IF(CA25="",TODAY()-BZ25,CA25-BZ25)</f>
        <v>6</v>
      </c>
      <c r="CD25" s="184">
        <f ca="1">CC25-CB25</f>
        <v>6</v>
      </c>
      <c r="CE25" s="362">
        <f>CJ25-$CJ$4</f>
        <v>46150</v>
      </c>
      <c r="CF25" s="332" t="str">
        <f>IF(_xlfn.XLOOKUP($E25,'[1]Import Eletra'!$B:$B,'[1]Import Eletra'!$BC:$BC,,0,1)=0,"",_xlfn.XLOOKUP($E25,'[1]Import Eletra'!$B:$B,'[1]Import Eletra'!$BC:$BC,,0,1))</f>
        <v>15/05/2026</v>
      </c>
      <c r="CG25" s="113">
        <f>$CE$4</f>
        <v>0</v>
      </c>
      <c r="CH25" s="113">
        <f ca="1">IF(CF25="",TODAY()-CE25,CF25-CE25)</f>
        <v>7</v>
      </c>
      <c r="CI25" s="184">
        <f ca="1">CH25-CG25</f>
        <v>7</v>
      </c>
      <c r="CJ25" s="335">
        <f>CO25-$CO$4</f>
        <v>46150</v>
      </c>
      <c r="CK25" s="332">
        <f>IF(_xlfn.XLOOKUP($E25,'[1]Import Eletra'!$B:$B,'[1]Import Eletra'!$BD:$BD,,0,1)=0,"",_xlfn.XLOOKUP($E25,'[1]Import Eletra'!$B:$B,'[1]Import Eletra'!$BD:$BD,,0,1))</f>
        <v>46156</v>
      </c>
      <c r="CL25" s="113"/>
      <c r="CM25" s="113">
        <f ca="1">IF(CK25="",TODAY()-CJ25,CK25-CJ25)</f>
        <v>6</v>
      </c>
      <c r="CN25" s="184">
        <f ca="1">CM25-CL25</f>
        <v>6</v>
      </c>
      <c r="CO25" s="362">
        <f>CT25-$CT$4</f>
        <v>46150</v>
      </c>
      <c r="CP25" s="332" t="str">
        <f>IF(_xlfn.XLOOKUP($E25,'[1]Import Eletra'!$B:$B,'[1]Import Eletra'!$BE:$BE,,0,1)=0,"",_xlfn.XLOOKUP($E25,'[1]Import Eletra'!$B:$B,'[1]Import Eletra'!$BE:$BE,,0,1))</f>
        <v>15/05/2026</v>
      </c>
      <c r="CQ25" s="113">
        <f>$CO$4</f>
        <v>0</v>
      </c>
      <c r="CR25" s="113">
        <f ca="1">IF(CP25="",TODAY()-CO25,CP25-CO25)</f>
        <v>7</v>
      </c>
      <c r="CS25" s="184">
        <f ca="1">CR25-CQ25</f>
        <v>7</v>
      </c>
      <c r="CT25" s="335">
        <f>CY25-$CY$4</f>
        <v>46150</v>
      </c>
      <c r="CU25" s="332" t="str">
        <f>IF(_xlfn.XLOOKUP($E25,'[1]Import Eletra'!$B:$B,'[1]Import Eletra'!$BF:$BF,,0,1)=0,"",_xlfn.XLOOKUP($E25,'[1]Import Eletra'!$B:$B,'[1]Import Eletra'!$BF:$BF,,0,1))</f>
        <v>15/05/2026</v>
      </c>
      <c r="CV25" s="113">
        <f>$CT$4</f>
        <v>0</v>
      </c>
      <c r="CW25" s="113">
        <f ca="1">IF(CU25="",TODAY()-CT25,CU25-CT25)</f>
        <v>7</v>
      </c>
      <c r="CX25" s="184">
        <f ca="1">CW25-CV25</f>
        <v>7</v>
      </c>
      <c r="CY25" s="110">
        <f>DD25-$DD$4</f>
        <v>46150</v>
      </c>
      <c r="CZ25" s="104" t="str">
        <f>IF(_xlfn.XLOOKUP($E25,'[1]Import Eletra'!$B:$B,'[1]Import Eletra'!$BF:$BF,,0,1)=0,"",_xlfn.XLOOKUP($E25,'[1]Import Eletra'!$B:$B,'[1]Import Eletra'!$BF:$BF,,0,1))</f>
        <v>15/05/2026</v>
      </c>
      <c r="DA25" s="210">
        <f>$CY$4</f>
        <v>0</v>
      </c>
      <c r="DB25" s="113">
        <f ca="1">IF(CZ25="",TODAY()-CY25,CZ25-CY25)</f>
        <v>7</v>
      </c>
      <c r="DC25" s="184">
        <f ca="1">DB25-DA25</f>
        <v>7</v>
      </c>
      <c r="DD25" s="110">
        <f>DI25-$DI$4</f>
        <v>46152</v>
      </c>
      <c r="DE25" s="104">
        <f>IF(_xlfn.XLOOKUP($E25,'[1]Import Eletra'!$B:$B,'[1]Import Eletra'!$BG:$BG,,0,1)=0,"",_xlfn.XLOOKUP($E25,'[1]Import Eletra'!$B:$B,'[1]Import Eletra'!$BG:$BG,0,1))</f>
        <v>46162</v>
      </c>
      <c r="DF25" s="113">
        <f>$DD$4</f>
        <v>2</v>
      </c>
      <c r="DG25" s="113">
        <f ca="1">IF(DE25="",TODAY()-DD25,DE25-DD25)</f>
        <v>10</v>
      </c>
      <c r="DH25" s="184">
        <f ca="1">DG25-DF25</f>
        <v>8</v>
      </c>
      <c r="DI25" s="110">
        <f>DO25-$DN$4</f>
        <v>46153</v>
      </c>
      <c r="DJ25" s="104">
        <f>IF(_xlfn.XLOOKUP($E25,'[1]Import Eletra'!$B:$B,'[1]Import Eletra'!$BH:$BH,,0,1)=0,"",_xlfn.XLOOKUP($E25,'[1]Import Eletra'!$B:$B,'[1]Import Eletra'!$BH:$BH,0,1))</f>
        <v>46162</v>
      </c>
      <c r="DK25" s="112">
        <f>$DI$4</f>
        <v>1</v>
      </c>
      <c r="DL25" s="112">
        <f ca="1">IF(DJ25="",TODAY()-DI25,DJ25-DI25)</f>
        <v>9</v>
      </c>
      <c r="DM25" s="184">
        <f ca="1">DL25-DK25</f>
        <v>8</v>
      </c>
      <c r="DN25" s="64"/>
      <c r="DO25" s="202">
        <f t="shared" si="0"/>
        <v>46154</v>
      </c>
      <c r="DP25" s="165">
        <f>IF(_xlfn.XLOOKUP($E25,'[1]Import Eletra'!$B:$B,'[1]Import Eletra'!$O:$O,,0,1)=0,"",_xlfn.XLOOKUP($E25,'[1]Import Eletra'!$B:$B,'[1]Import Eletra'!$O:$O,0,1))</f>
        <v>46162</v>
      </c>
      <c r="DQ25" s="112">
        <f>$DN$4</f>
        <v>1</v>
      </c>
      <c r="DR25" s="112">
        <f ca="1">IF(DP25="",TODAY()-DO25,DP25-DO25)</f>
        <v>8</v>
      </c>
      <c r="DS25" s="184">
        <f ca="1">DR25-DQ25</f>
        <v>7</v>
      </c>
      <c r="DT25" s="143">
        <v>7</v>
      </c>
      <c r="DU25" s="140">
        <f ca="1">IF(DP25="",TODAY()-N25,DP25-N25)</f>
        <v>15</v>
      </c>
      <c r="DV25" s="184">
        <f ca="1">DU25-DT25</f>
        <v>8</v>
      </c>
      <c r="DX25" s="185" t="s">
        <v>245</v>
      </c>
      <c r="DY25" s="108" t="str">
        <f>IF(_xlfn.XLOOKUP($E25,'[1]Import Eletra'!$B:$B,'[1]Import Eletra'!$DW:$DW,,0,1)=0,"",_xlfn.XLOOKUP($E25,'[1]Import Eletra'!$B:$B,'[1]Import Eletra'!$DW:$DW,0,1))</f>
        <v>SEFAZ HOMOLOGATION - NF/GLME</v>
      </c>
      <c r="EB25" s="287" t="s">
        <v>266</v>
      </c>
      <c r="ED25" s="406">
        <f>IF(_xlfn.XLOOKUP($E25,'[1]Import Eletra'!$B:$B,'[1]Import Eletra'!$BQ:$BQ,,0,1)=0,"",_xlfn.XLOOKUP($E25,'[1]Import Eletra'!$B:$B,'[1]Import Eletra'!$BQ:$BQ,0,1))</f>
        <v>1636.58</v>
      </c>
      <c r="EE25" s="407">
        <f>IF(_xlfn.XLOOKUP($E25,'[1]Import Eletra'!$B:$B,'[1]Import Eletra'!$BR:$BR,,0,1)=0,"",_xlfn.XLOOKUP($E25,'[1]Import Eletra'!$B:$B,'[1]Import Eletra'!$BR:$BR,0,1))</f>
        <v>46160</v>
      </c>
      <c r="EF25" s="406" t="str">
        <f>IF(_xlfn.XLOOKUP($E25,'[1]Import Eletra'!$B:$B,'[1]Import Eletra'!$BS:$BS,,0,1)=0,"",_xlfn.XLOOKUP($E25,'[1]Import Eletra'!$B:$B,'[1]Import Eletra'!$BS:$BS,0,1))</f>
        <v/>
      </c>
      <c r="EG25" s="407" t="str">
        <f>IF(_xlfn.XLOOKUP($E25,'[1]Import Eletra'!$B:$B,'[1]Import Eletra'!$BT:$BT,,0,1)=0,"",_xlfn.XLOOKUP($E25,'[1]Import Eletra'!$B:$B,'[1]Import Eletra'!$BT:$BT,0,1))</f>
        <v/>
      </c>
      <c r="EH25" s="406" t="str">
        <f>IF(_xlfn.XLOOKUP($E25,'[1]Import Eletra'!$B:$B,'[1]Import Eletra'!$BU:$BU,,0,1)=0,"",_xlfn.XLOOKUP($E25,'[1]Import Eletra'!$B:$B,'[1]Import Eletra'!$BU:$BU,0,1))</f>
        <v/>
      </c>
      <c r="EI25" s="407" t="str">
        <f>IF(_xlfn.XLOOKUP($E25,'[1]Import Eletra'!$B:$B,'[1]Import Eletra'!$BV:$BV,,0,1)=0,"",_xlfn.XLOOKUP($E25,'[1]Import Eletra'!$B:$B,'[1]Import Eletra'!$BV:$BV,0,1))</f>
        <v/>
      </c>
      <c r="EJ25" s="407" t="str">
        <f>IF(_xlfn.XLOOKUP($E25,'[1]Import Eletra'!$B:$B,'[1]Import Eletra'!$CI:$CI,,0,1)=0,"",_xlfn.XLOOKUP($E25,'[1]Import Eletra'!$B:$B,'[1]Import Eletra'!$CI:$CI,0,1))</f>
        <v/>
      </c>
      <c r="EK25" s="407" t="str">
        <f>IF(_xlfn.XLOOKUP($E25,'[1]Import Eletra'!$B:$B,'[1]Import Eletra'!$CD:$CD,,0,1)=0,"",_xlfn.XLOOKUP($E25,'[1]Import Eletra'!$B:$B,'[1]Import Eletra'!$CD:$CD,0,1))</f>
        <v/>
      </c>
      <c r="EL25" s="407" t="str">
        <f>IF(_xlfn.XLOOKUP($E25,'[1]Import Eletra'!$B:$B,'[1]Import Eletra'!$CE:$CE,,0,1)=0,"",_xlfn.XLOOKUP($E25,'[1]Import Eletra'!$B:$B,'[1]Import Eletra'!$CE:$CE,0,1))</f>
        <v/>
      </c>
      <c r="EM25" s="408" t="str">
        <f>IF(_xlfn.XLOOKUP($E25,'[1]Import Eletra'!$B:$B,'[1]Import Eletra'!$E:$E,,0,1)=0,"",_xlfn.XLOOKUP($E25,'[1]Import Eletra'!$B:$B,'[1]Import Eletra'!$E:$E,0,1))</f>
        <v>LEISIANE</v>
      </c>
      <c r="EN25" s="408" t="str">
        <f>IF(_xlfn.XLOOKUP($E25,'[1]Import Eletra'!$B:$B,'[1]Import Eletra'!$R:$R,,0,1)=0,"",_xlfn.XLOOKUP($E25,'[1]Import Eletra'!$B:$B,'[1]Import Eletra'!$R:$R,0,1))</f>
        <v/>
      </c>
      <c r="EO25" s="408" t="str">
        <f>IF(_xlfn.XLOOKUP($E25,'[1]Import Eletra'!$B:$B,'[1]Import Eletra'!$P:$P,,0,1)=0,"",_xlfn.XLOOKUP($E25,'[1]Import Eletra'!$B:$B,'[1]Import Eletra'!$P:$P,0,1))</f>
        <v>SDBLBS593294</v>
      </c>
      <c r="EP25" s="408" t="str">
        <f>IF(_xlfn.XLOOKUP($E25,'[1]Import Eletra'!$B:$B,'[1]Import Eletra'!$T:$T,,0,1)=0,"",_xlfn.XLOOKUP($E25,'[1]Import Eletra'!$B:$B,'[1]Import Eletra'!$T:$T,0,1))</f>
        <v>SZLU905877/3; TEMU943481/0</v>
      </c>
    </row>
    <row r="26" spans="1:242" ht="30" customHeight="1">
      <c r="A26" s="229"/>
      <c r="B26" s="371" t="s">
        <v>336</v>
      </c>
      <c r="C26" s="280"/>
      <c r="D26" s="104" t="s">
        <v>251</v>
      </c>
      <c r="E26" s="219" t="s">
        <v>267</v>
      </c>
      <c r="F26" s="169">
        <f>IF(_xlfn.XLOOKUP($E26,'[1]Import Eletra'!$B:$B,'[1]Import Eletra'!$U:$U,,0,1)=0,"",_xlfn.XLOOKUP($E26,'[1]Import Eletra'!$B:$B,'[1]Import Eletra'!$U:$U,,0,1))</f>
        <v>0.5</v>
      </c>
      <c r="G26" s="246" t="s">
        <v>244</v>
      </c>
      <c r="H26" s="2" t="str">
        <f>_xlfn.XLOOKUP($E26,'[1]Import Eletra'!$B:$B,'[1]Import Eletra'!$F:$F,,0,1)</f>
        <v>DELIVERED</v>
      </c>
      <c r="I26" s="108" t="str">
        <f>_xlfn.XLOOKUP($E26,'[1]Import Eletra'!$B:$B,'[1]Import Eletra'!$G:$G,,0,1)</f>
        <v>SEA</v>
      </c>
      <c r="J26" s="326">
        <v>46054</v>
      </c>
      <c r="K26" s="109">
        <v>30</v>
      </c>
      <c r="L26" s="109">
        <f>M26-J26</f>
        <v>40</v>
      </c>
      <c r="M26" s="326">
        <f>IF(_xlfn.XLOOKUP($E26,'[1]Import Eletra'!$B:$B,'[1]Import Eletra'!$J:$J,,0,1)=0,"",_xlfn.XLOOKUP($E26,'[1]Import Eletra'!$B:$B,'[1]Import Eletra'!$J:$J,,0,1))</f>
        <v>46094</v>
      </c>
      <c r="N26" s="366">
        <f>IF(_xlfn.XLOOKUP($E26,'[1]Import Eletra'!$B:$B,'[1]Import Eletra'!$L:$L,,0,1)=0,"",_xlfn.XLOOKUP($E26,'[1]Import Eletra'!$B:$B,'[1]Import Eletra'!$L:$L,,0,1))</f>
        <v>46147</v>
      </c>
      <c r="O26" s="335">
        <f>IF(_xlfn.XLOOKUP($E26,'[1]Import Eletra'!$B:$B,'[1]Import Eletra'!$AK:$AK,,0,1)=0,"",_xlfn.XLOOKUP($E26,'[1]Import Eletra'!$B:$B,'[1]Import Eletra'!$AK:$AK,,0,1))</f>
        <v>46132</v>
      </c>
      <c r="P26" s="326">
        <f>IF(_xlfn.XLOOKUP($E26,'[1]Import Eletra'!$B:$B,'[1]Import Eletra'!$AL:$AL,,0,1)=0,"",_xlfn.XLOOKUP($E26,'[1]Import Eletra'!$B:$B,'[1]Import Eletra'!$AL:$AL,,0,1))</f>
        <v>46140</v>
      </c>
      <c r="Q26" s="326">
        <f>IF(_xlfn.XLOOKUP($E26,'[1]Import Eletra'!$B:$B,'[1]Import Eletra'!$AM:$AM,,0,1)=0,"",_xlfn.XLOOKUP($E26,'[1]Import Eletra'!$B:$B,'[1]Import Eletra'!$AM:$AM,,0,1))</f>
        <v>46147</v>
      </c>
      <c r="R26" s="326">
        <f>IF(_xlfn.XLOOKUP($E26,'[1]Import Eletra'!$B:$B,'[1]Import Eletra'!$AN:$AN,,0,1)=0,"",_xlfn.XLOOKUP($E26,'[1]Import Eletra'!$B:$B,'[1]Import Eletra'!$AN:$AN,,0,1))</f>
        <v>46147</v>
      </c>
      <c r="S26" s="326">
        <f>IF(_xlfn.XLOOKUP($E26,'[1]Import Eletra'!$B:$B,'[1]Import Eletra'!$AO:$AO,,0,1)=0,"",_xlfn.XLOOKUP($E26,'[1]Import Eletra'!$B:$B,'[1]Import Eletra'!$AO:$AO,,0,1))</f>
        <v>46148</v>
      </c>
      <c r="T26" s="326">
        <f>IF(_xlfn.XLOOKUP($E26,'[1]Import Eletra'!$B:$B,'[1]Import Eletra'!$AP:$AP,,0,1)=0,"",_xlfn.XLOOKUP($E26,'[1]Import Eletra'!$B:$B,'[1]Import Eletra'!$AP:$AP,,0,1))</f>
        <v>46148</v>
      </c>
      <c r="U26" s="326">
        <f>IF(_xlfn.XLOOKUP($E26,'[1]Import Eletra'!$B:$B,'[1]Import Eletra'!$AQ:$AQ,,0,1)=0,"",_xlfn.XLOOKUP($E26,'[1]Import Eletra'!$B:$B,'[1]Import Eletra'!$AQ:$AQ,,0,1))</f>
        <v>46150</v>
      </c>
      <c r="V26" s="339">
        <f>IF(_xlfn.XLOOKUP($E26,'[1]Import Eletra'!$B:$B,'[1]Import Eletra'!$AR:$AR,,0,1)=0,"",_xlfn.XLOOKUP($E26,'[1]Import Eletra'!$B:$B,'[1]Import Eletra'!$AR:$AR,,0,1))</f>
        <v>46150</v>
      </c>
      <c r="W26" s="335">
        <f>AB26-$AB$4</f>
        <v>46147</v>
      </c>
      <c r="X26" s="332">
        <f>IF(_xlfn.XLOOKUP($E26,'[1]Import Eletra'!$B:$B,'[1]Import Eletra'!$AS:$AS,,0,1)=0,"",_xlfn.XLOOKUP($E26,'[1]Import Eletra'!$B:$B,'[1]Import Eletra'!$AS:$AS,,0,1))</f>
        <v>46150</v>
      </c>
      <c r="Y26" s="112">
        <f>$W$4</f>
        <v>0</v>
      </c>
      <c r="Z26" s="112">
        <f ca="1">IF(X26="",TODAY()-W26,X26-W26)</f>
        <v>3</v>
      </c>
      <c r="AA26" s="184">
        <f ca="1">Z26-Y26</f>
        <v>3</v>
      </c>
      <c r="AB26" s="346">
        <f>AG26-$AB$4</f>
        <v>46147</v>
      </c>
      <c r="AC26" s="332">
        <f>IF(_xlfn.XLOOKUP($E26,'[1]Import Eletra'!$B:$B,'[1]Import Eletra'!$AD:$AD,,0,1)=0,"",_xlfn.XLOOKUP($E26,'[1]Import Eletra'!$B:$B,'[1]Import Eletra'!$AD:$AD,,0,1))</f>
        <v>46153</v>
      </c>
      <c r="AD26" s="112">
        <f>$AB$4</f>
        <v>0</v>
      </c>
      <c r="AE26" s="112">
        <f ca="1">IF(AC26="",TODAY()-AB26,AC26-AB26)</f>
        <v>6</v>
      </c>
      <c r="AF26" s="184">
        <f ca="1">AE26-AD26</f>
        <v>6</v>
      </c>
      <c r="AG26" s="354">
        <f>AL26-$AL$4</f>
        <v>46147</v>
      </c>
      <c r="AH26" s="332">
        <f>IF(_xlfn.XLOOKUP($E26,'[1]Import Eletra'!$B:$B,'[1]Import Eletra'!$AE:$AE,,0,1)=0,"",_xlfn.XLOOKUP($E26,'[1]Import Eletra'!$B:$B,'[1]Import Eletra'!$AE:$AE,,0,1))</f>
        <v>46153</v>
      </c>
      <c r="AI26" s="112">
        <f>$AG$4</f>
        <v>0</v>
      </c>
      <c r="AJ26" s="112">
        <f ca="1">IF(AH26="",TODAY()-AG26,AH26-AG26)</f>
        <v>6</v>
      </c>
      <c r="AK26" s="184">
        <f ca="1">AJ26-AI26</f>
        <v>6</v>
      </c>
      <c r="AL26" s="354">
        <f>AQ26-$AQ$4</f>
        <v>46147</v>
      </c>
      <c r="AM26" s="332">
        <f>IF(_xlfn.XLOOKUP($E26,'[1]Import Eletra'!$B:$B,'[1]Import Eletra'!$AT:$AT,,0,1)=0,"",_xlfn.XLOOKUP($E26,'[1]Import Eletra'!$B:$B,'[1]Import Eletra'!$AT:$AT,,0,1))</f>
        <v>46153</v>
      </c>
      <c r="AN26" s="112">
        <f>$AL$4</f>
        <v>0</v>
      </c>
      <c r="AO26" s="112">
        <f ca="1">IF(AM26="",TODAY()-AL26,AM26-AL26)</f>
        <v>6</v>
      </c>
      <c r="AP26" s="184">
        <f ca="1">AO26-AN26</f>
        <v>6</v>
      </c>
      <c r="AQ26" s="358">
        <f>AV26-$AV$4</f>
        <v>46148</v>
      </c>
      <c r="AR26" s="332">
        <f>IF(_xlfn.XLOOKUP($E26,'[1]Import Eletra'!$B:$B,'[1]Import Eletra'!$AU:$AU,,0,1)=0,"",_xlfn.XLOOKUP($E26,'[1]Import Eletra'!$B:$B,'[1]Import Eletra'!$AU:$AU,,0,1))</f>
        <v>46153</v>
      </c>
      <c r="AS26" s="112">
        <f>$AQ$4</f>
        <v>1</v>
      </c>
      <c r="AT26" s="112">
        <f ca="1">IF(AR26="",TODAY()-AQ26,AR26-AQ26)</f>
        <v>5</v>
      </c>
      <c r="AU26" s="184">
        <f ca="1">AT26-AS26</f>
        <v>4</v>
      </c>
      <c r="AV26" s="354">
        <f>BA26-$BA$4</f>
        <v>46148</v>
      </c>
      <c r="AW26" s="332" t="str">
        <f>IF(_xlfn.XLOOKUP($E26,'[1]Import Eletra'!$B:$B,'[1]Import Eletra'!$AV:$AV,,0,1)=0,"",_xlfn.XLOOKUP($E26,'[1]Import Eletra'!$B:$B,'[1]Import Eletra'!$AV:$AV,,0,1))</f>
        <v/>
      </c>
      <c r="AX26" s="112">
        <f>$AV$4</f>
        <v>0</v>
      </c>
      <c r="AY26" s="112">
        <f ca="1">IF(AW26="",TODAY()-AV26,AW26-AV26)</f>
        <v>63</v>
      </c>
      <c r="AZ26" s="184">
        <f ca="1">AY26-AX26</f>
        <v>63</v>
      </c>
      <c r="BA26" s="358">
        <f>BF26-$BF$4</f>
        <v>46148</v>
      </c>
      <c r="BB26" s="332" t="str">
        <f>IF(_xlfn.XLOOKUP($E26,'[1]Import Eletra'!$B:$B,'[1]Import Eletra'!$AW:$AW,,0,1)=0,"",_xlfn.XLOOKUP($E26,'[1]Import Eletra'!$B:$B,'[1]Import Eletra'!$AW:$AW,,0,1))</f>
        <v/>
      </c>
      <c r="BC26" s="112">
        <f>$BA$4</f>
        <v>0</v>
      </c>
      <c r="BD26" s="112">
        <f ca="1">IF(BB26="",TODAY()-BA26,BB26-BA26)</f>
        <v>63</v>
      </c>
      <c r="BE26" s="184">
        <f ca="1">BD26-BC26</f>
        <v>63</v>
      </c>
      <c r="BF26" s="335">
        <f>BK26-$BK$4</f>
        <v>46148</v>
      </c>
      <c r="BG26" s="332" t="str">
        <f>IF(_xlfn.XLOOKUP($E26,'[1]Import Eletra'!$B:$B,'[1]Import Eletra'!$AX:$AX,,0,1)=0,"",_xlfn.XLOOKUP($E26,'[1]Import Eletra'!$B:$B,'[1]Import Eletra'!$AX:$AX,,0,1))</f>
        <v/>
      </c>
      <c r="BH26" s="112">
        <f>$BF$4</f>
        <v>0</v>
      </c>
      <c r="BI26" s="112">
        <f ca="1">IF(BG26="",TODAY()-BF26,BG26-BF26)</f>
        <v>63</v>
      </c>
      <c r="BJ26" s="184">
        <f ca="1">BI26-BH26</f>
        <v>63</v>
      </c>
      <c r="BK26" s="362">
        <f>BP26-$BP$4</f>
        <v>46148</v>
      </c>
      <c r="BL26" s="332">
        <f>IF(_xlfn.XLOOKUP($E26,'[1]Import Eletra'!$B:$B,'[1]Import Eletra'!$AY:$AY,,0,1)=0,"",_xlfn.XLOOKUP($E26,'[1]Import Eletra'!$B:$B,'[1]Import Eletra'!$AY:$AY,,0,1))</f>
        <v>46153</v>
      </c>
      <c r="BM26" s="112">
        <f>$BK$4</f>
        <v>0</v>
      </c>
      <c r="BN26" s="112">
        <f ca="1">IF(BL26="",TODAY()-BK26,BL26-BK26)</f>
        <v>5</v>
      </c>
      <c r="BO26" s="184">
        <f ca="1">BN26-BM26</f>
        <v>5</v>
      </c>
      <c r="BP26" s="335">
        <f>BU26-$BU$4</f>
        <v>46148</v>
      </c>
      <c r="BQ26" s="332">
        <f>IF(_xlfn.XLOOKUP($E26,'[1]Import Eletra'!$B:$B,'[1]Import Eletra'!$AZ:$AZ,,0,1)=0,"",_xlfn.XLOOKUP($E26,'[1]Import Eletra'!$B:$B,'[1]Import Eletra'!$AZ:$AZ,,0,1))</f>
        <v>46153</v>
      </c>
      <c r="BR26" s="112">
        <f>$BP$4</f>
        <v>0</v>
      </c>
      <c r="BS26" s="112">
        <f ca="1">IF(BQ26="",TODAY()-BP26,BQ26-BP26)</f>
        <v>5</v>
      </c>
      <c r="BT26" s="184">
        <f ca="1">BS26-BR26</f>
        <v>5</v>
      </c>
      <c r="BU26" s="362">
        <f>BZ26-$BZ$4</f>
        <v>46150</v>
      </c>
      <c r="BV26" s="332">
        <f>IF(_xlfn.XLOOKUP($E26,'[1]Import Eletra'!$B:$B,'[1]Import Eletra'!$BA:$BA,,0,1)=0,"",_xlfn.XLOOKUP($E26,'[1]Import Eletra'!$B:$B,'[1]Import Eletra'!$BA:$BA,,0,1))</f>
        <v>46154</v>
      </c>
      <c r="BW26" s="112">
        <f>$BU$4</f>
        <v>2</v>
      </c>
      <c r="BX26" s="112">
        <f ca="1">IF(BV26="",TODAY()-BU26,BV26-BU26)</f>
        <v>4</v>
      </c>
      <c r="BY26" s="184">
        <f ca="1">BX26-BW26</f>
        <v>2</v>
      </c>
      <c r="BZ26" s="335">
        <f>CE26-$CE$4</f>
        <v>46150</v>
      </c>
      <c r="CA26" s="332">
        <f>IF(_xlfn.XLOOKUP($E26,'[1]Import Eletra'!$B:$B,'[1]Import Eletra'!$BB:$BB,,0,1)=0,"",_xlfn.XLOOKUP($E26,'[1]Import Eletra'!$B:$B,'[1]Import Eletra'!$BB:$BB,,0,1))</f>
        <v>46154</v>
      </c>
      <c r="CB26" s="112">
        <f>$BZ$4</f>
        <v>0</v>
      </c>
      <c r="CC26" s="112">
        <f ca="1">IF(CA26="",TODAY()-BZ26,CA26-BZ26)</f>
        <v>4</v>
      </c>
      <c r="CD26" s="184">
        <f ca="1">CC26-CB26</f>
        <v>4</v>
      </c>
      <c r="CE26" s="362">
        <f>CJ26-$CJ$4</f>
        <v>46150</v>
      </c>
      <c r="CF26" s="332">
        <f>IF(_xlfn.XLOOKUP($E26,'[1]Import Eletra'!$B:$B,'[1]Import Eletra'!$BC:$BC,,0,1)=0,"",_xlfn.XLOOKUP($E26,'[1]Import Eletra'!$B:$B,'[1]Import Eletra'!$BC:$BC,,0,1))</f>
        <v>46154</v>
      </c>
      <c r="CG26" s="112">
        <f>$CE$4</f>
        <v>0</v>
      </c>
      <c r="CH26" s="112">
        <f ca="1">IF(CF26="",TODAY()-CE26,CF26-CE26)</f>
        <v>4</v>
      </c>
      <c r="CI26" s="184">
        <f ca="1">CH26-CG26</f>
        <v>4</v>
      </c>
      <c r="CJ26" s="335">
        <f>CO26-$CO$4</f>
        <v>46150</v>
      </c>
      <c r="CK26" s="332">
        <f>IF(_xlfn.XLOOKUP($E26,'[1]Import Eletra'!$B:$B,'[1]Import Eletra'!$BD:$BD,,0,1)=0,"",_xlfn.XLOOKUP($E26,'[1]Import Eletra'!$B:$B,'[1]Import Eletra'!$BD:$BD,,0,1))</f>
        <v>46154</v>
      </c>
      <c r="CL26" s="112"/>
      <c r="CM26" s="112">
        <f ca="1">IF(CK26="",TODAY()-CJ26,CK26-CJ26)</f>
        <v>4</v>
      </c>
      <c r="CN26" s="184">
        <f ca="1">CM26-CL26</f>
        <v>4</v>
      </c>
      <c r="CO26" s="362">
        <f>CT26-$CT$4</f>
        <v>46150</v>
      </c>
      <c r="CP26" s="332">
        <f>IF(_xlfn.XLOOKUP($E26,'[1]Import Eletra'!$B:$B,'[1]Import Eletra'!$BE:$BE,,0,1)=0,"",_xlfn.XLOOKUP($E26,'[1]Import Eletra'!$B:$B,'[1]Import Eletra'!$BE:$BE,,0,1))</f>
        <v>46157</v>
      </c>
      <c r="CQ26" s="112">
        <f>$CO$4</f>
        <v>0</v>
      </c>
      <c r="CR26" s="112">
        <f ca="1">IF(CP26="",TODAY()-CO26,CP26-CO26)</f>
        <v>7</v>
      </c>
      <c r="CS26" s="184">
        <f ca="1">CR26-CQ26</f>
        <v>7</v>
      </c>
      <c r="CT26" s="335">
        <f>CY26-$CY$4</f>
        <v>46150</v>
      </c>
      <c r="CU26" s="332">
        <f>IF(_xlfn.XLOOKUP($E26,'[1]Import Eletra'!$B:$B,'[1]Import Eletra'!$BF:$BF,,0,1)=0,"",_xlfn.XLOOKUP($E26,'[1]Import Eletra'!$B:$B,'[1]Import Eletra'!$BF:$BF,,0,1))</f>
        <v>46157</v>
      </c>
      <c r="CV26" s="112">
        <f>$CT$4</f>
        <v>0</v>
      </c>
      <c r="CW26" s="112">
        <f ca="1">IF(CU26="",TODAY()-CT26,CU26-CT26)</f>
        <v>7</v>
      </c>
      <c r="CX26" s="184">
        <f ca="1">CW26-CV26</f>
        <v>7</v>
      </c>
      <c r="CY26" s="110">
        <f>DD26-$DD$4</f>
        <v>46150</v>
      </c>
      <c r="CZ26" s="104">
        <f>IF(_xlfn.XLOOKUP($E26,'[1]Import Eletra'!$B:$B,'[1]Import Eletra'!$BF:$BF,,0,1)=0,"",_xlfn.XLOOKUP($E26,'[1]Import Eletra'!$B:$B,'[1]Import Eletra'!$BF:$BF,,0,1))</f>
        <v>46157</v>
      </c>
      <c r="DA26" s="121">
        <f>$CY$4</f>
        <v>0</v>
      </c>
      <c r="DB26" s="112">
        <f ca="1">IF(CZ26="",TODAY()-CY26,CZ26-CY26)</f>
        <v>7</v>
      </c>
      <c r="DC26" s="184">
        <f ca="1">DB26-DA26</f>
        <v>7</v>
      </c>
      <c r="DD26" s="110">
        <f>DI26-$DI$4</f>
        <v>46152</v>
      </c>
      <c r="DE26" s="104">
        <f>IF(_xlfn.XLOOKUP($E26,'[1]Import Eletra'!$B:$B,'[1]Import Eletra'!$BG:$BG,,0,1)=0,"",_xlfn.XLOOKUP($E26,'[1]Import Eletra'!$B:$B,'[1]Import Eletra'!$BG:$BG,0,1))</f>
        <v>46162</v>
      </c>
      <c r="DF26" s="112">
        <f>$DD$4</f>
        <v>2</v>
      </c>
      <c r="DG26" s="112">
        <f ca="1">IF(DE26="",TODAY()-DD26,DE26-DD26)</f>
        <v>10</v>
      </c>
      <c r="DH26" s="184">
        <f ca="1">DG26-DF26</f>
        <v>8</v>
      </c>
      <c r="DI26" s="110">
        <f>DO26-$DN$4</f>
        <v>46153</v>
      </c>
      <c r="DJ26" s="104">
        <f>IF(_xlfn.XLOOKUP($E26,'[1]Import Eletra'!$B:$B,'[1]Import Eletra'!$BH:$BH,,0,1)=0,"",_xlfn.XLOOKUP($E26,'[1]Import Eletra'!$B:$B,'[1]Import Eletra'!$BH:$BH,0,1))</f>
        <v>46162</v>
      </c>
      <c r="DK26" s="112">
        <f>$DI$4</f>
        <v>1</v>
      </c>
      <c r="DL26" s="112">
        <f ca="1">IF(DJ26="",TODAY()-DI26,DJ26-DI26)</f>
        <v>9</v>
      </c>
      <c r="DM26" s="184">
        <f ca="1">DL26-DK26</f>
        <v>8</v>
      </c>
      <c r="DN26" s="64"/>
      <c r="DO26" s="202">
        <f t="shared" si="0"/>
        <v>46154</v>
      </c>
      <c r="DP26" s="165">
        <f>IF(_xlfn.XLOOKUP($E26,'[1]Import Eletra'!$B:$B,'[1]Import Eletra'!$O:$O,,0,1)=0,"",_xlfn.XLOOKUP($E26,'[1]Import Eletra'!$B:$B,'[1]Import Eletra'!$O:$O,0,1))</f>
        <v>46162</v>
      </c>
      <c r="DQ26" s="112">
        <f>$DN$4</f>
        <v>1</v>
      </c>
      <c r="DR26" s="112">
        <f ca="1">IF(DP26="",TODAY()-DO26,DP26-DO26)</f>
        <v>8</v>
      </c>
      <c r="DS26" s="184">
        <f ca="1">DR26-DQ26</f>
        <v>7</v>
      </c>
      <c r="DT26" s="143">
        <f>_xlfn.AGGREGATE(9,6,Y26,AD26,AI26,AN26,AS26,AX26,BC26,BH26,BM26,BR26,BW26,CB26,CG26,CL26,CQ26,CV26,DF26,DK26,DQ26)</f>
        <v>7</v>
      </c>
      <c r="DU26" s="140">
        <f ca="1">IF(DP26="",TODAY()-N26,DP26-N26)</f>
        <v>15</v>
      </c>
      <c r="DV26" s="184">
        <f ca="1">DU26-DT26</f>
        <v>8</v>
      </c>
      <c r="DX26" s="185" t="s">
        <v>245</v>
      </c>
      <c r="DY26" s="108" t="str">
        <f>IF(_xlfn.XLOOKUP($E26,'[1]Import Eletra'!$B:$B,'[1]Import Eletra'!$DW:$DW,,0,1)=0,"",_xlfn.XLOOKUP($E26,'[1]Import Eletra'!$B:$B,'[1]Import Eletra'!$DW:$DW,0,1))</f>
        <v>SEFAZ HOMOLOGATION - NF/GLME</v>
      </c>
      <c r="EB26" s="287" t="s">
        <v>268</v>
      </c>
      <c r="ED26" s="406">
        <f>IF(_xlfn.XLOOKUP($E26,'[1]Import Eletra'!$B:$B,'[1]Import Eletra'!$BQ:$BQ,,0,1)=0,"",_xlfn.XLOOKUP($E26,'[1]Import Eletra'!$B:$B,'[1]Import Eletra'!$BQ:$BQ,0,1))</f>
        <v>409.14499999999998</v>
      </c>
      <c r="EE26" s="407">
        <f>IF(_xlfn.XLOOKUP($E26,'[1]Import Eletra'!$B:$B,'[1]Import Eletra'!$BR:$BR,,0,1)=0,"",_xlfn.XLOOKUP($E26,'[1]Import Eletra'!$B:$B,'[1]Import Eletra'!$BR:$BR,0,1))</f>
        <v>46160</v>
      </c>
      <c r="EF26" s="406" t="str">
        <f>IF(_xlfn.XLOOKUP($E26,'[1]Import Eletra'!$B:$B,'[1]Import Eletra'!$BS:$BS,,0,1)=0,"",_xlfn.XLOOKUP($E26,'[1]Import Eletra'!$B:$B,'[1]Import Eletra'!$BS:$BS,0,1))</f>
        <v/>
      </c>
      <c r="EG26" s="407" t="str">
        <f>IF(_xlfn.XLOOKUP($E26,'[1]Import Eletra'!$B:$B,'[1]Import Eletra'!$BT:$BT,,0,1)=0,"",_xlfn.XLOOKUP($E26,'[1]Import Eletra'!$B:$B,'[1]Import Eletra'!$BT:$BT,0,1))</f>
        <v/>
      </c>
      <c r="EH26" s="406" t="str">
        <f>IF(_xlfn.XLOOKUP($E26,'[1]Import Eletra'!$B:$B,'[1]Import Eletra'!$BU:$BU,,0,1)=0,"",_xlfn.XLOOKUP($E26,'[1]Import Eletra'!$B:$B,'[1]Import Eletra'!$BU:$BU,0,1))</f>
        <v/>
      </c>
      <c r="EI26" s="407" t="str">
        <f>IF(_xlfn.XLOOKUP($E26,'[1]Import Eletra'!$B:$B,'[1]Import Eletra'!$BV:$BV,,0,1)=0,"",_xlfn.XLOOKUP($E26,'[1]Import Eletra'!$B:$B,'[1]Import Eletra'!$BV:$BV,0,1))</f>
        <v/>
      </c>
      <c r="EJ26" s="407" t="str">
        <f>IF(_xlfn.XLOOKUP($E26,'[1]Import Eletra'!$B:$B,'[1]Import Eletra'!$CI:$CI,,0,1)=0,"",_xlfn.XLOOKUP($E26,'[1]Import Eletra'!$B:$B,'[1]Import Eletra'!$CI:$CI,0,1))</f>
        <v/>
      </c>
      <c r="EK26" s="407" t="str">
        <f>IF(_xlfn.XLOOKUP($E26,'[1]Import Eletra'!$B:$B,'[1]Import Eletra'!$CD:$CD,,0,1)=0,"",_xlfn.XLOOKUP($E26,'[1]Import Eletra'!$B:$B,'[1]Import Eletra'!$CD:$CD,0,1))</f>
        <v/>
      </c>
      <c r="EL26" s="407" t="str">
        <f>IF(_xlfn.XLOOKUP($E26,'[1]Import Eletra'!$B:$B,'[1]Import Eletra'!$CE:$CE,,0,1)=0,"",_xlfn.XLOOKUP($E26,'[1]Import Eletra'!$B:$B,'[1]Import Eletra'!$CE:$CE,0,1))</f>
        <v/>
      </c>
      <c r="EM26" s="408" t="str">
        <f>IF(_xlfn.XLOOKUP($E26,'[1]Import Eletra'!$B:$B,'[1]Import Eletra'!$E:$E,,0,1)=0,"",_xlfn.XLOOKUP($E26,'[1]Import Eletra'!$B:$B,'[1]Import Eletra'!$E:$E,0,1))</f>
        <v>LEISIANE</v>
      </c>
      <c r="EN26" s="408" t="str">
        <f>IF(_xlfn.XLOOKUP($E26,'[1]Import Eletra'!$B:$B,'[1]Import Eletra'!$R:$R,,0,1)=0,"",_xlfn.XLOOKUP($E26,'[1]Import Eletra'!$B:$B,'[1]Import Eletra'!$R:$R,0,1))</f>
        <v/>
      </c>
      <c r="EO26" s="408" t="str">
        <f>IF(_xlfn.XLOOKUP($E26,'[1]Import Eletra'!$B:$B,'[1]Import Eletra'!$P:$P,,0,1)=0,"",_xlfn.XLOOKUP($E26,'[1]Import Eletra'!$B:$B,'[1]Import Eletra'!$P:$P,0,1))</f>
        <v>SDBLBS593296</v>
      </c>
      <c r="EP26" s="408" t="str">
        <f>IF(_xlfn.XLOOKUP($E26,'[1]Import Eletra'!$B:$B,'[1]Import Eletra'!$T:$T,,0,1)=0,"",_xlfn.XLOOKUP($E26,'[1]Import Eletra'!$B:$B,'[1]Import Eletra'!$T:$T,0,1))</f>
        <v>TTNU837503/8</v>
      </c>
    </row>
    <row r="27" spans="1:242" ht="30" customHeight="1">
      <c r="A27" s="229"/>
      <c r="B27" s="371" t="s">
        <v>336</v>
      </c>
      <c r="C27" s="280"/>
      <c r="D27" s="104" t="s">
        <v>269</v>
      </c>
      <c r="E27" s="212" t="s">
        <v>270</v>
      </c>
      <c r="F27" s="106">
        <f>IF(_xlfn.XLOOKUP($E27,'[1]Import Eletra'!$B:$B,'[1]Import Eletra'!$U:$U,,0,1)=0,"",_xlfn.XLOOKUP($E27,'[1]Import Eletra'!$B:$B,'[1]Import Eletra'!$U:$U,,0,1))</f>
        <v>0.5</v>
      </c>
      <c r="G27" s="104" t="s">
        <v>244</v>
      </c>
      <c r="H27" s="2" t="str">
        <f>_xlfn.XLOOKUP($E27,'[1]Import Eletra'!$B:$B,'[1]Import Eletra'!$F:$F,,0,1)</f>
        <v>DELIVERED</v>
      </c>
      <c r="I27" s="108" t="str">
        <f>_xlfn.XLOOKUP($E27,'[1]Import Eletra'!$B:$B,'[1]Import Eletra'!$G:$G,,0,1)</f>
        <v>SEA</v>
      </c>
      <c r="J27" s="326">
        <v>45899</v>
      </c>
      <c r="K27" s="109">
        <v>30</v>
      </c>
      <c r="L27" s="109">
        <f>M27-J27</f>
        <v>195</v>
      </c>
      <c r="M27" s="326">
        <f>IF(_xlfn.XLOOKUP($E27,'[1]Import Eletra'!$B:$B,'[1]Import Eletra'!$J:$J,,0,1)=0,"",_xlfn.XLOOKUP($E27,'[1]Import Eletra'!$B:$B,'[1]Import Eletra'!$J:$J,,0,1))</f>
        <v>46094</v>
      </c>
      <c r="N27" s="366">
        <f>IF(_xlfn.XLOOKUP($E27,'[1]Import Eletra'!$B:$B,'[1]Import Eletra'!$L:$L,,0,1)=0,"",_xlfn.XLOOKUP($E27,'[1]Import Eletra'!$B:$B,'[1]Import Eletra'!$L:$L,,0,1))</f>
        <v>46147</v>
      </c>
      <c r="O27" s="335">
        <f>IF(_xlfn.XLOOKUP($E27,'[1]Import Eletra'!$B:$B,'[1]Import Eletra'!$AK:$AK,,0,1)=0,"",_xlfn.XLOOKUP($E27,'[1]Import Eletra'!$B:$B,'[1]Import Eletra'!$AK:$AK,,0,1))</f>
        <v>46132</v>
      </c>
      <c r="P27" s="326">
        <f>IF(_xlfn.XLOOKUP($E27,'[1]Import Eletra'!$B:$B,'[1]Import Eletra'!$AL:$AL,,0,1)=0,"",_xlfn.XLOOKUP($E27,'[1]Import Eletra'!$B:$B,'[1]Import Eletra'!$AL:$AL,,0,1))</f>
        <v>46140</v>
      </c>
      <c r="Q27" s="326">
        <f>IF(_xlfn.XLOOKUP($E27,'[1]Import Eletra'!$B:$B,'[1]Import Eletra'!$AM:$AM,,0,1)=0,"",_xlfn.XLOOKUP($E27,'[1]Import Eletra'!$B:$B,'[1]Import Eletra'!$AM:$AM,,0,1))</f>
        <v>46146</v>
      </c>
      <c r="R27" s="326">
        <f>IF(_xlfn.XLOOKUP($E27,'[1]Import Eletra'!$B:$B,'[1]Import Eletra'!$AN:$AN,,0,1)=0,"",_xlfn.XLOOKUP($E27,'[1]Import Eletra'!$B:$B,'[1]Import Eletra'!$AN:$AN,,0,1))</f>
        <v>46147</v>
      </c>
      <c r="S27" s="326">
        <f>IF(_xlfn.XLOOKUP($E27,'[1]Import Eletra'!$B:$B,'[1]Import Eletra'!$AO:$AO,,0,1)=0,"",_xlfn.XLOOKUP($E27,'[1]Import Eletra'!$B:$B,'[1]Import Eletra'!$AO:$AO,,0,1))</f>
        <v>46148</v>
      </c>
      <c r="T27" s="326">
        <f>IF(_xlfn.XLOOKUP($E27,'[1]Import Eletra'!$B:$B,'[1]Import Eletra'!$AP:$AP,,0,1)=0,"",_xlfn.XLOOKUP($E27,'[1]Import Eletra'!$B:$B,'[1]Import Eletra'!$AP:$AP,,0,1))</f>
        <v>46148</v>
      </c>
      <c r="U27" s="326">
        <f>IF(_xlfn.XLOOKUP($E27,'[1]Import Eletra'!$B:$B,'[1]Import Eletra'!$AQ:$AQ,,0,1)=0,"",_xlfn.XLOOKUP($E27,'[1]Import Eletra'!$B:$B,'[1]Import Eletra'!$AQ:$AQ,,0,1))</f>
        <v>46150</v>
      </c>
      <c r="V27" s="339">
        <f>IF(_xlfn.XLOOKUP($E27,'[1]Import Eletra'!$B:$B,'[1]Import Eletra'!$AR:$AR,,0,1)=0,"",_xlfn.XLOOKUP($E27,'[1]Import Eletra'!$B:$B,'[1]Import Eletra'!$AR:$AR,,0,1))</f>
        <v>46150</v>
      </c>
      <c r="W27" s="344">
        <f>AB27-$AB$4</f>
        <v>46147</v>
      </c>
      <c r="X27" s="332">
        <f>IF(_xlfn.XLOOKUP($E27,'[1]Import Eletra'!$B:$B,'[1]Import Eletra'!$AS:$AS,,0,1)=0,"",_xlfn.XLOOKUP($E27,'[1]Import Eletra'!$B:$B,'[1]Import Eletra'!$AS:$AS,,0,1))</f>
        <v>46150</v>
      </c>
      <c r="Y27" s="113">
        <f>$W$4</f>
        <v>0</v>
      </c>
      <c r="Z27" s="113">
        <f ca="1">IF(X27="",TODAY()-W27,X27-W27)</f>
        <v>3</v>
      </c>
      <c r="AA27" s="184">
        <f ca="1">Z27-Y27</f>
        <v>3</v>
      </c>
      <c r="AB27" s="348">
        <f>AG27-$AB$4</f>
        <v>46147</v>
      </c>
      <c r="AC27" s="332">
        <f>IF(_xlfn.XLOOKUP($E27,'[1]Import Eletra'!$B:$B,'[1]Import Eletra'!$AD:$AD,,0,1)=0,"",_xlfn.XLOOKUP($E27,'[1]Import Eletra'!$B:$B,'[1]Import Eletra'!$AD:$AD,,0,1))</f>
        <v>46153</v>
      </c>
      <c r="AD27" s="113">
        <f>$AB$4</f>
        <v>0</v>
      </c>
      <c r="AE27" s="113">
        <f ca="1">IF(AC27="",TODAY()-AB27,AC27-AB27)</f>
        <v>6</v>
      </c>
      <c r="AF27" s="184">
        <f ca="1">AE27-AD27</f>
        <v>6</v>
      </c>
      <c r="AG27" s="355">
        <f>AL27-$AL$4</f>
        <v>46147</v>
      </c>
      <c r="AH27" s="332">
        <f>IF(_xlfn.XLOOKUP($E27,'[1]Import Eletra'!$B:$B,'[1]Import Eletra'!$AE:$AE,,0,1)=0,"",_xlfn.XLOOKUP($E27,'[1]Import Eletra'!$B:$B,'[1]Import Eletra'!$AE:$AE,,0,1))</f>
        <v>46153</v>
      </c>
      <c r="AI27" s="113">
        <f>$AG$4</f>
        <v>0</v>
      </c>
      <c r="AJ27" s="113">
        <f ca="1">IF(AH27="",TODAY()-AG27,AH27-AG27)</f>
        <v>6</v>
      </c>
      <c r="AK27" s="184">
        <f ca="1">AJ27-AI27</f>
        <v>6</v>
      </c>
      <c r="AL27" s="355">
        <f>AQ27-$AQ$4</f>
        <v>46147</v>
      </c>
      <c r="AM27" s="332">
        <f>IF(_xlfn.XLOOKUP($E27,'[1]Import Eletra'!$B:$B,'[1]Import Eletra'!$AT:$AT,,0,1)=0,"",_xlfn.XLOOKUP($E27,'[1]Import Eletra'!$B:$B,'[1]Import Eletra'!$AT:$AT,,0,1))</f>
        <v>46153</v>
      </c>
      <c r="AN27" s="113">
        <f>$AL$4</f>
        <v>0</v>
      </c>
      <c r="AO27" s="113">
        <f ca="1">IF(AM27="",TODAY()-AL27,AM27-AL27)</f>
        <v>6</v>
      </c>
      <c r="AP27" s="184">
        <f ca="1">AO27-AN27</f>
        <v>6</v>
      </c>
      <c r="AQ27" s="357">
        <f>AV27-$AV$4</f>
        <v>46148</v>
      </c>
      <c r="AR27" s="332">
        <f>IF(_xlfn.XLOOKUP($E27,'[1]Import Eletra'!$B:$B,'[1]Import Eletra'!$AU:$AU,,0,1)=0,"",_xlfn.XLOOKUP($E27,'[1]Import Eletra'!$B:$B,'[1]Import Eletra'!$AU:$AU,,0,1))</f>
        <v>46153</v>
      </c>
      <c r="AS27" s="113">
        <f>$AQ$4</f>
        <v>1</v>
      </c>
      <c r="AT27" s="113">
        <f ca="1">IF(AR27="",TODAY()-AQ27,AR27-AQ27)</f>
        <v>5</v>
      </c>
      <c r="AU27" s="184">
        <f ca="1">AT27-AS27</f>
        <v>4</v>
      </c>
      <c r="AV27" s="355">
        <f>BA27-$BA$4</f>
        <v>46148</v>
      </c>
      <c r="AW27" s="332" t="str">
        <f>IF(_xlfn.XLOOKUP($E27,'[1]Import Eletra'!$B:$B,'[1]Import Eletra'!$AV:$AV,,0,1)=0,"",_xlfn.XLOOKUP($E27,'[1]Import Eletra'!$B:$B,'[1]Import Eletra'!$AV:$AV,,0,1))</f>
        <v/>
      </c>
      <c r="AX27" s="113">
        <f>$AV$4</f>
        <v>0</v>
      </c>
      <c r="AY27" s="113">
        <f ca="1">IF(AW27="",TODAY()-AV27,AW27-AV27)</f>
        <v>63</v>
      </c>
      <c r="AZ27" s="184">
        <f ca="1">AY27-AX27</f>
        <v>63</v>
      </c>
      <c r="BA27" s="357">
        <f>BF27-$BF$4</f>
        <v>46148</v>
      </c>
      <c r="BB27" s="332" t="str">
        <f>IF(_xlfn.XLOOKUP($E27,'[1]Import Eletra'!$B:$B,'[1]Import Eletra'!$AW:$AW,,0,1)=0,"",_xlfn.XLOOKUP($E27,'[1]Import Eletra'!$B:$B,'[1]Import Eletra'!$AW:$AW,,0,1))</f>
        <v/>
      </c>
      <c r="BC27" s="113">
        <f>$BA$4</f>
        <v>0</v>
      </c>
      <c r="BD27" s="113">
        <f ca="1">IF(BB27="",TODAY()-BA27,BB27-BA27)</f>
        <v>63</v>
      </c>
      <c r="BE27" s="184">
        <f ca="1">BD27-BC27</f>
        <v>63</v>
      </c>
      <c r="BF27" s="335">
        <f>BK27-$BK$4</f>
        <v>46148</v>
      </c>
      <c r="BG27" s="332" t="str">
        <f>IF(_xlfn.XLOOKUP($E27,'[1]Import Eletra'!$B:$B,'[1]Import Eletra'!$AX:$AX,,0,1)=0,"",_xlfn.XLOOKUP($E27,'[1]Import Eletra'!$B:$B,'[1]Import Eletra'!$AX:$AX,,0,1))</f>
        <v/>
      </c>
      <c r="BH27" s="113">
        <f>$BF$4</f>
        <v>0</v>
      </c>
      <c r="BI27" s="113">
        <f ca="1">IF(BG27="",TODAY()-BF27,BG27-BF27)</f>
        <v>63</v>
      </c>
      <c r="BJ27" s="184">
        <f ca="1">BI27-BH27</f>
        <v>63</v>
      </c>
      <c r="BK27" s="362">
        <f>BP27-$BP$4</f>
        <v>46148</v>
      </c>
      <c r="BL27" s="332">
        <f>IF(_xlfn.XLOOKUP($E27,'[1]Import Eletra'!$B:$B,'[1]Import Eletra'!$AY:$AY,,0,1)=0,"",_xlfn.XLOOKUP($E27,'[1]Import Eletra'!$B:$B,'[1]Import Eletra'!$AY:$AY,,0,1))</f>
        <v>46153</v>
      </c>
      <c r="BM27" s="113">
        <f>$BK$4</f>
        <v>0</v>
      </c>
      <c r="BN27" s="113">
        <f ca="1">IF(BL27="",TODAY()-BK27,BL27-BK27)</f>
        <v>5</v>
      </c>
      <c r="BO27" s="184">
        <f ca="1">BN27-BM27</f>
        <v>5</v>
      </c>
      <c r="BP27" s="335">
        <f>BU27-$BU$4</f>
        <v>46148</v>
      </c>
      <c r="BQ27" s="332">
        <f>IF(_xlfn.XLOOKUP($E27,'[1]Import Eletra'!$B:$B,'[1]Import Eletra'!$AZ:$AZ,,0,1)=0,"",_xlfn.XLOOKUP($E27,'[1]Import Eletra'!$B:$B,'[1]Import Eletra'!$AZ:$AZ,,0,1))</f>
        <v>46153</v>
      </c>
      <c r="BR27" s="113">
        <f>$BP$4</f>
        <v>0</v>
      </c>
      <c r="BS27" s="113">
        <f ca="1">IF(BQ27="",TODAY()-BP27,BQ27-BP27)</f>
        <v>5</v>
      </c>
      <c r="BT27" s="184">
        <f ca="1">BS27-BR27</f>
        <v>5</v>
      </c>
      <c r="BU27" s="362">
        <f>BZ27-$BZ$4</f>
        <v>46150</v>
      </c>
      <c r="BV27" s="332">
        <f>IF(_xlfn.XLOOKUP($E27,'[1]Import Eletra'!$B:$B,'[1]Import Eletra'!$BA:$BA,,0,1)=0,"",_xlfn.XLOOKUP($E27,'[1]Import Eletra'!$B:$B,'[1]Import Eletra'!$BA:$BA,,0,1))</f>
        <v>46155</v>
      </c>
      <c r="BW27" s="113">
        <f>$BU$4</f>
        <v>2</v>
      </c>
      <c r="BX27" s="113">
        <f ca="1">IF(BV27="",TODAY()-BU27,BV27-BU27)</f>
        <v>5</v>
      </c>
      <c r="BY27" s="184">
        <f ca="1">BX27-BW27</f>
        <v>3</v>
      </c>
      <c r="BZ27" s="335">
        <f>CE27-$CE$4</f>
        <v>46150</v>
      </c>
      <c r="CA27" s="332">
        <f>IF(_xlfn.XLOOKUP($E27,'[1]Import Eletra'!$B:$B,'[1]Import Eletra'!$BB:$BB,,0,1)=0,"",_xlfn.XLOOKUP($E27,'[1]Import Eletra'!$B:$B,'[1]Import Eletra'!$BB:$BB,,0,1))</f>
        <v>46155</v>
      </c>
      <c r="CB27" s="113">
        <f>$BZ$4</f>
        <v>0</v>
      </c>
      <c r="CC27" s="113">
        <f ca="1">IF(CA27="",TODAY()-BZ27,CA27-BZ27)</f>
        <v>5</v>
      </c>
      <c r="CD27" s="184">
        <f ca="1">CC27-CB27</f>
        <v>5</v>
      </c>
      <c r="CE27" s="362">
        <f>CJ27-$CJ$4</f>
        <v>46150</v>
      </c>
      <c r="CF27" s="332">
        <f>IF(_xlfn.XLOOKUP($E27,'[1]Import Eletra'!$B:$B,'[1]Import Eletra'!$BC:$BC,,0,1)=0,"",_xlfn.XLOOKUP($E27,'[1]Import Eletra'!$B:$B,'[1]Import Eletra'!$BC:$BC,,0,1))</f>
        <v>46155</v>
      </c>
      <c r="CG27" s="113">
        <f>$CE$4</f>
        <v>0</v>
      </c>
      <c r="CH27" s="113">
        <f ca="1">IF(CF27="",TODAY()-CE27,CF27-CE27)</f>
        <v>5</v>
      </c>
      <c r="CI27" s="184">
        <f ca="1">CH27-CG27</f>
        <v>5</v>
      </c>
      <c r="CJ27" s="335">
        <f>CO27-$CO$4</f>
        <v>46150</v>
      </c>
      <c r="CK27" s="332">
        <f>IF(_xlfn.XLOOKUP($E27,'[1]Import Eletra'!$B:$B,'[1]Import Eletra'!$BD:$BD,,0,1)=0,"",_xlfn.XLOOKUP($E27,'[1]Import Eletra'!$B:$B,'[1]Import Eletra'!$BD:$BD,,0,1))</f>
        <v>46155</v>
      </c>
      <c r="CL27" s="113"/>
      <c r="CM27" s="113">
        <f ca="1">IF(CK27="",TODAY()-CJ27,CK27-CJ27)</f>
        <v>5</v>
      </c>
      <c r="CN27" s="184">
        <f ca="1">CM27-CL27</f>
        <v>5</v>
      </c>
      <c r="CO27" s="362">
        <f>CT27-$CT$4</f>
        <v>46150</v>
      </c>
      <c r="CP27" s="332">
        <f>IF(_xlfn.XLOOKUP($E27,'[1]Import Eletra'!$B:$B,'[1]Import Eletra'!$BE:$BE,,0,1)=0,"",_xlfn.XLOOKUP($E27,'[1]Import Eletra'!$B:$B,'[1]Import Eletra'!$BE:$BE,,0,1))</f>
        <v>46155</v>
      </c>
      <c r="CQ27" s="113">
        <f>$CO$4</f>
        <v>0</v>
      </c>
      <c r="CR27" s="113">
        <f ca="1">IF(CP27="",TODAY()-CO27,CP27-CO27)</f>
        <v>5</v>
      </c>
      <c r="CS27" s="184">
        <f ca="1">CR27-CQ27</f>
        <v>5</v>
      </c>
      <c r="CT27" s="335">
        <f>CY27-$CY$4</f>
        <v>46150</v>
      </c>
      <c r="CU27" s="332">
        <f>IF(_xlfn.XLOOKUP($E27,'[1]Import Eletra'!$B:$B,'[1]Import Eletra'!$BF:$BF,,0,1)=0,"",_xlfn.XLOOKUP($E27,'[1]Import Eletra'!$B:$B,'[1]Import Eletra'!$BF:$BF,,0,1))</f>
        <v>46155</v>
      </c>
      <c r="CV27" s="113">
        <f>$CT$4</f>
        <v>0</v>
      </c>
      <c r="CW27" s="113">
        <f ca="1">IF(CU27="",TODAY()-CT27,CU27-CT27)</f>
        <v>5</v>
      </c>
      <c r="CX27" s="184">
        <f ca="1">CW27-CV27</f>
        <v>5</v>
      </c>
      <c r="CY27" s="110">
        <f>DD27-$DD$4</f>
        <v>46150</v>
      </c>
      <c r="CZ27" s="104">
        <f>IF(_xlfn.XLOOKUP($E27,'[1]Import Eletra'!$B:$B,'[1]Import Eletra'!$BF:$BF,,0,1)=0,"",_xlfn.XLOOKUP($E27,'[1]Import Eletra'!$B:$B,'[1]Import Eletra'!$BF:$BF,,0,1))</f>
        <v>46155</v>
      </c>
      <c r="DA27" s="210">
        <f>$CY$4</f>
        <v>0</v>
      </c>
      <c r="DB27" s="113">
        <f ca="1">IF(CZ27="",TODAY()-CY27,CZ27-CY27)</f>
        <v>5</v>
      </c>
      <c r="DC27" s="184">
        <f ca="1">DB27-DA27</f>
        <v>5</v>
      </c>
      <c r="DD27" s="110">
        <f>DI27-$DI$4</f>
        <v>46152</v>
      </c>
      <c r="DE27" s="104">
        <f>IF(_xlfn.XLOOKUP($E27,'[1]Import Eletra'!$B:$B,'[1]Import Eletra'!$BG:$BG,,0,1)=0,"",_xlfn.XLOOKUP($E27,'[1]Import Eletra'!$B:$B,'[1]Import Eletra'!$BG:$BG,0,1))</f>
        <v>46156</v>
      </c>
      <c r="DF27" s="113">
        <f>$DD$4</f>
        <v>2</v>
      </c>
      <c r="DG27" s="113">
        <f ca="1">IF(DE27="",TODAY()-DD27,DE27-DD27)</f>
        <v>4</v>
      </c>
      <c r="DH27" s="184">
        <f ca="1">DG27-DF27</f>
        <v>2</v>
      </c>
      <c r="DI27" s="110">
        <f>DO27-$DN$4</f>
        <v>46153</v>
      </c>
      <c r="DJ27" s="104">
        <f>IF(_xlfn.XLOOKUP($E27,'[1]Import Eletra'!$B:$B,'[1]Import Eletra'!$BH:$BH,,0,1)=0,"",_xlfn.XLOOKUP($E27,'[1]Import Eletra'!$B:$B,'[1]Import Eletra'!$BH:$BH,0,1))</f>
        <v>46162</v>
      </c>
      <c r="DK27" s="112">
        <f>$DI$4</f>
        <v>1</v>
      </c>
      <c r="DL27" s="112">
        <f ca="1">IF(DJ27="",TODAY()-DI27,DJ27-DI27)</f>
        <v>9</v>
      </c>
      <c r="DM27" s="184">
        <f ca="1">DL27-DK27</f>
        <v>8</v>
      </c>
      <c r="DN27" s="64"/>
      <c r="DO27" s="202">
        <f t="shared" si="0"/>
        <v>46154</v>
      </c>
      <c r="DP27" s="165">
        <f>IF(_xlfn.XLOOKUP($E27,'[1]Import Eletra'!$B:$B,'[1]Import Eletra'!$O:$O,,0,1)=0,"",_xlfn.XLOOKUP($E27,'[1]Import Eletra'!$B:$B,'[1]Import Eletra'!$O:$O,0,1))</f>
        <v>46162</v>
      </c>
      <c r="DQ27" s="112">
        <f>$DN$4</f>
        <v>1</v>
      </c>
      <c r="DR27" s="112">
        <f ca="1">IF(DP27="",TODAY()-DO27,DP27-DO27)</f>
        <v>8</v>
      </c>
      <c r="DS27" s="184">
        <f ca="1">DR27-DQ27</f>
        <v>7</v>
      </c>
      <c r="DT27" s="143">
        <f>_xlfn.AGGREGATE(9,6,Y27,AD27,AI27,AN27,AS27,AX27,BC27,BH27,BM27,BR27,BW27,CB27,CG27,CL27,CQ27,CV27,DF27,DK27,DQ27)</f>
        <v>7</v>
      </c>
      <c r="DU27" s="140">
        <f ca="1">IF(DP27="",TODAY()-N27,DP27-N27)</f>
        <v>15</v>
      </c>
      <c r="DV27" s="184">
        <f ca="1">DU27-DT27</f>
        <v>8</v>
      </c>
      <c r="DX27" s="185" t="s">
        <v>245</v>
      </c>
      <c r="DY27" s="108" t="str">
        <f>IF(_xlfn.XLOOKUP($E27,'[1]Import Eletra'!$B:$B,'[1]Import Eletra'!$DW:$DW,,0,1)=0,"",_xlfn.XLOOKUP($E27,'[1]Import Eletra'!$B:$B,'[1]Import Eletra'!$DW:$DW,0,1))</f>
        <v>SEFAZ HOMOLOGATION - NF/GLME</v>
      </c>
      <c r="EB27" s="287"/>
      <c r="ED27" s="406">
        <f>IF(_xlfn.XLOOKUP($E27,'[1]Import Eletra'!$B:$B,'[1]Import Eletra'!$BQ:$BQ,,0,1)=0,"",_xlfn.XLOOKUP($E27,'[1]Import Eletra'!$B:$B,'[1]Import Eletra'!$BQ:$BQ,0,1))</f>
        <v>409.14499999999998</v>
      </c>
      <c r="EE27" s="407">
        <f>IF(_xlfn.XLOOKUP($E27,'[1]Import Eletra'!$B:$B,'[1]Import Eletra'!$BR:$BR,,0,1)=0,"",_xlfn.XLOOKUP($E27,'[1]Import Eletra'!$B:$B,'[1]Import Eletra'!$BR:$BR,0,1))</f>
        <v>46160</v>
      </c>
      <c r="EF27" s="406" t="str">
        <f>IF(_xlfn.XLOOKUP($E27,'[1]Import Eletra'!$B:$B,'[1]Import Eletra'!$BS:$BS,,0,1)=0,"",_xlfn.XLOOKUP($E27,'[1]Import Eletra'!$B:$B,'[1]Import Eletra'!$BS:$BS,0,1))</f>
        <v/>
      </c>
      <c r="EG27" s="407" t="str">
        <f>IF(_xlfn.XLOOKUP($E27,'[1]Import Eletra'!$B:$B,'[1]Import Eletra'!$BT:$BT,,0,1)=0,"",_xlfn.XLOOKUP($E27,'[1]Import Eletra'!$B:$B,'[1]Import Eletra'!$BT:$BT,0,1))</f>
        <v/>
      </c>
      <c r="EH27" s="406" t="str">
        <f>IF(_xlfn.XLOOKUP($E27,'[1]Import Eletra'!$B:$B,'[1]Import Eletra'!$BU:$BU,,0,1)=0,"",_xlfn.XLOOKUP($E27,'[1]Import Eletra'!$B:$B,'[1]Import Eletra'!$BU:$BU,0,1))</f>
        <v/>
      </c>
      <c r="EI27" s="407" t="str">
        <f>IF(_xlfn.XLOOKUP($E27,'[1]Import Eletra'!$B:$B,'[1]Import Eletra'!$BV:$BV,,0,1)=0,"",_xlfn.XLOOKUP($E27,'[1]Import Eletra'!$B:$B,'[1]Import Eletra'!$BV:$BV,0,1))</f>
        <v/>
      </c>
      <c r="EJ27" s="407" t="str">
        <f>IF(_xlfn.XLOOKUP($E27,'[1]Import Eletra'!$B:$B,'[1]Import Eletra'!$CI:$CI,,0,1)=0,"",_xlfn.XLOOKUP($E27,'[1]Import Eletra'!$B:$B,'[1]Import Eletra'!$CI:$CI,0,1))</f>
        <v/>
      </c>
      <c r="EK27" s="407" t="str">
        <f>IF(_xlfn.XLOOKUP($E27,'[1]Import Eletra'!$B:$B,'[1]Import Eletra'!$CD:$CD,,0,1)=0,"",_xlfn.XLOOKUP($E27,'[1]Import Eletra'!$B:$B,'[1]Import Eletra'!$CD:$CD,0,1))</f>
        <v/>
      </c>
      <c r="EL27" s="407" t="str">
        <f>IF(_xlfn.XLOOKUP($E27,'[1]Import Eletra'!$B:$B,'[1]Import Eletra'!$CE:$CE,,0,1)=0,"",_xlfn.XLOOKUP($E27,'[1]Import Eletra'!$B:$B,'[1]Import Eletra'!$CE:$CE,0,1))</f>
        <v/>
      </c>
      <c r="EM27" s="408" t="str">
        <f>IF(_xlfn.XLOOKUP($E27,'[1]Import Eletra'!$B:$B,'[1]Import Eletra'!$E:$E,,0,1)=0,"",_xlfn.XLOOKUP($E27,'[1]Import Eletra'!$B:$B,'[1]Import Eletra'!$E:$E,0,1))</f>
        <v>LEISIANE</v>
      </c>
      <c r="EN27" s="408" t="str">
        <f>IF(_xlfn.XLOOKUP($E27,'[1]Import Eletra'!$B:$B,'[1]Import Eletra'!$R:$R,,0,1)=0,"",_xlfn.XLOOKUP($E27,'[1]Import Eletra'!$B:$B,'[1]Import Eletra'!$R:$R,0,1))</f>
        <v/>
      </c>
      <c r="EO27" s="408" t="str">
        <f>IF(_xlfn.XLOOKUP($E27,'[1]Import Eletra'!$B:$B,'[1]Import Eletra'!$P:$P,,0,1)=0,"",_xlfn.XLOOKUP($E27,'[1]Import Eletra'!$B:$B,'[1]Import Eletra'!$P:$P,0,1))</f>
        <v>SDBLBS593297</v>
      </c>
      <c r="EP27" s="408" t="str">
        <f>IF(_xlfn.XLOOKUP($E27,'[1]Import Eletra'!$B:$B,'[1]Import Eletra'!$T:$T,,0,1)=0,"",_xlfn.XLOOKUP($E27,'[1]Import Eletra'!$B:$B,'[1]Import Eletra'!$T:$T,0,1))</f>
        <v>TTNU837503/8</v>
      </c>
    </row>
    <row r="28" spans="1:242" ht="30" customHeight="1">
      <c r="B28" s="281"/>
      <c r="C28" s="280"/>
      <c r="D28" s="104" t="s">
        <v>278</v>
      </c>
      <c r="E28" s="214" t="s">
        <v>279</v>
      </c>
      <c r="F28" s="169">
        <f>IF(_xlfn.XLOOKUP($E28,'[1]Import Eletra'!$B:$B,'[1]Import Eletra'!$U:$U,,0,1)=0,"",_xlfn.XLOOKUP($E28,'[1]Import Eletra'!$B:$B,'[1]Import Eletra'!$U:$U,,0,1))</f>
        <v>1</v>
      </c>
      <c r="G28" s="170" t="s">
        <v>244</v>
      </c>
      <c r="H28" s="2" t="str">
        <f>_xlfn.XLOOKUP($E28,'[1]Import Eletra'!$B:$B,'[1]Import Eletra'!$F:$F,,0,1)</f>
        <v>DELIVERED</v>
      </c>
      <c r="I28" s="108" t="str">
        <f>_xlfn.XLOOKUP($E28,'[1]Import Eletra'!$B:$B,'[1]Import Eletra'!$G:$G,,0,1)</f>
        <v>SEA</v>
      </c>
      <c r="J28" s="326">
        <v>46086</v>
      </c>
      <c r="K28" s="109">
        <v>30</v>
      </c>
      <c r="L28" s="109">
        <f>M28-J28</f>
        <v>19</v>
      </c>
      <c r="M28" s="326">
        <f>IF(_xlfn.XLOOKUP($E28,'[1]Import Eletra'!$B:$B,'[1]Import Eletra'!$J:$J,,0,1)=0,"",_xlfn.XLOOKUP($E28,'[1]Import Eletra'!$B:$B,'[1]Import Eletra'!$J:$J,,0,1))</f>
        <v>46105</v>
      </c>
      <c r="N28" s="332">
        <f>IF(_xlfn.XLOOKUP($E28,'[1]Import Eletra'!$B:$B,'[1]Import Eletra'!$L:$L,,0,1)=0,"",_xlfn.XLOOKUP($E28,'[1]Import Eletra'!$B:$B,'[1]Import Eletra'!$L:$L,,0,1))</f>
        <v>46152</v>
      </c>
      <c r="O28" s="335">
        <f>IF(_xlfn.XLOOKUP($E28,'[1]Import Eletra'!$B:$B,'[1]Import Eletra'!$AK:$AK,,0,1)=0,"",_xlfn.XLOOKUP($E28,'[1]Import Eletra'!$B:$B,'[1]Import Eletra'!$AK:$AK,,0,1))</f>
        <v>46128</v>
      </c>
      <c r="P28" s="326">
        <f>IF(_xlfn.XLOOKUP($E28,'[1]Import Eletra'!$B:$B,'[1]Import Eletra'!$AL:$AL,,0,1)=0,"",_xlfn.XLOOKUP($E28,'[1]Import Eletra'!$B:$B,'[1]Import Eletra'!$AL:$AL,,0,1))</f>
        <v>46134</v>
      </c>
      <c r="Q28" s="326">
        <f>IF(_xlfn.XLOOKUP($E28,'[1]Import Eletra'!$B:$B,'[1]Import Eletra'!$AM:$AM,,0,1)=0,"",_xlfn.XLOOKUP($E28,'[1]Import Eletra'!$B:$B,'[1]Import Eletra'!$AM:$AM,,0,1))</f>
        <v>46139</v>
      </c>
      <c r="R28" s="326">
        <f>IF(_xlfn.XLOOKUP($E28,'[1]Import Eletra'!$B:$B,'[1]Import Eletra'!$AN:$AN,,0,1)=0,"",_xlfn.XLOOKUP($E28,'[1]Import Eletra'!$B:$B,'[1]Import Eletra'!$AN:$AN,,0,1))</f>
        <v>46140</v>
      </c>
      <c r="S28" s="326">
        <f>IF(_xlfn.XLOOKUP($E28,'[1]Import Eletra'!$B:$B,'[1]Import Eletra'!$AO:$AO,,0,1)=0,"",_xlfn.XLOOKUP($E28,'[1]Import Eletra'!$B:$B,'[1]Import Eletra'!$AO:$AO,,0,1))</f>
        <v>46141</v>
      </c>
      <c r="T28" s="326">
        <f>IF(_xlfn.XLOOKUP($E28,'[1]Import Eletra'!$B:$B,'[1]Import Eletra'!$AP:$AP,,0,1)=0,"",_xlfn.XLOOKUP($E28,'[1]Import Eletra'!$B:$B,'[1]Import Eletra'!$AP:$AP,,0,1))</f>
        <v>46141</v>
      </c>
      <c r="U28" s="326">
        <f>IF(_xlfn.XLOOKUP($E28,'[1]Import Eletra'!$B:$B,'[1]Import Eletra'!$AQ:$AQ,,0,1)=0,"",_xlfn.XLOOKUP($E28,'[1]Import Eletra'!$B:$B,'[1]Import Eletra'!$AQ:$AQ,,0,1))</f>
        <v>46142</v>
      </c>
      <c r="V28" s="339">
        <f>IF(_xlfn.XLOOKUP($E28,'[1]Import Eletra'!$B:$B,'[1]Import Eletra'!$AR:$AR,,0,1)=0,"",_xlfn.XLOOKUP($E28,'[1]Import Eletra'!$B:$B,'[1]Import Eletra'!$AR:$AR,,0,1))</f>
        <v>46154</v>
      </c>
      <c r="W28" s="335">
        <f>AB28-$AB$5</f>
        <v>46153</v>
      </c>
      <c r="X28" s="332">
        <v>46155</v>
      </c>
      <c r="Y28" s="113">
        <f>$W$4</f>
        <v>0</v>
      </c>
      <c r="Z28" s="113">
        <f ca="1">IF(X28="",TODAY()-W28,X28-W28)</f>
        <v>2</v>
      </c>
      <c r="AA28" s="184">
        <f ca="1">Z28-Y28</f>
        <v>2</v>
      </c>
      <c r="AB28" s="348">
        <f>AG28-$AB$5</f>
        <v>46154</v>
      </c>
      <c r="AC28" s="332">
        <v>46155</v>
      </c>
      <c r="AD28" s="113">
        <f>$AB$4</f>
        <v>0</v>
      </c>
      <c r="AE28" s="113">
        <f ca="1">IF(AC28="",TODAY()-AB28,AC28-AB28)</f>
        <v>1</v>
      </c>
      <c r="AF28" s="184">
        <f ca="1">AE28-AD28</f>
        <v>1</v>
      </c>
      <c r="AG28" s="355">
        <f>AL28-$AL$5</f>
        <v>46155</v>
      </c>
      <c r="AH28" s="332">
        <f>IF(_xlfn.XLOOKUP($E28,'[1]Import Eletra'!$B:$B,'[1]Import Eletra'!$AE:$AE,,0,1)=0,"",_xlfn.XLOOKUP($E28,'[1]Import Eletra'!$B:$B,'[1]Import Eletra'!$AE:$AE,,0,1))</f>
        <v>46155</v>
      </c>
      <c r="AI28" s="113">
        <f>$AG$4</f>
        <v>0</v>
      </c>
      <c r="AJ28" s="113">
        <f ca="1">IF(AH28="",TODAY()-AG28,AH28-AG28)</f>
        <v>0</v>
      </c>
      <c r="AK28" s="184">
        <f ca="1">AJ28-AI28</f>
        <v>0</v>
      </c>
      <c r="AL28" s="355">
        <f>AQ28-$AQ$5</f>
        <v>46155</v>
      </c>
      <c r="AM28" s="332">
        <v>46156</v>
      </c>
      <c r="AN28" s="113">
        <f>$AL$4</f>
        <v>0</v>
      </c>
      <c r="AO28" s="113">
        <f ca="1">IF(AM28="",TODAY()-AL28,AM28-AL28)</f>
        <v>1</v>
      </c>
      <c r="AP28" s="184">
        <f ca="1">AO28-AN28</f>
        <v>1</v>
      </c>
      <c r="AQ28" s="357">
        <f>AV28-$AV$5</f>
        <v>46156</v>
      </c>
      <c r="AR28" s="332">
        <v>46156</v>
      </c>
      <c r="AS28" s="113">
        <f>$AQ$4</f>
        <v>1</v>
      </c>
      <c r="AT28" s="113">
        <f ca="1">IF(AR28="",TODAY()-AQ28,AR28-AQ28)</f>
        <v>0</v>
      </c>
      <c r="AU28" s="184">
        <f ca="1">AT28-AS28</f>
        <v>-1</v>
      </c>
      <c r="AV28" s="355">
        <f>BA28-$BA$5</f>
        <v>46156</v>
      </c>
      <c r="AW28" s="332">
        <v>46155</v>
      </c>
      <c r="AX28" s="113">
        <f>$AV$4</f>
        <v>0</v>
      </c>
      <c r="AY28" s="113">
        <f ca="1">IF(AW28="",TODAY()-AV28,AW28-AV28)</f>
        <v>-1</v>
      </c>
      <c r="AZ28" s="184">
        <f ca="1">AY28-AX28</f>
        <v>-1</v>
      </c>
      <c r="BA28" s="357">
        <f>BF28-$BF$5</f>
        <v>46156</v>
      </c>
      <c r="BB28" s="332">
        <v>46156</v>
      </c>
      <c r="BC28" s="113">
        <f>$BA$4</f>
        <v>0</v>
      </c>
      <c r="BD28" s="113">
        <f ca="1">IF(BB28="",TODAY()-BA28,BB28-BA28)</f>
        <v>0</v>
      </c>
      <c r="BE28" s="184">
        <f ca="1">BD28-BC28</f>
        <v>0</v>
      </c>
      <c r="BF28" s="335">
        <f>BK28-$BK$5</f>
        <v>46156</v>
      </c>
      <c r="BG28" s="332">
        <v>46156</v>
      </c>
      <c r="BH28" s="113">
        <f>$BF$4</f>
        <v>0</v>
      </c>
      <c r="BI28" s="113">
        <f ca="1">IF(BG28="",TODAY()-BF28,BG28-BF28)</f>
        <v>0</v>
      </c>
      <c r="BJ28" s="184">
        <f ca="1">BI28-BH28</f>
        <v>0</v>
      </c>
      <c r="BK28" s="362">
        <f>BP28-$BP$5</f>
        <v>46156</v>
      </c>
      <c r="BL28" s="332" t="str">
        <f>IF(_xlfn.XLOOKUP($E28,'[1]Import Eletra'!$B:$B,'[1]Import Eletra'!$AY:$AY,,0,1)=0,"",_xlfn.XLOOKUP($E28,'[1]Import Eletra'!$B:$B,'[1]Import Eletra'!$AY:$AY,,0,1))</f>
        <v/>
      </c>
      <c r="BM28" s="113">
        <f>$BK$4</f>
        <v>0</v>
      </c>
      <c r="BN28" s="113">
        <f ca="1">IF(BL28="",TODAY()-BK28,BL28-BK28)</f>
        <v>55</v>
      </c>
      <c r="BO28" s="184">
        <f ca="1">BN28-BM28</f>
        <v>55</v>
      </c>
      <c r="BP28" s="335">
        <f>BU28-$BU$5</f>
        <v>46156</v>
      </c>
      <c r="BQ28" s="332" t="str">
        <f>IF(_xlfn.XLOOKUP($E28,'[1]Import Eletra'!$B:$B,'[1]Import Eletra'!$AZ:$AZ,,0,1)=0,"",_xlfn.XLOOKUP($E28,'[1]Import Eletra'!$B:$B,'[1]Import Eletra'!$AZ:$AZ,,0,1))</f>
        <v/>
      </c>
      <c r="BR28" s="113">
        <f>$BP$4</f>
        <v>0</v>
      </c>
      <c r="BS28" s="113">
        <f ca="1">IF(BQ28="",TODAY()-BP28,BQ28-BP28)</f>
        <v>55</v>
      </c>
      <c r="BT28" s="184">
        <f ca="1">BS28-BR28</f>
        <v>55</v>
      </c>
      <c r="BU28" s="362">
        <f>BZ28-$BZ$4</f>
        <v>46158</v>
      </c>
      <c r="BV28" s="332" t="str">
        <f>IF(_xlfn.XLOOKUP($E28,'[1]Import Eletra'!$B:$B,'[1]Import Eletra'!$BA:$BA,,0,1)=0,"",_xlfn.XLOOKUP($E28,'[1]Import Eletra'!$B:$B,'[1]Import Eletra'!$BA:$BA,,0,1))</f>
        <v>14/05/2026</v>
      </c>
      <c r="BW28" s="113">
        <f>$BU$4</f>
        <v>2</v>
      </c>
      <c r="BX28" s="113">
        <f ca="1">IF(BV28="",TODAY()-BU28,BV28-BU28)</f>
        <v>-2</v>
      </c>
      <c r="BY28" s="184">
        <f ca="1">BX28-BW28</f>
        <v>-4</v>
      </c>
      <c r="BZ28" s="335">
        <f>CE28-$CE$5</f>
        <v>46158</v>
      </c>
      <c r="CA28" s="332" t="str">
        <f>IF(_xlfn.XLOOKUP($E28,'[1]Import Eletra'!$B:$B,'[1]Import Eletra'!$BB:$BB,,0,1)=0,"",_xlfn.XLOOKUP($E28,'[1]Import Eletra'!$B:$B,'[1]Import Eletra'!$BB:$BB,,0,1))</f>
        <v>14/05/2026</v>
      </c>
      <c r="CB28" s="113">
        <f>$BZ$4</f>
        <v>0</v>
      </c>
      <c r="CC28" s="113">
        <f ca="1">IF(CA28="",TODAY()-BZ28,CA28-BZ28)</f>
        <v>-2</v>
      </c>
      <c r="CD28" s="184">
        <f ca="1">CC28-CB28</f>
        <v>-2</v>
      </c>
      <c r="CE28" s="362">
        <f>CJ28-$CJ$4</f>
        <v>46158</v>
      </c>
      <c r="CF28" s="332">
        <f>IF(_xlfn.XLOOKUP($E28,'[1]Import Eletra'!$B:$B,'[1]Import Eletra'!$BC:$BC,,0,1)=0,"",_xlfn.XLOOKUP($E28,'[1]Import Eletra'!$B:$B,'[1]Import Eletra'!$BC:$BC,,0,1))</f>
        <v>46157</v>
      </c>
      <c r="CG28" s="113">
        <f>$CE$4</f>
        <v>0</v>
      </c>
      <c r="CH28" s="113">
        <f ca="1">IF(CF28="",TODAY()-CE28,CF28-CE28)</f>
        <v>-1</v>
      </c>
      <c r="CI28" s="184">
        <f ca="1">CH28-CG28</f>
        <v>-1</v>
      </c>
      <c r="CJ28" s="335">
        <f>CO28-$CO$4</f>
        <v>46158</v>
      </c>
      <c r="CK28" s="332">
        <f>IF(_xlfn.XLOOKUP($E28,'[1]Import Eletra'!$B:$B,'[1]Import Eletra'!$BD:$BD,,0,1)=0,"",_xlfn.XLOOKUP($E28,'[1]Import Eletra'!$B:$B,'[1]Import Eletra'!$BD:$BD,,0,1))</f>
        <v>46156</v>
      </c>
      <c r="CL28" s="113"/>
      <c r="CM28" s="113">
        <f ca="1">IF(CK28="",TODAY()-CJ28,CK28-CJ28)</f>
        <v>-2</v>
      </c>
      <c r="CN28" s="184">
        <f ca="1">CM28-CL28</f>
        <v>-2</v>
      </c>
      <c r="CO28" s="362">
        <f>CT28-$CT$4</f>
        <v>46158</v>
      </c>
      <c r="CP28" s="332">
        <f>IF(_xlfn.XLOOKUP($E28,'[1]Import Eletra'!$B:$B,'[1]Import Eletra'!$BE:$BE,,0,1)=0,"",_xlfn.XLOOKUP($E28,'[1]Import Eletra'!$B:$B,'[1]Import Eletra'!$BE:$BE,,0,1))</f>
        <v>46160</v>
      </c>
      <c r="CQ28" s="113">
        <f>$CO$4</f>
        <v>0</v>
      </c>
      <c r="CR28" s="113">
        <f ca="1">IF(CP28="",TODAY()-CO28,CP28-CO28)</f>
        <v>2</v>
      </c>
      <c r="CS28" s="184">
        <f ca="1">CR28-CQ28</f>
        <v>2</v>
      </c>
      <c r="CT28" s="335">
        <f>CY28-$CY$4</f>
        <v>46158</v>
      </c>
      <c r="CU28" s="332">
        <f>IF(_xlfn.XLOOKUP($E28,'[1]Import Eletra'!$B:$B,'[1]Import Eletra'!$BF:$BF,,0,1)=0,"",_xlfn.XLOOKUP($E28,'[1]Import Eletra'!$B:$B,'[1]Import Eletra'!$BF:$BF,,0,1))</f>
        <v>46160</v>
      </c>
      <c r="CV28" s="113">
        <f>$CT$4</f>
        <v>0</v>
      </c>
      <c r="CW28" s="113">
        <f ca="1">IF(CU28="",TODAY()-CT28,CU28-CT28)</f>
        <v>2</v>
      </c>
      <c r="CX28" s="184">
        <f ca="1">CW28-CV28</f>
        <v>2</v>
      </c>
      <c r="CY28" s="110">
        <f>DD28-$DD$4</f>
        <v>46158</v>
      </c>
      <c r="CZ28" s="247">
        <f>IF(_xlfn.XLOOKUP($E28,'[1]Import Eletra'!$B:$B,'[1]Import Eletra'!$BF:$BF,,0,1)=0,"",_xlfn.XLOOKUP($E28,'[1]Import Eletra'!$B:$B,'[1]Import Eletra'!$BF:$BF,,0,1))</f>
        <v>46160</v>
      </c>
      <c r="DA28" s="210">
        <f>$CY$4</f>
        <v>0</v>
      </c>
      <c r="DB28" s="113">
        <f ca="1">IF(CZ28="",TODAY()-CY28,CZ28-CY28)</f>
        <v>2</v>
      </c>
      <c r="DC28" s="184">
        <f ca="1">DB28-DA28</f>
        <v>2</v>
      </c>
      <c r="DD28" s="110">
        <f>DI28-$DI$4</f>
        <v>46160</v>
      </c>
      <c r="DE28" s="247">
        <f>IF(_xlfn.XLOOKUP($E28,'[1]Import Eletra'!$B:$B,'[1]Import Eletra'!$BG:$BG,,0,1)=0,"",_xlfn.XLOOKUP($E28,'[1]Import Eletra'!$B:$B,'[1]Import Eletra'!$BG:$BG,0,1))</f>
        <v>46162</v>
      </c>
      <c r="DF28" s="113">
        <f>$DD$4</f>
        <v>2</v>
      </c>
      <c r="DG28" s="113">
        <f ca="1">IF(DE28="",TODAY()-DD28,DE28-DD28)</f>
        <v>2</v>
      </c>
      <c r="DH28" s="184">
        <f ca="1">DG28-DF28</f>
        <v>0</v>
      </c>
      <c r="DI28" s="110">
        <f>DO28-$DN$4</f>
        <v>46161</v>
      </c>
      <c r="DJ28" s="247">
        <f>IF(_xlfn.XLOOKUP($E28,'[1]Import Eletra'!$B:$B,'[1]Import Eletra'!$BH:$BH,,0,1)=0,"",_xlfn.XLOOKUP($E28,'[1]Import Eletra'!$B:$B,'[1]Import Eletra'!$BH:$BH,0,1))</f>
        <v>46163</v>
      </c>
      <c r="DK28" s="112">
        <f>$DI$4</f>
        <v>1</v>
      </c>
      <c r="DL28" s="112">
        <f ca="1">IF(DJ28="",TODAY()-DI28,DJ28-DI28)</f>
        <v>2</v>
      </c>
      <c r="DM28" s="184">
        <f ca="1">DL28-DK28</f>
        <v>1</v>
      </c>
      <c r="DN28" s="64"/>
      <c r="DO28" s="202">
        <f t="shared" si="0"/>
        <v>46162</v>
      </c>
      <c r="DP28" s="165">
        <f>IF(_xlfn.XLOOKUP($E28,'[1]Import Eletra'!$B:$B,'[1]Import Eletra'!$O:$O,,0,1)=0,"",_xlfn.XLOOKUP($E28,'[1]Import Eletra'!$B:$B,'[1]Import Eletra'!$O:$O,0,1))</f>
        <v>46163</v>
      </c>
      <c r="DQ28" s="112">
        <f>$DN$4</f>
        <v>1</v>
      </c>
      <c r="DR28" s="112">
        <f ca="1">IF(DP28="",TODAY()-DO28,DP28-DO28)</f>
        <v>1</v>
      </c>
      <c r="DS28" s="184">
        <f ca="1">DR28-DQ28</f>
        <v>0</v>
      </c>
      <c r="DT28" s="143">
        <v>10</v>
      </c>
      <c r="DU28" s="140">
        <f ca="1">IF(DP28="",TODAY()-N28,DP28-N28)</f>
        <v>11</v>
      </c>
      <c r="DV28" s="184">
        <f ca="1">DU28-DT28</f>
        <v>1</v>
      </c>
      <c r="DX28" s="185" t="s">
        <v>245</v>
      </c>
      <c r="DY28" s="108" t="str">
        <f>IF(_xlfn.XLOOKUP($E28,'[1]Import Eletra'!$B:$B,'[1]Import Eletra'!$DW:$DW,,0,1)=0,"",_xlfn.XLOOKUP($E28,'[1]Import Eletra'!$B:$B,'[1]Import Eletra'!$DW:$DW,0,1))</f>
        <v/>
      </c>
      <c r="EB28" s="287"/>
      <c r="ED28" s="406">
        <f>IF(_xlfn.XLOOKUP($E28,'[1]Import Eletra'!$B:$B,'[1]Import Eletra'!$BQ:$BQ,,0,1)=0,"",_xlfn.XLOOKUP($E28,'[1]Import Eletra'!$B:$B,'[1]Import Eletra'!$BQ:$BQ,0,1))</f>
        <v>818.29</v>
      </c>
      <c r="EE28" s="407">
        <f>IF(_xlfn.XLOOKUP($E28,'[1]Import Eletra'!$B:$B,'[1]Import Eletra'!$BR:$BR,,0,1)=0,"",_xlfn.XLOOKUP($E28,'[1]Import Eletra'!$B:$B,'[1]Import Eletra'!$BR:$BR,0,1))</f>
        <v>46163</v>
      </c>
      <c r="EF28" s="406" t="str">
        <f>IF(_xlfn.XLOOKUP($E28,'[1]Import Eletra'!$B:$B,'[1]Import Eletra'!$BS:$BS,,0,1)=0,"",_xlfn.XLOOKUP($E28,'[1]Import Eletra'!$B:$B,'[1]Import Eletra'!$BS:$BS,0,1))</f>
        <v/>
      </c>
      <c r="EG28" s="407" t="str">
        <f>IF(_xlfn.XLOOKUP($E28,'[1]Import Eletra'!$B:$B,'[1]Import Eletra'!$BT:$BT,,0,1)=0,"",_xlfn.XLOOKUP($E28,'[1]Import Eletra'!$B:$B,'[1]Import Eletra'!$BT:$BT,0,1))</f>
        <v/>
      </c>
      <c r="EH28" s="406" t="str">
        <f>IF(_xlfn.XLOOKUP($E28,'[1]Import Eletra'!$B:$B,'[1]Import Eletra'!$BU:$BU,,0,1)=0,"",_xlfn.XLOOKUP($E28,'[1]Import Eletra'!$B:$B,'[1]Import Eletra'!$BU:$BU,0,1))</f>
        <v/>
      </c>
      <c r="EI28" s="407" t="str">
        <f>IF(_xlfn.XLOOKUP($E28,'[1]Import Eletra'!$B:$B,'[1]Import Eletra'!$BV:$BV,,0,1)=0,"",_xlfn.XLOOKUP($E28,'[1]Import Eletra'!$B:$B,'[1]Import Eletra'!$BV:$BV,0,1))</f>
        <v/>
      </c>
      <c r="EJ28" s="407">
        <f>IF(_xlfn.XLOOKUP($E28,'[1]Import Eletra'!$B:$B,'[1]Import Eletra'!$CI:$CI,,0,1)=0,"",_xlfn.XLOOKUP($E28,'[1]Import Eletra'!$B:$B,'[1]Import Eletra'!$CI:$CI,0,1))</f>
        <v>46170</v>
      </c>
      <c r="EK28" s="407" t="str">
        <f>IF(_xlfn.XLOOKUP($E28,'[1]Import Eletra'!$B:$B,'[1]Import Eletra'!$CD:$CD,,0,1)=0,"",_xlfn.XLOOKUP($E28,'[1]Import Eletra'!$B:$B,'[1]Import Eletra'!$CD:$CD,0,1))</f>
        <v/>
      </c>
      <c r="EL28" s="407" t="str">
        <f>IF(_xlfn.XLOOKUP($E28,'[1]Import Eletra'!$B:$B,'[1]Import Eletra'!$CE:$CE,,0,1)=0,"",_xlfn.XLOOKUP($E28,'[1]Import Eletra'!$B:$B,'[1]Import Eletra'!$CE:$CE,0,1))</f>
        <v>NÃO</v>
      </c>
      <c r="EM28" s="408" t="str">
        <f>IF(_xlfn.XLOOKUP($E28,'[1]Import Eletra'!$B:$B,'[1]Import Eletra'!$E:$E,,0,1)=0,"",_xlfn.XLOOKUP($E28,'[1]Import Eletra'!$B:$B,'[1]Import Eletra'!$E:$E,0,1))</f>
        <v>CATARINA</v>
      </c>
      <c r="EN28" s="408" t="str">
        <f>IF(_xlfn.XLOOKUP($E28,'[1]Import Eletra'!$B:$B,'[1]Import Eletra'!$R:$R,,0,1)=0,"",_xlfn.XLOOKUP($E28,'[1]Import Eletra'!$B:$B,'[1]Import Eletra'!$R:$R,0,1))</f>
        <v>PW2026004</v>
      </c>
      <c r="EO28" s="408" t="str">
        <f>IF(_xlfn.XLOOKUP($E28,'[1]Import Eletra'!$B:$B,'[1]Import Eletra'!$P:$P,,0,1)=0,"",_xlfn.XLOOKUP($E28,'[1]Import Eletra'!$B:$B,'[1]Import Eletra'!$P:$P,0,1))</f>
        <v>SDBLBS593289</v>
      </c>
      <c r="EP28" s="408" t="str">
        <f>IF(_xlfn.XLOOKUP($E28,'[1]Import Eletra'!$B:$B,'[1]Import Eletra'!$T:$T,,0,1)=0,"",_xlfn.XLOOKUP($E28,'[1]Import Eletra'!$B:$B,'[1]Import Eletra'!$T:$T,0,1))</f>
        <v>MSMU631619/0</v>
      </c>
    </row>
    <row r="29" spans="1:242" ht="30" customHeight="1">
      <c r="B29" s="371" t="s">
        <v>336</v>
      </c>
      <c r="C29" s="280"/>
      <c r="D29" s="104" t="s">
        <v>278</v>
      </c>
      <c r="E29" s="212" t="s">
        <v>353</v>
      </c>
      <c r="F29" s="106" t="str">
        <f>IF(_xlfn.XLOOKUP($E29,'[1]Import Eletra'!$B:$B,'[1]Import Eletra'!$U:$U,,0,1)=0,"",_xlfn.XLOOKUP($E29,'[1]Import Eletra'!$B:$B,'[1]Import Eletra'!$U:$U,,0,1))</f>
        <v/>
      </c>
      <c r="G29" s="107" t="s">
        <v>244</v>
      </c>
      <c r="H29" s="2" t="str">
        <f>_xlfn.XLOOKUP($E29,'[1]Import Eletra'!$B:$B,'[1]Import Eletra'!$F:$F,,0,1)</f>
        <v>DELIVERED</v>
      </c>
      <c r="I29" s="108" t="str">
        <f>_xlfn.XLOOKUP($E29,'[1]Import Eletra'!$B:$B,'[1]Import Eletra'!$G:$G,,0,1)</f>
        <v>AIR</v>
      </c>
      <c r="J29" s="326">
        <v>46086</v>
      </c>
      <c r="K29" s="109">
        <v>30</v>
      </c>
      <c r="L29" s="109">
        <f>M29-J29</f>
        <v>63</v>
      </c>
      <c r="M29" s="326">
        <f>IF(_xlfn.XLOOKUP($E29,'[1]Import Eletra'!$B:$B,'[1]Import Eletra'!$J:$J,,0,1)=0,"",_xlfn.XLOOKUP($E29,'[1]Import Eletra'!$B:$B,'[1]Import Eletra'!$J:$J,,0,1))</f>
        <v>46149</v>
      </c>
      <c r="N29" s="332">
        <f>IF(_xlfn.XLOOKUP($E29,'[1]Import Eletra'!$B:$B,'[1]Import Eletra'!$L:$L,,0,1)=0,"",_xlfn.XLOOKUP($E29,'[1]Import Eletra'!$B:$B,'[1]Import Eletra'!$L:$L,,0,1))</f>
        <v>46152</v>
      </c>
      <c r="O29" s="335">
        <f>IF(_xlfn.XLOOKUP($E29,'[1]Import Eletra'!$B:$B,'[1]Import Eletra'!$AK:$AK,,0,1)=0,"",_xlfn.XLOOKUP($E29,'[1]Import Eletra'!$B:$B,'[1]Import Eletra'!$AK:$AK,,0,1))</f>
        <v>46148</v>
      </c>
      <c r="P29" s="326">
        <f>IF(_xlfn.XLOOKUP($E29,'[1]Import Eletra'!$B:$B,'[1]Import Eletra'!$AL:$AL,,0,1)=0,"",_xlfn.XLOOKUP($E29,'[1]Import Eletra'!$B:$B,'[1]Import Eletra'!$AL:$AL,,0,1))</f>
        <v>46148</v>
      </c>
      <c r="Q29" s="326">
        <f>IF(_xlfn.XLOOKUP($E29,'[1]Import Eletra'!$B:$B,'[1]Import Eletra'!$AM:$AM,,0,1)=0,"",_xlfn.XLOOKUP($E29,'[1]Import Eletra'!$B:$B,'[1]Import Eletra'!$AM:$AM,,0,1))</f>
        <v>46154</v>
      </c>
      <c r="R29" s="326">
        <f>IF(_xlfn.XLOOKUP($E29,'[1]Import Eletra'!$B:$B,'[1]Import Eletra'!$AN:$AN,,0,1)=0,"",_xlfn.XLOOKUP($E29,'[1]Import Eletra'!$B:$B,'[1]Import Eletra'!$AN:$AN,,0,1))</f>
        <v>46154</v>
      </c>
      <c r="S29" s="326" t="str">
        <f>IF(_xlfn.XLOOKUP($E29,'[1]Import Eletra'!$B:$B,'[1]Import Eletra'!$AO:$AO,,0,1)=0,"",_xlfn.XLOOKUP($E29,'[1]Import Eletra'!$B:$B,'[1]Import Eletra'!$AO:$AO,,0,1))</f>
        <v>13/05/2026</v>
      </c>
      <c r="T29" s="326" t="str">
        <f>IF(_xlfn.XLOOKUP($E29,'[1]Import Eletra'!$B:$B,'[1]Import Eletra'!$AP:$AP,,0,1)=0,"",_xlfn.XLOOKUP($E29,'[1]Import Eletra'!$B:$B,'[1]Import Eletra'!$AP:$AP,,0,1))</f>
        <v>13/05/2026</v>
      </c>
      <c r="U29" s="326" t="str">
        <f>IF(_xlfn.XLOOKUP($E29,'[1]Import Eletra'!$B:$B,'[1]Import Eletra'!$AQ:$AQ,,0,1)=0,"",_xlfn.XLOOKUP($E29,'[1]Import Eletra'!$B:$B,'[1]Import Eletra'!$AQ:$AQ,,0,1))</f>
        <v>15/05/2026</v>
      </c>
      <c r="V29" s="339">
        <f>IF(_xlfn.XLOOKUP($E29,'[1]Import Eletra'!$B:$B,'[1]Import Eletra'!$AR:$AR,,0,1)=0,"",_xlfn.XLOOKUP($E29,'[1]Import Eletra'!$B:$B,'[1]Import Eletra'!$AR:$AR,,0,1))</f>
        <v>46154</v>
      </c>
      <c r="W29" s="344">
        <f>AB29-$AB$5</f>
        <v>46153</v>
      </c>
      <c r="X29" s="332">
        <v>46157</v>
      </c>
      <c r="Y29" s="113">
        <f>$W$4</f>
        <v>0</v>
      </c>
      <c r="Z29" s="113">
        <f ca="1">IF(X29="",TODAY()-W29,X29-W29)</f>
        <v>4</v>
      </c>
      <c r="AA29" s="184">
        <f ca="1">Z29-Y29</f>
        <v>4</v>
      </c>
      <c r="AB29" s="348">
        <f>AG29-$AB$5</f>
        <v>46154</v>
      </c>
      <c r="AC29" s="332">
        <v>46157</v>
      </c>
      <c r="AD29" s="113">
        <f>$AB$4</f>
        <v>0</v>
      </c>
      <c r="AE29" s="113">
        <f ca="1">IF(AC29="",TODAY()-AB29,AC29-AB29)</f>
        <v>3</v>
      </c>
      <c r="AF29" s="184">
        <f ca="1">AE29-AD29</f>
        <v>3</v>
      </c>
      <c r="AG29" s="355">
        <f>AL29-$AL$5</f>
        <v>46155</v>
      </c>
      <c r="AH29" s="332">
        <f>IF(_xlfn.XLOOKUP($E29,'[1]Import Eletra'!$B:$B,'[1]Import Eletra'!$AE:$AE,,0,1)=0,"",_xlfn.XLOOKUP($E29,'[1]Import Eletra'!$B:$B,'[1]Import Eletra'!$AE:$AE,,0,1))</f>
        <v>46160</v>
      </c>
      <c r="AI29" s="113">
        <f>$AG$4</f>
        <v>0</v>
      </c>
      <c r="AJ29" s="113">
        <f ca="1">IF(AH29="",TODAY()-AG29,AH29-AG29)</f>
        <v>5</v>
      </c>
      <c r="AK29" s="184">
        <f ca="1">AJ29-AI29</f>
        <v>5</v>
      </c>
      <c r="AL29" s="355">
        <f>AQ29-$AQ$5</f>
        <v>46155</v>
      </c>
      <c r="AM29" s="332">
        <v>46157</v>
      </c>
      <c r="AN29" s="113">
        <f>$AL$4</f>
        <v>0</v>
      </c>
      <c r="AO29" s="113">
        <f ca="1">IF(AM29="",TODAY()-AL29,AM29-AL29)</f>
        <v>2</v>
      </c>
      <c r="AP29" s="184">
        <f ca="1">AO29-AN29</f>
        <v>2</v>
      </c>
      <c r="AQ29" s="357">
        <f>AV29-$AV$5</f>
        <v>46156</v>
      </c>
      <c r="AR29" s="332">
        <v>46157</v>
      </c>
      <c r="AS29" s="113">
        <f>$AQ$4</f>
        <v>1</v>
      </c>
      <c r="AT29" s="113">
        <f ca="1">IF(AR29="",TODAY()-AQ29,AR29-AQ29)</f>
        <v>1</v>
      </c>
      <c r="AU29" s="184">
        <f ca="1">AT29-AS29</f>
        <v>0</v>
      </c>
      <c r="AV29" s="355">
        <f>BA29-$BA$5</f>
        <v>46156</v>
      </c>
      <c r="AW29" s="332">
        <v>46157</v>
      </c>
      <c r="AX29" s="113">
        <f>$AV$4</f>
        <v>0</v>
      </c>
      <c r="AY29" s="113">
        <f ca="1">IF(AW29="",TODAY()-AV29,AW29-AV29)</f>
        <v>1</v>
      </c>
      <c r="AZ29" s="184">
        <f ca="1">AY29-AX29</f>
        <v>1</v>
      </c>
      <c r="BA29" s="357">
        <f>BF29-$BF$5</f>
        <v>46156</v>
      </c>
      <c r="BB29" s="332">
        <f>IF(_xlfn.XLOOKUP($E29,'[1]Import Eletra'!$B:$B,'[1]Import Eletra'!$AW:$AW,,0,1)=0,"",_xlfn.XLOOKUP($E29,'[1]Import Eletra'!$B:$B,'[1]Import Eletra'!$AW:$AW,,0,1))</f>
        <v>46157</v>
      </c>
      <c r="BC29" s="113">
        <f>$BA$4</f>
        <v>0</v>
      </c>
      <c r="BD29" s="113">
        <f ca="1">IF(BB29="",TODAY()-BA29,BB29-BA29)</f>
        <v>1</v>
      </c>
      <c r="BE29" s="184">
        <f ca="1">BD29-BC29</f>
        <v>1</v>
      </c>
      <c r="BF29" s="335">
        <f>BK29-$BK$5</f>
        <v>46156</v>
      </c>
      <c r="BG29" s="332">
        <f>IF(_xlfn.XLOOKUP($E29,'[1]Import Eletra'!$B:$B,'[1]Import Eletra'!$AX:$AX,,0,1)=0,"",_xlfn.XLOOKUP($E29,'[1]Import Eletra'!$B:$B,'[1]Import Eletra'!$AX:$AX,,0,1))</f>
        <v>46160</v>
      </c>
      <c r="BH29" s="113">
        <f>$BF$4</f>
        <v>0</v>
      </c>
      <c r="BI29" s="113">
        <f ca="1">IF(BG29="",TODAY()-BF29,BG29-BF29)</f>
        <v>4</v>
      </c>
      <c r="BJ29" s="184">
        <f ca="1">BI29-BH29</f>
        <v>4</v>
      </c>
      <c r="BK29" s="362">
        <f>BP29-$BP$5</f>
        <v>46156</v>
      </c>
      <c r="BL29" s="332" t="str">
        <f>IF(_xlfn.XLOOKUP($E29,'[1]Import Eletra'!$B:$B,'[1]Import Eletra'!$AY:$AY,,0,1)=0,"",_xlfn.XLOOKUP($E29,'[1]Import Eletra'!$B:$B,'[1]Import Eletra'!$AY:$AY,,0,1))</f>
        <v/>
      </c>
      <c r="BM29" s="113">
        <f>$BK$4</f>
        <v>0</v>
      </c>
      <c r="BN29" s="113">
        <f ca="1">IF(BL29="",TODAY()-BK29,BL29-BK29)</f>
        <v>55</v>
      </c>
      <c r="BO29" s="184">
        <f ca="1">BN29-BM29</f>
        <v>55</v>
      </c>
      <c r="BP29" s="335">
        <f>BU29-$BU$5</f>
        <v>46156</v>
      </c>
      <c r="BQ29" s="332" t="str">
        <f>IF(_xlfn.XLOOKUP($E29,'[1]Import Eletra'!$B:$B,'[1]Import Eletra'!$AZ:$AZ,,0,1)=0,"",_xlfn.XLOOKUP($E29,'[1]Import Eletra'!$B:$B,'[1]Import Eletra'!$AZ:$AZ,,0,1))</f>
        <v/>
      </c>
      <c r="BR29" s="113">
        <f>$BP$4</f>
        <v>0</v>
      </c>
      <c r="BS29" s="113">
        <f ca="1">IF(BQ29="",TODAY()-BP29,BQ29-BP29)</f>
        <v>55</v>
      </c>
      <c r="BT29" s="184">
        <f ca="1">BS29-BR29</f>
        <v>55</v>
      </c>
      <c r="BU29" s="362">
        <f>BZ29-$BZ$4</f>
        <v>46158</v>
      </c>
      <c r="BV29" s="332" t="str">
        <f>IF(_xlfn.XLOOKUP($E29,'[1]Import Eletra'!$B:$B,'[1]Import Eletra'!$BA:$BA,,0,1)=0,"",_xlfn.XLOOKUP($E29,'[1]Import Eletra'!$B:$B,'[1]Import Eletra'!$BA:$BA,,0,1))</f>
        <v/>
      </c>
      <c r="BW29" s="113">
        <f>$BU$4</f>
        <v>2</v>
      </c>
      <c r="BX29" s="113">
        <f ca="1">IF(BV29="",TODAY()-BU29,BV29-BU29)</f>
        <v>53</v>
      </c>
      <c r="BY29" s="184">
        <f ca="1">BX29-BW29</f>
        <v>51</v>
      </c>
      <c r="BZ29" s="335">
        <f>CE29-$CE$5</f>
        <v>46158</v>
      </c>
      <c r="CA29" s="332">
        <f>IF(_xlfn.XLOOKUP($E29,'[1]Import Eletra'!$B:$B,'[1]Import Eletra'!$BB:$BB,,0,1)=0,"",_xlfn.XLOOKUP($E29,'[1]Import Eletra'!$B:$B,'[1]Import Eletra'!$BB:$BB,,0,1))</f>
        <v>46160</v>
      </c>
      <c r="CB29" s="113">
        <f>$BZ$4</f>
        <v>0</v>
      </c>
      <c r="CC29" s="113">
        <f ca="1">IF(CA29="",TODAY()-BZ29,CA29-BZ29)</f>
        <v>2</v>
      </c>
      <c r="CD29" s="184">
        <f ca="1">CC29-CB29</f>
        <v>2</v>
      </c>
      <c r="CE29" s="362">
        <f>CJ29-$CJ$4</f>
        <v>46158</v>
      </c>
      <c r="CF29" s="332">
        <f>IF(_xlfn.XLOOKUP($E29,'[1]Import Eletra'!$B:$B,'[1]Import Eletra'!$BC:$BC,,0,1)=0,"",_xlfn.XLOOKUP($E29,'[1]Import Eletra'!$B:$B,'[1]Import Eletra'!$BC:$BC,,0,1))</f>
        <v>46160</v>
      </c>
      <c r="CG29" s="113">
        <f>$CE$4</f>
        <v>0</v>
      </c>
      <c r="CH29" s="113">
        <f ca="1">IF(CF29="",TODAY()-CE29,CF29-CE29)</f>
        <v>2</v>
      </c>
      <c r="CI29" s="184">
        <f ca="1">CH29-CG29</f>
        <v>2</v>
      </c>
      <c r="CJ29" s="335">
        <f>CO29-$CO$4</f>
        <v>46158</v>
      </c>
      <c r="CK29" s="332">
        <f>IF(_xlfn.XLOOKUP($E29,'[1]Import Eletra'!$B:$B,'[1]Import Eletra'!$BD:$BD,,0,1)=0,"",_xlfn.XLOOKUP($E29,'[1]Import Eletra'!$B:$B,'[1]Import Eletra'!$BD:$BD,,0,1))</f>
        <v>46160</v>
      </c>
      <c r="CL29" s="113"/>
      <c r="CM29" s="113">
        <f ca="1">IF(CK29="",TODAY()-CJ29,CK29-CJ29)</f>
        <v>2</v>
      </c>
      <c r="CN29" s="184">
        <f ca="1">CM29-CL29</f>
        <v>2</v>
      </c>
      <c r="CO29" s="362">
        <f>CT29-$CT$4</f>
        <v>46158</v>
      </c>
      <c r="CP29" s="332">
        <f>IF(_xlfn.XLOOKUP($E29,'[1]Import Eletra'!$B:$B,'[1]Import Eletra'!$BE:$BE,,0,1)=0,"",_xlfn.XLOOKUP($E29,'[1]Import Eletra'!$B:$B,'[1]Import Eletra'!$BE:$BE,,0,1))</f>
        <v>46160</v>
      </c>
      <c r="CQ29" s="113">
        <f>$CO$4</f>
        <v>0</v>
      </c>
      <c r="CR29" s="113">
        <f ca="1">IF(CP29="",TODAY()-CO29,CP29-CO29)</f>
        <v>2</v>
      </c>
      <c r="CS29" s="184">
        <f ca="1">CR29-CQ29</f>
        <v>2</v>
      </c>
      <c r="CT29" s="335">
        <f>CY29-$CY$4</f>
        <v>46158</v>
      </c>
      <c r="CU29" s="332">
        <f>IF(_xlfn.XLOOKUP($E29,'[1]Import Eletra'!$B:$B,'[1]Import Eletra'!$BF:$BF,,0,1)=0,"",_xlfn.XLOOKUP($E29,'[1]Import Eletra'!$B:$B,'[1]Import Eletra'!$BF:$BF,,0,1))</f>
        <v>46160</v>
      </c>
      <c r="CV29" s="113">
        <f>$CT$4</f>
        <v>0</v>
      </c>
      <c r="CW29" s="113">
        <f ca="1">IF(CU29="",TODAY()-CT29,CU29-CT29)</f>
        <v>2</v>
      </c>
      <c r="CX29" s="184">
        <f ca="1">CW29-CV29</f>
        <v>2</v>
      </c>
      <c r="CY29" s="110">
        <f>DD29-$DD$4</f>
        <v>46158</v>
      </c>
      <c r="CZ29" s="104">
        <f>IF(_xlfn.XLOOKUP($E29,'[1]Import Eletra'!$B:$B,'[1]Import Eletra'!$BF:$BF,,0,1)=0,"",_xlfn.XLOOKUP($E29,'[1]Import Eletra'!$B:$B,'[1]Import Eletra'!$BF:$BF,,0,1))</f>
        <v>46160</v>
      </c>
      <c r="DA29" s="210">
        <f>$CY$4</f>
        <v>0</v>
      </c>
      <c r="DB29" s="113">
        <f ca="1">IF(CZ29="",TODAY()-CY29,CZ29-CY29)</f>
        <v>2</v>
      </c>
      <c r="DC29" s="184">
        <f ca="1">DB29-DA29</f>
        <v>2</v>
      </c>
      <c r="DD29" s="110">
        <f>DI29-$DI$4</f>
        <v>46160</v>
      </c>
      <c r="DE29" s="104">
        <f>IF(_xlfn.XLOOKUP($E29,'[1]Import Eletra'!$B:$B,'[1]Import Eletra'!$BG:$BG,,0,1)=0,"",_xlfn.XLOOKUP($E29,'[1]Import Eletra'!$B:$B,'[1]Import Eletra'!$BG:$BG,0,1))</f>
        <v>46162</v>
      </c>
      <c r="DF29" s="113">
        <f>$DD$4</f>
        <v>2</v>
      </c>
      <c r="DG29" s="113">
        <f ca="1">IF(DE29="",TODAY()-DD29,DE29-DD29)</f>
        <v>2</v>
      </c>
      <c r="DH29" s="184">
        <f ca="1">DG29-DF29</f>
        <v>0</v>
      </c>
      <c r="DI29" s="110">
        <f>DO29-$DN$4</f>
        <v>46161</v>
      </c>
      <c r="DJ29" s="104">
        <f>IF(_xlfn.XLOOKUP($E29,'[1]Import Eletra'!$B:$B,'[1]Import Eletra'!$BH:$BH,,0,1)=0,"",_xlfn.XLOOKUP($E29,'[1]Import Eletra'!$B:$B,'[1]Import Eletra'!$BH:$BH,0,1))</f>
        <v>46163</v>
      </c>
      <c r="DK29" s="112">
        <f>$DI$4</f>
        <v>1</v>
      </c>
      <c r="DL29" s="112">
        <f ca="1">IF(DJ29="",TODAY()-DI29,DJ29-DI29)</f>
        <v>2</v>
      </c>
      <c r="DM29" s="184">
        <f ca="1">DL29-DK29</f>
        <v>1</v>
      </c>
      <c r="DN29" s="64"/>
      <c r="DO29" s="202">
        <f t="shared" si="0"/>
        <v>46162</v>
      </c>
      <c r="DP29" s="165">
        <f>IF(_xlfn.XLOOKUP($E29,'[1]Import Eletra'!$B:$B,'[1]Import Eletra'!$O:$O,,0,1)=0,"",_xlfn.XLOOKUP($E29,'[1]Import Eletra'!$B:$B,'[1]Import Eletra'!$O:$O,0,1))</f>
        <v>46163</v>
      </c>
      <c r="DQ29" s="112">
        <f>$DN$4</f>
        <v>1</v>
      </c>
      <c r="DR29" s="112">
        <f ca="1">IF(DP29="",TODAY()-DO29,DP29-DO29)</f>
        <v>1</v>
      </c>
      <c r="DS29" s="184">
        <f ca="1">DR29-DQ29</f>
        <v>0</v>
      </c>
      <c r="DT29" s="143">
        <v>10</v>
      </c>
      <c r="DU29" s="140">
        <f ca="1">IF(DP29="",TODAY()-N29,DP29-N29)</f>
        <v>11</v>
      </c>
      <c r="DV29" s="184">
        <f ca="1">DU29-DT29</f>
        <v>1</v>
      </c>
      <c r="DX29" s="185" t="s">
        <v>245</v>
      </c>
      <c r="DY29" s="108" t="str">
        <f>IF(_xlfn.XLOOKUP($E29,'[1]Import Eletra'!$B:$B,'[1]Import Eletra'!$DW:$DW,,0,1)=0,"",_xlfn.XLOOKUP($E29,'[1]Import Eletra'!$B:$B,'[1]Import Eletra'!$DW:$DW,0,1))</f>
        <v>CASH FLOW/AVAILABILITY OF FUNDS IN THE ACCOUNT</v>
      </c>
      <c r="EB29" s="287"/>
      <c r="ED29" s="406">
        <f>IF(_xlfn.XLOOKUP($E29,'[1]Import Eletra'!$B:$B,'[1]Import Eletra'!$BQ:$BQ,,0,1)=0,"",_xlfn.XLOOKUP($E29,'[1]Import Eletra'!$B:$B,'[1]Import Eletra'!$BQ:$BQ,0,1))</f>
        <v>661.13</v>
      </c>
      <c r="EE29" s="407">
        <f>IF(_xlfn.XLOOKUP($E29,'[1]Import Eletra'!$B:$B,'[1]Import Eletra'!$BR:$BR,,0,1)=0,"",_xlfn.XLOOKUP($E29,'[1]Import Eletra'!$B:$B,'[1]Import Eletra'!$BR:$BR,0,1))</f>
        <v>46183</v>
      </c>
      <c r="EF29" s="406" t="str">
        <f>IF(_xlfn.XLOOKUP($E29,'[1]Import Eletra'!$B:$B,'[1]Import Eletra'!$BS:$BS,,0,1)=0,"",_xlfn.XLOOKUP($E29,'[1]Import Eletra'!$B:$B,'[1]Import Eletra'!$BS:$BS,0,1))</f>
        <v/>
      </c>
      <c r="EG29" s="407" t="str">
        <f>IF(_xlfn.XLOOKUP($E29,'[1]Import Eletra'!$B:$B,'[1]Import Eletra'!$BT:$BT,,0,1)=0,"",_xlfn.XLOOKUP($E29,'[1]Import Eletra'!$B:$B,'[1]Import Eletra'!$BT:$BT,0,1))</f>
        <v/>
      </c>
      <c r="EH29" s="406" t="str">
        <f>IF(_xlfn.XLOOKUP($E29,'[1]Import Eletra'!$B:$B,'[1]Import Eletra'!$BU:$BU,,0,1)=0,"",_xlfn.XLOOKUP($E29,'[1]Import Eletra'!$B:$B,'[1]Import Eletra'!$BU:$BU,0,1))</f>
        <v/>
      </c>
      <c r="EI29" s="407" t="str">
        <f>IF(_xlfn.XLOOKUP($E29,'[1]Import Eletra'!$B:$B,'[1]Import Eletra'!$BV:$BV,,0,1)=0,"",_xlfn.XLOOKUP($E29,'[1]Import Eletra'!$B:$B,'[1]Import Eletra'!$BV:$BV,0,1))</f>
        <v/>
      </c>
      <c r="EJ29" s="407" t="str">
        <f>IF(_xlfn.XLOOKUP($E29,'[1]Import Eletra'!$B:$B,'[1]Import Eletra'!$CI:$CI,,0,1)=0,"",_xlfn.XLOOKUP($E29,'[1]Import Eletra'!$B:$B,'[1]Import Eletra'!$CI:$CI,0,1))</f>
        <v/>
      </c>
      <c r="EK29" s="407" t="str">
        <f>IF(_xlfn.XLOOKUP($E29,'[1]Import Eletra'!$B:$B,'[1]Import Eletra'!$CD:$CD,,0,1)=0,"",_xlfn.XLOOKUP($E29,'[1]Import Eletra'!$B:$B,'[1]Import Eletra'!$CD:$CD,0,1))</f>
        <v/>
      </c>
      <c r="EL29" s="407" t="str">
        <f>IF(_xlfn.XLOOKUP($E29,'[1]Import Eletra'!$B:$B,'[1]Import Eletra'!$CE:$CE,,0,1)=0,"",_xlfn.XLOOKUP($E29,'[1]Import Eletra'!$B:$B,'[1]Import Eletra'!$CE:$CE,0,1))</f>
        <v>NÃO</v>
      </c>
      <c r="EM29" s="408" t="str">
        <f>IF(_xlfn.XLOOKUP($E29,'[1]Import Eletra'!$B:$B,'[1]Import Eletra'!$E:$E,,0,1)=0,"",_xlfn.XLOOKUP($E29,'[1]Import Eletra'!$B:$B,'[1]Import Eletra'!$E:$E,0,1))</f>
        <v>CATARINA</v>
      </c>
      <c r="EN29" s="408" t="str">
        <f>IF(_xlfn.XLOOKUP($E29,'[1]Import Eletra'!$B:$B,'[1]Import Eletra'!$R:$R,,0,1)=0,"",_xlfn.XLOOKUP($E29,'[1]Import Eletra'!$B:$B,'[1]Import Eletra'!$R:$R,0,1))</f>
        <v>PW2026006</v>
      </c>
      <c r="EO29" s="408" t="str">
        <f>IF(_xlfn.XLOOKUP($E29,'[1]Import Eletra'!$B:$B,'[1]Import Eletra'!$P:$P,,0,1)=0,"",_xlfn.XLOOKUP($E29,'[1]Import Eletra'!$B:$B,'[1]Import Eletra'!$P:$P,0,1))</f>
        <v>DTW260430FOR</v>
      </c>
      <c r="EP29" s="408" t="str">
        <f>IF(_xlfn.XLOOKUP($E29,'[1]Import Eletra'!$B:$B,'[1]Import Eletra'!$T:$T,,0,1)=0,"",_xlfn.XLOOKUP($E29,'[1]Import Eletra'!$B:$B,'[1]Import Eletra'!$T:$T,0,1))</f>
        <v/>
      </c>
    </row>
    <row r="30" spans="1:242" ht="30" customHeight="1">
      <c r="A30" s="229"/>
      <c r="B30" s="371" t="s">
        <v>336</v>
      </c>
      <c r="C30" s="280"/>
      <c r="D30" s="104" t="s">
        <v>259</v>
      </c>
      <c r="E30" s="219" t="s">
        <v>271</v>
      </c>
      <c r="F30" s="106">
        <f>IF(_xlfn.XLOOKUP($E30,'[1]Import Eletra'!$B:$B,'[1]Import Eletra'!$U:$U,,0,1)=0,"",_xlfn.XLOOKUP($E30,'[1]Import Eletra'!$B:$B,'[1]Import Eletra'!$U:$U,,0,1))</f>
        <v>1</v>
      </c>
      <c r="G30" s="107" t="s">
        <v>244</v>
      </c>
      <c r="H30" s="2" t="str">
        <f>_xlfn.XLOOKUP($E30,'[1]Import Eletra'!$B:$B,'[1]Import Eletra'!$F:$F,,0,1)</f>
        <v>DELIVERED</v>
      </c>
      <c r="I30" s="108" t="str">
        <f>_xlfn.XLOOKUP($E30,'[1]Import Eletra'!$B:$B,'[1]Import Eletra'!$G:$G,,0,1)</f>
        <v>SEA</v>
      </c>
      <c r="J30" s="326">
        <v>46086</v>
      </c>
      <c r="K30" s="109">
        <v>30</v>
      </c>
      <c r="L30" s="109">
        <f>M30-J30</f>
        <v>16</v>
      </c>
      <c r="M30" s="326">
        <f>IF(_xlfn.XLOOKUP($E30,'[1]Import Eletra'!$B:$B,'[1]Import Eletra'!$J:$J,,0,1)=0,"",_xlfn.XLOOKUP($E30,'[1]Import Eletra'!$B:$B,'[1]Import Eletra'!$J:$J,,0,1))</f>
        <v>46102</v>
      </c>
      <c r="N30" s="332">
        <f>IF(_xlfn.XLOOKUP($E30,'[1]Import Eletra'!$B:$B,'[1]Import Eletra'!$L:$L,,0,1)=0,"",_xlfn.XLOOKUP($E30,'[1]Import Eletra'!$B:$B,'[1]Import Eletra'!$L:$L,,0,1))</f>
        <v>46154</v>
      </c>
      <c r="O30" s="335">
        <f>IF(_xlfn.XLOOKUP($E30,'[1]Import Eletra'!$B:$B,'[1]Import Eletra'!$AK:$AK,,0,1)=0,"",_xlfn.XLOOKUP($E30,'[1]Import Eletra'!$B:$B,'[1]Import Eletra'!$AK:$AK,,0,1))</f>
        <v>46136</v>
      </c>
      <c r="P30" s="326">
        <f>IF(_xlfn.XLOOKUP($E30,'[1]Import Eletra'!$B:$B,'[1]Import Eletra'!$AL:$AL,,0,1)=0,"",_xlfn.XLOOKUP($E30,'[1]Import Eletra'!$B:$B,'[1]Import Eletra'!$AL:$AL,,0,1))</f>
        <v>46136</v>
      </c>
      <c r="Q30" s="326">
        <f>IF(_xlfn.XLOOKUP($E30,'[1]Import Eletra'!$B:$B,'[1]Import Eletra'!$AM:$AM,,0,1)=0,"",_xlfn.XLOOKUP($E30,'[1]Import Eletra'!$B:$B,'[1]Import Eletra'!$AM:$AM,,0,1))</f>
        <v>46142</v>
      </c>
      <c r="R30" s="326">
        <f>IF(_xlfn.XLOOKUP($E30,'[1]Import Eletra'!$B:$B,'[1]Import Eletra'!$AN:$AN,,0,1)=0,"",_xlfn.XLOOKUP($E30,'[1]Import Eletra'!$B:$B,'[1]Import Eletra'!$AN:$AN,,0,1))</f>
        <v>46142</v>
      </c>
      <c r="S30" s="326">
        <f>IF(_xlfn.XLOOKUP($E30,'[1]Import Eletra'!$B:$B,'[1]Import Eletra'!$AO:$AO,,0,1)=0,"",_xlfn.XLOOKUP($E30,'[1]Import Eletra'!$B:$B,'[1]Import Eletra'!$AO:$AO,,0,1))</f>
        <v>46142</v>
      </c>
      <c r="T30" s="326">
        <f>IF(_xlfn.XLOOKUP($E30,'[1]Import Eletra'!$B:$B,'[1]Import Eletra'!$AP:$AP,,0,1)=0,"",_xlfn.XLOOKUP($E30,'[1]Import Eletra'!$B:$B,'[1]Import Eletra'!$AP:$AP,,0,1))</f>
        <v>46142</v>
      </c>
      <c r="U30" s="326">
        <f>IF(_xlfn.XLOOKUP($E30,'[1]Import Eletra'!$B:$B,'[1]Import Eletra'!$AQ:$AQ,,0,1)=0,"",_xlfn.XLOOKUP($E30,'[1]Import Eletra'!$B:$B,'[1]Import Eletra'!$AQ:$AQ,,0,1))</f>
        <v>46142</v>
      </c>
      <c r="V30" s="339" t="str">
        <f>IF(_xlfn.XLOOKUP($E30,'[1]Import Eletra'!$B:$B,'[1]Import Eletra'!$AR:$AR,,0,1)=0,"",_xlfn.XLOOKUP($E30,'[1]Import Eletra'!$B:$B,'[1]Import Eletra'!$AR:$AR,,0,1))</f>
        <v>13/05/2026</v>
      </c>
      <c r="W30" s="335">
        <f>AB30-$AB$5</f>
        <v>46155</v>
      </c>
      <c r="X30" s="332">
        <v>46155</v>
      </c>
      <c r="Y30" s="113">
        <f>$W$4</f>
        <v>0</v>
      </c>
      <c r="Z30" s="113">
        <f ca="1">IF(X30="",TODAY()-W30,X30-W30)</f>
        <v>0</v>
      </c>
      <c r="AA30" s="184">
        <f ca="1">Z30-Y30</f>
        <v>0</v>
      </c>
      <c r="AB30" s="348">
        <f>AG30-$AB$5</f>
        <v>46156</v>
      </c>
      <c r="AC30" s="332">
        <v>46155</v>
      </c>
      <c r="AD30" s="113">
        <f>$AB$4</f>
        <v>0</v>
      </c>
      <c r="AE30" s="113">
        <f ca="1">IF(AC30="",TODAY()-AB30,AC30-AB30)</f>
        <v>-1</v>
      </c>
      <c r="AF30" s="184">
        <f ca="1">AE30-AD30</f>
        <v>-1</v>
      </c>
      <c r="AG30" s="355">
        <f>AL30-$AL$5</f>
        <v>46157</v>
      </c>
      <c r="AH30" s="332">
        <f>IF(_xlfn.XLOOKUP($E30,'[1]Import Eletra'!$B:$B,'[1]Import Eletra'!$AE:$AE,,0,1)=0,"",_xlfn.XLOOKUP($E30,'[1]Import Eletra'!$B:$B,'[1]Import Eletra'!$AE:$AE,,0,1))</f>
        <v>46156</v>
      </c>
      <c r="AI30" s="113">
        <f>$AG$4</f>
        <v>0</v>
      </c>
      <c r="AJ30" s="113">
        <f ca="1">IF(AH30="",TODAY()-AG30,AH30-AG30)</f>
        <v>-1</v>
      </c>
      <c r="AK30" s="184">
        <f ca="1">AJ30-AI30</f>
        <v>-1</v>
      </c>
      <c r="AL30" s="355">
        <f>AQ30-$AQ$5</f>
        <v>46157</v>
      </c>
      <c r="AM30" s="332">
        <v>46156</v>
      </c>
      <c r="AN30" s="113">
        <f>$AL$4</f>
        <v>0</v>
      </c>
      <c r="AO30" s="113">
        <f ca="1">IF(AM30="",TODAY()-AL30,AM30-AL30)</f>
        <v>-1</v>
      </c>
      <c r="AP30" s="184">
        <f ca="1">AO30-AN30</f>
        <v>-1</v>
      </c>
      <c r="AQ30" s="357">
        <f>AV30-$AV$5</f>
        <v>46158</v>
      </c>
      <c r="AR30" s="332">
        <v>46156</v>
      </c>
      <c r="AS30" s="113">
        <f>$AQ$4</f>
        <v>1</v>
      </c>
      <c r="AT30" s="113">
        <f ca="1">IF(AR30="",TODAY()-AQ30,AR30-AQ30)</f>
        <v>-2</v>
      </c>
      <c r="AU30" s="184">
        <f ca="1">AT30-AS30</f>
        <v>-3</v>
      </c>
      <c r="AV30" s="355">
        <f>BA30-$BA$5</f>
        <v>46158</v>
      </c>
      <c r="AW30" s="332">
        <v>46155</v>
      </c>
      <c r="AX30" s="113">
        <f>$AV$4</f>
        <v>0</v>
      </c>
      <c r="AY30" s="113">
        <f ca="1">IF(AW30="",TODAY()-AV30,AW30-AV30)</f>
        <v>-3</v>
      </c>
      <c r="AZ30" s="184">
        <f ca="1">AY30-AX30</f>
        <v>-3</v>
      </c>
      <c r="BA30" s="357">
        <f>BF30-$BF$5</f>
        <v>46158</v>
      </c>
      <c r="BB30" s="332">
        <v>46156</v>
      </c>
      <c r="BC30" s="113">
        <f>$BA$4</f>
        <v>0</v>
      </c>
      <c r="BD30" s="113">
        <f ca="1">IF(BB30="",TODAY()-BA30,BB30-BA30)</f>
        <v>-2</v>
      </c>
      <c r="BE30" s="184">
        <f ca="1">BD30-BC30</f>
        <v>-2</v>
      </c>
      <c r="BF30" s="335">
        <f>BK30-$BK$5</f>
        <v>46158</v>
      </c>
      <c r="BG30" s="332">
        <v>46156</v>
      </c>
      <c r="BH30" s="113">
        <f>$BF$4</f>
        <v>0</v>
      </c>
      <c r="BI30" s="113">
        <f ca="1">IF(BG30="",TODAY()-BF30,BG30-BF30)</f>
        <v>-2</v>
      </c>
      <c r="BJ30" s="184">
        <f ca="1">BI30-BH30</f>
        <v>-2</v>
      </c>
      <c r="BK30" s="362">
        <f>BP30-$BP$5</f>
        <v>46158</v>
      </c>
      <c r="BL30" s="332">
        <f>IF(_xlfn.XLOOKUP($E30,'[1]Import Eletra'!$B:$B,'[1]Import Eletra'!$AY:$AY,,0,1)=0,"",_xlfn.XLOOKUP($E30,'[1]Import Eletra'!$B:$B,'[1]Import Eletra'!$AY:$AY,,0,1))</f>
        <v>46157</v>
      </c>
      <c r="BM30" s="113">
        <f>$BK$4</f>
        <v>0</v>
      </c>
      <c r="BN30" s="113">
        <f ca="1">IF(BL30="",TODAY()-BK30,BL30-BK30)</f>
        <v>-1</v>
      </c>
      <c r="BO30" s="184">
        <f ca="1">BN30-BM30</f>
        <v>-1</v>
      </c>
      <c r="BP30" s="335">
        <f>BU30-$BU$5</f>
        <v>46158</v>
      </c>
      <c r="BQ30" s="332">
        <f>IF(_xlfn.XLOOKUP($E30,'[1]Import Eletra'!$B:$B,'[1]Import Eletra'!$AZ:$AZ,,0,1)=0,"",_xlfn.XLOOKUP($E30,'[1]Import Eletra'!$B:$B,'[1]Import Eletra'!$AZ:$AZ,,0,1))</f>
        <v>46157</v>
      </c>
      <c r="BR30" s="113">
        <f>$BP$4</f>
        <v>0</v>
      </c>
      <c r="BS30" s="113">
        <f ca="1">IF(BQ30="",TODAY()-BP30,BQ30-BP30)</f>
        <v>-1</v>
      </c>
      <c r="BT30" s="184">
        <f ca="1">BS30-BR30</f>
        <v>-1</v>
      </c>
      <c r="BU30" s="362">
        <f>BZ30-$BZ$4</f>
        <v>46160</v>
      </c>
      <c r="BV30" s="332">
        <f>IF(_xlfn.XLOOKUP($E30,'[1]Import Eletra'!$B:$B,'[1]Import Eletra'!$BA:$BA,,0,1)=0,"",_xlfn.XLOOKUP($E30,'[1]Import Eletra'!$B:$B,'[1]Import Eletra'!$BA:$BA,,0,1))</f>
        <v>46160</v>
      </c>
      <c r="BW30" s="113">
        <f>$BU$4</f>
        <v>2</v>
      </c>
      <c r="BX30" s="113">
        <f ca="1">IF(BV30="",TODAY()-BU30,BV30-BU30)</f>
        <v>0</v>
      </c>
      <c r="BY30" s="184">
        <f ca="1">BX30-BW30</f>
        <v>-2</v>
      </c>
      <c r="BZ30" s="335">
        <f>CE30-$CE$5</f>
        <v>46160</v>
      </c>
      <c r="CA30" s="332">
        <f>IF(_xlfn.XLOOKUP($E30,'[1]Import Eletra'!$B:$B,'[1]Import Eletra'!$BB:$BB,,0,1)=0,"",_xlfn.XLOOKUP($E30,'[1]Import Eletra'!$B:$B,'[1]Import Eletra'!$BB:$BB,,0,1))</f>
        <v>46161</v>
      </c>
      <c r="CB30" s="113">
        <f>$BZ$4</f>
        <v>0</v>
      </c>
      <c r="CC30" s="113">
        <f ca="1">IF(CA30="",TODAY()-BZ30,CA30-BZ30)</f>
        <v>1</v>
      </c>
      <c r="CD30" s="184">
        <f ca="1">CC30-CB30</f>
        <v>1</v>
      </c>
      <c r="CE30" s="362">
        <f>CJ30-$CJ$4</f>
        <v>46160</v>
      </c>
      <c r="CF30" s="332">
        <f>IF(_xlfn.XLOOKUP($E30,'[1]Import Eletra'!$B:$B,'[1]Import Eletra'!$BC:$BC,,0,1)=0,"",_xlfn.XLOOKUP($E30,'[1]Import Eletra'!$B:$B,'[1]Import Eletra'!$BC:$BC,,0,1))</f>
        <v>46161</v>
      </c>
      <c r="CG30" s="113">
        <f>$CE$4</f>
        <v>0</v>
      </c>
      <c r="CH30" s="113">
        <f ca="1">IF(CF30="",TODAY()-CE30,CF30-CE30)</f>
        <v>1</v>
      </c>
      <c r="CI30" s="184">
        <f ca="1">CH30-CG30</f>
        <v>1</v>
      </c>
      <c r="CJ30" s="335">
        <f>CO30-$CO$4</f>
        <v>46160</v>
      </c>
      <c r="CK30" s="332">
        <f>IF(_xlfn.XLOOKUP($E30,'[1]Import Eletra'!$B:$B,'[1]Import Eletra'!$BD:$BD,,0,1)=0,"",_xlfn.XLOOKUP($E30,'[1]Import Eletra'!$B:$B,'[1]Import Eletra'!$BD:$BD,,0,1))</f>
        <v>45796</v>
      </c>
      <c r="CL30" s="113"/>
      <c r="CM30" s="113">
        <f ca="1">IF(CK30="",TODAY()-CJ30,CK30-CJ30)</f>
        <v>-364</v>
      </c>
      <c r="CN30" s="184">
        <f ca="1">CM30-CL30</f>
        <v>-364</v>
      </c>
      <c r="CO30" s="362">
        <f>CT30-$CT$4</f>
        <v>46160</v>
      </c>
      <c r="CP30" s="332">
        <f>IF(_xlfn.XLOOKUP($E30,'[1]Import Eletra'!$B:$B,'[1]Import Eletra'!$BE:$BE,,0,1)=0,"",_xlfn.XLOOKUP($E30,'[1]Import Eletra'!$B:$B,'[1]Import Eletra'!$BE:$BE,,0,1))</f>
        <v>46162</v>
      </c>
      <c r="CQ30" s="113">
        <f>$CO$4</f>
        <v>0</v>
      </c>
      <c r="CR30" s="113">
        <f ca="1">IF(CP30="",TODAY()-CO30,CP30-CO30)</f>
        <v>2</v>
      </c>
      <c r="CS30" s="184">
        <f ca="1">CR30-CQ30</f>
        <v>2</v>
      </c>
      <c r="CT30" s="335">
        <f>CY30-$CY$4</f>
        <v>46160</v>
      </c>
      <c r="CU30" s="332">
        <f>IF(_xlfn.XLOOKUP($E30,'[1]Import Eletra'!$B:$B,'[1]Import Eletra'!$BF:$BF,,0,1)=0,"",_xlfn.XLOOKUP($E30,'[1]Import Eletra'!$B:$B,'[1]Import Eletra'!$BF:$BF,,0,1))</f>
        <v>46162</v>
      </c>
      <c r="CV30" s="113">
        <f>$CT$4</f>
        <v>0</v>
      </c>
      <c r="CW30" s="113">
        <f ca="1">IF(CU30="",TODAY()-CT30,CU30-CT30)</f>
        <v>2</v>
      </c>
      <c r="CX30" s="184">
        <f ca="1">CW30-CV30</f>
        <v>2</v>
      </c>
      <c r="CY30" s="110">
        <f>DD30-$DD$4</f>
        <v>46160</v>
      </c>
      <c r="CZ30" s="247">
        <f>IF(_xlfn.XLOOKUP($E30,'[1]Import Eletra'!$B:$B,'[1]Import Eletra'!$BF:$BF,,0,1)=0,"",_xlfn.XLOOKUP($E30,'[1]Import Eletra'!$B:$B,'[1]Import Eletra'!$BF:$BF,,0,1))</f>
        <v>46162</v>
      </c>
      <c r="DA30" s="210">
        <f>$CY$4</f>
        <v>0</v>
      </c>
      <c r="DB30" s="113">
        <f ca="1">IF(CZ30="",TODAY()-CY30,CZ30-CY30)</f>
        <v>2</v>
      </c>
      <c r="DC30" s="184">
        <f ca="1">DB30-DA30</f>
        <v>2</v>
      </c>
      <c r="DD30" s="110">
        <f>DI30-$DI$4</f>
        <v>46162</v>
      </c>
      <c r="DE30" s="247">
        <f>IF(_xlfn.XLOOKUP($E30,'[1]Import Eletra'!$B:$B,'[1]Import Eletra'!$BG:$BG,,0,1)=0,"",_xlfn.XLOOKUP($E30,'[1]Import Eletra'!$B:$B,'[1]Import Eletra'!$BG:$BG,0,1))</f>
        <v>46164</v>
      </c>
      <c r="DF30" s="113">
        <f>$DD$4</f>
        <v>2</v>
      </c>
      <c r="DG30" s="113">
        <f ca="1">IF(DE30="",TODAY()-DD30,DE30-DD30)</f>
        <v>2</v>
      </c>
      <c r="DH30" s="184">
        <f ca="1">DG30-DF30</f>
        <v>0</v>
      </c>
      <c r="DI30" s="110">
        <f>DO30-$DN$4</f>
        <v>46163</v>
      </c>
      <c r="DJ30" s="247">
        <f>IF(_xlfn.XLOOKUP($E30,'[1]Import Eletra'!$B:$B,'[1]Import Eletra'!$BH:$BH,,0,1)=0,"",_xlfn.XLOOKUP($E30,'[1]Import Eletra'!$B:$B,'[1]Import Eletra'!$BH:$BH,0,1))</f>
        <v>46164</v>
      </c>
      <c r="DK30" s="112">
        <f>$DI$4</f>
        <v>1</v>
      </c>
      <c r="DL30" s="112">
        <f ca="1">IF(DJ30="",TODAY()-DI30,DJ30-DI30)</f>
        <v>1</v>
      </c>
      <c r="DM30" s="184">
        <f ca="1">DL30-DK30</f>
        <v>0</v>
      </c>
      <c r="DN30" s="64"/>
      <c r="DO30" s="202">
        <f t="shared" si="0"/>
        <v>46164</v>
      </c>
      <c r="DP30" s="165">
        <f>IF(_xlfn.XLOOKUP($E30,'[1]Import Eletra'!$B:$B,'[1]Import Eletra'!$O:$O,,0,1)=0,"",_xlfn.XLOOKUP($E30,'[1]Import Eletra'!$B:$B,'[1]Import Eletra'!$O:$O,0,1))</f>
        <v>46165</v>
      </c>
      <c r="DQ30" s="112">
        <f>$DN$4</f>
        <v>1</v>
      </c>
      <c r="DR30" s="112">
        <f ca="1">IF(DP30="",TODAY()-DO30,DP30-DO30)</f>
        <v>1</v>
      </c>
      <c r="DS30" s="184">
        <f ca="1">DR30-DQ30</f>
        <v>0</v>
      </c>
      <c r="DT30" s="143">
        <v>10</v>
      </c>
      <c r="DU30" s="140">
        <f ca="1">IF(DP30="",TODAY()-N30,DP30-N30)</f>
        <v>11</v>
      </c>
      <c r="DV30" s="184">
        <f ca="1">DU30-DT30</f>
        <v>1</v>
      </c>
      <c r="DX30" s="185" t="s">
        <v>245</v>
      </c>
      <c r="DY30" s="108" t="str">
        <f>IF(_xlfn.XLOOKUP($E30,'[1]Import Eletra'!$B:$B,'[1]Import Eletra'!$DW:$DW,,0,1)=0,"",_xlfn.XLOOKUP($E30,'[1]Import Eletra'!$B:$B,'[1]Import Eletra'!$DW:$DW,0,1))</f>
        <v/>
      </c>
      <c r="EB30" s="287" t="s">
        <v>273</v>
      </c>
      <c r="ED30" s="406">
        <f>IF(_xlfn.XLOOKUP($E30,'[1]Import Eletra'!$B:$B,'[1]Import Eletra'!$BQ:$BQ,,0,1)=0,"",_xlfn.XLOOKUP($E30,'[1]Import Eletra'!$B:$B,'[1]Import Eletra'!$BQ:$BQ,0,1))</f>
        <v>1591.8</v>
      </c>
      <c r="EE30" s="407">
        <f>IF(_xlfn.XLOOKUP($E30,'[1]Import Eletra'!$B:$B,'[1]Import Eletra'!$BR:$BR,,0,1)=0,"",_xlfn.XLOOKUP($E30,'[1]Import Eletra'!$B:$B,'[1]Import Eletra'!$BR:$BR,0,1))</f>
        <v>46164</v>
      </c>
      <c r="EF30" s="406" t="str">
        <f>IF(_xlfn.XLOOKUP($E30,'[1]Import Eletra'!$B:$B,'[1]Import Eletra'!$BS:$BS,,0,1)=0,"",_xlfn.XLOOKUP($E30,'[1]Import Eletra'!$B:$B,'[1]Import Eletra'!$BS:$BS,0,1))</f>
        <v/>
      </c>
      <c r="EG30" s="407" t="str">
        <f>IF(_xlfn.XLOOKUP($E30,'[1]Import Eletra'!$B:$B,'[1]Import Eletra'!$BT:$BT,,0,1)=0,"",_xlfn.XLOOKUP($E30,'[1]Import Eletra'!$B:$B,'[1]Import Eletra'!$BT:$BT,0,1))</f>
        <v/>
      </c>
      <c r="EH30" s="406" t="str">
        <f>IF(_xlfn.XLOOKUP($E30,'[1]Import Eletra'!$B:$B,'[1]Import Eletra'!$BU:$BU,,0,1)=0,"",_xlfn.XLOOKUP($E30,'[1]Import Eletra'!$B:$B,'[1]Import Eletra'!$BU:$BU,0,1))</f>
        <v/>
      </c>
      <c r="EI30" s="407" t="str">
        <f>IF(_xlfn.XLOOKUP($E30,'[1]Import Eletra'!$B:$B,'[1]Import Eletra'!$BV:$BV,,0,1)=0,"",_xlfn.XLOOKUP($E30,'[1]Import Eletra'!$B:$B,'[1]Import Eletra'!$BV:$BV,0,1))</f>
        <v/>
      </c>
      <c r="EJ30" s="407">
        <f>IF(_xlfn.XLOOKUP($E30,'[1]Import Eletra'!$B:$B,'[1]Import Eletra'!$CI:$CI,,0,1)=0,"",_xlfn.XLOOKUP($E30,'[1]Import Eletra'!$B:$B,'[1]Import Eletra'!$CI:$CI,0,1))</f>
        <v>46172</v>
      </c>
      <c r="EK30" s="407" t="str">
        <f>IF(_xlfn.XLOOKUP($E30,'[1]Import Eletra'!$B:$B,'[1]Import Eletra'!$CD:$CD,,0,1)=0,"",_xlfn.XLOOKUP($E30,'[1]Import Eletra'!$B:$B,'[1]Import Eletra'!$CD:$CD,0,1))</f>
        <v/>
      </c>
      <c r="EL30" s="407" t="str">
        <f>IF(_xlfn.XLOOKUP($E30,'[1]Import Eletra'!$B:$B,'[1]Import Eletra'!$CE:$CE,,0,1)=0,"",_xlfn.XLOOKUP($E30,'[1]Import Eletra'!$B:$B,'[1]Import Eletra'!$CE:$CE,0,1))</f>
        <v>NÃO</v>
      </c>
      <c r="EM30" s="408" t="str">
        <f>IF(_xlfn.XLOOKUP($E30,'[1]Import Eletra'!$B:$B,'[1]Import Eletra'!$E:$E,,0,1)=0,"",_xlfn.XLOOKUP($E30,'[1]Import Eletra'!$B:$B,'[1]Import Eletra'!$E:$E,0,1))</f>
        <v>CATARINA</v>
      </c>
      <c r="EN30" s="408" t="str">
        <f>IF(_xlfn.XLOOKUP($E30,'[1]Import Eletra'!$B:$B,'[1]Import Eletra'!$R:$R,,0,1)=0,"",_xlfn.XLOOKUP($E30,'[1]Import Eletra'!$B:$B,'[1]Import Eletra'!$R:$R,0,1))</f>
        <v>PWBR260018-20 A</v>
      </c>
      <c r="EO30" s="408" t="str">
        <f>IF(_xlfn.XLOOKUP($E30,'[1]Import Eletra'!$B:$B,'[1]Import Eletra'!$P:$P,,0,1)=0,"",_xlfn.XLOOKUP($E30,'[1]Import Eletra'!$B:$B,'[1]Import Eletra'!$P:$P,0,1))</f>
        <v>SDBLBS593283</v>
      </c>
      <c r="EP30" s="408" t="str">
        <f>IF(_xlfn.XLOOKUP($E30,'[1]Import Eletra'!$B:$B,'[1]Import Eletra'!$T:$T,,0,1)=0,"",_xlfn.XLOOKUP($E30,'[1]Import Eletra'!$B:$B,'[1]Import Eletra'!$T:$T,0,1))</f>
        <v>TRHU660536</v>
      </c>
    </row>
    <row r="31" spans="1:242" ht="30" customHeight="1">
      <c r="B31" s="281"/>
      <c r="C31" s="280"/>
      <c r="D31" s="104" t="s">
        <v>259</v>
      </c>
      <c r="E31" s="213" t="s">
        <v>280</v>
      </c>
      <c r="F31" s="106">
        <f>IF(_xlfn.XLOOKUP($E31,'[1]Import Eletra'!$B:$B,'[1]Import Eletra'!$U:$U,,0,1)=0,"",_xlfn.XLOOKUP($E31,'[1]Import Eletra'!$B:$B,'[1]Import Eletra'!$U:$U,,0,1))</f>
        <v>0.5</v>
      </c>
      <c r="G31" s="107" t="s">
        <v>244</v>
      </c>
      <c r="H31" s="2" t="str">
        <f>_xlfn.XLOOKUP($E31,'[1]Import Eletra'!$B:$B,'[1]Import Eletra'!$F:$F,,0,1)</f>
        <v>DELIVERED</v>
      </c>
      <c r="I31" s="108" t="str">
        <f>_xlfn.XLOOKUP($E31,'[1]Import Eletra'!$B:$B,'[1]Import Eletra'!$G:$G,,0,1)</f>
        <v>SEA</v>
      </c>
      <c r="J31" s="326">
        <v>46074</v>
      </c>
      <c r="K31" s="109">
        <v>30</v>
      </c>
      <c r="L31" s="109">
        <f>M31-J31</f>
        <v>21</v>
      </c>
      <c r="M31" s="326">
        <f>IF(_xlfn.XLOOKUP($E31,'[1]Import Eletra'!$B:$B,'[1]Import Eletra'!$J:$J,,0,1)=0,"",_xlfn.XLOOKUP($E31,'[1]Import Eletra'!$B:$B,'[1]Import Eletra'!$J:$J,,0,1))</f>
        <v>46095</v>
      </c>
      <c r="N31" s="332">
        <f>IF(_xlfn.XLOOKUP($E31,'[1]Import Eletra'!$B:$B,'[1]Import Eletra'!$L:$L,,0,1)=0,"",_xlfn.XLOOKUP($E31,'[1]Import Eletra'!$B:$B,'[1]Import Eletra'!$L:$L,,0,1))</f>
        <v>46161</v>
      </c>
      <c r="O31" s="335">
        <f>IF(_xlfn.XLOOKUP($E31,'[1]Import Eletra'!$B:$B,'[1]Import Eletra'!$AK:$AK,,0,1)=0,"",_xlfn.XLOOKUP($E31,'[1]Import Eletra'!$B:$B,'[1]Import Eletra'!$AK:$AK,,0,1))</f>
        <v>46128</v>
      </c>
      <c r="P31" s="326">
        <f>IF(_xlfn.XLOOKUP($E31,'[1]Import Eletra'!$B:$B,'[1]Import Eletra'!$AL:$AL,,0,1)=0,"",_xlfn.XLOOKUP($E31,'[1]Import Eletra'!$B:$B,'[1]Import Eletra'!$AL:$AL,,0,1))</f>
        <v>46134</v>
      </c>
      <c r="Q31" s="326">
        <f>IF(_xlfn.XLOOKUP($E31,'[1]Import Eletra'!$B:$B,'[1]Import Eletra'!$AM:$AM,,0,1)=0,"",_xlfn.XLOOKUP($E31,'[1]Import Eletra'!$B:$B,'[1]Import Eletra'!$AM:$AM,,0,1))</f>
        <v>46136</v>
      </c>
      <c r="R31" s="326">
        <f>IF(_xlfn.XLOOKUP($E31,'[1]Import Eletra'!$B:$B,'[1]Import Eletra'!$AN:$AN,,0,1)=0,"",_xlfn.XLOOKUP($E31,'[1]Import Eletra'!$B:$B,'[1]Import Eletra'!$AN:$AN,,0,1))</f>
        <v>46136</v>
      </c>
      <c r="S31" s="326">
        <f>IF(_xlfn.XLOOKUP($E31,'[1]Import Eletra'!$B:$B,'[1]Import Eletra'!$AO:$AO,,0,1)=0,"",_xlfn.XLOOKUP($E31,'[1]Import Eletra'!$B:$B,'[1]Import Eletra'!$AO:$AO,,0,1))</f>
        <v>46136</v>
      </c>
      <c r="T31" s="326">
        <f>IF(_xlfn.XLOOKUP($E31,'[1]Import Eletra'!$B:$B,'[1]Import Eletra'!$AP:$AP,,0,1)=0,"",_xlfn.XLOOKUP($E31,'[1]Import Eletra'!$B:$B,'[1]Import Eletra'!$AP:$AP,,0,1))</f>
        <v>46139</v>
      </c>
      <c r="U31" s="326">
        <f>IF(_xlfn.XLOOKUP($E31,'[1]Import Eletra'!$B:$B,'[1]Import Eletra'!$AQ:$AQ,,0,1)=0,"",_xlfn.XLOOKUP($E31,'[1]Import Eletra'!$B:$B,'[1]Import Eletra'!$AQ:$AQ,,0,1))</f>
        <v>46140</v>
      </c>
      <c r="V31" s="339">
        <f>IF(_xlfn.XLOOKUP($E31,'[1]Import Eletra'!$B:$B,'[1]Import Eletra'!$AR:$AR,,0,1)=0,"",_xlfn.XLOOKUP($E31,'[1]Import Eletra'!$B:$B,'[1]Import Eletra'!$AR:$AR,,0,1))</f>
        <v>46162</v>
      </c>
      <c r="W31" s="335">
        <f>AB31-$AB$5</f>
        <v>46162</v>
      </c>
      <c r="X31" s="332">
        <f>IF(_xlfn.XLOOKUP($E31,'[1]Import Eletra'!$B:$B,'[1]Import Eletra'!$AS:$AS,,0,1)=0,"",_xlfn.XLOOKUP($E31,'[1]Import Eletra'!$B:$B,'[1]Import Eletra'!$AS:$AS,,0,1))</f>
        <v>46162</v>
      </c>
      <c r="Y31" s="113">
        <f>$W$4</f>
        <v>0</v>
      </c>
      <c r="Z31" s="113">
        <f ca="1">IF(X31="",TODAY()-W31,X31-W31)</f>
        <v>0</v>
      </c>
      <c r="AA31" s="184">
        <f ca="1">Z31-Y31</f>
        <v>0</v>
      </c>
      <c r="AB31" s="348">
        <f>AG31-$AB$5</f>
        <v>46163</v>
      </c>
      <c r="AC31" s="332">
        <f>IF(_xlfn.XLOOKUP($E31,'[1]Import Eletra'!$B:$B,'[1]Import Eletra'!$AD:$AD,,0,1)=0,"",_xlfn.XLOOKUP($E31,'[1]Import Eletra'!$B:$B,'[1]Import Eletra'!$AD:$AD,,0,1))</f>
        <v>46162</v>
      </c>
      <c r="AD31" s="113">
        <f>$AB$4</f>
        <v>0</v>
      </c>
      <c r="AE31" s="113">
        <f ca="1">IF(AC31="",TODAY()-AB31,AC31-AB31)</f>
        <v>-1</v>
      </c>
      <c r="AF31" s="184">
        <f ca="1">AE31-AD31</f>
        <v>-1</v>
      </c>
      <c r="AG31" s="355">
        <f>AL31-$AL$5</f>
        <v>46164</v>
      </c>
      <c r="AH31" s="332">
        <f>IF(_xlfn.XLOOKUP($E31,'[1]Import Eletra'!$B:$B,'[1]Import Eletra'!$AE:$AE,,0,1)=0,"",_xlfn.XLOOKUP($E31,'[1]Import Eletra'!$B:$B,'[1]Import Eletra'!$AE:$AE,,0,1))</f>
        <v>46162</v>
      </c>
      <c r="AI31" s="113">
        <f>$AG$4</f>
        <v>0</v>
      </c>
      <c r="AJ31" s="113">
        <f ca="1">IF(AH31="",TODAY()-AG31,AH31-AG31)</f>
        <v>-2</v>
      </c>
      <c r="AK31" s="184">
        <f ca="1">AJ31-AI31</f>
        <v>-2</v>
      </c>
      <c r="AL31" s="355">
        <f>AQ31-$AQ$5</f>
        <v>46164</v>
      </c>
      <c r="AM31" s="332">
        <f>IF(_xlfn.XLOOKUP($E31,'[1]Import Eletra'!$B:$B,'[1]Import Eletra'!$AT:$AT,,0,1)=0,"",_xlfn.XLOOKUP($E31,'[1]Import Eletra'!$B:$B,'[1]Import Eletra'!$AT:$AT,,0,1))</f>
        <v>46163</v>
      </c>
      <c r="AN31" s="113">
        <f>$AL$4</f>
        <v>0</v>
      </c>
      <c r="AO31" s="113">
        <f ca="1">IF(AM31="",TODAY()-AL31,AM31-AL31)</f>
        <v>-1</v>
      </c>
      <c r="AP31" s="184">
        <f ca="1">AO31-AN31</f>
        <v>-1</v>
      </c>
      <c r="AQ31" s="357">
        <f>AV31-$AV$5</f>
        <v>46165</v>
      </c>
      <c r="AR31" s="332">
        <f>IF(_xlfn.XLOOKUP($E31,'[1]Import Eletra'!$B:$B,'[1]Import Eletra'!$AU:$AU,,0,1)=0,"",_xlfn.XLOOKUP($E31,'[1]Import Eletra'!$B:$B,'[1]Import Eletra'!$AU:$AU,,0,1))</f>
        <v>46163</v>
      </c>
      <c r="AS31" s="113">
        <f>$AQ$4</f>
        <v>1</v>
      </c>
      <c r="AT31" s="113">
        <f ca="1">IF(AR31="",TODAY()-AQ31,AR31-AQ31)</f>
        <v>-2</v>
      </c>
      <c r="AU31" s="184">
        <f ca="1">AT31-AS31</f>
        <v>-3</v>
      </c>
      <c r="AV31" s="355">
        <f>BA31-$BA$5</f>
        <v>46165</v>
      </c>
      <c r="AW31" s="332" t="str">
        <f>IF(_xlfn.XLOOKUP($E31,'[1]Import Eletra'!$B:$B,'[1]Import Eletra'!$AV:$AV,,0,1)=0,"",_xlfn.XLOOKUP($E31,'[1]Import Eletra'!$B:$B,'[1]Import Eletra'!$AV:$AV,,0,1))</f>
        <v/>
      </c>
      <c r="AX31" s="113">
        <f>$AV$4</f>
        <v>0</v>
      </c>
      <c r="AY31" s="113">
        <f ca="1">IF(AW31="",TODAY()-AV31,AW31-AV31)</f>
        <v>46</v>
      </c>
      <c r="AZ31" s="184">
        <f ca="1">AY31-AX31</f>
        <v>46</v>
      </c>
      <c r="BA31" s="357">
        <f>BF31-$BF$5</f>
        <v>46165</v>
      </c>
      <c r="BB31" s="332" t="str">
        <f>IF(_xlfn.XLOOKUP($E31,'[1]Import Eletra'!$B:$B,'[1]Import Eletra'!$AW:$AW,,0,1)=0,"",_xlfn.XLOOKUP($E31,'[1]Import Eletra'!$B:$B,'[1]Import Eletra'!$AW:$AW,,0,1))</f>
        <v/>
      </c>
      <c r="BC31" s="113">
        <f>$BA$4</f>
        <v>0</v>
      </c>
      <c r="BD31" s="113">
        <f ca="1">IF(BB31="",TODAY()-BA31,BB31-BA31)</f>
        <v>46</v>
      </c>
      <c r="BE31" s="184">
        <f ca="1">BD31-BC31</f>
        <v>46</v>
      </c>
      <c r="BF31" s="335">
        <f>BK31-$BK$5</f>
        <v>46165</v>
      </c>
      <c r="BG31" s="332" t="str">
        <f>IF(_xlfn.XLOOKUP($E31,'[1]Import Eletra'!$B:$B,'[1]Import Eletra'!$AX:$AX,,0,1)=0,"",_xlfn.XLOOKUP($E31,'[1]Import Eletra'!$B:$B,'[1]Import Eletra'!$AX:$AX,,0,1))</f>
        <v/>
      </c>
      <c r="BH31" s="113">
        <f>$BF$4</f>
        <v>0</v>
      </c>
      <c r="BI31" s="113">
        <f ca="1">IF(BG31="",TODAY()-BF31,BG31-BF31)</f>
        <v>46</v>
      </c>
      <c r="BJ31" s="184">
        <f ca="1">BI31-BH31</f>
        <v>46</v>
      </c>
      <c r="BK31" s="362">
        <f>BP31-$BP$5</f>
        <v>46165</v>
      </c>
      <c r="BL31" s="332" t="str">
        <f>IF(_xlfn.XLOOKUP($E31,'[1]Import Eletra'!$B:$B,'[1]Import Eletra'!$AY:$AY,,0,1)=0,"",_xlfn.XLOOKUP($E31,'[1]Import Eletra'!$B:$B,'[1]Import Eletra'!$AY:$AY,,0,1))</f>
        <v/>
      </c>
      <c r="BM31" s="113">
        <f>$BK$4</f>
        <v>0</v>
      </c>
      <c r="BN31" s="113">
        <f ca="1">IF(BL31="",TODAY()-BK31,BL31-BK31)</f>
        <v>46</v>
      </c>
      <c r="BO31" s="184">
        <f ca="1">BN31-BM31</f>
        <v>46</v>
      </c>
      <c r="BP31" s="335">
        <f>BU31-$BU$5</f>
        <v>46165</v>
      </c>
      <c r="BQ31" s="332" t="str">
        <f>IF(_xlfn.XLOOKUP($E31,'[1]Import Eletra'!$B:$B,'[1]Import Eletra'!$AZ:$AZ,,0,1)=0,"",_xlfn.XLOOKUP($E31,'[1]Import Eletra'!$B:$B,'[1]Import Eletra'!$AZ:$AZ,,0,1))</f>
        <v/>
      </c>
      <c r="BR31" s="113">
        <f>$BP$4</f>
        <v>0</v>
      </c>
      <c r="BS31" s="113">
        <f ca="1">IF(BQ31="",TODAY()-BP31,BQ31-BP31)</f>
        <v>46</v>
      </c>
      <c r="BT31" s="184">
        <f ca="1">BS31-BR31</f>
        <v>46</v>
      </c>
      <c r="BU31" s="362">
        <f>BZ31-$BZ$4</f>
        <v>46167</v>
      </c>
      <c r="BV31" s="332">
        <f>IF(_xlfn.XLOOKUP($E31,'[1]Import Eletra'!$B:$B,'[1]Import Eletra'!$BA:$BA,,0,1)=0,"",_xlfn.XLOOKUP($E31,'[1]Import Eletra'!$B:$B,'[1]Import Eletra'!$BA:$BA,,0,1))</f>
        <v>46168</v>
      </c>
      <c r="BW31" s="113">
        <f>$BU$4</f>
        <v>2</v>
      </c>
      <c r="BX31" s="113">
        <f ca="1">IF(BV31="",TODAY()-BU31,BV31-BU31)</f>
        <v>1</v>
      </c>
      <c r="BY31" s="184">
        <f ca="1">BX31-BW31</f>
        <v>-1</v>
      </c>
      <c r="BZ31" s="335">
        <f>CE31-$CE$5</f>
        <v>46167</v>
      </c>
      <c r="CA31" s="332">
        <f>IF(_xlfn.XLOOKUP($E31,'[1]Import Eletra'!$B:$B,'[1]Import Eletra'!$BB:$BB,,0,1)=0,"",_xlfn.XLOOKUP($E31,'[1]Import Eletra'!$B:$B,'[1]Import Eletra'!$BB:$BB,,0,1))</f>
        <v>46168</v>
      </c>
      <c r="CB31" s="113">
        <f>$BZ$4</f>
        <v>0</v>
      </c>
      <c r="CC31" s="113">
        <f ca="1">IF(CA31="",TODAY()-BZ31,CA31-BZ31)</f>
        <v>1</v>
      </c>
      <c r="CD31" s="184">
        <f ca="1">CC31-CB31</f>
        <v>1</v>
      </c>
      <c r="CE31" s="362">
        <f>CJ31-$CJ$4</f>
        <v>46167</v>
      </c>
      <c r="CF31" s="332">
        <f>IF(_xlfn.XLOOKUP($E31,'[1]Import Eletra'!$B:$B,'[1]Import Eletra'!$BC:$BC,,0,1)=0,"",_xlfn.XLOOKUP($E31,'[1]Import Eletra'!$B:$B,'[1]Import Eletra'!$BC:$BC,,0,1))</f>
        <v>46168</v>
      </c>
      <c r="CG31" s="113">
        <f>$CE$4</f>
        <v>0</v>
      </c>
      <c r="CH31" s="113">
        <f ca="1">IF(CF31="",TODAY()-CE31,CF31-CE31)</f>
        <v>1</v>
      </c>
      <c r="CI31" s="184">
        <f ca="1">CH31-CG31</f>
        <v>1</v>
      </c>
      <c r="CJ31" s="335">
        <f>CO31-$CO$4</f>
        <v>46167</v>
      </c>
      <c r="CK31" s="332">
        <f>IF(_xlfn.XLOOKUP($E31,'[1]Import Eletra'!$B:$B,'[1]Import Eletra'!$BD:$BD,,0,1)=0,"",_xlfn.XLOOKUP($E31,'[1]Import Eletra'!$B:$B,'[1]Import Eletra'!$BD:$BD,,0,1))</f>
        <v>46163</v>
      </c>
      <c r="CL31" s="113"/>
      <c r="CM31" s="113">
        <f ca="1">IF(CK31="",TODAY()-CJ31,CK31-CJ31)</f>
        <v>-4</v>
      </c>
      <c r="CN31" s="184">
        <f ca="1">CM31-CL31</f>
        <v>-4</v>
      </c>
      <c r="CO31" s="362">
        <f>CT31-$CT$4</f>
        <v>46167</v>
      </c>
      <c r="CP31" s="332">
        <f>IF(_xlfn.XLOOKUP($E31,'[1]Import Eletra'!$B:$B,'[1]Import Eletra'!$BE:$BE,,0,1)=0,"",_xlfn.XLOOKUP($E31,'[1]Import Eletra'!$B:$B,'[1]Import Eletra'!$BE:$BE,,0,1))</f>
        <v>46164</v>
      </c>
      <c r="CQ31" s="113">
        <f>$CO$4</f>
        <v>0</v>
      </c>
      <c r="CR31" s="113">
        <f ca="1">IF(CP31="",TODAY()-CO31,CP31-CO31)</f>
        <v>-3</v>
      </c>
      <c r="CS31" s="184">
        <f ca="1">CR31-CQ31</f>
        <v>-3</v>
      </c>
      <c r="CT31" s="335">
        <f>CY31-$CY$4</f>
        <v>46167</v>
      </c>
      <c r="CU31" s="332">
        <f>IF(_xlfn.XLOOKUP($E31,'[1]Import Eletra'!$B:$B,'[1]Import Eletra'!$BF:$BF,,0,1)=0,"",_xlfn.XLOOKUP($E31,'[1]Import Eletra'!$B:$B,'[1]Import Eletra'!$BF:$BF,,0,1))</f>
        <v>46164</v>
      </c>
      <c r="CV31" s="113">
        <f>$CT$4</f>
        <v>0</v>
      </c>
      <c r="CW31" s="113">
        <f ca="1">IF(CU31="",TODAY()-CT31,CU31-CT31)</f>
        <v>-3</v>
      </c>
      <c r="CX31" s="184">
        <f ca="1">CW31-CV31</f>
        <v>-3</v>
      </c>
      <c r="CY31" s="110">
        <f>DD31-$DD$4</f>
        <v>46167</v>
      </c>
      <c r="CZ31" s="247">
        <f>IF(_xlfn.XLOOKUP($E31,'[1]Import Eletra'!$B:$B,'[1]Import Eletra'!$BF:$BF,,0,1)=0,"",_xlfn.XLOOKUP($E31,'[1]Import Eletra'!$B:$B,'[1]Import Eletra'!$BF:$BF,,0,1))</f>
        <v>46164</v>
      </c>
      <c r="DA31" s="210">
        <f>$CY$4</f>
        <v>0</v>
      </c>
      <c r="DB31" s="113">
        <f ca="1">IF(CZ31="",TODAY()-CY31,CZ31-CY31)</f>
        <v>-3</v>
      </c>
      <c r="DC31" s="184">
        <f ca="1">DB31-DA31</f>
        <v>-3</v>
      </c>
      <c r="DD31" s="110">
        <f>DI31-$DI$4</f>
        <v>46169</v>
      </c>
      <c r="DE31" s="247">
        <f>IF(_xlfn.XLOOKUP($E31,'[1]Import Eletra'!$B:$B,'[1]Import Eletra'!$BG:$BG,,0,1)=0,"",_xlfn.XLOOKUP($E31,'[1]Import Eletra'!$B:$B,'[1]Import Eletra'!$BG:$BG,0,1))</f>
        <v>46168</v>
      </c>
      <c r="DF31" s="113">
        <f>$DD$4</f>
        <v>2</v>
      </c>
      <c r="DG31" s="113">
        <f ca="1">IF(DE31="",TODAY()-DD31,DE31-DD31)</f>
        <v>-1</v>
      </c>
      <c r="DH31" s="184">
        <f ca="1">DG31-DF31</f>
        <v>-3</v>
      </c>
      <c r="DI31" s="110">
        <f>DO31-$DN$4</f>
        <v>46170</v>
      </c>
      <c r="DJ31" s="247">
        <f>IF(_xlfn.XLOOKUP($E31,'[1]Import Eletra'!$B:$B,'[1]Import Eletra'!$BH:$BH,,0,1)=0,"",_xlfn.XLOOKUP($E31,'[1]Import Eletra'!$B:$B,'[1]Import Eletra'!$BH:$BH,0,1))</f>
        <v>46168</v>
      </c>
      <c r="DK31" s="112">
        <f>$DI$4</f>
        <v>1</v>
      </c>
      <c r="DL31" s="112">
        <f ca="1">IF(DJ31="",TODAY()-DI31,DJ31-DI31)</f>
        <v>-2</v>
      </c>
      <c r="DM31" s="184">
        <f ca="1">DL31-DK31</f>
        <v>-3</v>
      </c>
      <c r="DN31" s="64"/>
      <c r="DO31" s="202">
        <f t="shared" si="0"/>
        <v>46171</v>
      </c>
      <c r="DP31" s="165">
        <f>IF(_xlfn.XLOOKUP($E31,'[1]Import Eletra'!$B:$B,'[1]Import Eletra'!$O:$O,,0,1)=0,"",_xlfn.XLOOKUP($E31,'[1]Import Eletra'!$B:$B,'[1]Import Eletra'!$O:$O,0,1))</f>
        <v>46169</v>
      </c>
      <c r="DQ31" s="112">
        <f>$DN$4</f>
        <v>1</v>
      </c>
      <c r="DR31" s="112">
        <f ca="1">IF(DP31="",TODAY()-DO31,DP31-DO31)</f>
        <v>-2</v>
      </c>
      <c r="DS31" s="184">
        <f ca="1">DR31-DQ31</f>
        <v>-3</v>
      </c>
      <c r="DT31" s="143">
        <v>10</v>
      </c>
      <c r="DU31" s="140">
        <f ca="1">IF(DP31="",TODAY()-N31,DP31-N31)</f>
        <v>8</v>
      </c>
      <c r="DV31" s="184">
        <f ca="1">DU31-DT31</f>
        <v>-2</v>
      </c>
      <c r="DX31" s="185" t="s">
        <v>245</v>
      </c>
      <c r="DY31" s="108" t="str">
        <f>IF(_xlfn.XLOOKUP($E31,'[1]Import Eletra'!$B:$B,'[1]Import Eletra'!$DW:$DW,,0,1)=0,"",_xlfn.XLOOKUP($E31,'[1]Import Eletra'!$B:$B,'[1]Import Eletra'!$DW:$DW,0,1))</f>
        <v/>
      </c>
      <c r="EB31" s="287"/>
      <c r="ED31" s="406" t="str">
        <f>IF(_xlfn.XLOOKUP($E31,'[1]Import Eletra'!$B:$B,'[1]Import Eletra'!$BQ:$BQ,,0,1)=0,"",_xlfn.XLOOKUP($E31,'[1]Import Eletra'!$B:$B,'[1]Import Eletra'!$BQ:$BQ,0,1))</f>
        <v/>
      </c>
      <c r="EE31" s="407" t="str">
        <f>IF(_xlfn.XLOOKUP($E31,'[1]Import Eletra'!$B:$B,'[1]Import Eletra'!$BR:$BR,,0,1)=0,"",_xlfn.XLOOKUP($E31,'[1]Import Eletra'!$B:$B,'[1]Import Eletra'!$BR:$BR,0,1))</f>
        <v/>
      </c>
      <c r="EF31" s="406" t="str">
        <f>IF(_xlfn.XLOOKUP($E31,'[1]Import Eletra'!$B:$B,'[1]Import Eletra'!$BS:$BS,,0,1)=0,"",_xlfn.XLOOKUP($E31,'[1]Import Eletra'!$B:$B,'[1]Import Eletra'!$BS:$BS,0,1))</f>
        <v/>
      </c>
      <c r="EG31" s="407" t="str">
        <f>IF(_xlfn.XLOOKUP($E31,'[1]Import Eletra'!$B:$B,'[1]Import Eletra'!$BT:$BT,,0,1)=0,"",_xlfn.XLOOKUP($E31,'[1]Import Eletra'!$B:$B,'[1]Import Eletra'!$BT:$BT,0,1))</f>
        <v/>
      </c>
      <c r="EH31" s="406" t="str">
        <f>IF(_xlfn.XLOOKUP($E31,'[1]Import Eletra'!$B:$B,'[1]Import Eletra'!$BU:$BU,,0,1)=0,"",_xlfn.XLOOKUP($E31,'[1]Import Eletra'!$B:$B,'[1]Import Eletra'!$BU:$BU,0,1))</f>
        <v/>
      </c>
      <c r="EI31" s="407" t="str">
        <f>IF(_xlfn.XLOOKUP($E31,'[1]Import Eletra'!$B:$B,'[1]Import Eletra'!$BV:$BV,,0,1)=0,"",_xlfn.XLOOKUP($E31,'[1]Import Eletra'!$B:$B,'[1]Import Eletra'!$BV:$BV,0,1))</f>
        <v/>
      </c>
      <c r="EJ31" s="407">
        <f>IF(_xlfn.XLOOKUP($E31,'[1]Import Eletra'!$B:$B,'[1]Import Eletra'!$CI:$CI,,0,1)=0,"",_xlfn.XLOOKUP($E31,'[1]Import Eletra'!$B:$B,'[1]Import Eletra'!$CI:$CI,0,1))</f>
        <v>46179</v>
      </c>
      <c r="EK31" s="407" t="str">
        <f>IF(_xlfn.XLOOKUP($E31,'[1]Import Eletra'!$B:$B,'[1]Import Eletra'!$CD:$CD,,0,1)=0,"",_xlfn.XLOOKUP($E31,'[1]Import Eletra'!$B:$B,'[1]Import Eletra'!$CD:$CD,0,1))</f>
        <v/>
      </c>
      <c r="EL31" s="407" t="str">
        <f>IF(_xlfn.XLOOKUP($E31,'[1]Import Eletra'!$B:$B,'[1]Import Eletra'!$CE:$CE,,0,1)=0,"",_xlfn.XLOOKUP($E31,'[1]Import Eletra'!$B:$B,'[1]Import Eletra'!$CE:$CE,0,1))</f>
        <v>NÃO</v>
      </c>
      <c r="EM31" s="408" t="str">
        <f>IF(_xlfn.XLOOKUP($E31,'[1]Import Eletra'!$B:$B,'[1]Import Eletra'!$E:$E,,0,1)=0,"",_xlfn.XLOOKUP($E31,'[1]Import Eletra'!$B:$B,'[1]Import Eletra'!$E:$E,0,1))</f>
        <v>CATARINA</v>
      </c>
      <c r="EN31" s="408" t="str">
        <f>IF(_xlfn.XLOOKUP($E31,'[1]Import Eletra'!$B:$B,'[1]Import Eletra'!$R:$R,,0,1)=0,"",_xlfn.XLOOKUP($E31,'[1]Import Eletra'!$B:$B,'[1]Import Eletra'!$R:$R,0,1))</f>
        <v>PW2026003</v>
      </c>
      <c r="EO31" s="408" t="str">
        <f>IF(_xlfn.XLOOKUP($E31,'[1]Import Eletra'!$B:$B,'[1]Import Eletra'!$P:$P,,0,1)=0,"",_xlfn.XLOOKUP($E31,'[1]Import Eletra'!$B:$B,'[1]Import Eletra'!$P:$P,0,1))</f>
        <v>SDBLBS593280</v>
      </c>
      <c r="EP31" s="408" t="str">
        <f>IF(_xlfn.XLOOKUP($E31,'[1]Import Eletra'!$B:$B,'[1]Import Eletra'!$T:$T,,0,1)=0,"",_xlfn.XLOOKUP($E31,'[1]Import Eletra'!$B:$B,'[1]Import Eletra'!$T:$T,0,1))</f>
        <v>CGMU544468/0</v>
      </c>
    </row>
    <row r="32" spans="1:242" ht="30" customHeight="1">
      <c r="B32" s="371" t="s">
        <v>352</v>
      </c>
      <c r="C32" s="280"/>
      <c r="D32" s="104" t="s">
        <v>259</v>
      </c>
      <c r="E32" s="212" t="s">
        <v>274</v>
      </c>
      <c r="F32" s="106">
        <f>IF(_xlfn.XLOOKUP($E32,'[1]Import Eletra'!$B:$B,'[1]Import Eletra'!$U:$U,,0,1)=0,"",_xlfn.XLOOKUP($E32,'[1]Import Eletra'!$B:$B,'[1]Import Eletra'!$U:$U,,0,1))</f>
        <v>1</v>
      </c>
      <c r="G32" s="107" t="s">
        <v>244</v>
      </c>
      <c r="H32" s="2" t="str">
        <f>_xlfn.XLOOKUP($E32,'[1]Import Eletra'!$B:$B,'[1]Import Eletra'!$F:$F,,0,1)</f>
        <v>DELIVERED</v>
      </c>
      <c r="I32" s="108" t="str">
        <f>_xlfn.XLOOKUP($E32,'[1]Import Eletra'!$B:$B,'[1]Import Eletra'!$G:$G,,0,1)</f>
        <v>SEA</v>
      </c>
      <c r="J32" s="326">
        <v>46066</v>
      </c>
      <c r="K32" s="109">
        <v>30</v>
      </c>
      <c r="L32" s="109">
        <f>M32-J32</f>
        <v>45</v>
      </c>
      <c r="M32" s="326">
        <f>IF(_xlfn.XLOOKUP($E32,'[1]Import Eletra'!$B:$B,'[1]Import Eletra'!$J:$J,,0,1)=0,"",_xlfn.XLOOKUP($E32,'[1]Import Eletra'!$B:$B,'[1]Import Eletra'!$J:$J,,0,1))</f>
        <v>46111</v>
      </c>
      <c r="N32" s="332">
        <f>IF(_xlfn.XLOOKUP($E32,'[1]Import Eletra'!$B:$B,'[1]Import Eletra'!$L:$L,,0,1)=0,"",_xlfn.XLOOKUP($E32,'[1]Import Eletra'!$B:$B,'[1]Import Eletra'!$L:$L,,0,1))</f>
        <v>46161</v>
      </c>
      <c r="O32" s="335">
        <f>IF(_xlfn.XLOOKUP($E32,'[1]Import Eletra'!$B:$B,'[1]Import Eletra'!$AK:$AK,,0,1)=0,"",_xlfn.XLOOKUP($E32,'[1]Import Eletra'!$B:$B,'[1]Import Eletra'!$AK:$AK,,0,1))</f>
        <v>46136</v>
      </c>
      <c r="P32" s="326">
        <f>IF(_xlfn.XLOOKUP($E32,'[1]Import Eletra'!$B:$B,'[1]Import Eletra'!$AL:$AL,,0,1)=0,"",_xlfn.XLOOKUP($E32,'[1]Import Eletra'!$B:$B,'[1]Import Eletra'!$AL:$AL,,0,1))</f>
        <v>46139</v>
      </c>
      <c r="Q32" s="326">
        <f>IF(_xlfn.XLOOKUP($E32,'[1]Import Eletra'!$B:$B,'[1]Import Eletra'!$AM:$AM,,0,1)=0,"",_xlfn.XLOOKUP($E32,'[1]Import Eletra'!$B:$B,'[1]Import Eletra'!$AM:$AM,,0,1))</f>
        <v>46142</v>
      </c>
      <c r="R32" s="326">
        <f>IF(_xlfn.XLOOKUP($E32,'[1]Import Eletra'!$B:$B,'[1]Import Eletra'!$AN:$AN,,0,1)=0,"",_xlfn.XLOOKUP($E32,'[1]Import Eletra'!$B:$B,'[1]Import Eletra'!$AN:$AN,,0,1))</f>
        <v>46142</v>
      </c>
      <c r="S32" s="326">
        <f>IF(_xlfn.XLOOKUP($E32,'[1]Import Eletra'!$B:$B,'[1]Import Eletra'!$AO:$AO,,0,1)=0,"",_xlfn.XLOOKUP($E32,'[1]Import Eletra'!$B:$B,'[1]Import Eletra'!$AO:$AO,,0,1))</f>
        <v>46142</v>
      </c>
      <c r="T32" s="326">
        <f>IF(_xlfn.XLOOKUP($E32,'[1]Import Eletra'!$B:$B,'[1]Import Eletra'!$AP:$AP,,0,1)=0,"",_xlfn.XLOOKUP($E32,'[1]Import Eletra'!$B:$B,'[1]Import Eletra'!$AP:$AP,,0,1))</f>
        <v>46142</v>
      </c>
      <c r="U32" s="326">
        <f>IF(_xlfn.XLOOKUP($E32,'[1]Import Eletra'!$B:$B,'[1]Import Eletra'!$AQ:$AQ,,0,1)=0,"",_xlfn.XLOOKUP($E32,'[1]Import Eletra'!$B:$B,'[1]Import Eletra'!$AQ:$AQ,,0,1))</f>
        <v>46142</v>
      </c>
      <c r="V32" s="339">
        <f>IF(_xlfn.XLOOKUP($E32,'[1]Import Eletra'!$B:$B,'[1]Import Eletra'!$AR:$AR,,0,1)=0,"",_xlfn.XLOOKUP($E32,'[1]Import Eletra'!$B:$B,'[1]Import Eletra'!$AR:$AR,,0,1))</f>
        <v>46162</v>
      </c>
      <c r="W32" s="335">
        <f>AB32-$AB$4</f>
        <v>46161</v>
      </c>
      <c r="X32" s="332">
        <f>IF(_xlfn.XLOOKUP($E32,'[1]Import Eletra'!$B:$B,'[1]Import Eletra'!$AS:$AS,,0,1)=0,"",_xlfn.XLOOKUP($E32,'[1]Import Eletra'!$B:$B,'[1]Import Eletra'!$AS:$AS,,0,1))</f>
        <v>46162</v>
      </c>
      <c r="Y32" s="113">
        <f>$W$4</f>
        <v>0</v>
      </c>
      <c r="Z32" s="113">
        <f ca="1">IF(X32="",TODAY()-W32,X32-W32)</f>
        <v>1</v>
      </c>
      <c r="AA32" s="184">
        <f ca="1">Z32-Y32</f>
        <v>1</v>
      </c>
      <c r="AB32" s="348">
        <f>AG32-$AB$4</f>
        <v>46161</v>
      </c>
      <c r="AC32" s="332">
        <f>IF(_xlfn.XLOOKUP($E32,'[1]Import Eletra'!$B:$B,'[1]Import Eletra'!$AD:$AD,,0,1)=0,"",_xlfn.XLOOKUP($E32,'[1]Import Eletra'!$B:$B,'[1]Import Eletra'!$AD:$AD,,0,1))</f>
        <v>46162</v>
      </c>
      <c r="AD32" s="113">
        <f>$AB$4</f>
        <v>0</v>
      </c>
      <c r="AE32" s="113">
        <f ca="1">IF(AC32="",TODAY()-AB32,AC32-AB32)</f>
        <v>1</v>
      </c>
      <c r="AF32" s="184">
        <f ca="1">AE32-AD32</f>
        <v>1</v>
      </c>
      <c r="AG32" s="355">
        <f>AL32-$AL$4</f>
        <v>46161</v>
      </c>
      <c r="AH32" s="332">
        <f>IF(_xlfn.XLOOKUP($E32,'[1]Import Eletra'!$B:$B,'[1]Import Eletra'!$AE:$AE,,0,1)=0,"",_xlfn.XLOOKUP($E32,'[1]Import Eletra'!$B:$B,'[1]Import Eletra'!$AE:$AE,,0,1))</f>
        <v>46162</v>
      </c>
      <c r="AI32" s="113">
        <f>$AG$4</f>
        <v>0</v>
      </c>
      <c r="AJ32" s="113">
        <f ca="1">IF(AH32="",TODAY()-AG32,AH32-AG32)</f>
        <v>1</v>
      </c>
      <c r="AK32" s="184">
        <f ca="1">AJ32-AI32</f>
        <v>1</v>
      </c>
      <c r="AL32" s="355">
        <f>AQ32-$AQ$4</f>
        <v>46161</v>
      </c>
      <c r="AM32" s="332">
        <f>IF(_xlfn.XLOOKUP($E32,'[1]Import Eletra'!$B:$B,'[1]Import Eletra'!$AT:$AT,,0,1)=0,"",_xlfn.XLOOKUP($E32,'[1]Import Eletra'!$B:$B,'[1]Import Eletra'!$AT:$AT,,0,1))</f>
        <v>46162</v>
      </c>
      <c r="AN32" s="113">
        <f>$AL$4</f>
        <v>0</v>
      </c>
      <c r="AO32" s="113">
        <f ca="1">IF(AM32="",TODAY()-AL32,AM32-AL32)</f>
        <v>1</v>
      </c>
      <c r="AP32" s="184">
        <f ca="1">AO32-AN32</f>
        <v>1</v>
      </c>
      <c r="AQ32" s="357">
        <f>AV32-$AV$4</f>
        <v>46162</v>
      </c>
      <c r="AR32" s="332">
        <f>IF(_xlfn.XLOOKUP($E32,'[1]Import Eletra'!$B:$B,'[1]Import Eletra'!$AU:$AU,,0,1)=0,"",_xlfn.XLOOKUP($E32,'[1]Import Eletra'!$B:$B,'[1]Import Eletra'!$AU:$AU,,0,1))</f>
        <v>46163</v>
      </c>
      <c r="AS32" s="113">
        <f>$AQ$4</f>
        <v>1</v>
      </c>
      <c r="AT32" s="113">
        <f ca="1">IF(AR32="",TODAY()-AQ32,AR32-AQ32)</f>
        <v>1</v>
      </c>
      <c r="AU32" s="184">
        <f ca="1">AT32-AS32</f>
        <v>0</v>
      </c>
      <c r="AV32" s="355">
        <f>BA32-$BA$4</f>
        <v>46162</v>
      </c>
      <c r="AW32" s="332" t="str">
        <f>IF(_xlfn.XLOOKUP($E32,'[1]Import Eletra'!$B:$B,'[1]Import Eletra'!$AV:$AV,,0,1)=0,"",_xlfn.XLOOKUP($E32,'[1]Import Eletra'!$B:$B,'[1]Import Eletra'!$AV:$AV,,0,1))</f>
        <v/>
      </c>
      <c r="AX32" s="113">
        <f>$AV$4</f>
        <v>0</v>
      </c>
      <c r="AY32" s="113">
        <f ca="1">IF(AW32="",TODAY()-AV32,AW32-AV32)</f>
        <v>49</v>
      </c>
      <c r="AZ32" s="184">
        <f ca="1">AY32-AX32</f>
        <v>49</v>
      </c>
      <c r="BA32" s="357">
        <f>BF32-$BF$4</f>
        <v>46162</v>
      </c>
      <c r="BB32" s="332" t="str">
        <f>IF(_xlfn.XLOOKUP($E32,'[1]Import Eletra'!$B:$B,'[1]Import Eletra'!$AW:$AW,,0,1)=0,"",_xlfn.XLOOKUP($E32,'[1]Import Eletra'!$B:$B,'[1]Import Eletra'!$AW:$AW,,0,1))</f>
        <v/>
      </c>
      <c r="BC32" s="113">
        <f>$BA$4</f>
        <v>0</v>
      </c>
      <c r="BD32" s="113">
        <f ca="1">IF(BB32="",TODAY()-BA32,BB32-BA32)</f>
        <v>49</v>
      </c>
      <c r="BE32" s="184">
        <f ca="1">BD32-BC32</f>
        <v>49</v>
      </c>
      <c r="BF32" s="335">
        <f>BK32-$BK$4</f>
        <v>46162</v>
      </c>
      <c r="BG32" s="332" t="str">
        <f>IF(_xlfn.XLOOKUP($E32,'[1]Import Eletra'!$B:$B,'[1]Import Eletra'!$AX:$AX,,0,1)=0,"",_xlfn.XLOOKUP($E32,'[1]Import Eletra'!$B:$B,'[1]Import Eletra'!$AX:$AX,,0,1))</f>
        <v/>
      </c>
      <c r="BH32" s="113">
        <f>$BF$4</f>
        <v>0</v>
      </c>
      <c r="BI32" s="113">
        <f ca="1">IF(BG32="",TODAY()-BF32,BG32-BF32)</f>
        <v>49</v>
      </c>
      <c r="BJ32" s="184">
        <f ca="1">BI32-BH32</f>
        <v>49</v>
      </c>
      <c r="BK32" s="362">
        <f>BP32-$BP$4</f>
        <v>46162</v>
      </c>
      <c r="BL32" s="332" t="str">
        <f>IF(_xlfn.XLOOKUP($E32,'[1]Import Eletra'!$B:$B,'[1]Import Eletra'!$AY:$AY,,0,1)=0,"",_xlfn.XLOOKUP($E32,'[1]Import Eletra'!$B:$B,'[1]Import Eletra'!$AY:$AY,,0,1))</f>
        <v/>
      </c>
      <c r="BM32" s="113">
        <f>$BK$4</f>
        <v>0</v>
      </c>
      <c r="BN32" s="113">
        <f ca="1">IF(BL32="",TODAY()-BK32,BL32-BK32)</f>
        <v>49</v>
      </c>
      <c r="BO32" s="184">
        <f ca="1">BN32-BM32</f>
        <v>49</v>
      </c>
      <c r="BP32" s="335">
        <f>BU32-$BU$4</f>
        <v>46162</v>
      </c>
      <c r="BQ32" s="332" t="str">
        <f>IF(_xlfn.XLOOKUP($E32,'[1]Import Eletra'!$B:$B,'[1]Import Eletra'!$AZ:$AZ,,0,1)=0,"",_xlfn.XLOOKUP($E32,'[1]Import Eletra'!$B:$B,'[1]Import Eletra'!$AZ:$AZ,,0,1))</f>
        <v/>
      </c>
      <c r="BR32" s="113">
        <f>$BP$4</f>
        <v>0</v>
      </c>
      <c r="BS32" s="113">
        <f ca="1">IF(BQ32="",TODAY()-BP32,BQ32-BP32)</f>
        <v>49</v>
      </c>
      <c r="BT32" s="184">
        <f ca="1">BS32-BR32</f>
        <v>49</v>
      </c>
      <c r="BU32" s="362">
        <f>BZ32-$BZ$4</f>
        <v>46164</v>
      </c>
      <c r="BV32" s="332">
        <f>IF(_xlfn.XLOOKUP($E32,'[1]Import Eletra'!$B:$B,'[1]Import Eletra'!$BA:$BA,,0,1)=0,"",_xlfn.XLOOKUP($E32,'[1]Import Eletra'!$B:$B,'[1]Import Eletra'!$BA:$BA,,0,1))</f>
        <v>46168</v>
      </c>
      <c r="BW32" s="113">
        <f>$BU$4</f>
        <v>2</v>
      </c>
      <c r="BX32" s="113">
        <f ca="1">IF(BV32="",TODAY()-BU32,BV32-BU32)</f>
        <v>4</v>
      </c>
      <c r="BY32" s="184">
        <f ca="1">BX32-BW32</f>
        <v>2</v>
      </c>
      <c r="BZ32" s="335">
        <f>CE32-$CE$4</f>
        <v>46164</v>
      </c>
      <c r="CA32" s="332">
        <f>IF(_xlfn.XLOOKUP($E32,'[1]Import Eletra'!$B:$B,'[1]Import Eletra'!$BB:$BB,,0,1)=0,"",_xlfn.XLOOKUP($E32,'[1]Import Eletra'!$B:$B,'[1]Import Eletra'!$BB:$BB,,0,1))</f>
        <v>46168</v>
      </c>
      <c r="CB32" s="113">
        <f>$BZ$4</f>
        <v>0</v>
      </c>
      <c r="CC32" s="113">
        <f ca="1">IF(CA32="",TODAY()-BZ32,CA32-BZ32)</f>
        <v>4</v>
      </c>
      <c r="CD32" s="184">
        <f ca="1">CC32-CB32</f>
        <v>4</v>
      </c>
      <c r="CE32" s="362">
        <f>CJ32-$CJ$4</f>
        <v>46164</v>
      </c>
      <c r="CF32" s="332">
        <f>IF(_xlfn.XLOOKUP($E32,'[1]Import Eletra'!$B:$B,'[1]Import Eletra'!$BC:$BC,,0,1)=0,"",_xlfn.XLOOKUP($E32,'[1]Import Eletra'!$B:$B,'[1]Import Eletra'!$BC:$BC,,0,1))</f>
        <v>46168</v>
      </c>
      <c r="CG32" s="113">
        <f>$CE$4</f>
        <v>0</v>
      </c>
      <c r="CH32" s="113">
        <f ca="1">IF(CF32="",TODAY()-CE32,CF32-CE32)</f>
        <v>4</v>
      </c>
      <c r="CI32" s="184">
        <f ca="1">CH32-CG32</f>
        <v>4</v>
      </c>
      <c r="CJ32" s="335">
        <f>CO32-$CO$4</f>
        <v>46164</v>
      </c>
      <c r="CK32" s="332">
        <f>IF(_xlfn.XLOOKUP($E32,'[1]Import Eletra'!$B:$B,'[1]Import Eletra'!$BD:$BD,,0,1)=0,"",_xlfn.XLOOKUP($E32,'[1]Import Eletra'!$B:$B,'[1]Import Eletra'!$BD:$BD,,0,1))</f>
        <v>46163</v>
      </c>
      <c r="CL32" s="113"/>
      <c r="CM32" s="113">
        <f ca="1">IF(CK32="",TODAY()-CJ32,CK32-CJ32)</f>
        <v>-1</v>
      </c>
      <c r="CN32" s="184">
        <f ca="1">CM32-CL32</f>
        <v>-1</v>
      </c>
      <c r="CO32" s="362">
        <f>CT32-$CT$4</f>
        <v>46164</v>
      </c>
      <c r="CP32" s="332">
        <f>IF(_xlfn.XLOOKUP($E32,'[1]Import Eletra'!$B:$B,'[1]Import Eletra'!$BE:$BE,,0,1)=0,"",_xlfn.XLOOKUP($E32,'[1]Import Eletra'!$B:$B,'[1]Import Eletra'!$BE:$BE,,0,1))</f>
        <v>46164</v>
      </c>
      <c r="CQ32" s="113">
        <f>$CO$4</f>
        <v>0</v>
      </c>
      <c r="CR32" s="113">
        <f ca="1">IF(CP32="",TODAY()-CO32,CP32-CO32)</f>
        <v>0</v>
      </c>
      <c r="CS32" s="184">
        <f ca="1">CR32-CQ32</f>
        <v>0</v>
      </c>
      <c r="CT32" s="335">
        <f>CY32-$CY$4</f>
        <v>46164</v>
      </c>
      <c r="CU32" s="332">
        <f>IF(_xlfn.XLOOKUP($E32,'[1]Import Eletra'!$B:$B,'[1]Import Eletra'!$BF:$BF,,0,1)=0,"",_xlfn.XLOOKUP($E32,'[1]Import Eletra'!$B:$B,'[1]Import Eletra'!$BF:$BF,,0,1))</f>
        <v>46164</v>
      </c>
      <c r="CV32" s="113">
        <f>$CT$4</f>
        <v>0</v>
      </c>
      <c r="CW32" s="113">
        <f ca="1">IF(CU32="",TODAY()-CT32,CU32-CT32)</f>
        <v>0</v>
      </c>
      <c r="CX32" s="184">
        <f ca="1">CW32-CV32</f>
        <v>0</v>
      </c>
      <c r="CY32" s="110">
        <f>DD32-$DD$4</f>
        <v>46164</v>
      </c>
      <c r="CZ32" s="247">
        <f>IF(_xlfn.XLOOKUP($E32,'[1]Import Eletra'!$B:$B,'[1]Import Eletra'!$BF:$BF,,0,1)=0,"",_xlfn.XLOOKUP($E32,'[1]Import Eletra'!$B:$B,'[1]Import Eletra'!$BF:$BF,,0,1))</f>
        <v>46164</v>
      </c>
      <c r="DA32" s="210">
        <f>$CY$4</f>
        <v>0</v>
      </c>
      <c r="DB32" s="113">
        <f ca="1">IF(CZ32="",TODAY()-CY32,CZ32-CY32)</f>
        <v>0</v>
      </c>
      <c r="DC32" s="184">
        <f ca="1">DB32-DA32</f>
        <v>0</v>
      </c>
      <c r="DD32" s="110">
        <f>DI32-$DI$4</f>
        <v>46166</v>
      </c>
      <c r="DE32" s="247">
        <f>IF(_xlfn.XLOOKUP($E32,'[1]Import Eletra'!$B:$B,'[1]Import Eletra'!$BG:$BG,,0,1)=0,"",_xlfn.XLOOKUP($E32,'[1]Import Eletra'!$B:$B,'[1]Import Eletra'!$BG:$BG,0,1))</f>
        <v>46168</v>
      </c>
      <c r="DF32" s="113">
        <f>$DD$4</f>
        <v>2</v>
      </c>
      <c r="DG32" s="113">
        <f ca="1">IF(DE32="",TODAY()-DD32,DE32-DD32)</f>
        <v>2</v>
      </c>
      <c r="DH32" s="184">
        <f ca="1">DG32-DF32</f>
        <v>0</v>
      </c>
      <c r="DI32" s="110">
        <f>DO32-$DN$4</f>
        <v>46167</v>
      </c>
      <c r="DJ32" s="247">
        <f>IF(_xlfn.XLOOKUP($E32,'[1]Import Eletra'!$B:$B,'[1]Import Eletra'!$BH:$BH,,0,1)=0,"",_xlfn.XLOOKUP($E32,'[1]Import Eletra'!$B:$B,'[1]Import Eletra'!$BH:$BH,0,1))</f>
        <v>46168</v>
      </c>
      <c r="DK32" s="113">
        <f>$DI$4</f>
        <v>1</v>
      </c>
      <c r="DL32" s="113">
        <f ca="1">IF(DJ32="",TODAY()-DI32,DJ32-DI32)</f>
        <v>1</v>
      </c>
      <c r="DM32" s="184">
        <f ca="1">DL32-DK32</f>
        <v>0</v>
      </c>
      <c r="DN32" s="64">
        <v>46159</v>
      </c>
      <c r="DO32" s="202">
        <f t="shared" si="0"/>
        <v>46168</v>
      </c>
      <c r="DP32" s="165">
        <f>IF(_xlfn.XLOOKUP($E32,'[1]Import Eletra'!$B:$B,'[1]Import Eletra'!$O:$O,,0,1)=0,"",_xlfn.XLOOKUP($E32,'[1]Import Eletra'!$B:$B,'[1]Import Eletra'!$O:$O,0,1))</f>
        <v>46169</v>
      </c>
      <c r="DQ32" s="113">
        <f>$DN$4</f>
        <v>1</v>
      </c>
      <c r="DR32" s="113">
        <f ca="1">IF(DP32="",TODAY()-DO32,DP32-DO32)</f>
        <v>1</v>
      </c>
      <c r="DS32" s="184">
        <f ca="1">DR32-DQ32</f>
        <v>0</v>
      </c>
      <c r="DT32" s="143">
        <f>_xlfn.AGGREGATE(9,6,Y32,AD32,AI32,AN32,AS32,AX32,BC32,BH32,BM32,BR32,BW32,CB32,CG32,CL32,CQ32,CV32,DF32,DK32,DQ32)</f>
        <v>7</v>
      </c>
      <c r="DU32" s="140">
        <f ca="1">IF(DP32="",TODAY()-N32,DP32-N32)</f>
        <v>8</v>
      </c>
      <c r="DV32" s="184">
        <f ca="1">DU32-DT32</f>
        <v>1</v>
      </c>
      <c r="DW32" s="147"/>
      <c r="DX32" s="185" t="s">
        <v>245</v>
      </c>
      <c r="DY32" s="108" t="str">
        <f>IF(_xlfn.XLOOKUP($E32,'[1]Import Eletra'!$B:$B,'[1]Import Eletra'!$DW:$DW,,0,1)=0,"",_xlfn.XLOOKUP($E32,'[1]Import Eletra'!$B:$B,'[1]Import Eletra'!$DW:$DW,0,1))</f>
        <v/>
      </c>
      <c r="EB32" s="287" t="s">
        <v>273</v>
      </c>
      <c r="ED32" s="406" t="str">
        <f>IF(_xlfn.XLOOKUP($E32,'[1]Import Eletra'!$B:$B,'[1]Import Eletra'!$BQ:$BQ,,0,1)=0,"",_xlfn.XLOOKUP($E32,'[1]Import Eletra'!$B:$B,'[1]Import Eletra'!$BQ:$BQ,0,1))</f>
        <v/>
      </c>
      <c r="EE32" s="407" t="str">
        <f>IF(_xlfn.XLOOKUP($E32,'[1]Import Eletra'!$B:$B,'[1]Import Eletra'!$BR:$BR,,0,1)=0,"",_xlfn.XLOOKUP($E32,'[1]Import Eletra'!$B:$B,'[1]Import Eletra'!$BR:$BR,0,1))</f>
        <v/>
      </c>
      <c r="EF32" s="406" t="str">
        <f>IF(_xlfn.XLOOKUP($E32,'[1]Import Eletra'!$B:$B,'[1]Import Eletra'!$BS:$BS,,0,1)=0,"",_xlfn.XLOOKUP($E32,'[1]Import Eletra'!$B:$B,'[1]Import Eletra'!$BS:$BS,0,1))</f>
        <v/>
      </c>
      <c r="EG32" s="407" t="str">
        <f>IF(_xlfn.XLOOKUP($E32,'[1]Import Eletra'!$B:$B,'[1]Import Eletra'!$BT:$BT,,0,1)=0,"",_xlfn.XLOOKUP($E32,'[1]Import Eletra'!$B:$B,'[1]Import Eletra'!$BT:$BT,0,1))</f>
        <v/>
      </c>
      <c r="EH32" s="406" t="str">
        <f>IF(_xlfn.XLOOKUP($E32,'[1]Import Eletra'!$B:$B,'[1]Import Eletra'!$BU:$BU,,0,1)=0,"",_xlfn.XLOOKUP($E32,'[1]Import Eletra'!$B:$B,'[1]Import Eletra'!$BU:$BU,0,1))</f>
        <v/>
      </c>
      <c r="EI32" s="407" t="str">
        <f>IF(_xlfn.XLOOKUP($E32,'[1]Import Eletra'!$B:$B,'[1]Import Eletra'!$BV:$BV,,0,1)=0,"",_xlfn.XLOOKUP($E32,'[1]Import Eletra'!$B:$B,'[1]Import Eletra'!$BV:$BV,0,1))</f>
        <v/>
      </c>
      <c r="EJ32" s="407">
        <f>IF(_xlfn.XLOOKUP($E32,'[1]Import Eletra'!$B:$B,'[1]Import Eletra'!$CI:$CI,,0,1)=0,"",_xlfn.XLOOKUP($E32,'[1]Import Eletra'!$B:$B,'[1]Import Eletra'!$CI:$CI,0,1))</f>
        <v>46179</v>
      </c>
      <c r="EK32" s="407" t="str">
        <f>IF(_xlfn.XLOOKUP($E32,'[1]Import Eletra'!$B:$B,'[1]Import Eletra'!$CD:$CD,,0,1)=0,"",_xlfn.XLOOKUP($E32,'[1]Import Eletra'!$B:$B,'[1]Import Eletra'!$CD:$CD,0,1))</f>
        <v/>
      </c>
      <c r="EL32" s="407" t="str">
        <f>IF(_xlfn.XLOOKUP($E32,'[1]Import Eletra'!$B:$B,'[1]Import Eletra'!$CE:$CE,,0,1)=0,"",_xlfn.XLOOKUP($E32,'[1]Import Eletra'!$B:$B,'[1]Import Eletra'!$CE:$CE,0,1))</f>
        <v>NÃO</v>
      </c>
      <c r="EM32" s="408" t="str">
        <f>IF(_xlfn.XLOOKUP($E32,'[1]Import Eletra'!$B:$B,'[1]Import Eletra'!$E:$E,,0,1)=0,"",_xlfn.XLOOKUP($E32,'[1]Import Eletra'!$B:$B,'[1]Import Eletra'!$E:$E,0,1))</f>
        <v>CATARINA</v>
      </c>
      <c r="EN32" s="408" t="str">
        <f>IF(_xlfn.XLOOKUP($E32,'[1]Import Eletra'!$B:$B,'[1]Import Eletra'!$R:$R,,0,1)=0,"",_xlfn.XLOOKUP($E32,'[1]Import Eletra'!$B:$B,'[1]Import Eletra'!$R:$R,0,1))</f>
        <v>PWBR260018-20 B</v>
      </c>
      <c r="EO32" s="408" t="str">
        <f>IF(_xlfn.XLOOKUP($E32,'[1]Import Eletra'!$B:$B,'[1]Import Eletra'!$P:$P,,0,1)=0,"",_xlfn.XLOOKUP($E32,'[1]Import Eletra'!$B:$B,'[1]Import Eletra'!$P:$P,0,1))</f>
        <v>SDBLBS593279</v>
      </c>
      <c r="EP32" s="408" t="str">
        <f>IF(_xlfn.XLOOKUP($E32,'[1]Import Eletra'!$B:$B,'[1]Import Eletra'!$T:$T,,0,1)=0,"",_xlfn.XLOOKUP($E32,'[1]Import Eletra'!$B:$B,'[1]Import Eletra'!$T:$T,0,1))</f>
        <v>GESU955253/5</v>
      </c>
    </row>
    <row r="33" spans="2:146" ht="36" customHeight="1">
      <c r="B33" s="371" t="s">
        <v>336</v>
      </c>
      <c r="C33" s="280"/>
      <c r="D33" s="104" t="s">
        <v>259</v>
      </c>
      <c r="E33" s="212" t="s">
        <v>275</v>
      </c>
      <c r="F33" s="106">
        <f>IF(_xlfn.XLOOKUP($E33,'[1]Import Eletra'!$B:$B,'[1]Import Eletra'!$U:$U,,0,1)=0,"",_xlfn.XLOOKUP($E33,'[1]Import Eletra'!$B:$B,'[1]Import Eletra'!$U:$U,,0,1))</f>
        <v>0.5</v>
      </c>
      <c r="G33" s="104" t="s">
        <v>244</v>
      </c>
      <c r="H33" s="2" t="str">
        <f>_xlfn.XLOOKUP($E33,'[1]Import Eletra'!$B:$B,'[1]Import Eletra'!$F:$F,,0,1)</f>
        <v>DELIVERED</v>
      </c>
      <c r="I33" s="108" t="str">
        <f>_xlfn.XLOOKUP($E33,'[1]Import Eletra'!$B:$B,'[1]Import Eletra'!$G:$G,,0,1)</f>
        <v>SEA</v>
      </c>
      <c r="J33" s="326">
        <v>46066</v>
      </c>
      <c r="K33" s="109">
        <v>30</v>
      </c>
      <c r="L33" s="109">
        <f>M33-J33</f>
        <v>45</v>
      </c>
      <c r="M33" s="326">
        <f>IF(_xlfn.XLOOKUP($E33,'[1]Import Eletra'!$B:$B,'[1]Import Eletra'!$J:$J,,0,1)=0,"",_xlfn.XLOOKUP($E33,'[1]Import Eletra'!$B:$B,'[1]Import Eletra'!$J:$J,,0,1))</f>
        <v>46111</v>
      </c>
      <c r="N33" s="332">
        <f>IF(_xlfn.XLOOKUP($E33,'[1]Import Eletra'!$B:$B,'[1]Import Eletra'!$L:$L,,0,1)=0,"",_xlfn.XLOOKUP($E33,'[1]Import Eletra'!$B:$B,'[1]Import Eletra'!$L:$L,,0,1))</f>
        <v>46161</v>
      </c>
      <c r="O33" s="335">
        <f>IF(_xlfn.XLOOKUP($E33,'[1]Import Eletra'!$B:$B,'[1]Import Eletra'!$AK:$AK,,0,1)=0,"",_xlfn.XLOOKUP($E33,'[1]Import Eletra'!$B:$B,'[1]Import Eletra'!$AK:$AK,,0,1))</f>
        <v>46136</v>
      </c>
      <c r="P33" s="326">
        <f>IF(_xlfn.XLOOKUP($E33,'[1]Import Eletra'!$B:$B,'[1]Import Eletra'!$AL:$AL,,0,1)=0,"",_xlfn.XLOOKUP($E33,'[1]Import Eletra'!$B:$B,'[1]Import Eletra'!$AL:$AL,,0,1))</f>
        <v>46136</v>
      </c>
      <c r="Q33" s="326">
        <f>IF(_xlfn.XLOOKUP($E33,'[1]Import Eletra'!$B:$B,'[1]Import Eletra'!$AM:$AM,,0,1)=0,"",_xlfn.XLOOKUP($E33,'[1]Import Eletra'!$B:$B,'[1]Import Eletra'!$AM:$AM,,0,1))</f>
        <v>46139</v>
      </c>
      <c r="R33" s="326">
        <f>IF(_xlfn.XLOOKUP($E33,'[1]Import Eletra'!$B:$B,'[1]Import Eletra'!$AN:$AN,,0,1)=0,"",_xlfn.XLOOKUP($E33,'[1]Import Eletra'!$B:$B,'[1]Import Eletra'!$AN:$AN,,0,1))</f>
        <v>46140</v>
      </c>
      <c r="S33" s="326">
        <f>IF(_xlfn.XLOOKUP($E33,'[1]Import Eletra'!$B:$B,'[1]Import Eletra'!$AO:$AO,,0,1)=0,"",_xlfn.XLOOKUP($E33,'[1]Import Eletra'!$B:$B,'[1]Import Eletra'!$AO:$AO,,0,1))</f>
        <v>46140</v>
      </c>
      <c r="T33" s="326">
        <f>IF(_xlfn.XLOOKUP($E33,'[1]Import Eletra'!$B:$B,'[1]Import Eletra'!$AP:$AP,,0,1)=0,"",_xlfn.XLOOKUP($E33,'[1]Import Eletra'!$B:$B,'[1]Import Eletra'!$AP:$AP,,0,1))</f>
        <v>46140</v>
      </c>
      <c r="U33" s="326">
        <f>IF(_xlfn.XLOOKUP($E33,'[1]Import Eletra'!$B:$B,'[1]Import Eletra'!$AQ:$AQ,,0,1)=0,"",_xlfn.XLOOKUP($E33,'[1]Import Eletra'!$B:$B,'[1]Import Eletra'!$AQ:$AQ,,0,1))</f>
        <v>46141</v>
      </c>
      <c r="V33" s="339">
        <f>IF(_xlfn.XLOOKUP($E33,'[1]Import Eletra'!$B:$B,'[1]Import Eletra'!$AR:$AR,,0,1)=0,"",_xlfn.XLOOKUP($E33,'[1]Import Eletra'!$B:$B,'[1]Import Eletra'!$AR:$AR,,0,1))</f>
        <v>46162</v>
      </c>
      <c r="W33" s="335">
        <f>AB33-$AB$4</f>
        <v>46161</v>
      </c>
      <c r="X33" s="332">
        <f>IF(_xlfn.XLOOKUP($E33,'[1]Import Eletra'!$B:$B,'[1]Import Eletra'!$AS:$AS,,0,1)=0,"",_xlfn.XLOOKUP($E33,'[1]Import Eletra'!$B:$B,'[1]Import Eletra'!$AS:$AS,,0,1))</f>
        <v>46162</v>
      </c>
      <c r="Y33" s="112">
        <f>$W$4</f>
        <v>0</v>
      </c>
      <c r="Z33" s="112">
        <f ca="1">IF(X33="",TODAY()-W33,X33-W33)</f>
        <v>1</v>
      </c>
      <c r="AA33" s="184">
        <f ca="1">Z33-Y33</f>
        <v>1</v>
      </c>
      <c r="AB33" s="346">
        <f>AG33-$AB$4</f>
        <v>46161</v>
      </c>
      <c r="AC33" s="332">
        <f>IF(_xlfn.XLOOKUP($E33,'[1]Import Eletra'!$B:$B,'[1]Import Eletra'!$AD:$AD,,0,1)=0,"",_xlfn.XLOOKUP($E33,'[1]Import Eletra'!$B:$B,'[1]Import Eletra'!$AD:$AD,,0,1))</f>
        <v>46162</v>
      </c>
      <c r="AD33" s="112">
        <f>$AB$4</f>
        <v>0</v>
      </c>
      <c r="AE33" s="112">
        <f ca="1">IF(AC33="",TODAY()-AB33,AC33-AB33)</f>
        <v>1</v>
      </c>
      <c r="AF33" s="184">
        <f ca="1">AE33-AD33</f>
        <v>1</v>
      </c>
      <c r="AG33" s="354">
        <f>AL33-$AL$4</f>
        <v>46161</v>
      </c>
      <c r="AH33" s="332">
        <f>IF(_xlfn.XLOOKUP($E33,'[1]Import Eletra'!$B:$B,'[1]Import Eletra'!$AE:$AE,,0,1)=0,"",_xlfn.XLOOKUP($E33,'[1]Import Eletra'!$B:$B,'[1]Import Eletra'!$AE:$AE,,0,1))</f>
        <v>46162</v>
      </c>
      <c r="AI33" s="112">
        <f>$AG$4</f>
        <v>0</v>
      </c>
      <c r="AJ33" s="112">
        <f ca="1">IF(AH33="",TODAY()-AG33,AH33-AG33)</f>
        <v>1</v>
      </c>
      <c r="AK33" s="184">
        <f ca="1">AJ33-AI33</f>
        <v>1</v>
      </c>
      <c r="AL33" s="354">
        <f>AQ33-$AQ$4</f>
        <v>46161</v>
      </c>
      <c r="AM33" s="332">
        <f>IF(_xlfn.XLOOKUP($E33,'[1]Import Eletra'!$B:$B,'[1]Import Eletra'!$AT:$AT,,0,1)=0,"",_xlfn.XLOOKUP($E33,'[1]Import Eletra'!$B:$B,'[1]Import Eletra'!$AT:$AT,,0,1))</f>
        <v>46163</v>
      </c>
      <c r="AN33" s="112">
        <f>$AL$4</f>
        <v>0</v>
      </c>
      <c r="AO33" s="112">
        <f ca="1">IF(AM33="",TODAY()-AL33,AM33-AL33)</f>
        <v>2</v>
      </c>
      <c r="AP33" s="184">
        <f ca="1">AO33-AN33</f>
        <v>2</v>
      </c>
      <c r="AQ33" s="358">
        <f>AV33-$AV$4</f>
        <v>46162</v>
      </c>
      <c r="AR33" s="332">
        <f>IF(_xlfn.XLOOKUP($E33,'[1]Import Eletra'!$B:$B,'[1]Import Eletra'!$AU:$AU,,0,1)=0,"",_xlfn.XLOOKUP($E33,'[1]Import Eletra'!$B:$B,'[1]Import Eletra'!$AU:$AU,,0,1))</f>
        <v>46163</v>
      </c>
      <c r="AS33" s="112">
        <f>$AQ$4</f>
        <v>1</v>
      </c>
      <c r="AT33" s="112">
        <f ca="1">IF(AR33="",TODAY()-AQ33,AR33-AQ33)</f>
        <v>1</v>
      </c>
      <c r="AU33" s="184">
        <f ca="1">AT33-AS33</f>
        <v>0</v>
      </c>
      <c r="AV33" s="354">
        <f>BA33-$BA$4</f>
        <v>46162</v>
      </c>
      <c r="AW33" s="332" t="str">
        <f>IF(_xlfn.XLOOKUP($E33,'[1]Import Eletra'!$B:$B,'[1]Import Eletra'!$AV:$AV,,0,1)=0,"",_xlfn.XLOOKUP($E33,'[1]Import Eletra'!$B:$B,'[1]Import Eletra'!$AV:$AV,,0,1))</f>
        <v/>
      </c>
      <c r="AX33" s="112">
        <f>$AV$4</f>
        <v>0</v>
      </c>
      <c r="AY33" s="112">
        <f ca="1">IF(AW33="",TODAY()-AV33,AW33-AV33)</f>
        <v>49</v>
      </c>
      <c r="AZ33" s="184">
        <f ca="1">AY33-AX33</f>
        <v>49</v>
      </c>
      <c r="BA33" s="358">
        <f>BF33-$BF$4</f>
        <v>46162</v>
      </c>
      <c r="BB33" s="332" t="str">
        <f>IF(_xlfn.XLOOKUP($E33,'[1]Import Eletra'!$B:$B,'[1]Import Eletra'!$AW:$AW,,0,1)=0,"",_xlfn.XLOOKUP($E33,'[1]Import Eletra'!$B:$B,'[1]Import Eletra'!$AW:$AW,,0,1))</f>
        <v/>
      </c>
      <c r="BC33" s="112">
        <f>$BA$4</f>
        <v>0</v>
      </c>
      <c r="BD33" s="112">
        <f ca="1">IF(BB33="",TODAY()-BA33,BB33-BA33)</f>
        <v>49</v>
      </c>
      <c r="BE33" s="184">
        <f ca="1">BD33-BC33</f>
        <v>49</v>
      </c>
      <c r="BF33" s="335">
        <f>BK33-$BK$4</f>
        <v>46162</v>
      </c>
      <c r="BG33" s="332" t="str">
        <f>IF(_xlfn.XLOOKUP($E33,'[1]Import Eletra'!$B:$B,'[1]Import Eletra'!$AX:$AX,,0,1)=0,"",_xlfn.XLOOKUP($E33,'[1]Import Eletra'!$B:$B,'[1]Import Eletra'!$AX:$AX,,0,1))</f>
        <v/>
      </c>
      <c r="BH33" s="112">
        <f>$BF$4</f>
        <v>0</v>
      </c>
      <c r="BI33" s="112">
        <f ca="1">IF(BG33="",TODAY()-BF33,BG33-BF33)</f>
        <v>49</v>
      </c>
      <c r="BJ33" s="184">
        <f ca="1">BI33-BH33</f>
        <v>49</v>
      </c>
      <c r="BK33" s="362">
        <f>BP33-$BP$4</f>
        <v>46162</v>
      </c>
      <c r="BL33" s="332" t="str">
        <f>IF(_xlfn.XLOOKUP($E33,'[1]Import Eletra'!$B:$B,'[1]Import Eletra'!$AY:$AY,,0,1)=0,"",_xlfn.XLOOKUP($E33,'[1]Import Eletra'!$B:$B,'[1]Import Eletra'!$AY:$AY,,0,1))</f>
        <v/>
      </c>
      <c r="BM33" s="112">
        <f>$BK$4</f>
        <v>0</v>
      </c>
      <c r="BN33" s="112">
        <f ca="1">IF(BL33="",TODAY()-BK33,BL33-BK33)</f>
        <v>49</v>
      </c>
      <c r="BO33" s="184">
        <f ca="1">BN33-BM33</f>
        <v>49</v>
      </c>
      <c r="BP33" s="335">
        <f>BU33-$BU$4</f>
        <v>46162</v>
      </c>
      <c r="BQ33" s="332" t="str">
        <f>IF(_xlfn.XLOOKUP($E33,'[1]Import Eletra'!$B:$B,'[1]Import Eletra'!$AZ:$AZ,,0,1)=0,"",_xlfn.XLOOKUP($E33,'[1]Import Eletra'!$B:$B,'[1]Import Eletra'!$AZ:$AZ,,0,1))</f>
        <v/>
      </c>
      <c r="BR33" s="112">
        <f>$BP$4</f>
        <v>0</v>
      </c>
      <c r="BS33" s="112">
        <f ca="1">IF(BQ33="",TODAY()-BP33,BQ33-BP33)</f>
        <v>49</v>
      </c>
      <c r="BT33" s="184">
        <f ca="1">BS33-BR33</f>
        <v>49</v>
      </c>
      <c r="BU33" s="362">
        <f>BZ33-$BZ$4</f>
        <v>46164</v>
      </c>
      <c r="BV33" s="332">
        <f>IF(_xlfn.XLOOKUP($E33,'[1]Import Eletra'!$B:$B,'[1]Import Eletra'!$BA:$BA,,0,1)=0,"",_xlfn.XLOOKUP($E33,'[1]Import Eletra'!$B:$B,'[1]Import Eletra'!$BA:$BA,,0,1))</f>
        <v>46168</v>
      </c>
      <c r="BW33" s="113">
        <f>$BU$4</f>
        <v>2</v>
      </c>
      <c r="BX33" s="113">
        <f ca="1">IF(BV33="",TODAY()-BU33,BV33-BU33)</f>
        <v>4</v>
      </c>
      <c r="BY33" s="184">
        <f ca="1">BX33-BW33</f>
        <v>2</v>
      </c>
      <c r="BZ33" s="332">
        <f>CE33-$CE$4</f>
        <v>46164</v>
      </c>
      <c r="CA33" s="332">
        <f>IF(_xlfn.XLOOKUP($E33,'[1]Import Eletra'!$B:$B,'[1]Import Eletra'!$BB:$BB,,0,1)=0,"",_xlfn.XLOOKUP($E33,'[1]Import Eletra'!$B:$B,'[1]Import Eletra'!$BB:$BB,,0,1))</f>
        <v>46168</v>
      </c>
      <c r="CB33" s="112">
        <f>$BZ$4</f>
        <v>0</v>
      </c>
      <c r="CC33" s="112">
        <f ca="1">IF(CA33="",TODAY()-BZ33,CA33-BZ33)</f>
        <v>4</v>
      </c>
      <c r="CD33" s="184">
        <f ca="1">CC33-CB33</f>
        <v>4</v>
      </c>
      <c r="CE33" s="362">
        <f>CJ33-$CJ$4</f>
        <v>46164</v>
      </c>
      <c r="CF33" s="332">
        <f>IF(_xlfn.XLOOKUP($E33,'[1]Import Eletra'!$B:$B,'[1]Import Eletra'!$BC:$BC,,0,1)=0,"",_xlfn.XLOOKUP($E33,'[1]Import Eletra'!$B:$B,'[1]Import Eletra'!$BC:$BC,,0,1))</f>
        <v>46168</v>
      </c>
      <c r="CG33" s="112">
        <f>$CE$4</f>
        <v>0</v>
      </c>
      <c r="CH33" s="112">
        <f ca="1">IF(CF33="",TODAY()-CE33,CF33-CE33)</f>
        <v>4</v>
      </c>
      <c r="CI33" s="184">
        <f ca="1">CH33-CG33</f>
        <v>4</v>
      </c>
      <c r="CJ33" s="335">
        <f>CO33-$CO$4</f>
        <v>46164</v>
      </c>
      <c r="CK33" s="332">
        <f>IF(_xlfn.XLOOKUP($E33,'[1]Import Eletra'!$B:$B,'[1]Import Eletra'!$BD:$BD,,0,1)=0,"",_xlfn.XLOOKUP($E33,'[1]Import Eletra'!$B:$B,'[1]Import Eletra'!$BD:$BD,,0,1))</f>
        <v>46164</v>
      </c>
      <c r="CL33" s="112"/>
      <c r="CM33" s="112">
        <f ca="1">IF(CK33="",TODAY()-CJ33,CK33-CJ33)</f>
        <v>0</v>
      </c>
      <c r="CN33" s="184">
        <f ca="1">CM33-CL33</f>
        <v>0</v>
      </c>
      <c r="CO33" s="362">
        <f>CT33-$CT$4</f>
        <v>46164</v>
      </c>
      <c r="CP33" s="332">
        <f>IF(_xlfn.XLOOKUP($E33,'[1]Import Eletra'!$B:$B,'[1]Import Eletra'!$BE:$BE,,0,1)=0,"",_xlfn.XLOOKUP($E33,'[1]Import Eletra'!$B:$B,'[1]Import Eletra'!$BE:$BE,,0,1))</f>
        <v>46164</v>
      </c>
      <c r="CQ33" s="112">
        <f>$CO$4</f>
        <v>0</v>
      </c>
      <c r="CR33" s="112">
        <f ca="1">IF(CP33="",TODAY()-CO33,CP33-CO33)</f>
        <v>0</v>
      </c>
      <c r="CS33" s="184">
        <f ca="1">CR33-CQ33</f>
        <v>0</v>
      </c>
      <c r="CT33" s="335">
        <f>CY33-$CY$4</f>
        <v>46164</v>
      </c>
      <c r="CU33" s="332">
        <f>IF(_xlfn.XLOOKUP($E33,'[1]Import Eletra'!$B:$B,'[1]Import Eletra'!$BF:$BF,,0,1)=0,"",_xlfn.XLOOKUP($E33,'[1]Import Eletra'!$B:$B,'[1]Import Eletra'!$BF:$BF,,0,1))</f>
        <v>46164</v>
      </c>
      <c r="CV33" s="112">
        <f>$CT$4</f>
        <v>0</v>
      </c>
      <c r="CW33" s="112">
        <f ca="1">IF(CU33="",TODAY()-CT33,CU33-CT33)</f>
        <v>0</v>
      </c>
      <c r="CX33" s="184">
        <f ca="1">CW33-CV33</f>
        <v>0</v>
      </c>
      <c r="CY33" s="110">
        <f>DD33-$DD$4</f>
        <v>46164</v>
      </c>
      <c r="CZ33" s="247">
        <f>IF(_xlfn.XLOOKUP($E33,'[1]Import Eletra'!$B:$B,'[1]Import Eletra'!$BF:$BF,,0,1)=0,"",_xlfn.XLOOKUP($E33,'[1]Import Eletra'!$B:$B,'[1]Import Eletra'!$BF:$BF,,0,1))</f>
        <v>46164</v>
      </c>
      <c r="DA33" s="121">
        <f>$CY$4</f>
        <v>0</v>
      </c>
      <c r="DB33" s="112">
        <f ca="1">IF(CZ33="",TODAY()-CY33,CZ33-CY33)</f>
        <v>0</v>
      </c>
      <c r="DC33" s="184">
        <f ca="1">DB33-DA33</f>
        <v>0</v>
      </c>
      <c r="DD33" s="110">
        <f>DI33-$DI$4</f>
        <v>46166</v>
      </c>
      <c r="DE33" s="247">
        <f>IF(_xlfn.XLOOKUP($E33,'[1]Import Eletra'!$B:$B,'[1]Import Eletra'!$BG:$BG,,0,1)=0,"",_xlfn.XLOOKUP($E33,'[1]Import Eletra'!$B:$B,'[1]Import Eletra'!$BG:$BG,0,1))</f>
        <v>46168</v>
      </c>
      <c r="DF33" s="112">
        <f>$DD$4</f>
        <v>2</v>
      </c>
      <c r="DG33" s="112">
        <f ca="1">IF(DE33="",TODAY()-DD33,DE33-DD33)</f>
        <v>2</v>
      </c>
      <c r="DH33" s="184">
        <f ca="1">DG33-DF33</f>
        <v>0</v>
      </c>
      <c r="DI33" s="110">
        <f>DO33-$DN$4</f>
        <v>46167</v>
      </c>
      <c r="DJ33" s="247">
        <f>IF(_xlfn.XLOOKUP($E33,'[1]Import Eletra'!$B:$B,'[1]Import Eletra'!$BH:$BH,,0,1)=0,"",_xlfn.XLOOKUP($E33,'[1]Import Eletra'!$B:$B,'[1]Import Eletra'!$BH:$BH,0,1))</f>
        <v>46168</v>
      </c>
      <c r="DK33" s="112">
        <f>$DI$4</f>
        <v>1</v>
      </c>
      <c r="DL33" s="112">
        <f ca="1">IF(DJ33="",TODAY()-DI33,DJ33-DI33)</f>
        <v>1</v>
      </c>
      <c r="DM33" s="184">
        <f ca="1">DL33-DK33</f>
        <v>0</v>
      </c>
      <c r="DN33" s="64"/>
      <c r="DO33" s="202">
        <f t="shared" si="0"/>
        <v>46168</v>
      </c>
      <c r="DP33" s="165">
        <f>IF(_xlfn.XLOOKUP($E33,'[1]Import Eletra'!$B:$B,'[1]Import Eletra'!$O:$O,,0,1)=0,"",_xlfn.XLOOKUP($E33,'[1]Import Eletra'!$B:$B,'[1]Import Eletra'!$O:$O,0,1))</f>
        <v>46169</v>
      </c>
      <c r="DQ33" s="112">
        <f>$DN$4</f>
        <v>1</v>
      </c>
      <c r="DR33" s="112">
        <f ca="1">IF(DP33="",TODAY()-DO33,DP33-DO33)</f>
        <v>1</v>
      </c>
      <c r="DS33" s="184">
        <f ca="1">DR33-DQ33</f>
        <v>0</v>
      </c>
      <c r="DT33" s="143">
        <f>_xlfn.AGGREGATE(9,6,Y33,AD33,AI33,AN33,AS33,AX33,BC33,BH33,BM33,BR33,BW33,CB33,CG33,CL33,CQ33,CV33,DF33,DK33,DQ33)</f>
        <v>7</v>
      </c>
      <c r="DU33" s="140">
        <f ca="1">IF(DP33="",TODAY()-N33,DP33-N33)</f>
        <v>8</v>
      </c>
      <c r="DV33" s="184">
        <f ca="1">DU33-DT33</f>
        <v>1</v>
      </c>
      <c r="DX33" s="185" t="s">
        <v>245</v>
      </c>
      <c r="DY33" s="108" t="str">
        <f>IF(_xlfn.XLOOKUP($E33,'[1]Import Eletra'!$B:$B,'[1]Import Eletra'!$DW:$DW,,0,1)=0,"",_xlfn.XLOOKUP($E33,'[1]Import Eletra'!$B:$B,'[1]Import Eletra'!$DW:$DW,0,1))</f>
        <v/>
      </c>
      <c r="EB33" s="287"/>
      <c r="ED33" s="406" t="str">
        <f>IF(_xlfn.XLOOKUP($E33,'[1]Import Eletra'!$B:$B,'[1]Import Eletra'!$BQ:$BQ,,0,1)=0,"",_xlfn.XLOOKUP($E33,'[1]Import Eletra'!$B:$B,'[1]Import Eletra'!$BQ:$BQ,0,1))</f>
        <v/>
      </c>
      <c r="EE33" s="407" t="str">
        <f>IF(_xlfn.XLOOKUP($E33,'[1]Import Eletra'!$B:$B,'[1]Import Eletra'!$BR:$BR,,0,1)=0,"",_xlfn.XLOOKUP($E33,'[1]Import Eletra'!$B:$B,'[1]Import Eletra'!$BR:$BR,0,1))</f>
        <v/>
      </c>
      <c r="EF33" s="406" t="str">
        <f>IF(_xlfn.XLOOKUP($E33,'[1]Import Eletra'!$B:$B,'[1]Import Eletra'!$BS:$BS,,0,1)=0,"",_xlfn.XLOOKUP($E33,'[1]Import Eletra'!$B:$B,'[1]Import Eletra'!$BS:$BS,0,1))</f>
        <v/>
      </c>
      <c r="EG33" s="407" t="str">
        <f>IF(_xlfn.XLOOKUP($E33,'[1]Import Eletra'!$B:$B,'[1]Import Eletra'!$BT:$BT,,0,1)=0,"",_xlfn.XLOOKUP($E33,'[1]Import Eletra'!$B:$B,'[1]Import Eletra'!$BT:$BT,0,1))</f>
        <v/>
      </c>
      <c r="EH33" s="406" t="str">
        <f>IF(_xlfn.XLOOKUP($E33,'[1]Import Eletra'!$B:$B,'[1]Import Eletra'!$BU:$BU,,0,1)=0,"",_xlfn.XLOOKUP($E33,'[1]Import Eletra'!$B:$B,'[1]Import Eletra'!$BU:$BU,0,1))</f>
        <v/>
      </c>
      <c r="EI33" s="407" t="str">
        <f>IF(_xlfn.XLOOKUP($E33,'[1]Import Eletra'!$B:$B,'[1]Import Eletra'!$BV:$BV,,0,1)=0,"",_xlfn.XLOOKUP($E33,'[1]Import Eletra'!$B:$B,'[1]Import Eletra'!$BV:$BV,0,1))</f>
        <v/>
      </c>
      <c r="EJ33" s="407">
        <f>IF(_xlfn.XLOOKUP($E33,'[1]Import Eletra'!$B:$B,'[1]Import Eletra'!$CI:$CI,,0,1)=0,"",_xlfn.XLOOKUP($E33,'[1]Import Eletra'!$B:$B,'[1]Import Eletra'!$CI:$CI,0,1))</f>
        <v>46179</v>
      </c>
      <c r="EK33" s="407" t="str">
        <f>IF(_xlfn.XLOOKUP($E33,'[1]Import Eletra'!$B:$B,'[1]Import Eletra'!$CD:$CD,,0,1)=0,"",_xlfn.XLOOKUP($E33,'[1]Import Eletra'!$B:$B,'[1]Import Eletra'!$CD:$CD,0,1))</f>
        <v/>
      </c>
      <c r="EL33" s="407" t="str">
        <f>IF(_xlfn.XLOOKUP($E33,'[1]Import Eletra'!$B:$B,'[1]Import Eletra'!$CE:$CE,,0,1)=0,"",_xlfn.XLOOKUP($E33,'[1]Import Eletra'!$B:$B,'[1]Import Eletra'!$CE:$CE,0,1))</f>
        <v>NÃO</v>
      </c>
      <c r="EM33" s="408" t="str">
        <f>IF(_xlfn.XLOOKUP($E33,'[1]Import Eletra'!$B:$B,'[1]Import Eletra'!$E:$E,,0,1)=0,"",_xlfn.XLOOKUP($E33,'[1]Import Eletra'!$B:$B,'[1]Import Eletra'!$E:$E,0,1))</f>
        <v>CATARINA</v>
      </c>
      <c r="EN33" s="408" t="str">
        <f>IF(_xlfn.XLOOKUP($E33,'[1]Import Eletra'!$B:$B,'[1]Import Eletra'!$R:$R,,0,1)=0,"",_xlfn.XLOOKUP($E33,'[1]Import Eletra'!$B:$B,'[1]Import Eletra'!$R:$R,0,1))</f>
        <v>PWBR260018-20 C</v>
      </c>
      <c r="EO33" s="408" t="str">
        <f>IF(_xlfn.XLOOKUP($E33,'[1]Import Eletra'!$B:$B,'[1]Import Eletra'!$P:$P,,0,1)=0,"",_xlfn.XLOOKUP($E33,'[1]Import Eletra'!$B:$B,'[1]Import Eletra'!$P:$P,0,1))</f>
        <v>SDBLBS593281</v>
      </c>
      <c r="EP33" s="408" t="str">
        <f>IF(_xlfn.XLOOKUP($E33,'[1]Import Eletra'!$B:$B,'[1]Import Eletra'!$T:$T,,0,1)=0,"",_xlfn.XLOOKUP($E33,'[1]Import Eletra'!$B:$B,'[1]Import Eletra'!$T:$T,0,1))</f>
        <v>CGMU544468/0</v>
      </c>
    </row>
    <row r="34" spans="2:146" ht="30" customHeight="1">
      <c r="B34" s="371" t="s">
        <v>336</v>
      </c>
      <c r="C34" s="280"/>
      <c r="D34" s="104" t="str">
        <f>IF(_xlfn.XLOOKUP($E34,'[1]Import Eletra'!$B:$B,'[1]Import Eletra'!$A:$A,,0,1)=0,"",_xlfn.XLOOKUP($E34,'[1]Import Eletra'!$B:$B,'[1]Import Eletra'!$A:$A,,0,1))</f>
        <v>AUG_2026</v>
      </c>
      <c r="E34" s="212" t="s">
        <v>354</v>
      </c>
      <c r="F34" s="106" t="str">
        <f>IF(_xlfn.XLOOKUP($E34,'[1]Import Eletra'!$B:$B,'[1]Import Eletra'!$U:$U,,0,1)=0,"",_xlfn.XLOOKUP($E34,'[1]Import Eletra'!$B:$B,'[1]Import Eletra'!$U:$U,,0,1))</f>
        <v/>
      </c>
      <c r="G34" s="301" t="s">
        <v>244</v>
      </c>
      <c r="H34" s="2" t="str">
        <f>_xlfn.XLOOKUP($E34,'[1]Import Eletra'!$B:$B,'[1]Import Eletra'!$F:$F,,0,1)</f>
        <v>DELIVERED</v>
      </c>
      <c r="I34" s="108" t="str">
        <f>_xlfn.XLOOKUP($E34,'[1]Import Eletra'!$B:$B,'[1]Import Eletra'!$G:$G,,0,1)</f>
        <v>AIR</v>
      </c>
      <c r="J34" s="326">
        <v>46144</v>
      </c>
      <c r="K34" s="109">
        <v>30</v>
      </c>
      <c r="L34" s="109">
        <f>M34-J34</f>
        <v>15</v>
      </c>
      <c r="M34" s="326">
        <f>IF(_xlfn.XLOOKUP($E34,'[1]Import Eletra'!$B:$B,'[1]Import Eletra'!$J:$J,,0,1)=0,"",_xlfn.XLOOKUP($E34,'[1]Import Eletra'!$B:$B,'[1]Import Eletra'!$J:$J,,0,1))</f>
        <v>46159</v>
      </c>
      <c r="N34" s="332">
        <f>IF(_xlfn.XLOOKUP($E34,'[1]Import Eletra'!$B:$B,'[1]Import Eletra'!$L:$L,,0,1)=0,"",_xlfn.XLOOKUP($E34,'[1]Import Eletra'!$B:$B,'[1]Import Eletra'!$L:$L,,0,1))</f>
        <v>46164</v>
      </c>
      <c r="O34" s="335">
        <f>IF(_xlfn.XLOOKUP($E34,'[1]Import Eletra'!$B:$B,'[1]Import Eletra'!$AK:$AK,,0,1)=0,"",_xlfn.XLOOKUP($E34,'[1]Import Eletra'!$B:$B,'[1]Import Eletra'!$AK:$AK,,0,1))</f>
        <v>46159</v>
      </c>
      <c r="P34" s="326">
        <f>IF(_xlfn.XLOOKUP($E34,'[1]Import Eletra'!$B:$B,'[1]Import Eletra'!$AL:$AL,,0,1)=0,"",_xlfn.XLOOKUP($E34,'[1]Import Eletra'!$B:$B,'[1]Import Eletra'!$AL:$AL,,0,1))</f>
        <v>46167</v>
      </c>
      <c r="Q34" s="326">
        <f>IF(_xlfn.XLOOKUP($E34,'[1]Import Eletra'!$B:$B,'[1]Import Eletra'!$AM:$AM,,0,1)=0,"",_xlfn.XLOOKUP($E34,'[1]Import Eletra'!$B:$B,'[1]Import Eletra'!$AM:$AM,,0,1))</f>
        <v>46167</v>
      </c>
      <c r="R34" s="326">
        <f>IF(_xlfn.XLOOKUP($E34,'[1]Import Eletra'!$B:$B,'[1]Import Eletra'!$AN:$AN,,0,1)=0,"",_xlfn.XLOOKUP($E34,'[1]Import Eletra'!$B:$B,'[1]Import Eletra'!$AN:$AN,,0,1))</f>
        <v>46167</v>
      </c>
      <c r="S34" s="326">
        <f>IF(_xlfn.XLOOKUP($E34,'[1]Import Eletra'!$B:$B,'[1]Import Eletra'!$AO:$AO,,0,1)=0,"",_xlfn.XLOOKUP($E34,'[1]Import Eletra'!$B:$B,'[1]Import Eletra'!$AO:$AO,,0,1))</f>
        <v>46167</v>
      </c>
      <c r="T34" s="326">
        <f>IF(_xlfn.XLOOKUP($E34,'[1]Import Eletra'!$B:$B,'[1]Import Eletra'!$AP:$AP,,0,1)=0,"",_xlfn.XLOOKUP($E34,'[1]Import Eletra'!$B:$B,'[1]Import Eletra'!$AP:$AP,,0,1))</f>
        <v>46167</v>
      </c>
      <c r="U34" s="326">
        <f>IF(_xlfn.XLOOKUP($E34,'[1]Import Eletra'!$B:$B,'[1]Import Eletra'!$AQ:$AQ,,0,1)=0,"",_xlfn.XLOOKUP($E34,'[1]Import Eletra'!$B:$B,'[1]Import Eletra'!$AQ:$AQ,,0,1))</f>
        <v>46167</v>
      </c>
      <c r="V34" s="339">
        <f>IF(_xlfn.XLOOKUP($E34,'[1]Import Eletra'!$B:$B,'[1]Import Eletra'!$AR:$AR,,0,1)=0,"",_xlfn.XLOOKUP($E34,'[1]Import Eletra'!$B:$B,'[1]Import Eletra'!$AR:$AR,,0,1))</f>
        <v>46167</v>
      </c>
      <c r="W34" s="335">
        <f>AB34-$AB$5</f>
        <v>46165</v>
      </c>
      <c r="X34" s="332">
        <f>IF(_xlfn.XLOOKUP($E34,'[1]Import Eletra'!$B:$B,'[1]Import Eletra'!$AS:$AS,,0,1)=0,"",_xlfn.XLOOKUP($E34,'[1]Import Eletra'!$B:$B,'[1]Import Eletra'!$AS:$AS,,0,1))</f>
        <v>46168</v>
      </c>
      <c r="Y34" s="113">
        <f>$W$4</f>
        <v>0</v>
      </c>
      <c r="Z34" s="113">
        <f ca="1">IF(X34="",TODAY()-W34,X34-W34)</f>
        <v>3</v>
      </c>
      <c r="AA34" s="184">
        <f ca="1">Z34-Y34</f>
        <v>3</v>
      </c>
      <c r="AB34" s="348">
        <f>AG34-$AB$5</f>
        <v>46166</v>
      </c>
      <c r="AC34" s="332">
        <f>IF(_xlfn.XLOOKUP($E34,'[1]Import Eletra'!$B:$B,'[1]Import Eletra'!$AD:$AD,,0,1)=0,"",_xlfn.XLOOKUP($E34,'[1]Import Eletra'!$B:$B,'[1]Import Eletra'!$AD:$AD,,0,1))</f>
        <v>46168</v>
      </c>
      <c r="AD34" s="113">
        <f>$AB$4</f>
        <v>0</v>
      </c>
      <c r="AE34" s="113">
        <f ca="1">IF(AC34="",TODAY()-AB34,AC34-AB34)</f>
        <v>2</v>
      </c>
      <c r="AF34" s="184">
        <f ca="1">AE34-AD34</f>
        <v>2</v>
      </c>
      <c r="AG34" s="355">
        <f>AL34-$AL$5</f>
        <v>46167</v>
      </c>
      <c r="AH34" s="332">
        <f>IF(_xlfn.XLOOKUP($E34,'[1]Import Eletra'!$B:$B,'[1]Import Eletra'!$AE:$AE,,0,1)=0,"",_xlfn.XLOOKUP($E34,'[1]Import Eletra'!$B:$B,'[1]Import Eletra'!$AE:$AE,,0,1))</f>
        <v>46168</v>
      </c>
      <c r="AI34" s="113">
        <f>$AG$4</f>
        <v>0</v>
      </c>
      <c r="AJ34" s="113">
        <f ca="1">IF(AH34="",TODAY()-AG34,AH34-AG34)</f>
        <v>1</v>
      </c>
      <c r="AK34" s="184">
        <f ca="1">AJ34-AI34</f>
        <v>1</v>
      </c>
      <c r="AL34" s="355">
        <f>AQ34-$AQ$5</f>
        <v>46167</v>
      </c>
      <c r="AM34" s="332">
        <f>IF(_xlfn.XLOOKUP($E34,'[1]Import Eletra'!$B:$B,'[1]Import Eletra'!$AT:$AT,,0,1)=0,"",_xlfn.XLOOKUP($E34,'[1]Import Eletra'!$B:$B,'[1]Import Eletra'!$AT:$AT,,0,1))</f>
        <v>46168</v>
      </c>
      <c r="AN34" s="113">
        <f>$AL$4</f>
        <v>0</v>
      </c>
      <c r="AO34" s="113">
        <f ca="1">IF(AM34="",TODAY()-AL34,AM34-AL34)</f>
        <v>1</v>
      </c>
      <c r="AP34" s="184">
        <f ca="1">AO34-AN34</f>
        <v>1</v>
      </c>
      <c r="AQ34" s="357">
        <f>AV34-$AV$5</f>
        <v>46168</v>
      </c>
      <c r="AR34" s="332">
        <f>IF(_xlfn.XLOOKUP($E34,'[1]Import Eletra'!$B:$B,'[1]Import Eletra'!$AU:$AU,,0,1)=0,"",_xlfn.XLOOKUP($E34,'[1]Import Eletra'!$B:$B,'[1]Import Eletra'!$AU:$AU,,0,1))</f>
        <v>46168</v>
      </c>
      <c r="AS34" s="113">
        <f>$AQ$4</f>
        <v>1</v>
      </c>
      <c r="AT34" s="113">
        <f ca="1">IF(AR34="",TODAY()-AQ34,AR34-AQ34)</f>
        <v>0</v>
      </c>
      <c r="AU34" s="184">
        <f ca="1">AT34-AS34</f>
        <v>-1</v>
      </c>
      <c r="AV34" s="355">
        <f>BA34-$BA$5</f>
        <v>46168</v>
      </c>
      <c r="AW34" s="332" t="str">
        <f>IF(_xlfn.XLOOKUP($E34,'[1]Import Eletra'!$B:$B,'[1]Import Eletra'!$AV:$AV,,0,1)=0,"",_xlfn.XLOOKUP($E34,'[1]Import Eletra'!$B:$B,'[1]Import Eletra'!$AV:$AV,,0,1))</f>
        <v/>
      </c>
      <c r="AX34" s="113">
        <f>$AV$4</f>
        <v>0</v>
      </c>
      <c r="AY34" s="113">
        <f ca="1">IF(AW34="",TODAY()-AV34,AW34-AV34)</f>
        <v>43</v>
      </c>
      <c r="AZ34" s="184">
        <f ca="1">AY34-AX34</f>
        <v>43</v>
      </c>
      <c r="BA34" s="357">
        <f>BF34-$BF$5</f>
        <v>46168</v>
      </c>
      <c r="BB34" s="332" t="str">
        <f>IF(_xlfn.XLOOKUP($E34,'[1]Import Eletra'!$B:$B,'[1]Import Eletra'!$AW:$AW,,0,1)=0,"",_xlfn.XLOOKUP($E34,'[1]Import Eletra'!$B:$B,'[1]Import Eletra'!$AW:$AW,,0,1))</f>
        <v/>
      </c>
      <c r="BC34" s="113">
        <f>$BA$4</f>
        <v>0</v>
      </c>
      <c r="BD34" s="113">
        <f ca="1">IF(BB34="",TODAY()-BA34,BB34-BA34)</f>
        <v>43</v>
      </c>
      <c r="BE34" s="184">
        <f ca="1">BD34-BC34</f>
        <v>43</v>
      </c>
      <c r="BF34" s="335">
        <f>BK34-$BK$5</f>
        <v>46168</v>
      </c>
      <c r="BG34" s="332" t="str">
        <f>IF(_xlfn.XLOOKUP($E34,'[1]Import Eletra'!$B:$B,'[1]Import Eletra'!$AX:$AX,,0,1)=0,"",_xlfn.XLOOKUP($E34,'[1]Import Eletra'!$B:$B,'[1]Import Eletra'!$AX:$AX,,0,1))</f>
        <v/>
      </c>
      <c r="BH34" s="113">
        <f>$BF$4</f>
        <v>0</v>
      </c>
      <c r="BI34" s="113">
        <f ca="1">IF(BG34="",TODAY()-BF34,BG34-BF34)</f>
        <v>43</v>
      </c>
      <c r="BJ34" s="184">
        <f ca="1">BI34-BH34</f>
        <v>43</v>
      </c>
      <c r="BK34" s="362">
        <f>BP34-$BP$5</f>
        <v>46168</v>
      </c>
      <c r="BL34" s="332" t="str">
        <f>IF(_xlfn.XLOOKUP($E34,'[1]Import Eletra'!$B:$B,'[1]Import Eletra'!$AY:$AY,,0,1)=0,"",_xlfn.XLOOKUP($E34,'[1]Import Eletra'!$B:$B,'[1]Import Eletra'!$AY:$AY,,0,1))</f>
        <v/>
      </c>
      <c r="BM34" s="113">
        <f>$BK$4</f>
        <v>0</v>
      </c>
      <c r="BN34" s="113">
        <f ca="1">IF(BL34="",TODAY()-BK34,BL34-BK34)</f>
        <v>43</v>
      </c>
      <c r="BO34" s="184">
        <f ca="1">BN34-BM34</f>
        <v>43</v>
      </c>
      <c r="BP34" s="335">
        <f>BU34-$BU$5</f>
        <v>46168</v>
      </c>
      <c r="BQ34" s="332" t="str">
        <f>IF(_xlfn.XLOOKUP($E34,'[1]Import Eletra'!$B:$B,'[1]Import Eletra'!$AZ:$AZ,,0,1)=0,"",_xlfn.XLOOKUP($E34,'[1]Import Eletra'!$B:$B,'[1]Import Eletra'!$AZ:$AZ,,0,1))</f>
        <v/>
      </c>
      <c r="BR34" s="113">
        <f>$BP$4</f>
        <v>0</v>
      </c>
      <c r="BS34" s="113">
        <f ca="1">IF(BQ34="",TODAY()-BP34,BQ34-BP34)</f>
        <v>43</v>
      </c>
      <c r="BT34" s="184">
        <f ca="1">BS34-BR34</f>
        <v>43</v>
      </c>
      <c r="BU34" s="362">
        <f>BZ34-$BZ$4</f>
        <v>46170</v>
      </c>
      <c r="BV34" s="332">
        <f>IF(_xlfn.XLOOKUP($E34,'[1]Import Eletra'!$B:$B,'[1]Import Eletra'!$BA:$BA,,0,1)=0,"",_xlfn.XLOOKUP($E34,'[1]Import Eletra'!$B:$B,'[1]Import Eletra'!$BA:$BA,,0,1))</f>
        <v>46195</v>
      </c>
      <c r="BW34" s="113">
        <f>$BU$4</f>
        <v>2</v>
      </c>
      <c r="BX34" s="113">
        <f ca="1">IF(BV34="",TODAY()-BU34,BV34-BU34)</f>
        <v>25</v>
      </c>
      <c r="BY34" s="184">
        <f ca="1">BX34-BW34</f>
        <v>23</v>
      </c>
      <c r="BZ34" s="335">
        <f>CE34-$CE$5</f>
        <v>46170</v>
      </c>
      <c r="CA34" s="332">
        <f>IF(_xlfn.XLOOKUP($E34,'[1]Import Eletra'!$B:$B,'[1]Import Eletra'!$BB:$BB,,0,1)=0,"",_xlfn.XLOOKUP($E34,'[1]Import Eletra'!$B:$B,'[1]Import Eletra'!$BB:$BB,,0,1))</f>
        <v>46196</v>
      </c>
      <c r="CB34" s="113">
        <f>$BZ$4</f>
        <v>0</v>
      </c>
      <c r="CC34" s="113">
        <f ca="1">IF(CA34="",TODAY()-BZ34,CA34-BZ34)</f>
        <v>26</v>
      </c>
      <c r="CD34" s="184">
        <f ca="1">CC34-CB34</f>
        <v>26</v>
      </c>
      <c r="CE34" s="362">
        <f>CJ34-$CJ$4</f>
        <v>46170</v>
      </c>
      <c r="CF34" s="332" t="str">
        <f>IF(_xlfn.XLOOKUP($E34,'[1]Import Eletra'!$B:$B,'[1]Import Eletra'!$BC:$BC,,0,1)=0,"",_xlfn.XLOOKUP($E34,'[1]Import Eletra'!$B:$B,'[1]Import Eletra'!$BC:$BC,,0,1))</f>
        <v/>
      </c>
      <c r="CG34" s="113">
        <f>$CE$4</f>
        <v>0</v>
      </c>
      <c r="CH34" s="113">
        <f ca="1">IF(CF34="",TODAY()-CE34,CF34-CE34)</f>
        <v>41</v>
      </c>
      <c r="CI34" s="184">
        <f ca="1">CH34-CG34</f>
        <v>41</v>
      </c>
      <c r="CJ34" s="335">
        <f>CO34-$CO$4</f>
        <v>46170</v>
      </c>
      <c r="CK34" s="332">
        <f>IF(_xlfn.XLOOKUP($E34,'[1]Import Eletra'!$B:$B,'[1]Import Eletra'!$BD:$BD,,0,1)=0,"",_xlfn.XLOOKUP($E34,'[1]Import Eletra'!$B:$B,'[1]Import Eletra'!$BD:$BD,,0,1))</f>
        <v>46168</v>
      </c>
      <c r="CL34" s="113"/>
      <c r="CM34" s="113">
        <f ca="1">IF(CK34="",TODAY()-CJ34,CK34-CJ34)</f>
        <v>-2</v>
      </c>
      <c r="CN34" s="184">
        <f ca="1">CM34-CL34</f>
        <v>-2</v>
      </c>
      <c r="CO34" s="362">
        <f>CT34-$CT$4</f>
        <v>46170</v>
      </c>
      <c r="CP34" s="332">
        <f>IF(_xlfn.XLOOKUP($E34,'[1]Import Eletra'!$B:$B,'[1]Import Eletra'!$BE:$BE,,0,1)=0,"",_xlfn.XLOOKUP($E34,'[1]Import Eletra'!$B:$B,'[1]Import Eletra'!$BE:$BE,,0,1))</f>
        <v>46169</v>
      </c>
      <c r="CQ34" s="113">
        <f>$CO$4</f>
        <v>0</v>
      </c>
      <c r="CR34" s="113">
        <f ca="1">IF(CP34="",TODAY()-CO34,CP34-CO34)</f>
        <v>-1</v>
      </c>
      <c r="CS34" s="184">
        <f ca="1">CR34-CQ34</f>
        <v>-1</v>
      </c>
      <c r="CT34" s="335">
        <f>CY34-$CY$4</f>
        <v>46170</v>
      </c>
      <c r="CU34" s="332">
        <f>IF(_xlfn.XLOOKUP($E34,'[1]Import Eletra'!$B:$B,'[1]Import Eletra'!$BF:$BF,,0,1)=0,"",_xlfn.XLOOKUP($E34,'[1]Import Eletra'!$B:$B,'[1]Import Eletra'!$BF:$BF,,0,1))</f>
        <v>46169</v>
      </c>
      <c r="CV34" s="113">
        <f>$CT$4</f>
        <v>0</v>
      </c>
      <c r="CW34" s="113">
        <f ca="1">IF(CU34="",TODAY()-CT34,CU34-CT34)</f>
        <v>-1</v>
      </c>
      <c r="CX34" s="184">
        <f ca="1">CW34-CV34</f>
        <v>-1</v>
      </c>
      <c r="CY34" s="110">
        <f>DD34-$DD$4</f>
        <v>46170</v>
      </c>
      <c r="CZ34" s="247">
        <f>IF(_xlfn.XLOOKUP($E34,'[1]Import Eletra'!$B:$B,'[1]Import Eletra'!$BF:$BF,,0,1)=0,"",_xlfn.XLOOKUP($E34,'[1]Import Eletra'!$B:$B,'[1]Import Eletra'!$BF:$BF,,0,1))</f>
        <v>46169</v>
      </c>
      <c r="DA34" s="210">
        <f>$CY$4</f>
        <v>0</v>
      </c>
      <c r="DB34" s="113">
        <f ca="1">IF(CZ34="",TODAY()-CY34,CZ34-CY34)</f>
        <v>-1</v>
      </c>
      <c r="DC34" s="184">
        <f ca="1">DB34-DA34</f>
        <v>-1</v>
      </c>
      <c r="DD34" s="110">
        <f>DI34-$DI$4</f>
        <v>46172</v>
      </c>
      <c r="DE34" s="247">
        <f>IF(_xlfn.XLOOKUP($E34,'[1]Import Eletra'!$B:$B,'[1]Import Eletra'!$BG:$BG,,0,1)=0,"",_xlfn.XLOOKUP($E34,'[1]Import Eletra'!$B:$B,'[1]Import Eletra'!$BG:$BG,0,1))</f>
        <v>46171</v>
      </c>
      <c r="DF34" s="247">
        <f>IF(_xlfn.XLOOKUP($E34,'[1]Import Eletra'!$B:$B,'[1]Import Eletra'!$BH:$BH,,0,1)=0,"",_xlfn.XLOOKUP($E34,'[1]Import Eletra'!$B:$B,'[1]Import Eletra'!$BH:$BH,0,1))</f>
        <v>46174</v>
      </c>
      <c r="DG34" s="113">
        <f ca="1">IF(DE34="",TODAY()-DD34,DE34-DD34)</f>
        <v>-1</v>
      </c>
      <c r="DH34" s="184">
        <f ca="1">DG34-DF34</f>
        <v>-46175</v>
      </c>
      <c r="DI34" s="110">
        <f>DO34-$DN$4</f>
        <v>46173</v>
      </c>
      <c r="DJ34" s="247">
        <f>IF(_xlfn.XLOOKUP($E34,'[1]Import Eletra'!$B:$B,'[1]Import Eletra'!$BH:$BH,,0,1)=0,"",_xlfn.XLOOKUP($E34,'[1]Import Eletra'!$B:$B,'[1]Import Eletra'!$BH:$BH,0,1))</f>
        <v>46174</v>
      </c>
      <c r="DK34" s="112">
        <f>$DI$4</f>
        <v>1</v>
      </c>
      <c r="DL34" s="112">
        <f ca="1">IF(DJ34="",TODAY()-DI34,DJ34-DI34)</f>
        <v>1</v>
      </c>
      <c r="DM34" s="184">
        <f ca="1">DL34-DK34</f>
        <v>0</v>
      </c>
      <c r="DN34" s="64"/>
      <c r="DO34" s="202">
        <f t="shared" si="0"/>
        <v>46174</v>
      </c>
      <c r="DP34" s="165">
        <f>IF(_xlfn.XLOOKUP($E34,'[1]Import Eletra'!$B:$B,'[1]Import Eletra'!$O:$O,,0,1)=0,"",_xlfn.XLOOKUP($E34,'[1]Import Eletra'!$B:$B,'[1]Import Eletra'!$O:$O,0,1))</f>
        <v>46174</v>
      </c>
      <c r="DQ34" s="112">
        <f>$DN$4</f>
        <v>1</v>
      </c>
      <c r="DR34" s="112">
        <f ca="1">IF(DP34="",TODAY()-DO34,DP34-DO34)</f>
        <v>0</v>
      </c>
      <c r="DS34" s="184">
        <f ca="1">DR34-DQ34</f>
        <v>-1</v>
      </c>
      <c r="DT34" s="143">
        <v>10</v>
      </c>
      <c r="DU34" s="140">
        <f ca="1">IF(DP34="",TODAY()-N34,DP34-N34)</f>
        <v>10</v>
      </c>
      <c r="DV34" s="184">
        <f ca="1">DU34-DT34</f>
        <v>0</v>
      </c>
      <c r="DX34" s="185" t="s">
        <v>245</v>
      </c>
      <c r="DY34" s="108" t="str">
        <f>IF(_xlfn.XLOOKUP($E34,'[1]Import Eletra'!$B:$B,'[1]Import Eletra'!$DW:$DW,,0,1)=0,"",_xlfn.XLOOKUP($E34,'[1]Import Eletra'!$B:$B,'[1]Import Eletra'!$DW:$DW,0,1))</f>
        <v>SEFAZ HOMOLOGATION - NF/GLME</v>
      </c>
      <c r="EB34" s="287" t="s">
        <v>273</v>
      </c>
      <c r="ED34" s="409" t="str">
        <f>IF(_xlfn.XLOOKUP($E34,'[1]Import Eletra'!$B:$B,'[1]Import Eletra'!$BQ:$BQ,,0,1)=0,"",_xlfn.XLOOKUP($E34,'[1]Import Eletra'!$B:$B,'[1]Import Eletra'!$BQ:$BQ,0,1))</f>
        <v/>
      </c>
      <c r="EE34" s="410" t="str">
        <f>IF(_xlfn.XLOOKUP($E34,'[1]Import Eletra'!$B:$B,'[1]Import Eletra'!$BR:$BR,,0,1)=0,"",_xlfn.XLOOKUP($E34,'[1]Import Eletra'!$B:$B,'[1]Import Eletra'!$BR:$BR,0,1))</f>
        <v/>
      </c>
      <c r="EF34" s="409" t="str">
        <f>IF(_xlfn.XLOOKUP($E34,'[1]Import Eletra'!$B:$B,'[1]Import Eletra'!$BS:$BS,,0,1)=0,"",_xlfn.XLOOKUP($E34,'[1]Import Eletra'!$B:$B,'[1]Import Eletra'!$BS:$BS,0,1))</f>
        <v/>
      </c>
      <c r="EG34" s="410" t="str">
        <f>IF(_xlfn.XLOOKUP($E34,'[1]Import Eletra'!$B:$B,'[1]Import Eletra'!$BT:$BT,,0,1)=0,"",_xlfn.XLOOKUP($E34,'[1]Import Eletra'!$B:$B,'[1]Import Eletra'!$BT:$BT,0,1))</f>
        <v/>
      </c>
      <c r="EH34" s="409" t="str">
        <f>IF(_xlfn.XLOOKUP($E34,'[1]Import Eletra'!$B:$B,'[1]Import Eletra'!$BU:$BU,,0,1)=0,"",_xlfn.XLOOKUP($E34,'[1]Import Eletra'!$B:$B,'[1]Import Eletra'!$BU:$BU,0,1))</f>
        <v/>
      </c>
      <c r="EI34" s="410" t="str">
        <f>IF(_xlfn.XLOOKUP($E34,'[1]Import Eletra'!$B:$B,'[1]Import Eletra'!$BV:$BV,,0,1)=0,"",_xlfn.XLOOKUP($E34,'[1]Import Eletra'!$B:$B,'[1]Import Eletra'!$BV:$BV,0,1))</f>
        <v/>
      </c>
      <c r="EJ34" s="410" t="str">
        <f>IF(_xlfn.XLOOKUP($E34,'[1]Import Eletra'!$B:$B,'[1]Import Eletra'!$CI:$CI,,0,1)=0,"",_xlfn.XLOOKUP($E34,'[1]Import Eletra'!$B:$B,'[1]Import Eletra'!$CI:$CI,0,1))</f>
        <v/>
      </c>
      <c r="EK34" s="410" t="str">
        <f>IF(_xlfn.XLOOKUP($E34,'[1]Import Eletra'!$B:$B,'[1]Import Eletra'!$CD:$CD,,0,1)=0,"",_xlfn.XLOOKUP($E34,'[1]Import Eletra'!$B:$B,'[1]Import Eletra'!$CD:$CD,0,1))</f>
        <v/>
      </c>
      <c r="EL34" s="410" t="str">
        <f>IF(_xlfn.XLOOKUP($E34,'[1]Import Eletra'!$B:$B,'[1]Import Eletra'!$CE:$CE,,0,1)=0,"",_xlfn.XLOOKUP($E34,'[1]Import Eletra'!$B:$B,'[1]Import Eletra'!$CE:$CE,0,1))</f>
        <v>NÃO</v>
      </c>
      <c r="EM34" s="411" t="str">
        <f>IF(_xlfn.XLOOKUP($E34,'[1]Import Eletra'!$B:$B,'[1]Import Eletra'!$E:$E,,0,1)=0,"",_xlfn.XLOOKUP($E34,'[1]Import Eletra'!$B:$B,'[1]Import Eletra'!$E:$E,0,1))</f>
        <v>LEISIANE</v>
      </c>
      <c r="EN34" s="408" t="str">
        <f>IF(_xlfn.XLOOKUP($E34,'[1]Import Eletra'!$B:$B,'[1]Import Eletra'!$R:$R,,0,1)=0,"",_xlfn.XLOOKUP($E34,'[1]Import Eletra'!$B:$B,'[1]Import Eletra'!$R:$R,0,1))</f>
        <v>PWBR260108-10</v>
      </c>
      <c r="EO34" s="408" t="str">
        <f>IF(_xlfn.XLOOKUP($E34,'[1]Import Eletra'!$B:$B,'[1]Import Eletra'!$P:$P,,0,1)=0,"",_xlfn.XLOOKUP($E34,'[1]Import Eletra'!$B:$B,'[1]Import Eletra'!$P:$P,0,1))</f>
        <v>TW260514FOR</v>
      </c>
      <c r="EP34" s="408" t="str">
        <f>IF(_xlfn.XLOOKUP($E34,'[1]Import Eletra'!$B:$B,'[1]Import Eletra'!$T:$T,,0,1)=0,"",_xlfn.XLOOKUP($E34,'[1]Import Eletra'!$B:$B,'[1]Import Eletra'!$T:$T,0,1))</f>
        <v/>
      </c>
    </row>
    <row r="35" spans="2:146" ht="30" customHeight="1">
      <c r="B35" s="371" t="s">
        <v>352</v>
      </c>
      <c r="C35" s="280"/>
      <c r="D35" s="104" t="str">
        <f>IF(_xlfn.XLOOKUP($E35,'[1]Import Eletra'!$B:$B,'[1]Import Eletra'!$A:$A,,0,1)=0,"",_xlfn.XLOOKUP($E35,'[1]Import Eletra'!$B:$B,'[1]Import Eletra'!$A:$A,,0,1))</f>
        <v>APR_2026</v>
      </c>
      <c r="E35" s="212" t="s">
        <v>355</v>
      </c>
      <c r="F35" s="106" t="str">
        <f>IF(_xlfn.XLOOKUP($E35,'[1]Import Eletra'!$B:$B,'[1]Import Eletra'!$U:$U,,0,1)=0,"",_xlfn.XLOOKUP($E35,'[1]Import Eletra'!$B:$B,'[1]Import Eletra'!$U:$U,,0,1))</f>
        <v/>
      </c>
      <c r="G35" s="301" t="s">
        <v>244</v>
      </c>
      <c r="H35" s="2" t="str">
        <f>_xlfn.XLOOKUP($E35,'[1]Import Eletra'!$B:$B,'[1]Import Eletra'!$F:$F,,0,1)</f>
        <v>DELIVERED</v>
      </c>
      <c r="I35" s="108" t="str">
        <f>_xlfn.XLOOKUP($E35,'[1]Import Eletra'!$B:$B,'[1]Import Eletra'!$G:$G,,0,1)</f>
        <v>AIR</v>
      </c>
      <c r="J35" s="326">
        <v>46128</v>
      </c>
      <c r="K35" s="109">
        <v>30</v>
      </c>
      <c r="L35" s="109">
        <f>M35-J35</f>
        <v>33</v>
      </c>
      <c r="M35" s="326">
        <f>IF(_xlfn.XLOOKUP($E35,'[1]Import Eletra'!$B:$B,'[1]Import Eletra'!$J:$J,,0,1)=0,"",_xlfn.XLOOKUP($E35,'[1]Import Eletra'!$B:$B,'[1]Import Eletra'!$J:$J,,0,1))</f>
        <v>46161</v>
      </c>
      <c r="N35" s="332">
        <f>IF(_xlfn.XLOOKUP($E35,'[1]Import Eletra'!$B:$B,'[1]Import Eletra'!$L:$L,,0,1)=0,"",_xlfn.XLOOKUP($E35,'[1]Import Eletra'!$B:$B,'[1]Import Eletra'!$L:$L,,0,1))</f>
        <v>46164</v>
      </c>
      <c r="O35" s="335">
        <f>IF(_xlfn.XLOOKUP($E35,'[1]Import Eletra'!$B:$B,'[1]Import Eletra'!$AK:$AK,,0,1)=0,"",_xlfn.XLOOKUP($E35,'[1]Import Eletra'!$B:$B,'[1]Import Eletra'!$AK:$AK,,0,1))</f>
        <v>46161</v>
      </c>
      <c r="P35" s="326">
        <f>IF(_xlfn.XLOOKUP($E35,'[1]Import Eletra'!$B:$B,'[1]Import Eletra'!$AL:$AL,,0,1)=0,"",_xlfn.XLOOKUP($E35,'[1]Import Eletra'!$B:$B,'[1]Import Eletra'!$AL:$AL,,0,1))</f>
        <v>46164</v>
      </c>
      <c r="Q35" s="326">
        <f>IF(_xlfn.XLOOKUP($E35,'[1]Import Eletra'!$B:$B,'[1]Import Eletra'!$AM:$AM,,0,1)=0,"",_xlfn.XLOOKUP($E35,'[1]Import Eletra'!$B:$B,'[1]Import Eletra'!$AM:$AM,,0,1))</f>
        <v>46164</v>
      </c>
      <c r="R35" s="326">
        <f>IF(_xlfn.XLOOKUP($E35,'[1]Import Eletra'!$B:$B,'[1]Import Eletra'!$AN:$AN,,0,1)=0,"",_xlfn.XLOOKUP($E35,'[1]Import Eletra'!$B:$B,'[1]Import Eletra'!$AN:$AN,,0,1))</f>
        <v>46167</v>
      </c>
      <c r="S35" s="326">
        <f>IF(_xlfn.XLOOKUP($E35,'[1]Import Eletra'!$B:$B,'[1]Import Eletra'!$AO:$AO,,0,1)=0,"",_xlfn.XLOOKUP($E35,'[1]Import Eletra'!$B:$B,'[1]Import Eletra'!$AO:$AO,,0,1))</f>
        <v>46167</v>
      </c>
      <c r="T35" s="326">
        <f>IF(_xlfn.XLOOKUP($E35,'[1]Import Eletra'!$B:$B,'[1]Import Eletra'!$AP:$AP,,0,1)=0,"",_xlfn.XLOOKUP($E35,'[1]Import Eletra'!$B:$B,'[1]Import Eletra'!$AP:$AP,,0,1))</f>
        <v>46167</v>
      </c>
      <c r="U35" s="326">
        <f>IF(_xlfn.XLOOKUP($E35,'[1]Import Eletra'!$B:$B,'[1]Import Eletra'!$AQ:$AQ,,0,1)=0,"",_xlfn.XLOOKUP($E35,'[1]Import Eletra'!$B:$B,'[1]Import Eletra'!$AQ:$AQ,,0,1))</f>
        <v>46167</v>
      </c>
      <c r="V35" s="339">
        <f>IF(_xlfn.XLOOKUP($E35,'[1]Import Eletra'!$B:$B,'[1]Import Eletra'!$AR:$AR,,0,1)=0,"",_xlfn.XLOOKUP($E35,'[1]Import Eletra'!$B:$B,'[1]Import Eletra'!$AR:$AR,,0,1))</f>
        <v>46167</v>
      </c>
      <c r="W35" s="335">
        <f>AB35-$AB$5</f>
        <v>46165</v>
      </c>
      <c r="X35" s="332">
        <f>IF(_xlfn.XLOOKUP($E35,'[1]Import Eletra'!$B:$B,'[1]Import Eletra'!$AS:$AS,,0,1)=0,"",_xlfn.XLOOKUP($E35,'[1]Import Eletra'!$B:$B,'[1]Import Eletra'!$AS:$AS,,0,1))</f>
        <v>46168</v>
      </c>
      <c r="Y35" s="113">
        <f>$W$4</f>
        <v>0</v>
      </c>
      <c r="Z35" s="113">
        <f ca="1">IF(X35="",TODAY()-W35,X35-W35)</f>
        <v>3</v>
      </c>
      <c r="AA35" s="184">
        <f ca="1">Z35-Y35</f>
        <v>3</v>
      </c>
      <c r="AB35" s="348">
        <f>AG35-$AB$5</f>
        <v>46166</v>
      </c>
      <c r="AC35" s="332">
        <f>IF(_xlfn.XLOOKUP($E35,'[1]Import Eletra'!$B:$B,'[1]Import Eletra'!$AD:$AD,,0,1)=0,"",_xlfn.XLOOKUP($E35,'[1]Import Eletra'!$B:$B,'[1]Import Eletra'!$AD:$AD,,0,1))</f>
        <v>46168</v>
      </c>
      <c r="AD35" s="113">
        <f>$AB$4</f>
        <v>0</v>
      </c>
      <c r="AE35" s="113">
        <f ca="1">IF(AC35="",TODAY()-AB35,AC35-AB35)</f>
        <v>2</v>
      </c>
      <c r="AF35" s="184">
        <f ca="1">AE35-AD35</f>
        <v>2</v>
      </c>
      <c r="AG35" s="355">
        <f>AL35-$AL$5</f>
        <v>46167</v>
      </c>
      <c r="AH35" s="332">
        <f>IF(_xlfn.XLOOKUP($E35,'[1]Import Eletra'!$B:$B,'[1]Import Eletra'!$AE:$AE,,0,1)=0,"",_xlfn.XLOOKUP($E35,'[1]Import Eletra'!$B:$B,'[1]Import Eletra'!$AE:$AE,,0,1))</f>
        <v>46168</v>
      </c>
      <c r="AI35" s="113">
        <f>$AG$4</f>
        <v>0</v>
      </c>
      <c r="AJ35" s="113">
        <f ca="1">IF(AH35="",TODAY()-AG35,AH35-AG35)</f>
        <v>1</v>
      </c>
      <c r="AK35" s="184">
        <f ca="1">AJ35-AI35</f>
        <v>1</v>
      </c>
      <c r="AL35" s="355">
        <f>AQ35-$AQ$5</f>
        <v>46167</v>
      </c>
      <c r="AM35" s="332">
        <f>IF(_xlfn.XLOOKUP($E35,'[1]Import Eletra'!$B:$B,'[1]Import Eletra'!$AT:$AT,,0,1)=0,"",_xlfn.XLOOKUP($E35,'[1]Import Eletra'!$B:$B,'[1]Import Eletra'!$AT:$AT,,0,1))</f>
        <v>46168</v>
      </c>
      <c r="AN35" s="113">
        <f>$AL$4</f>
        <v>0</v>
      </c>
      <c r="AO35" s="113">
        <f ca="1">IF(AM35="",TODAY()-AL35,AM35-AL35)</f>
        <v>1</v>
      </c>
      <c r="AP35" s="184">
        <f ca="1">AO35-AN35</f>
        <v>1</v>
      </c>
      <c r="AQ35" s="357">
        <f>AV35-$AV$5</f>
        <v>46168</v>
      </c>
      <c r="AR35" s="332">
        <f>IF(_xlfn.XLOOKUP($E35,'[1]Import Eletra'!$B:$B,'[1]Import Eletra'!$AU:$AU,,0,1)=0,"",_xlfn.XLOOKUP($E35,'[1]Import Eletra'!$B:$B,'[1]Import Eletra'!$AU:$AU,,0,1))</f>
        <v>46168</v>
      </c>
      <c r="AS35" s="113">
        <f>$AQ$4</f>
        <v>1</v>
      </c>
      <c r="AT35" s="113">
        <f ca="1">IF(AR35="",TODAY()-AQ35,AR35-AQ35)</f>
        <v>0</v>
      </c>
      <c r="AU35" s="184">
        <f ca="1">AT35-AS35</f>
        <v>-1</v>
      </c>
      <c r="AV35" s="355">
        <f>BA35-$BA$5</f>
        <v>46168</v>
      </c>
      <c r="AW35" s="332" t="str">
        <f>IF(_xlfn.XLOOKUP($E35,'[1]Import Eletra'!$B:$B,'[1]Import Eletra'!$AV:$AV,,0,1)=0,"",_xlfn.XLOOKUP($E35,'[1]Import Eletra'!$B:$B,'[1]Import Eletra'!$AV:$AV,,0,1))</f>
        <v/>
      </c>
      <c r="AX35" s="113">
        <f>$AV$4</f>
        <v>0</v>
      </c>
      <c r="AY35" s="113">
        <f ca="1">IF(AW35="",TODAY()-AV35,AW35-AV35)</f>
        <v>43</v>
      </c>
      <c r="AZ35" s="184">
        <f ca="1">AY35-AX35</f>
        <v>43</v>
      </c>
      <c r="BA35" s="357">
        <f>BF35-$BF$5</f>
        <v>46168</v>
      </c>
      <c r="BB35" s="332" t="str">
        <f>IF(_xlfn.XLOOKUP($E35,'[1]Import Eletra'!$B:$B,'[1]Import Eletra'!$AW:$AW,,0,1)=0,"",_xlfn.XLOOKUP($E35,'[1]Import Eletra'!$B:$B,'[1]Import Eletra'!$AW:$AW,,0,1))</f>
        <v/>
      </c>
      <c r="BC35" s="113">
        <f>$BA$4</f>
        <v>0</v>
      </c>
      <c r="BD35" s="113">
        <f ca="1">IF(BB35="",TODAY()-BA35,BB35-BA35)</f>
        <v>43</v>
      </c>
      <c r="BE35" s="184">
        <f ca="1">BD35-BC35</f>
        <v>43</v>
      </c>
      <c r="BF35" s="335">
        <f>BK35-$BK$5</f>
        <v>46168</v>
      </c>
      <c r="BG35" s="332" t="str">
        <f>IF(_xlfn.XLOOKUP($E35,'[1]Import Eletra'!$B:$B,'[1]Import Eletra'!$AX:$AX,,0,1)=0,"",_xlfn.XLOOKUP($E35,'[1]Import Eletra'!$B:$B,'[1]Import Eletra'!$AX:$AX,,0,1))</f>
        <v/>
      </c>
      <c r="BH35" s="113">
        <f>$BF$4</f>
        <v>0</v>
      </c>
      <c r="BI35" s="113">
        <f ca="1">IF(BG35="",TODAY()-BF35,BG35-BF35)</f>
        <v>43</v>
      </c>
      <c r="BJ35" s="184">
        <f ca="1">BI35-BH35</f>
        <v>43</v>
      </c>
      <c r="BK35" s="362">
        <f>BP35-$BP$5</f>
        <v>46168</v>
      </c>
      <c r="BL35" s="332" t="str">
        <f>IF(_xlfn.XLOOKUP($E35,'[1]Import Eletra'!$B:$B,'[1]Import Eletra'!$AY:$AY,,0,1)=0,"",_xlfn.XLOOKUP($E35,'[1]Import Eletra'!$B:$B,'[1]Import Eletra'!$AY:$AY,,0,1))</f>
        <v/>
      </c>
      <c r="BM35" s="113">
        <f>$BK$4</f>
        <v>0</v>
      </c>
      <c r="BN35" s="113">
        <f ca="1">IF(BL35="",TODAY()-BK35,BL35-BK35)</f>
        <v>43</v>
      </c>
      <c r="BO35" s="184">
        <f ca="1">BN35-BM35</f>
        <v>43</v>
      </c>
      <c r="BP35" s="335">
        <f>BU35-$BU$5</f>
        <v>46168</v>
      </c>
      <c r="BQ35" s="332" t="str">
        <f>IF(_xlfn.XLOOKUP($E35,'[1]Import Eletra'!$B:$B,'[1]Import Eletra'!$AZ:$AZ,,0,1)=0,"",_xlfn.XLOOKUP($E35,'[1]Import Eletra'!$B:$B,'[1]Import Eletra'!$AZ:$AZ,,0,1))</f>
        <v/>
      </c>
      <c r="BR35" s="113">
        <f>$BP$4</f>
        <v>0</v>
      </c>
      <c r="BS35" s="113">
        <f ca="1">IF(BQ35="",TODAY()-BP35,BQ35-BP35)</f>
        <v>43</v>
      </c>
      <c r="BT35" s="184">
        <f ca="1">BS35-BR35</f>
        <v>43</v>
      </c>
      <c r="BU35" s="362">
        <f>BZ35-$BZ$4</f>
        <v>46170</v>
      </c>
      <c r="BV35" s="332">
        <f>IF(_xlfn.XLOOKUP($E35,'[1]Import Eletra'!$B:$B,'[1]Import Eletra'!$BA:$BA,,0,1)=0,"",_xlfn.XLOOKUP($E35,'[1]Import Eletra'!$B:$B,'[1]Import Eletra'!$BA:$BA,,0,1))</f>
        <v>46171</v>
      </c>
      <c r="BW35" s="113">
        <f>$BU$4</f>
        <v>2</v>
      </c>
      <c r="BX35" s="113">
        <f ca="1">IF(BV35="",TODAY()-BU35,BV35-BU35)</f>
        <v>1</v>
      </c>
      <c r="BY35" s="184">
        <f ca="1">BX35-BW35</f>
        <v>-1</v>
      </c>
      <c r="BZ35" s="335">
        <f>CE35-$CE$5</f>
        <v>46170</v>
      </c>
      <c r="CA35" s="332">
        <f>IF(_xlfn.XLOOKUP($E35,'[1]Import Eletra'!$B:$B,'[1]Import Eletra'!$BB:$BB,,0,1)=0,"",_xlfn.XLOOKUP($E35,'[1]Import Eletra'!$B:$B,'[1]Import Eletra'!$BB:$BB,,0,1))</f>
        <v>46171</v>
      </c>
      <c r="CB35" s="113">
        <f>$BZ$4</f>
        <v>0</v>
      </c>
      <c r="CC35" s="113">
        <f ca="1">IF(CA35="",TODAY()-BZ35,CA35-BZ35)</f>
        <v>1</v>
      </c>
      <c r="CD35" s="184">
        <f ca="1">CC35-CB35</f>
        <v>1</v>
      </c>
      <c r="CE35" s="362">
        <f>CJ35-$CJ$4</f>
        <v>46170</v>
      </c>
      <c r="CF35" s="332">
        <f>IF(_xlfn.XLOOKUP($E35,'[1]Import Eletra'!$B:$B,'[1]Import Eletra'!$BC:$BC,,0,1)=0,"",_xlfn.XLOOKUP($E35,'[1]Import Eletra'!$B:$B,'[1]Import Eletra'!$BC:$BC,,0,1))</f>
        <v>46171</v>
      </c>
      <c r="CG35" s="113">
        <f>$CE$4</f>
        <v>0</v>
      </c>
      <c r="CH35" s="113">
        <f ca="1">IF(CF35="",TODAY()-CE35,CF35-CE35)</f>
        <v>1</v>
      </c>
      <c r="CI35" s="184">
        <f ca="1">CH35-CG35</f>
        <v>1</v>
      </c>
      <c r="CJ35" s="335">
        <f>CO35-$CO$4</f>
        <v>46170</v>
      </c>
      <c r="CK35" s="332">
        <f>IF(_xlfn.XLOOKUP($E35,'[1]Import Eletra'!$B:$B,'[1]Import Eletra'!$BD:$BD,,0,1)=0,"",_xlfn.XLOOKUP($E35,'[1]Import Eletra'!$B:$B,'[1]Import Eletra'!$BD:$BD,,0,1))</f>
        <v>46168</v>
      </c>
      <c r="CL35" s="113"/>
      <c r="CM35" s="113">
        <f ca="1">IF(CK35="",TODAY()-CJ35,CK35-CJ35)</f>
        <v>-2</v>
      </c>
      <c r="CN35" s="184">
        <f ca="1">CM35-CL35</f>
        <v>-2</v>
      </c>
      <c r="CO35" s="362">
        <f>CT35-$CT$4</f>
        <v>46170</v>
      </c>
      <c r="CP35" s="332">
        <f>IF(_xlfn.XLOOKUP($E35,'[1]Import Eletra'!$B:$B,'[1]Import Eletra'!$BE:$BE,,0,1)=0,"",_xlfn.XLOOKUP($E35,'[1]Import Eletra'!$B:$B,'[1]Import Eletra'!$BE:$BE,,0,1))</f>
        <v>46168</v>
      </c>
      <c r="CQ35" s="113">
        <f>$CO$4</f>
        <v>0</v>
      </c>
      <c r="CR35" s="113">
        <f ca="1">IF(CP35="",TODAY()-CO35,CP35-CO35)</f>
        <v>-2</v>
      </c>
      <c r="CS35" s="184">
        <f ca="1">CR35-CQ35</f>
        <v>-2</v>
      </c>
      <c r="CT35" s="335">
        <f>CY35-$CY$4</f>
        <v>46170</v>
      </c>
      <c r="CU35" s="332">
        <f>IF(_xlfn.XLOOKUP($E35,'[1]Import Eletra'!$B:$B,'[1]Import Eletra'!$BF:$BF,,0,1)=0,"",_xlfn.XLOOKUP($E35,'[1]Import Eletra'!$B:$B,'[1]Import Eletra'!$BF:$BF,,0,1))</f>
        <v>46168</v>
      </c>
      <c r="CV35" s="113">
        <f>$CT$4</f>
        <v>0</v>
      </c>
      <c r="CW35" s="113">
        <f ca="1">IF(CU35="",TODAY()-CT35,CU35-CT35)</f>
        <v>-2</v>
      </c>
      <c r="CX35" s="184">
        <f ca="1">CW35-CV35</f>
        <v>-2</v>
      </c>
      <c r="CY35" s="110">
        <f>DD35-$DD$4</f>
        <v>46170</v>
      </c>
      <c r="CZ35" s="247">
        <f>IF(_xlfn.XLOOKUP($E35,'[1]Import Eletra'!$B:$B,'[1]Import Eletra'!$BF:$BF,,0,1)=0,"",_xlfn.XLOOKUP($E35,'[1]Import Eletra'!$B:$B,'[1]Import Eletra'!$BF:$BF,,0,1))</f>
        <v>46168</v>
      </c>
      <c r="DA35" s="210">
        <f>$CY$4</f>
        <v>0</v>
      </c>
      <c r="DB35" s="113">
        <f ca="1">IF(CZ35="",TODAY()-CY35,CZ35-CY35)</f>
        <v>-2</v>
      </c>
      <c r="DC35" s="184">
        <f ca="1">DB35-DA35</f>
        <v>-2</v>
      </c>
      <c r="DD35" s="110">
        <f>DI35-$DI$4</f>
        <v>46172</v>
      </c>
      <c r="DE35" s="247">
        <f>IF(_xlfn.XLOOKUP($E35,'[1]Import Eletra'!$B:$B,'[1]Import Eletra'!$BG:$BG,,0,1)=0,"",_xlfn.XLOOKUP($E35,'[1]Import Eletra'!$B:$B,'[1]Import Eletra'!$BG:$BG,0,1))</f>
        <v>46171</v>
      </c>
      <c r="DF35" s="113">
        <f>$DD$4</f>
        <v>2</v>
      </c>
      <c r="DG35" s="113">
        <f ca="1">IF(DE35="",TODAY()-DD35,DE35-DD35)</f>
        <v>-1</v>
      </c>
      <c r="DH35" s="184">
        <f ca="1">DG35-DF35</f>
        <v>-3</v>
      </c>
      <c r="DI35" s="110">
        <f>DO35-$DN$4</f>
        <v>46173</v>
      </c>
      <c r="DJ35" s="247">
        <f>IF(_xlfn.XLOOKUP($E35,'[1]Import Eletra'!$B:$B,'[1]Import Eletra'!$BH:$BH,,0,1)=0,"",_xlfn.XLOOKUP($E35,'[1]Import Eletra'!$B:$B,'[1]Import Eletra'!$BH:$BH,0,1))</f>
        <v>46171</v>
      </c>
      <c r="DK35" s="113">
        <f>$DI$4</f>
        <v>1</v>
      </c>
      <c r="DL35" s="113">
        <f ca="1">IF(DJ35="",TODAY()-DI35,DJ35-DI35)</f>
        <v>-2</v>
      </c>
      <c r="DM35" s="184">
        <f ca="1">DL35-DK35</f>
        <v>-3</v>
      </c>
      <c r="DN35" s="64"/>
      <c r="DO35" s="202">
        <f t="shared" si="0"/>
        <v>46174</v>
      </c>
      <c r="DP35" s="165">
        <f>IF(_xlfn.XLOOKUP($E35,'[1]Import Eletra'!$B:$B,'[1]Import Eletra'!$O:$O,,0,1)=0,"",_xlfn.XLOOKUP($E35,'[1]Import Eletra'!$B:$B,'[1]Import Eletra'!$O:$O,0,1))</f>
        <v>46171</v>
      </c>
      <c r="DQ35" s="113">
        <f>$DN$4</f>
        <v>1</v>
      </c>
      <c r="DR35" s="113">
        <f ca="1">IF(DP35="",TODAY()-DO35,DP35-DO35)</f>
        <v>-3</v>
      </c>
      <c r="DS35" s="184">
        <f ca="1">DR35-DQ35</f>
        <v>-4</v>
      </c>
      <c r="DT35" s="143">
        <v>10</v>
      </c>
      <c r="DU35" s="140">
        <f ca="1">IF(DP35="",TODAY()-N35,DP35-N35)</f>
        <v>7</v>
      </c>
      <c r="DV35" s="184">
        <f ca="1">DU35-DT35</f>
        <v>-3</v>
      </c>
      <c r="DW35" s="147"/>
      <c r="DX35" s="185" t="s">
        <v>245</v>
      </c>
      <c r="DY35" s="108" t="str">
        <f>IF(_xlfn.XLOOKUP($E35,'[1]Import Eletra'!$B:$B,'[1]Import Eletra'!$DW:$DW,,0,1)=0,"",_xlfn.XLOOKUP($E35,'[1]Import Eletra'!$B:$B,'[1]Import Eletra'!$DW:$DW,0,1))</f>
        <v>SEFAZ HOMOLOGATION - NF/GLME</v>
      </c>
      <c r="EB35" s="287"/>
      <c r="ED35" s="409" t="str">
        <f>IF(_xlfn.XLOOKUP($E35,'[1]Import Eletra'!$B:$B,'[1]Import Eletra'!$BQ:$BQ,,0,1)=0,"",_xlfn.XLOOKUP($E35,'[1]Import Eletra'!$B:$B,'[1]Import Eletra'!$BQ:$BQ,0,1))</f>
        <v/>
      </c>
      <c r="EE35" s="410" t="str">
        <f>IF(_xlfn.XLOOKUP($E35,'[1]Import Eletra'!$B:$B,'[1]Import Eletra'!$BR:$BR,,0,1)=0,"",_xlfn.XLOOKUP($E35,'[1]Import Eletra'!$B:$B,'[1]Import Eletra'!$BR:$BR,0,1))</f>
        <v/>
      </c>
      <c r="EF35" s="409" t="str">
        <f>IF(_xlfn.XLOOKUP($E35,'[1]Import Eletra'!$B:$B,'[1]Import Eletra'!$BS:$BS,,0,1)=0,"",_xlfn.XLOOKUP($E35,'[1]Import Eletra'!$B:$B,'[1]Import Eletra'!$BS:$BS,0,1))</f>
        <v/>
      </c>
      <c r="EG35" s="410" t="str">
        <f>IF(_xlfn.XLOOKUP($E35,'[1]Import Eletra'!$B:$B,'[1]Import Eletra'!$BT:$BT,,0,1)=0,"",_xlfn.XLOOKUP($E35,'[1]Import Eletra'!$B:$B,'[1]Import Eletra'!$BT:$BT,0,1))</f>
        <v/>
      </c>
      <c r="EH35" s="409" t="str">
        <f>IF(_xlfn.XLOOKUP($E35,'[1]Import Eletra'!$B:$B,'[1]Import Eletra'!$BU:$BU,,0,1)=0,"",_xlfn.XLOOKUP($E35,'[1]Import Eletra'!$B:$B,'[1]Import Eletra'!$BU:$BU,0,1))</f>
        <v/>
      </c>
      <c r="EI35" s="410" t="str">
        <f>IF(_xlfn.XLOOKUP($E35,'[1]Import Eletra'!$B:$B,'[1]Import Eletra'!$BV:$BV,,0,1)=0,"",_xlfn.XLOOKUP($E35,'[1]Import Eletra'!$B:$B,'[1]Import Eletra'!$BV:$BV,0,1))</f>
        <v/>
      </c>
      <c r="EJ35" s="410" t="str">
        <f>IF(_xlfn.XLOOKUP($E35,'[1]Import Eletra'!$B:$B,'[1]Import Eletra'!$CI:$CI,,0,1)=0,"",_xlfn.XLOOKUP($E35,'[1]Import Eletra'!$B:$B,'[1]Import Eletra'!$CI:$CI,0,1))</f>
        <v/>
      </c>
      <c r="EK35" s="410" t="str">
        <f>IF(_xlfn.XLOOKUP($E35,'[1]Import Eletra'!$B:$B,'[1]Import Eletra'!$CD:$CD,,0,1)=0,"",_xlfn.XLOOKUP($E35,'[1]Import Eletra'!$B:$B,'[1]Import Eletra'!$CD:$CD,0,1))</f>
        <v/>
      </c>
      <c r="EL35" s="410" t="str">
        <f>IF(_xlfn.XLOOKUP($E35,'[1]Import Eletra'!$B:$B,'[1]Import Eletra'!$CE:$CE,,0,1)=0,"",_xlfn.XLOOKUP($E35,'[1]Import Eletra'!$B:$B,'[1]Import Eletra'!$CE:$CE,0,1))</f>
        <v/>
      </c>
      <c r="EM35" s="411" t="str">
        <f>IF(_xlfn.XLOOKUP($E35,'[1]Import Eletra'!$B:$B,'[1]Import Eletra'!$E:$E,,0,1)=0,"",_xlfn.XLOOKUP($E35,'[1]Import Eletra'!$B:$B,'[1]Import Eletra'!$E:$E,0,1))</f>
        <v>CATARINA</v>
      </c>
      <c r="EN35" s="408" t="str">
        <f>IF(_xlfn.XLOOKUP($E35,'[1]Import Eletra'!$B:$B,'[1]Import Eletra'!$R:$R,,0,1)=0,"",_xlfn.XLOOKUP($E35,'[1]Import Eletra'!$B:$B,'[1]Import Eletra'!$R:$R,0,1))</f>
        <v>PWBR260087-50</v>
      </c>
      <c r="EO35" s="408" t="str">
        <f>IF(_xlfn.XLOOKUP($E35,'[1]Import Eletra'!$B:$B,'[1]Import Eletra'!$P:$P,,0,1)=0,"",_xlfn.XLOOKUP($E35,'[1]Import Eletra'!$B:$B,'[1]Import Eletra'!$P:$P,0,1))</f>
        <v>DTW260516FOR</v>
      </c>
      <c r="EP35" s="408" t="str">
        <f>IF(_xlfn.XLOOKUP($E35,'[1]Import Eletra'!$B:$B,'[1]Import Eletra'!$T:$T,,0,1)=0,"",_xlfn.XLOOKUP($E35,'[1]Import Eletra'!$B:$B,'[1]Import Eletra'!$T:$T,0,1))</f>
        <v/>
      </c>
    </row>
    <row r="36" spans="2:146" ht="30" customHeight="1">
      <c r="B36" s="371" t="s">
        <v>336</v>
      </c>
      <c r="C36" s="369">
        <v>4</v>
      </c>
      <c r="D36" s="104" t="str">
        <f>IF(_xlfn.XLOOKUP($E36,'[1]Import Eletra'!$B:$B,'[1]Import Eletra'!$A:$A,,0,1)=0,"",_xlfn.XLOOKUP($E36,'[1]Import Eletra'!$B:$B,'[1]Import Eletra'!$A:$A,,0,1))</f>
        <v>MAY_2026</v>
      </c>
      <c r="E36" s="212" t="s">
        <v>282</v>
      </c>
      <c r="F36" s="106">
        <f>IF(_xlfn.XLOOKUP($E36,'[1]Import Eletra'!$B:$B,'[1]Import Eletra'!$U:$U,,0,1)=0,"",_xlfn.XLOOKUP($E36,'[1]Import Eletra'!$B:$B,'[1]Import Eletra'!$U:$U,,0,1))</f>
        <v>2</v>
      </c>
      <c r="G36" s="301" t="s">
        <v>244</v>
      </c>
      <c r="H36" s="2" t="str">
        <f>_xlfn.XLOOKUP($E36,'[1]Import Eletra'!$B:$B,'[1]Import Eletra'!$F:$F,,0,1)</f>
        <v>DELIVERED</v>
      </c>
      <c r="I36" s="108" t="str">
        <f>_xlfn.XLOOKUP($E36,'[1]Import Eletra'!$B:$B,'[1]Import Eletra'!$G:$G,,0,1)</f>
        <v>SEA</v>
      </c>
      <c r="J36" s="326">
        <v>46085</v>
      </c>
      <c r="K36" s="109">
        <v>30</v>
      </c>
      <c r="L36" s="109">
        <f>M36-J36</f>
        <v>37</v>
      </c>
      <c r="M36" s="326">
        <f>IF(_xlfn.XLOOKUP($E36,'[1]Import Eletra'!$B:$B,'[1]Import Eletra'!$J:$J,,0,1)=0,"",_xlfn.XLOOKUP($E36,'[1]Import Eletra'!$B:$B,'[1]Import Eletra'!$J:$J,,0,1))</f>
        <v>46122</v>
      </c>
      <c r="N36" s="332">
        <f>IF(_xlfn.XLOOKUP($E36,'[1]Import Eletra'!$B:$B,'[1]Import Eletra'!$L:$L,,0,1)=0,"",_xlfn.XLOOKUP($E36,'[1]Import Eletra'!$B:$B,'[1]Import Eletra'!$L:$L,,0,1))</f>
        <v>46168</v>
      </c>
      <c r="O36" s="335">
        <f>IF(_xlfn.XLOOKUP($E36,'[1]Import Eletra'!$B:$B,'[1]Import Eletra'!$AK:$AK,,0,1)=0,"",_xlfn.XLOOKUP($E36,'[1]Import Eletra'!$B:$B,'[1]Import Eletra'!$AK:$AK,,0,1))</f>
        <v>46140</v>
      </c>
      <c r="P36" s="326">
        <f>IF(_xlfn.XLOOKUP($E36,'[1]Import Eletra'!$B:$B,'[1]Import Eletra'!$AL:$AL,,0,1)=0,"",_xlfn.XLOOKUP($E36,'[1]Import Eletra'!$B:$B,'[1]Import Eletra'!$AL:$AL,,0,1))</f>
        <v>46140</v>
      </c>
      <c r="Q36" s="326">
        <f>IF(_xlfn.XLOOKUP($E36,'[1]Import Eletra'!$B:$B,'[1]Import Eletra'!$AM:$AM,,0,1)=0,"",_xlfn.XLOOKUP($E36,'[1]Import Eletra'!$B:$B,'[1]Import Eletra'!$AM:$AM,,0,1))</f>
        <v>46148</v>
      </c>
      <c r="R36" s="326">
        <f>IF(_xlfn.XLOOKUP($E36,'[1]Import Eletra'!$B:$B,'[1]Import Eletra'!$AN:$AN,,0,1)=0,"",_xlfn.XLOOKUP($E36,'[1]Import Eletra'!$B:$B,'[1]Import Eletra'!$AN:$AN,,0,1))</f>
        <v>46148</v>
      </c>
      <c r="S36" s="326">
        <f>IF(_xlfn.XLOOKUP($E36,'[1]Import Eletra'!$B:$B,'[1]Import Eletra'!$AO:$AO,,0,1)=0,"",_xlfn.XLOOKUP($E36,'[1]Import Eletra'!$B:$B,'[1]Import Eletra'!$AO:$AO,,0,1))</f>
        <v>46148</v>
      </c>
      <c r="T36" s="326">
        <f>IF(_xlfn.XLOOKUP($E36,'[1]Import Eletra'!$B:$B,'[1]Import Eletra'!$AP:$AP,,0,1)=0,"",_xlfn.XLOOKUP($E36,'[1]Import Eletra'!$B:$B,'[1]Import Eletra'!$AP:$AP,,0,1))</f>
        <v>46150</v>
      </c>
      <c r="U36" s="326">
        <f>IF(_xlfn.XLOOKUP($E36,'[1]Import Eletra'!$B:$B,'[1]Import Eletra'!$AQ:$AQ,,0,1)=0,"",_xlfn.XLOOKUP($E36,'[1]Import Eletra'!$B:$B,'[1]Import Eletra'!$AQ:$AQ,,0,1))</f>
        <v>46150</v>
      </c>
      <c r="V36" s="339">
        <f>IF(_xlfn.XLOOKUP($E36,'[1]Import Eletra'!$B:$B,'[1]Import Eletra'!$AR:$AR,,0,1)=0,"",_xlfn.XLOOKUP($E36,'[1]Import Eletra'!$B:$B,'[1]Import Eletra'!$AR:$AR,,0,1))</f>
        <v>46170</v>
      </c>
      <c r="W36" s="335">
        <f>AB36-$AB$5</f>
        <v>46169</v>
      </c>
      <c r="X36" s="332">
        <f>IF(_xlfn.XLOOKUP($E36,'[1]Import Eletra'!$B:$B,'[1]Import Eletra'!$AS:$AS,,0,1)=0,"",_xlfn.XLOOKUP($E36,'[1]Import Eletra'!$B:$B,'[1]Import Eletra'!$AS:$AS,,0,1))</f>
        <v>46174</v>
      </c>
      <c r="Y36" s="113">
        <f>$W$4</f>
        <v>0</v>
      </c>
      <c r="Z36" s="113">
        <f ca="1">IF(X36="",TODAY()-W36,X36-W36)</f>
        <v>5</v>
      </c>
      <c r="AA36" s="184">
        <f ca="1">Z36-Y36</f>
        <v>5</v>
      </c>
      <c r="AB36" s="348">
        <f>AG36-$AB$5</f>
        <v>46170</v>
      </c>
      <c r="AC36" s="332">
        <f>IF(_xlfn.XLOOKUP($E36,'[1]Import Eletra'!$B:$B,'[1]Import Eletra'!$AD:$AD,,0,1)=0,"",_xlfn.XLOOKUP($E36,'[1]Import Eletra'!$B:$B,'[1]Import Eletra'!$AD:$AD,,0,1))</f>
        <v>46174</v>
      </c>
      <c r="AD36" s="113">
        <f>$AB$4</f>
        <v>0</v>
      </c>
      <c r="AE36" s="113">
        <f ca="1">IF(AC36="",TODAY()-AB36,AC36-AB36)</f>
        <v>4</v>
      </c>
      <c r="AF36" s="184">
        <f ca="1">AE36-AD36</f>
        <v>4</v>
      </c>
      <c r="AG36" s="355">
        <f>AL36-$AL$5</f>
        <v>46171</v>
      </c>
      <c r="AH36" s="332">
        <f>IF(_xlfn.XLOOKUP($E36,'[1]Import Eletra'!$B:$B,'[1]Import Eletra'!$AE:$AE,,0,1)=0,"",_xlfn.XLOOKUP($E36,'[1]Import Eletra'!$B:$B,'[1]Import Eletra'!$AE:$AE,,0,1))</f>
        <v>46174</v>
      </c>
      <c r="AI36" s="113">
        <f>$AG$4</f>
        <v>0</v>
      </c>
      <c r="AJ36" s="113">
        <f ca="1">IF(AH36="",TODAY()-AG36,AH36-AG36)</f>
        <v>3</v>
      </c>
      <c r="AK36" s="184">
        <f ca="1">AJ36-AI36</f>
        <v>3</v>
      </c>
      <c r="AL36" s="355">
        <f>AQ36-$AQ$5</f>
        <v>46171</v>
      </c>
      <c r="AM36" s="332">
        <f>IF(_xlfn.XLOOKUP($E36,'[1]Import Eletra'!$B:$B,'[1]Import Eletra'!$AT:$AT,,0,1)=0,"",_xlfn.XLOOKUP($E36,'[1]Import Eletra'!$B:$B,'[1]Import Eletra'!$AT:$AT,,0,1))</f>
        <v>46174</v>
      </c>
      <c r="AN36" s="113">
        <f>$AL$4</f>
        <v>0</v>
      </c>
      <c r="AO36" s="113">
        <f ca="1">IF(AM36="",TODAY()-AL36,AM36-AL36)</f>
        <v>3</v>
      </c>
      <c r="AP36" s="184">
        <f ca="1">AO36-AN36</f>
        <v>3</v>
      </c>
      <c r="AQ36" s="357">
        <f>AV36-$AV$5</f>
        <v>46172</v>
      </c>
      <c r="AR36" s="332">
        <f>IF(_xlfn.XLOOKUP($E36,'[1]Import Eletra'!$B:$B,'[1]Import Eletra'!$AU:$AU,,0,1)=0,"",_xlfn.XLOOKUP($E36,'[1]Import Eletra'!$B:$B,'[1]Import Eletra'!$AU:$AU,,0,1))</f>
        <v>46175</v>
      </c>
      <c r="AS36" s="113">
        <f>$AQ$4</f>
        <v>1</v>
      </c>
      <c r="AT36" s="113">
        <f ca="1">IF(AR36="",TODAY()-AQ36,AR36-AQ36)</f>
        <v>3</v>
      </c>
      <c r="AU36" s="184">
        <f ca="1">AT36-AS36</f>
        <v>2</v>
      </c>
      <c r="AV36" s="355">
        <f>BA36-$BA$5</f>
        <v>46172</v>
      </c>
      <c r="AW36" s="332" t="str">
        <f>IF(_xlfn.XLOOKUP($E36,'[1]Import Eletra'!$B:$B,'[1]Import Eletra'!$AV:$AV,,0,1)=0,"",_xlfn.XLOOKUP($E36,'[1]Import Eletra'!$B:$B,'[1]Import Eletra'!$AV:$AV,,0,1))</f>
        <v/>
      </c>
      <c r="AX36" s="113">
        <f>$AV$4</f>
        <v>0</v>
      </c>
      <c r="AY36" s="113">
        <f ca="1">IF(AW36="",TODAY()-AV36,AW36-AV36)</f>
        <v>39</v>
      </c>
      <c r="AZ36" s="184">
        <f ca="1">AY36-AX36</f>
        <v>39</v>
      </c>
      <c r="BA36" s="357">
        <f>BF36-$BF$5</f>
        <v>46172</v>
      </c>
      <c r="BB36" s="332" t="str">
        <f>IF(_xlfn.XLOOKUP($E36,'[1]Import Eletra'!$B:$B,'[1]Import Eletra'!$AW:$AW,,0,1)=0,"",_xlfn.XLOOKUP($E36,'[1]Import Eletra'!$B:$B,'[1]Import Eletra'!$AW:$AW,,0,1))</f>
        <v/>
      </c>
      <c r="BC36" s="113">
        <f>$BA$4</f>
        <v>0</v>
      </c>
      <c r="BD36" s="113">
        <f ca="1">IF(BB36="",TODAY()-BA36,BB36-BA36)</f>
        <v>39</v>
      </c>
      <c r="BE36" s="184">
        <f ca="1">BD36-BC36</f>
        <v>39</v>
      </c>
      <c r="BF36" s="335">
        <f>BK36-$BK$5</f>
        <v>46172</v>
      </c>
      <c r="BG36" s="332" t="str">
        <f>IF(_xlfn.XLOOKUP($E36,'[1]Import Eletra'!$B:$B,'[1]Import Eletra'!$AX:$AX,,0,1)=0,"",_xlfn.XLOOKUP($E36,'[1]Import Eletra'!$B:$B,'[1]Import Eletra'!$AX:$AX,,0,1))</f>
        <v/>
      </c>
      <c r="BH36" s="113">
        <f>$BF$4</f>
        <v>0</v>
      </c>
      <c r="BI36" s="113">
        <f ca="1">IF(BG36="",TODAY()-BF36,BG36-BF36)</f>
        <v>39</v>
      </c>
      <c r="BJ36" s="184">
        <f ca="1">BI36-BH36</f>
        <v>39</v>
      </c>
      <c r="BK36" s="362">
        <f>BP36-$BP$5</f>
        <v>46172</v>
      </c>
      <c r="BL36" s="332" t="str">
        <f>IF(_xlfn.XLOOKUP($E36,'[1]Import Eletra'!$B:$B,'[1]Import Eletra'!$AY:$AY,,0,1)=0,"",_xlfn.XLOOKUP($E36,'[1]Import Eletra'!$B:$B,'[1]Import Eletra'!$AY:$AY,,0,1))</f>
        <v/>
      </c>
      <c r="BM36" s="113">
        <f>$BK$4</f>
        <v>0</v>
      </c>
      <c r="BN36" s="113">
        <f ca="1">IF(BL36="",TODAY()-BK36,BL36-BK36)</f>
        <v>39</v>
      </c>
      <c r="BO36" s="184">
        <f ca="1">BN36-BM36</f>
        <v>39</v>
      </c>
      <c r="BP36" s="335">
        <f>BU36-$BU$5</f>
        <v>46172</v>
      </c>
      <c r="BQ36" s="332" t="str">
        <f>IF(_xlfn.XLOOKUP($E36,'[1]Import Eletra'!$B:$B,'[1]Import Eletra'!$AZ:$AZ,,0,1)=0,"",_xlfn.XLOOKUP($E36,'[1]Import Eletra'!$B:$B,'[1]Import Eletra'!$AZ:$AZ,,0,1))</f>
        <v/>
      </c>
      <c r="BR36" s="113">
        <f>$BP$4</f>
        <v>0</v>
      </c>
      <c r="BS36" s="113">
        <f ca="1">IF(BQ36="",TODAY()-BP36,BQ36-BP36)</f>
        <v>39</v>
      </c>
      <c r="BT36" s="184">
        <f ca="1">BS36-BR36</f>
        <v>39</v>
      </c>
      <c r="BU36" s="362">
        <f>BZ36-$BZ$4</f>
        <v>46174</v>
      </c>
      <c r="BV36" s="332">
        <f>IF(_xlfn.XLOOKUP($E36,'[1]Import Eletra'!$B:$B,'[1]Import Eletra'!$BA:$BA,,0,1)=0,"",_xlfn.XLOOKUP($E36,'[1]Import Eletra'!$B:$B,'[1]Import Eletra'!$BA:$BA,,0,1))</f>
        <v>46181</v>
      </c>
      <c r="BW36" s="113">
        <f>$BU$4</f>
        <v>2</v>
      </c>
      <c r="BX36" s="113">
        <f ca="1">IF(BV36="",TODAY()-BU36,BV36-BU36)</f>
        <v>7</v>
      </c>
      <c r="BY36" s="184">
        <f ca="1">BX36-BW36</f>
        <v>5</v>
      </c>
      <c r="BZ36" s="335">
        <f>CE36-$CE$5</f>
        <v>46174</v>
      </c>
      <c r="CA36" s="332">
        <f>IF(_xlfn.XLOOKUP($E36,'[1]Import Eletra'!$B:$B,'[1]Import Eletra'!$BB:$BB,,0,1)=0,"",_xlfn.XLOOKUP($E36,'[1]Import Eletra'!$B:$B,'[1]Import Eletra'!$BB:$BB,,0,1))</f>
        <v>46181</v>
      </c>
      <c r="CB36" s="113">
        <f>$BZ$4</f>
        <v>0</v>
      </c>
      <c r="CC36" s="113">
        <f ca="1">IF(CA36="",TODAY()-BZ36,CA36-BZ36)</f>
        <v>7</v>
      </c>
      <c r="CD36" s="184">
        <f ca="1">CC36-CB36</f>
        <v>7</v>
      </c>
      <c r="CE36" s="362">
        <f>CJ36-$CJ$4</f>
        <v>46174</v>
      </c>
      <c r="CF36" s="332">
        <f>IF(_xlfn.XLOOKUP($E36,'[1]Import Eletra'!$B:$B,'[1]Import Eletra'!$BC:$BC,,0,1)=0,"",_xlfn.XLOOKUP($E36,'[1]Import Eletra'!$B:$B,'[1]Import Eletra'!$BC:$BC,,0,1))</f>
        <v>46181</v>
      </c>
      <c r="CG36" s="113">
        <f>$CE$4</f>
        <v>0</v>
      </c>
      <c r="CH36" s="113">
        <f ca="1">IF(CF36="",TODAY()-CE36,CF36-CE36)</f>
        <v>7</v>
      </c>
      <c r="CI36" s="184">
        <f ca="1">CH36-CG36</f>
        <v>7</v>
      </c>
      <c r="CJ36" s="335">
        <f>CO36-$CO$4</f>
        <v>46174</v>
      </c>
      <c r="CK36" s="332">
        <f>IF(_xlfn.XLOOKUP($E36,'[1]Import Eletra'!$B:$B,'[1]Import Eletra'!$BD:$BD,,0,1)=0,"",_xlfn.XLOOKUP($E36,'[1]Import Eletra'!$B:$B,'[1]Import Eletra'!$BD:$BD,,0,1))</f>
        <v>46175</v>
      </c>
      <c r="CL36" s="113"/>
      <c r="CM36" s="113">
        <f ca="1">IF(CK36="",TODAY()-CJ36,CK36-CJ36)</f>
        <v>1</v>
      </c>
      <c r="CN36" s="184">
        <f ca="1">CM36-CL36</f>
        <v>1</v>
      </c>
      <c r="CO36" s="362">
        <f>CT36-$CT$4</f>
        <v>46174</v>
      </c>
      <c r="CP36" s="332">
        <f>IF(_xlfn.XLOOKUP($E36,'[1]Import Eletra'!$B:$B,'[1]Import Eletra'!$BE:$BE,,0,1)=0,"",_xlfn.XLOOKUP($E36,'[1]Import Eletra'!$B:$B,'[1]Import Eletra'!$BE:$BE,,0,1))</f>
        <v>46175</v>
      </c>
      <c r="CQ36" s="113">
        <f>$CO$4</f>
        <v>0</v>
      </c>
      <c r="CR36" s="113">
        <f ca="1">IF(CP36="",TODAY()-CO36,CP36-CO36)</f>
        <v>1</v>
      </c>
      <c r="CS36" s="184">
        <f ca="1">CR36-CQ36</f>
        <v>1</v>
      </c>
      <c r="CT36" s="335">
        <f>CY36-$CY$4</f>
        <v>46174</v>
      </c>
      <c r="CU36" s="332">
        <f>IF(_xlfn.XLOOKUP($E36,'[1]Import Eletra'!$B:$B,'[1]Import Eletra'!$BF:$BF,,0,1)=0,"",_xlfn.XLOOKUP($E36,'[1]Import Eletra'!$B:$B,'[1]Import Eletra'!$BF:$BF,,0,1))</f>
        <v>46175</v>
      </c>
      <c r="CV36" s="113">
        <f>$CT$4</f>
        <v>0</v>
      </c>
      <c r="CW36" s="113">
        <f ca="1">IF(CU36="",TODAY()-CT36,CU36-CT36)</f>
        <v>1</v>
      </c>
      <c r="CX36" s="184">
        <f ca="1">CW36-CV36</f>
        <v>1</v>
      </c>
      <c r="CY36" s="110">
        <f>DD36-$DD$4</f>
        <v>46174</v>
      </c>
      <c r="CZ36" s="247">
        <f>IF(_xlfn.XLOOKUP($E36,'[1]Import Eletra'!$B:$B,'[1]Import Eletra'!$BF:$BF,,0,1)=0,"",_xlfn.XLOOKUP($E36,'[1]Import Eletra'!$B:$B,'[1]Import Eletra'!$BF:$BF,,0,1))</f>
        <v>46175</v>
      </c>
      <c r="DA36" s="210">
        <f>$CY$4</f>
        <v>0</v>
      </c>
      <c r="DB36" s="113">
        <f ca="1">IF(CZ36="",TODAY()-CY36,CZ36-CY36)</f>
        <v>1</v>
      </c>
      <c r="DC36" s="184">
        <f ca="1">DB36-DA36</f>
        <v>1</v>
      </c>
      <c r="DD36" s="110">
        <f>DI36-$DI$4</f>
        <v>46176</v>
      </c>
      <c r="DE36" s="375">
        <f>IF(_xlfn.XLOOKUP($E36,'[1]Import Eletra'!$B:$B,'[1]Import Eletra'!$BG:$BG,,0,1)=0,"",_xlfn.XLOOKUP($E36,'[1]Import Eletra'!$B:$B,'[1]Import Eletra'!$BG:$BG,0,1))</f>
        <v>46181</v>
      </c>
      <c r="DF36" s="113">
        <f>$DD$4</f>
        <v>2</v>
      </c>
      <c r="DG36" s="113">
        <f ca="1">IF(DE36="",TODAY()-DD36,DE36-DD36)</f>
        <v>5</v>
      </c>
      <c r="DH36" s="184">
        <f ca="1">DG36-DF36</f>
        <v>3</v>
      </c>
      <c r="DI36" s="110">
        <f>DO36-$DN$4</f>
        <v>46177</v>
      </c>
      <c r="DJ36" s="247">
        <f>IF(_xlfn.XLOOKUP($E36,'[1]Import Eletra'!$B:$B,'[1]Import Eletra'!$BH:$BH,,0,1)=0,"",_xlfn.XLOOKUP($E36,'[1]Import Eletra'!$B:$B,'[1]Import Eletra'!$BH:$BH,0,1))</f>
        <v>46181</v>
      </c>
      <c r="DK36" s="112">
        <f>$DI$4</f>
        <v>1</v>
      </c>
      <c r="DL36" s="112">
        <f ca="1">IF(DJ36="",TODAY()-DI36,DJ36-DI36)</f>
        <v>4</v>
      </c>
      <c r="DM36" s="184">
        <f ca="1">DL36-DK36</f>
        <v>3</v>
      </c>
      <c r="DN36" s="64"/>
      <c r="DO36" s="202">
        <f>N36+DT36</f>
        <v>46178</v>
      </c>
      <c r="DP36" s="165">
        <f>IF(_xlfn.XLOOKUP($E36,'[1]Import Eletra'!$B:$B,'[1]Import Eletra'!$O:$O,,0,1)=0,"",_xlfn.XLOOKUP($E36,'[1]Import Eletra'!$B:$B,'[1]Import Eletra'!$O:$O,0,1))</f>
        <v>46183</v>
      </c>
      <c r="DQ36" s="112">
        <f>$DN$4</f>
        <v>1</v>
      </c>
      <c r="DR36" s="112">
        <f ca="1">IF(DP36="",TODAY()-DO36,DP36-DO36)</f>
        <v>5</v>
      </c>
      <c r="DS36" s="184">
        <f ca="1">DR36-DQ36</f>
        <v>4</v>
      </c>
      <c r="DT36" s="143">
        <v>10</v>
      </c>
      <c r="DU36" s="140">
        <f ca="1">IF(DP36="",TODAY()-N36,DP36-N36)</f>
        <v>15</v>
      </c>
      <c r="DV36" s="184">
        <f ca="1">DU36-DT36</f>
        <v>5</v>
      </c>
      <c r="DX36" s="185" t="s">
        <v>245</v>
      </c>
      <c r="DY36" s="108" t="str">
        <f>IF(_xlfn.XLOOKUP($E36,'[1]Import Eletra'!$B:$B,'[1]Import Eletra'!$DW:$DW,,0,1)=0,"",_xlfn.XLOOKUP($E36,'[1]Import Eletra'!$B:$B,'[1]Import Eletra'!$DW:$DW,0,1))</f>
        <v>ACCOUNTING/TAX MONTH-END CLOSING</v>
      </c>
      <c r="EB36" s="287" t="s">
        <v>273</v>
      </c>
      <c r="ED36" s="409">
        <f>IF(_xlfn.XLOOKUP($E36,'[1]Import Eletra'!$B:$B,'[1]Import Eletra'!$BQ:$BQ,,0,1)=0,"",_xlfn.XLOOKUP($E36,'[1]Import Eletra'!$B:$B,'[1]Import Eletra'!$BQ:$BQ,0,1))</f>
        <v>1636.58</v>
      </c>
      <c r="EE36" s="410">
        <f>IF(_xlfn.XLOOKUP($E36,'[1]Import Eletra'!$B:$B,'[1]Import Eletra'!$BR:$BR,,0,1)=0,"",_xlfn.XLOOKUP($E36,'[1]Import Eletra'!$B:$B,'[1]Import Eletra'!$BR:$BR,0,1))</f>
        <v>46182</v>
      </c>
      <c r="EF36" s="409" t="str">
        <f>IF(_xlfn.XLOOKUP($E36,'[1]Import Eletra'!$B:$B,'[1]Import Eletra'!$BS:$BS,,0,1)=0,"",_xlfn.XLOOKUP($E36,'[1]Import Eletra'!$B:$B,'[1]Import Eletra'!$BS:$BS,0,1))</f>
        <v/>
      </c>
      <c r="EG36" s="410" t="str">
        <f>IF(_xlfn.XLOOKUP($E36,'[1]Import Eletra'!$B:$B,'[1]Import Eletra'!$BT:$BT,,0,1)=0,"",_xlfn.XLOOKUP($E36,'[1]Import Eletra'!$B:$B,'[1]Import Eletra'!$BT:$BT,0,1))</f>
        <v/>
      </c>
      <c r="EH36" s="409" t="str">
        <f>IF(_xlfn.XLOOKUP($E36,'[1]Import Eletra'!$B:$B,'[1]Import Eletra'!$BU:$BU,,0,1)=0,"",_xlfn.XLOOKUP($E36,'[1]Import Eletra'!$B:$B,'[1]Import Eletra'!$BU:$BU,0,1))</f>
        <v/>
      </c>
      <c r="EI36" s="410" t="str">
        <f>IF(_xlfn.XLOOKUP($E36,'[1]Import Eletra'!$B:$B,'[1]Import Eletra'!$BV:$BV,,0,1)=0,"",_xlfn.XLOOKUP($E36,'[1]Import Eletra'!$B:$B,'[1]Import Eletra'!$BV:$BV,0,1))</f>
        <v/>
      </c>
      <c r="EJ36" s="410">
        <f>IF(_xlfn.XLOOKUP($E36,'[1]Import Eletra'!$B:$B,'[1]Import Eletra'!$CI:$CI,,0,1)=0,"",_xlfn.XLOOKUP($E36,'[1]Import Eletra'!$B:$B,'[1]Import Eletra'!$CI:$CI,0,1))</f>
        <v>46186</v>
      </c>
      <c r="EK36" s="410" t="str">
        <f>IF(_xlfn.XLOOKUP($E36,'[1]Import Eletra'!$B:$B,'[1]Import Eletra'!$CD:$CD,,0,1)=0,"",_xlfn.XLOOKUP($E36,'[1]Import Eletra'!$B:$B,'[1]Import Eletra'!$CD:$CD,0,1))</f>
        <v/>
      </c>
      <c r="EL36" s="410" t="str">
        <f>IF(_xlfn.XLOOKUP($E36,'[1]Import Eletra'!$B:$B,'[1]Import Eletra'!$CE:$CE,,0,1)=0,"",_xlfn.XLOOKUP($E36,'[1]Import Eletra'!$B:$B,'[1]Import Eletra'!$CE:$CE,0,1))</f>
        <v>NÃO</v>
      </c>
      <c r="EM36" s="411" t="str">
        <f>IF(_xlfn.XLOOKUP($E36,'[1]Import Eletra'!$B:$B,'[1]Import Eletra'!$E:$E,,0,1)=0,"",_xlfn.XLOOKUP($E36,'[1]Import Eletra'!$B:$B,'[1]Import Eletra'!$E:$E,0,1))</f>
        <v>CATARINA</v>
      </c>
      <c r="EN36" s="408" t="str">
        <f>IF(_xlfn.XLOOKUP($E36,'[1]Import Eletra'!$B:$B,'[1]Import Eletra'!$R:$R,,0,1)=0,"",_xlfn.XLOOKUP($E36,'[1]Import Eletra'!$B:$B,'[1]Import Eletra'!$R:$R,0,1))</f>
        <v>PWBR260041-10</v>
      </c>
      <c r="EO36" s="408" t="str">
        <f>IF(_xlfn.XLOOKUP($E36,'[1]Import Eletra'!$B:$B,'[1]Import Eletra'!$P:$P,,0,1)=0,"",_xlfn.XLOOKUP($E36,'[1]Import Eletra'!$B:$B,'[1]Import Eletra'!$P:$P,0,1))</f>
        <v>SDBLBS594994</v>
      </c>
      <c r="EP36" s="408" t="str">
        <f>IF(_xlfn.XLOOKUP($E36,'[1]Import Eletra'!$B:$B,'[1]Import Eletra'!$T:$T,,0,1)=0,"",_xlfn.XLOOKUP($E36,'[1]Import Eletra'!$B:$B,'[1]Import Eletra'!$T:$T,0,1))</f>
        <v>SEKU906255 / TCLU136541</v>
      </c>
    </row>
    <row r="37" spans="2:146" ht="30" customHeight="1">
      <c r="B37" s="371" t="s">
        <v>336</v>
      </c>
      <c r="C37" s="369"/>
      <c r="D37" s="104" t="str">
        <f>IF(_xlfn.XLOOKUP($E37,'[1]Import Eletra'!$B:$B,'[1]Import Eletra'!$A:$A,,0,1)=0,"",_xlfn.XLOOKUP($E37,'[1]Import Eletra'!$B:$B,'[1]Import Eletra'!$A:$A,,0,1))</f>
        <v>JUL_2026</v>
      </c>
      <c r="E37" s="212" t="s">
        <v>286</v>
      </c>
      <c r="F37" s="106">
        <f>IF(_xlfn.XLOOKUP($E37,'[1]Import Eletra'!$B:$B,'[1]Import Eletra'!$U:$U,,0,1)=0,"",_xlfn.XLOOKUP($E37,'[1]Import Eletra'!$B:$B,'[1]Import Eletra'!$U:$U,,0,1))</f>
        <v>1</v>
      </c>
      <c r="G37" s="301" t="s">
        <v>244</v>
      </c>
      <c r="H37" s="2" t="str">
        <f>_xlfn.XLOOKUP($E37,'[1]Import Eletra'!$B:$B,'[1]Import Eletra'!$F:$F,,0,1)</f>
        <v>DELIVERED</v>
      </c>
      <c r="I37" s="108" t="str">
        <f>_xlfn.XLOOKUP($E37,'[1]Import Eletra'!$B:$B,'[1]Import Eletra'!$G:$G,,0,1)</f>
        <v>SEA</v>
      </c>
      <c r="J37" s="326">
        <v>46128</v>
      </c>
      <c r="K37" s="109">
        <v>30</v>
      </c>
      <c r="L37" s="109">
        <f>M37-J37</f>
        <v>-5</v>
      </c>
      <c r="M37" s="326">
        <f>IF(_xlfn.XLOOKUP($E37,'[1]Import Eletra'!$B:$B,'[1]Import Eletra'!$J:$J,,0,1)=0,"",_xlfn.XLOOKUP($E37,'[1]Import Eletra'!$B:$B,'[1]Import Eletra'!$J:$J,,0,1))</f>
        <v>46123</v>
      </c>
      <c r="N37" s="332">
        <f>IF(_xlfn.XLOOKUP($E37,'[1]Import Eletra'!$B:$B,'[1]Import Eletra'!$L:$L,,0,1)=0,"",_xlfn.XLOOKUP($E37,'[1]Import Eletra'!$B:$B,'[1]Import Eletra'!$L:$L,,0,1))</f>
        <v>46168</v>
      </c>
      <c r="O37" s="335">
        <f>IF(_xlfn.XLOOKUP($E37,'[1]Import Eletra'!$B:$B,'[1]Import Eletra'!$AK:$AK,,0,1)=0,"",_xlfn.XLOOKUP($E37,'[1]Import Eletra'!$B:$B,'[1]Import Eletra'!$AK:$AK,,0,1))</f>
        <v>46154</v>
      </c>
      <c r="P37" s="326" t="str">
        <f>IF(_xlfn.XLOOKUP($E37,'[1]Import Eletra'!$B:$B,'[1]Import Eletra'!$AL:$AL,,0,1)=0,"",_xlfn.XLOOKUP($E37,'[1]Import Eletra'!$B:$B,'[1]Import Eletra'!$AL:$AL,,0,1))</f>
        <v>14/05/2026</v>
      </c>
      <c r="Q37" s="326">
        <f>IF(_xlfn.XLOOKUP($E37,'[1]Import Eletra'!$B:$B,'[1]Import Eletra'!$AM:$AM,,0,1)=0,"",_xlfn.XLOOKUP($E37,'[1]Import Eletra'!$B:$B,'[1]Import Eletra'!$AM:$AM,,0,1))</f>
        <v>46160</v>
      </c>
      <c r="R37" s="326">
        <f>IF(_xlfn.XLOOKUP($E37,'[1]Import Eletra'!$B:$B,'[1]Import Eletra'!$AN:$AN,,0,1)=0,"",_xlfn.XLOOKUP($E37,'[1]Import Eletra'!$B:$B,'[1]Import Eletra'!$AN:$AN,,0,1))</f>
        <v>46161</v>
      </c>
      <c r="S37" s="326">
        <f>IF(_xlfn.XLOOKUP($E37,'[1]Import Eletra'!$B:$B,'[1]Import Eletra'!$AO:$AO,,0,1)=0,"",_xlfn.XLOOKUP($E37,'[1]Import Eletra'!$B:$B,'[1]Import Eletra'!$AO:$AO,,0,1))</f>
        <v>46162</v>
      </c>
      <c r="T37" s="326">
        <f>IF(_xlfn.XLOOKUP($E37,'[1]Import Eletra'!$B:$B,'[1]Import Eletra'!$AP:$AP,,0,1)=0,"",_xlfn.XLOOKUP($E37,'[1]Import Eletra'!$B:$B,'[1]Import Eletra'!$AP:$AP,,0,1))</f>
        <v>46162</v>
      </c>
      <c r="U37" s="326">
        <f>IF(_xlfn.XLOOKUP($E37,'[1]Import Eletra'!$B:$B,'[1]Import Eletra'!$AQ:$AQ,,0,1)=0,"",_xlfn.XLOOKUP($E37,'[1]Import Eletra'!$B:$B,'[1]Import Eletra'!$AQ:$AQ,,0,1))</f>
        <v>46162</v>
      </c>
      <c r="V37" s="339">
        <f>IF(_xlfn.XLOOKUP($E37,'[1]Import Eletra'!$B:$B,'[1]Import Eletra'!$AR:$AR,,0,1)=0,"",_xlfn.XLOOKUP($E37,'[1]Import Eletra'!$B:$B,'[1]Import Eletra'!$AR:$AR,,0,1))</f>
        <v>46170</v>
      </c>
      <c r="W37" s="335">
        <f>AB37-$AB$5</f>
        <v>46169</v>
      </c>
      <c r="X37" s="332">
        <f>IF(_xlfn.XLOOKUP($E37,'[1]Import Eletra'!$B:$B,'[1]Import Eletra'!$AS:$AS,,0,1)=0,"",_xlfn.XLOOKUP($E37,'[1]Import Eletra'!$B:$B,'[1]Import Eletra'!$AS:$AS,,0,1))</f>
        <v>46174</v>
      </c>
      <c r="Y37" s="113">
        <f>$W$4</f>
        <v>0</v>
      </c>
      <c r="Z37" s="113">
        <f ca="1">IF(X37="",TODAY()-W37,X37-W37)</f>
        <v>5</v>
      </c>
      <c r="AA37" s="184">
        <f ca="1">Z37-Y37</f>
        <v>5</v>
      </c>
      <c r="AB37" s="348">
        <f>AG37-$AB$5</f>
        <v>46170</v>
      </c>
      <c r="AC37" s="332">
        <f>IF(_xlfn.XLOOKUP($E37,'[1]Import Eletra'!$B:$B,'[1]Import Eletra'!$AD:$AD,,0,1)=0,"",_xlfn.XLOOKUP($E37,'[1]Import Eletra'!$B:$B,'[1]Import Eletra'!$AD:$AD,,0,1))</f>
        <v>46174</v>
      </c>
      <c r="AD37" s="113">
        <f>$AB$4</f>
        <v>0</v>
      </c>
      <c r="AE37" s="113">
        <f ca="1">IF(AC37="",TODAY()-AB37,AC37-AB37)</f>
        <v>4</v>
      </c>
      <c r="AF37" s="184">
        <f ca="1">AE37-AD37</f>
        <v>4</v>
      </c>
      <c r="AG37" s="355">
        <f>AL37-$AL$5</f>
        <v>46171</v>
      </c>
      <c r="AH37" s="332">
        <f>IF(_xlfn.XLOOKUP($E37,'[1]Import Eletra'!$B:$B,'[1]Import Eletra'!$AE:$AE,,0,1)=0,"",_xlfn.XLOOKUP($E37,'[1]Import Eletra'!$B:$B,'[1]Import Eletra'!$AE:$AE,,0,1))</f>
        <v>46174</v>
      </c>
      <c r="AI37" s="113">
        <f>$AG$4</f>
        <v>0</v>
      </c>
      <c r="AJ37" s="113">
        <f ca="1">IF(AH37="",TODAY()-AG37,AH37-AG37)</f>
        <v>3</v>
      </c>
      <c r="AK37" s="184">
        <f ca="1">AJ37-AI37</f>
        <v>3</v>
      </c>
      <c r="AL37" s="355">
        <f>AQ37-$AQ$5</f>
        <v>46171</v>
      </c>
      <c r="AM37" s="332">
        <f>IF(_xlfn.XLOOKUP($E37,'[1]Import Eletra'!$B:$B,'[1]Import Eletra'!$AT:$AT,,0,1)=0,"",_xlfn.XLOOKUP($E37,'[1]Import Eletra'!$B:$B,'[1]Import Eletra'!$AT:$AT,,0,1))</f>
        <v>46174</v>
      </c>
      <c r="AN37" s="113">
        <f>$AL$4</f>
        <v>0</v>
      </c>
      <c r="AO37" s="113">
        <f ca="1">IF(AM37="",TODAY()-AL37,AM37-AL37)</f>
        <v>3</v>
      </c>
      <c r="AP37" s="184">
        <f ca="1">AO37-AN37</f>
        <v>3</v>
      </c>
      <c r="AQ37" s="357">
        <f>AV37-$AV$5</f>
        <v>46172</v>
      </c>
      <c r="AR37" s="332">
        <f>IF(_xlfn.XLOOKUP($E37,'[1]Import Eletra'!$B:$B,'[1]Import Eletra'!$AU:$AU,,0,1)=0,"",_xlfn.XLOOKUP($E37,'[1]Import Eletra'!$B:$B,'[1]Import Eletra'!$AU:$AU,,0,1))</f>
        <v>46174</v>
      </c>
      <c r="AS37" s="113">
        <f>$AQ$4</f>
        <v>1</v>
      </c>
      <c r="AT37" s="113">
        <f ca="1">IF(AR37="",TODAY()-AQ37,AR37-AQ37)</f>
        <v>2</v>
      </c>
      <c r="AU37" s="184">
        <f ca="1">AT37-AS37</f>
        <v>1</v>
      </c>
      <c r="AV37" s="355">
        <f>BA37-$BA$5</f>
        <v>46172</v>
      </c>
      <c r="AW37" s="332" t="str">
        <f>IF(_xlfn.XLOOKUP($E37,'[1]Import Eletra'!$B:$B,'[1]Import Eletra'!$AV:$AV,,0,1)=0,"",_xlfn.XLOOKUP($E37,'[1]Import Eletra'!$B:$B,'[1]Import Eletra'!$AV:$AV,,0,1))</f>
        <v/>
      </c>
      <c r="AX37" s="113">
        <f>$AV$4</f>
        <v>0</v>
      </c>
      <c r="AY37" s="113">
        <f ca="1">IF(AW37="",TODAY()-AV37,AW37-AV37)</f>
        <v>39</v>
      </c>
      <c r="AZ37" s="184">
        <f ca="1">AY37-AX37</f>
        <v>39</v>
      </c>
      <c r="BA37" s="357">
        <f>BF37-$BF$5</f>
        <v>46172</v>
      </c>
      <c r="BB37" s="332" t="str">
        <f>IF(_xlfn.XLOOKUP($E37,'[1]Import Eletra'!$B:$B,'[1]Import Eletra'!$AW:$AW,,0,1)=0,"",_xlfn.XLOOKUP($E37,'[1]Import Eletra'!$B:$B,'[1]Import Eletra'!$AW:$AW,,0,1))</f>
        <v/>
      </c>
      <c r="BC37" s="113">
        <f>$BA$4</f>
        <v>0</v>
      </c>
      <c r="BD37" s="113">
        <f ca="1">IF(BB37="",TODAY()-BA37,BB37-BA37)</f>
        <v>39</v>
      </c>
      <c r="BE37" s="184">
        <f ca="1">BD37-BC37</f>
        <v>39</v>
      </c>
      <c r="BF37" s="335">
        <f>BK37-$BK$5</f>
        <v>46172</v>
      </c>
      <c r="BG37" s="332" t="str">
        <f>IF(_xlfn.XLOOKUP($E37,'[1]Import Eletra'!$B:$B,'[1]Import Eletra'!$AX:$AX,,0,1)=0,"",_xlfn.XLOOKUP($E37,'[1]Import Eletra'!$B:$B,'[1]Import Eletra'!$AX:$AX,,0,1))</f>
        <v/>
      </c>
      <c r="BH37" s="113">
        <f>$BF$4</f>
        <v>0</v>
      </c>
      <c r="BI37" s="113">
        <f ca="1">IF(BG37="",TODAY()-BF37,BG37-BF37)</f>
        <v>39</v>
      </c>
      <c r="BJ37" s="184">
        <f ca="1">BI37-BH37</f>
        <v>39</v>
      </c>
      <c r="BK37" s="362">
        <f>BP37-$BP$5</f>
        <v>46172</v>
      </c>
      <c r="BL37" s="332" t="str">
        <f>IF(_xlfn.XLOOKUP($E37,'[1]Import Eletra'!$B:$B,'[1]Import Eletra'!$AY:$AY,,0,1)=0,"",_xlfn.XLOOKUP($E37,'[1]Import Eletra'!$B:$B,'[1]Import Eletra'!$AY:$AY,,0,1))</f>
        <v/>
      </c>
      <c r="BM37" s="113">
        <f>$BK$4</f>
        <v>0</v>
      </c>
      <c r="BN37" s="113">
        <f ca="1">IF(BL37="",TODAY()-BK37,BL37-BK37)</f>
        <v>39</v>
      </c>
      <c r="BO37" s="184">
        <f ca="1">BN37-BM37</f>
        <v>39</v>
      </c>
      <c r="BP37" s="335">
        <f>BU37-$BU$5</f>
        <v>46172</v>
      </c>
      <c r="BQ37" s="332" t="str">
        <f>IF(_xlfn.XLOOKUP($E37,'[1]Import Eletra'!$B:$B,'[1]Import Eletra'!$AZ:$AZ,,0,1)=0,"",_xlfn.XLOOKUP($E37,'[1]Import Eletra'!$B:$B,'[1]Import Eletra'!$AZ:$AZ,,0,1))</f>
        <v/>
      </c>
      <c r="BR37" s="113">
        <f>$BP$4</f>
        <v>0</v>
      </c>
      <c r="BS37" s="113">
        <f ca="1">IF(BQ37="",TODAY()-BP37,BQ37-BP37)</f>
        <v>39</v>
      </c>
      <c r="BT37" s="184">
        <f ca="1">BS37-BR37</f>
        <v>39</v>
      </c>
      <c r="BU37" s="362">
        <f>BZ37-$BZ$4</f>
        <v>46174</v>
      </c>
      <c r="BV37" s="332">
        <f>IF(_xlfn.XLOOKUP($E37,'[1]Import Eletra'!$B:$B,'[1]Import Eletra'!$BA:$BA,,0,1)=0,"",_xlfn.XLOOKUP($E37,'[1]Import Eletra'!$B:$B,'[1]Import Eletra'!$BA:$BA,,0,1))</f>
        <v>46178</v>
      </c>
      <c r="BW37" s="113">
        <f>$BU$4</f>
        <v>2</v>
      </c>
      <c r="BX37" s="113">
        <f ca="1">IF(BV37="",TODAY()-BU37,BV37-BU37)</f>
        <v>4</v>
      </c>
      <c r="BY37" s="184">
        <f ca="1">BX37-BW37</f>
        <v>2</v>
      </c>
      <c r="BZ37" s="335">
        <f>CE37-$CE$5</f>
        <v>46174</v>
      </c>
      <c r="CA37" s="332">
        <f>IF(_xlfn.XLOOKUP($E37,'[1]Import Eletra'!$B:$B,'[1]Import Eletra'!$BB:$BB,,0,1)=0,"",_xlfn.XLOOKUP($E37,'[1]Import Eletra'!$B:$B,'[1]Import Eletra'!$BB:$BB,,0,1))</f>
        <v>46178</v>
      </c>
      <c r="CB37" s="113">
        <f>$BZ$4</f>
        <v>0</v>
      </c>
      <c r="CC37" s="113">
        <f ca="1">IF(CA37="",TODAY()-BZ37,CA37-BZ37)</f>
        <v>4</v>
      </c>
      <c r="CD37" s="184">
        <f ca="1">CC37-CB37</f>
        <v>4</v>
      </c>
      <c r="CE37" s="362">
        <f>CJ37-$CJ$4</f>
        <v>46174</v>
      </c>
      <c r="CF37" s="332">
        <f>IF(_xlfn.XLOOKUP($E37,'[1]Import Eletra'!$B:$B,'[1]Import Eletra'!$BC:$BC,,0,1)=0,"",_xlfn.XLOOKUP($E37,'[1]Import Eletra'!$B:$B,'[1]Import Eletra'!$BC:$BC,,0,1))</f>
        <v>46181</v>
      </c>
      <c r="CG37" s="113">
        <f>$CE$4</f>
        <v>0</v>
      </c>
      <c r="CH37" s="113">
        <f ca="1">IF(CF37="",TODAY()-CE37,CF37-CE37)</f>
        <v>7</v>
      </c>
      <c r="CI37" s="184">
        <f ca="1">CH37-CG37</f>
        <v>7</v>
      </c>
      <c r="CJ37" s="335">
        <f>CO37-$CO$4</f>
        <v>46174</v>
      </c>
      <c r="CK37" s="332">
        <f>IF(_xlfn.XLOOKUP($E37,'[1]Import Eletra'!$B:$B,'[1]Import Eletra'!$BD:$BD,,0,1)=0,"",_xlfn.XLOOKUP($E37,'[1]Import Eletra'!$B:$B,'[1]Import Eletra'!$BD:$BD,,0,1))</f>
        <v>46175</v>
      </c>
      <c r="CL37" s="113"/>
      <c r="CM37" s="113">
        <f ca="1">IF(CK37="",TODAY()-CJ37,CK37-CJ37)</f>
        <v>1</v>
      </c>
      <c r="CN37" s="184">
        <f ca="1">CM37-CL37</f>
        <v>1</v>
      </c>
      <c r="CO37" s="362">
        <f>CT37-$CT$4</f>
        <v>46174</v>
      </c>
      <c r="CP37" s="332">
        <f>IF(_xlfn.XLOOKUP($E37,'[1]Import Eletra'!$B:$B,'[1]Import Eletra'!$BE:$BE,,0,1)=0,"",_xlfn.XLOOKUP($E37,'[1]Import Eletra'!$B:$B,'[1]Import Eletra'!$BE:$BE,,0,1))</f>
        <v>46175</v>
      </c>
      <c r="CQ37" s="113">
        <f>$CO$4</f>
        <v>0</v>
      </c>
      <c r="CR37" s="113">
        <f ca="1">IF(CP37="",TODAY()-CO37,CP37-CO37)</f>
        <v>1</v>
      </c>
      <c r="CS37" s="184">
        <f ca="1">CR37-CQ37</f>
        <v>1</v>
      </c>
      <c r="CT37" s="335">
        <f>CY37-$CY$4</f>
        <v>46174</v>
      </c>
      <c r="CU37" s="332">
        <f>IF(_xlfn.XLOOKUP($E37,'[1]Import Eletra'!$B:$B,'[1]Import Eletra'!$BF:$BF,,0,1)=0,"",_xlfn.XLOOKUP($E37,'[1]Import Eletra'!$B:$B,'[1]Import Eletra'!$BF:$BF,,0,1))</f>
        <v>46175</v>
      </c>
      <c r="CV37" s="113">
        <f>$CT$4</f>
        <v>0</v>
      </c>
      <c r="CW37" s="113">
        <f ca="1">IF(CU37="",TODAY()-CT37,CU37-CT37)</f>
        <v>1</v>
      </c>
      <c r="CX37" s="184">
        <f ca="1">CW37-CV37</f>
        <v>1</v>
      </c>
      <c r="CY37" s="110">
        <f>DD37-$DD$4</f>
        <v>46174</v>
      </c>
      <c r="CZ37" s="247">
        <f>IF(_xlfn.XLOOKUP($E37,'[1]Import Eletra'!$B:$B,'[1]Import Eletra'!$BF:$BF,,0,1)=0,"",_xlfn.XLOOKUP($E37,'[1]Import Eletra'!$B:$B,'[1]Import Eletra'!$BF:$BF,,0,1))</f>
        <v>46175</v>
      </c>
      <c r="DA37" s="210">
        <f>$CY$4</f>
        <v>0</v>
      </c>
      <c r="DB37" s="113">
        <f ca="1">IF(CZ37="",TODAY()-CY37,CZ37-CY37)</f>
        <v>1</v>
      </c>
      <c r="DC37" s="184">
        <f ca="1">DB37-DA37</f>
        <v>1</v>
      </c>
      <c r="DD37" s="110">
        <f>DI37-$DI$4</f>
        <v>46176</v>
      </c>
      <c r="DE37" s="375">
        <f>IF(_xlfn.XLOOKUP($E37,'[1]Import Eletra'!$B:$B,'[1]Import Eletra'!$BG:$BG,,0,1)=0,"",_xlfn.XLOOKUP($E37,'[1]Import Eletra'!$B:$B,'[1]Import Eletra'!$BG:$BG,0,1))</f>
        <v>46178</v>
      </c>
      <c r="DF37" s="113">
        <f>$DD$4</f>
        <v>2</v>
      </c>
      <c r="DG37" s="113">
        <f ca="1">IF(DE37="",TODAY()-DD37,DE37-DD37)</f>
        <v>2</v>
      </c>
      <c r="DH37" s="184">
        <f ca="1">DG37-DF37</f>
        <v>0</v>
      </c>
      <c r="DI37" s="110">
        <f>DO37-$DN$4</f>
        <v>46177</v>
      </c>
      <c r="DJ37" s="247">
        <f>IF(_xlfn.XLOOKUP($E37,'[1]Import Eletra'!$B:$B,'[1]Import Eletra'!$BH:$BH,,0,1)=0,"",_xlfn.XLOOKUP($E37,'[1]Import Eletra'!$B:$B,'[1]Import Eletra'!$BH:$BH,0,1))</f>
        <v>46182</v>
      </c>
      <c r="DK37" s="113">
        <f>$DI$4</f>
        <v>1</v>
      </c>
      <c r="DL37" s="113">
        <f ca="1">IF(DJ37="",TODAY()-DI37,DJ37-DI37)</f>
        <v>5</v>
      </c>
      <c r="DM37" s="184">
        <f ca="1">DL37-DK37</f>
        <v>4</v>
      </c>
      <c r="DN37" s="64"/>
      <c r="DO37" s="202">
        <f>N37+DT37</f>
        <v>46178</v>
      </c>
      <c r="DP37" s="165">
        <f>IF(_xlfn.XLOOKUP($E37,'[1]Import Eletra'!$B:$B,'[1]Import Eletra'!$O:$O,,0,1)=0,"",_xlfn.XLOOKUP($E37,'[1]Import Eletra'!$B:$B,'[1]Import Eletra'!$O:$O,0,1))</f>
        <v>46183</v>
      </c>
      <c r="DQ37" s="113">
        <f>$DN$4</f>
        <v>1</v>
      </c>
      <c r="DR37" s="113">
        <f ca="1">IF(DP37="",TODAY()-DO37,DP37-DO37)</f>
        <v>5</v>
      </c>
      <c r="DS37" s="184">
        <f ca="1">DR37-DQ37</f>
        <v>4</v>
      </c>
      <c r="DT37" s="143">
        <v>10</v>
      </c>
      <c r="DU37" s="140">
        <f ca="1">IF(DP37="",TODAY()-N37,DP37-N37)</f>
        <v>15</v>
      </c>
      <c r="DV37" s="184">
        <f ca="1">DU37-DT37</f>
        <v>5</v>
      </c>
      <c r="DW37" s="147"/>
      <c r="DX37" s="185" t="s">
        <v>245</v>
      </c>
      <c r="DY37" s="108" t="str">
        <f>IF(_xlfn.XLOOKUP($E37,'[1]Import Eletra'!$B:$B,'[1]Import Eletra'!$DW:$DW,,0,1)=0,"",_xlfn.XLOOKUP($E37,'[1]Import Eletra'!$B:$B,'[1]Import Eletra'!$DW:$DW,0,1))</f>
        <v>ACCOUNTING/TAX MONTH-END CLOSING</v>
      </c>
      <c r="EB37" s="287" t="s">
        <v>273</v>
      </c>
      <c r="ED37" s="409">
        <f>IF(_xlfn.XLOOKUP($E37,'[1]Import Eletra'!$B:$B,'[1]Import Eletra'!$BQ:$BQ,,0,1)=0,"",_xlfn.XLOOKUP($E37,'[1]Import Eletra'!$B:$B,'[1]Import Eletra'!$BQ:$BQ,0,1))</f>
        <v>1341.92</v>
      </c>
      <c r="EE37" s="410">
        <f>IF(_xlfn.XLOOKUP($E37,'[1]Import Eletra'!$B:$B,'[1]Import Eletra'!$BR:$BR,,0,1)=0,"",_xlfn.XLOOKUP($E37,'[1]Import Eletra'!$B:$B,'[1]Import Eletra'!$BR:$BR,0,1))</f>
        <v>46182</v>
      </c>
      <c r="EF37" s="409" t="str">
        <f>IF(_xlfn.XLOOKUP($E37,'[1]Import Eletra'!$B:$B,'[1]Import Eletra'!$BS:$BS,,0,1)=0,"",_xlfn.XLOOKUP($E37,'[1]Import Eletra'!$B:$B,'[1]Import Eletra'!$BS:$BS,0,1))</f>
        <v/>
      </c>
      <c r="EG37" s="410" t="str">
        <f>IF(_xlfn.XLOOKUP($E37,'[1]Import Eletra'!$B:$B,'[1]Import Eletra'!$BT:$BT,,0,1)=0,"",_xlfn.XLOOKUP($E37,'[1]Import Eletra'!$B:$B,'[1]Import Eletra'!$BT:$BT,0,1))</f>
        <v/>
      </c>
      <c r="EH37" s="409" t="str">
        <f>IF(_xlfn.XLOOKUP($E37,'[1]Import Eletra'!$B:$B,'[1]Import Eletra'!$BU:$BU,,0,1)=0,"",_xlfn.XLOOKUP($E37,'[1]Import Eletra'!$B:$B,'[1]Import Eletra'!$BU:$BU,0,1))</f>
        <v/>
      </c>
      <c r="EI37" s="410" t="str">
        <f>IF(_xlfn.XLOOKUP($E37,'[1]Import Eletra'!$B:$B,'[1]Import Eletra'!$BV:$BV,,0,1)=0,"",_xlfn.XLOOKUP($E37,'[1]Import Eletra'!$B:$B,'[1]Import Eletra'!$BV:$BV,0,1))</f>
        <v/>
      </c>
      <c r="EJ37" s="410">
        <f>IF(_xlfn.XLOOKUP($E37,'[1]Import Eletra'!$B:$B,'[1]Import Eletra'!$CI:$CI,,0,1)=0,"",_xlfn.XLOOKUP($E37,'[1]Import Eletra'!$B:$B,'[1]Import Eletra'!$CI:$CI,0,1))</f>
        <v>46186</v>
      </c>
      <c r="EK37" s="410" t="str">
        <f>IF(_xlfn.XLOOKUP($E37,'[1]Import Eletra'!$B:$B,'[1]Import Eletra'!$CD:$CD,,0,1)=0,"",_xlfn.XLOOKUP($E37,'[1]Import Eletra'!$B:$B,'[1]Import Eletra'!$CD:$CD,0,1))</f>
        <v/>
      </c>
      <c r="EL37" s="410" t="str">
        <f>IF(_xlfn.XLOOKUP($E37,'[1]Import Eletra'!$B:$B,'[1]Import Eletra'!$CE:$CE,,0,1)=0,"",_xlfn.XLOOKUP($E37,'[1]Import Eletra'!$B:$B,'[1]Import Eletra'!$CE:$CE,0,1))</f>
        <v>NÃO</v>
      </c>
      <c r="EM37" s="411" t="str">
        <f>IF(_xlfn.XLOOKUP($E37,'[1]Import Eletra'!$B:$B,'[1]Import Eletra'!$E:$E,,0,1)=0,"",_xlfn.XLOOKUP($E37,'[1]Import Eletra'!$B:$B,'[1]Import Eletra'!$E:$E,0,1))</f>
        <v>CATARINA</v>
      </c>
      <c r="EN37" s="408" t="str">
        <f>IF(_xlfn.XLOOKUP($E37,'[1]Import Eletra'!$B:$B,'[1]Import Eletra'!$R:$R,,0,1)=0,"",_xlfn.XLOOKUP($E37,'[1]Import Eletra'!$B:$B,'[1]Import Eletra'!$R:$R,0,1))</f>
        <v>PWBR260074-10</v>
      </c>
      <c r="EO37" s="408" t="str">
        <f>IF(_xlfn.XLOOKUP($E37,'[1]Import Eletra'!$B:$B,'[1]Import Eletra'!$P:$P,,0,1)=0,"",_xlfn.XLOOKUP($E37,'[1]Import Eletra'!$B:$B,'[1]Import Eletra'!$P:$P,0,1))</f>
        <v>SDBLBS594320</v>
      </c>
      <c r="EP37" s="408" t="str">
        <f>IF(_xlfn.XLOOKUP($E37,'[1]Import Eletra'!$B:$B,'[1]Import Eletra'!$T:$T,,0,1)=0,"",_xlfn.XLOOKUP($E37,'[1]Import Eletra'!$B:$B,'[1]Import Eletra'!$T:$T,0,1))</f>
        <v>CMAU0230590</v>
      </c>
    </row>
    <row r="38" spans="2:146" ht="30" customHeight="1">
      <c r="B38" s="371"/>
      <c r="C38" s="369"/>
      <c r="D38" s="104" t="str">
        <f>IF(_xlfn.XLOOKUP($E38,'[1]Import Eletra'!$B:$B,'[1]Import Eletra'!$A:$A,,0,1)=0,"",_xlfn.XLOOKUP($E38,'[1]Import Eletra'!$B:$B,'[1]Import Eletra'!$A:$A,,0,1))</f>
        <v>MAY_2026</v>
      </c>
      <c r="E38" s="213" t="s">
        <v>356</v>
      </c>
      <c r="F38" s="106" t="str">
        <f>IF(_xlfn.XLOOKUP($E38,'[1]Import Eletra'!$B:$B,'[1]Import Eletra'!$U:$U,,0,1)=0,"",_xlfn.XLOOKUP($E38,'[1]Import Eletra'!$B:$B,'[1]Import Eletra'!$U:$U,,0,1))</f>
        <v/>
      </c>
      <c r="G38" s="301" t="s">
        <v>244</v>
      </c>
      <c r="H38" s="2" t="str">
        <f>_xlfn.XLOOKUP($E38,'[1]Import Eletra'!$B:$B,'[1]Import Eletra'!$F:$F,,0,1)</f>
        <v>DELIVERED</v>
      </c>
      <c r="I38" s="108" t="str">
        <f>_xlfn.XLOOKUP($E38,'[1]Import Eletra'!$B:$B,'[1]Import Eletra'!$G:$G,,0,1)</f>
        <v>AIR</v>
      </c>
      <c r="J38" s="326">
        <v>46193</v>
      </c>
      <c r="K38" s="109">
        <v>30</v>
      </c>
      <c r="L38" s="109">
        <f>M38-J38</f>
        <v>-27</v>
      </c>
      <c r="M38" s="326">
        <f>IF(_xlfn.XLOOKUP($E38,'[1]Import Eletra'!$B:$B,'[1]Import Eletra'!$J:$J,,0,1)=0,"",_xlfn.XLOOKUP($E38,'[1]Import Eletra'!$B:$B,'[1]Import Eletra'!$J:$J,,0,1))</f>
        <v>46166</v>
      </c>
      <c r="N38" s="332">
        <f>IF(_xlfn.XLOOKUP($E38,'[1]Import Eletra'!$B:$B,'[1]Import Eletra'!$L:$L,,0,1)=0,"",_xlfn.XLOOKUP($E38,'[1]Import Eletra'!$B:$B,'[1]Import Eletra'!$L:$L,,0,1))</f>
        <v>46168</v>
      </c>
      <c r="O38" s="335">
        <f>IF(_xlfn.XLOOKUP($E38,'[1]Import Eletra'!$B:$B,'[1]Import Eletra'!$AK:$AK,,0,1)=0,"",_xlfn.XLOOKUP($E38,'[1]Import Eletra'!$B:$B,'[1]Import Eletra'!$AK:$AK,,0,1))</f>
        <v>46168</v>
      </c>
      <c r="P38" s="326">
        <f>IF(_xlfn.XLOOKUP($E38,'[1]Import Eletra'!$B:$B,'[1]Import Eletra'!$AL:$AL,,0,1)=0,"",_xlfn.XLOOKUP($E38,'[1]Import Eletra'!$B:$B,'[1]Import Eletra'!$AL:$AL,,0,1))</f>
        <v>46168</v>
      </c>
      <c r="Q38" s="326">
        <f>IF(_xlfn.XLOOKUP($E38,'[1]Import Eletra'!$B:$B,'[1]Import Eletra'!$AM:$AM,,0,1)=0,"",_xlfn.XLOOKUP($E38,'[1]Import Eletra'!$B:$B,'[1]Import Eletra'!$AM:$AM,,0,1))</f>
        <v>46168</v>
      </c>
      <c r="R38" s="326">
        <f>IF(_xlfn.XLOOKUP($E38,'[1]Import Eletra'!$B:$B,'[1]Import Eletra'!$AN:$AN,,0,1)=0,"",_xlfn.XLOOKUP($E38,'[1]Import Eletra'!$B:$B,'[1]Import Eletra'!$AN:$AN,,0,1))</f>
        <v>46169</v>
      </c>
      <c r="S38" s="326">
        <f>IF(_xlfn.XLOOKUP($E38,'[1]Import Eletra'!$B:$B,'[1]Import Eletra'!$AO:$AO,,0,1)=0,"",_xlfn.XLOOKUP($E38,'[1]Import Eletra'!$B:$B,'[1]Import Eletra'!$AO:$AO,,0,1))</f>
        <v>46170</v>
      </c>
      <c r="T38" s="326">
        <f>IF(_xlfn.XLOOKUP($E38,'[1]Import Eletra'!$B:$B,'[1]Import Eletra'!$AP:$AP,,0,1)=0,"",_xlfn.XLOOKUP($E38,'[1]Import Eletra'!$B:$B,'[1]Import Eletra'!$AP:$AP,,0,1))</f>
        <v>46170</v>
      </c>
      <c r="U38" s="326">
        <f>IF(_xlfn.XLOOKUP($E38,'[1]Import Eletra'!$B:$B,'[1]Import Eletra'!$AQ:$AQ,,0,1)=0,"",_xlfn.XLOOKUP($E38,'[1]Import Eletra'!$B:$B,'[1]Import Eletra'!$AQ:$AQ,,0,1))</f>
        <v>46170</v>
      </c>
      <c r="V38" s="339">
        <f>IF(_xlfn.XLOOKUP($E38,'[1]Import Eletra'!$B:$B,'[1]Import Eletra'!$AR:$AR,,0,1)=0,"",_xlfn.XLOOKUP($E38,'[1]Import Eletra'!$B:$B,'[1]Import Eletra'!$AR:$AR,,0,1))</f>
        <v>46168</v>
      </c>
      <c r="W38" s="335">
        <f>AB38-$AB$5</f>
        <v>46169</v>
      </c>
      <c r="X38" s="332">
        <f>IF(_xlfn.XLOOKUP($E38,'[1]Import Eletra'!$B:$B,'[1]Import Eletra'!$AS:$AS,,0,1)=0,"",_xlfn.XLOOKUP($E38,'[1]Import Eletra'!$B:$B,'[1]Import Eletra'!$AS:$AS,,0,1))</f>
        <v>46174</v>
      </c>
      <c r="Y38" s="113">
        <f>$W$4</f>
        <v>0</v>
      </c>
      <c r="Z38" s="113">
        <f ca="1">IF(X38="",TODAY()-W38,X38-W38)</f>
        <v>5</v>
      </c>
      <c r="AA38" s="184">
        <f ca="1">Z38-Y38</f>
        <v>5</v>
      </c>
      <c r="AB38" s="348">
        <f>AG38-$AB$5</f>
        <v>46170</v>
      </c>
      <c r="AC38" s="351">
        <f>IF(_xlfn.XLOOKUP($E38,'[1]Import Eletra'!$B:$B,'[1]Import Eletra'!$AD:$AD,,0,1)=0,"",_xlfn.XLOOKUP($E38,'[1]Import Eletra'!$B:$B,'[1]Import Eletra'!$AD:$AD,,0,1))</f>
        <v>46175</v>
      </c>
      <c r="AD38" s="113">
        <f>$AB$4</f>
        <v>0</v>
      </c>
      <c r="AE38" s="113">
        <f ca="1">IF(AC38="",TODAY()-AB38,AC38-AB38)</f>
        <v>5</v>
      </c>
      <c r="AF38" s="184">
        <f ca="1">AE38-AD38</f>
        <v>5</v>
      </c>
      <c r="AG38" s="355">
        <f>AL38-$AL$5</f>
        <v>46171</v>
      </c>
      <c r="AH38" s="332">
        <f>IF(_xlfn.XLOOKUP($E38,'[1]Import Eletra'!$B:$B,'[1]Import Eletra'!$AE:$AE,,0,1)=0,"",_xlfn.XLOOKUP($E38,'[1]Import Eletra'!$B:$B,'[1]Import Eletra'!$AE:$AE,,0,1))</f>
        <v>46175</v>
      </c>
      <c r="AI38" s="113">
        <f>$AG$4</f>
        <v>0</v>
      </c>
      <c r="AJ38" s="113">
        <f ca="1">IF(AH38="",TODAY()-AG38,AH38-AG38)</f>
        <v>4</v>
      </c>
      <c r="AK38" s="184">
        <f ca="1">AJ38-AI38</f>
        <v>4</v>
      </c>
      <c r="AL38" s="355">
        <f>AQ38-$AQ$5</f>
        <v>46171</v>
      </c>
      <c r="AM38" s="332">
        <f>IF(_xlfn.XLOOKUP($E38,'[1]Import Eletra'!$B:$B,'[1]Import Eletra'!$AT:$AT,,0,1)=0,"",_xlfn.XLOOKUP($E38,'[1]Import Eletra'!$B:$B,'[1]Import Eletra'!$AT:$AT,,0,1))</f>
        <v>46175</v>
      </c>
      <c r="AN38" s="113">
        <f>$AL$4</f>
        <v>0</v>
      </c>
      <c r="AO38" s="113">
        <f ca="1">IF(AM38="",TODAY()-AL38,AM38-AL38)</f>
        <v>4</v>
      </c>
      <c r="AP38" s="184">
        <f ca="1">AO38-AN38</f>
        <v>4</v>
      </c>
      <c r="AQ38" s="357">
        <f>AV38-$AV$5</f>
        <v>46172</v>
      </c>
      <c r="AR38" s="332">
        <f>IF(_xlfn.XLOOKUP($E38,'[1]Import Eletra'!$B:$B,'[1]Import Eletra'!$AU:$AU,,0,1)=0,"",_xlfn.XLOOKUP($E38,'[1]Import Eletra'!$B:$B,'[1]Import Eletra'!$AU:$AU,,0,1))</f>
        <v>46175</v>
      </c>
      <c r="AS38" s="113">
        <f>$AQ$4</f>
        <v>1</v>
      </c>
      <c r="AT38" s="113">
        <f ca="1">IF(AR38="",TODAY()-AQ38,AR38-AQ38)</f>
        <v>3</v>
      </c>
      <c r="AU38" s="184">
        <f ca="1">AT38-AS38</f>
        <v>2</v>
      </c>
      <c r="AV38" s="355">
        <f>BA38-$BA$5</f>
        <v>46172</v>
      </c>
      <c r="AW38" s="332">
        <f>IF(_xlfn.XLOOKUP($E38,'[1]Import Eletra'!$B:$B,'[1]Import Eletra'!$AV:$AV,,0,1)=0,"",_xlfn.XLOOKUP($E38,'[1]Import Eletra'!$B:$B,'[1]Import Eletra'!$AV:$AV,,0,1))</f>
        <v>46175</v>
      </c>
      <c r="AX38" s="113">
        <f>$AV$4</f>
        <v>0</v>
      </c>
      <c r="AY38" s="113">
        <f ca="1">IF(AW38="",TODAY()-AV38,AW38-AV38)</f>
        <v>3</v>
      </c>
      <c r="AZ38" s="184">
        <f ca="1">AY38-AX38</f>
        <v>3</v>
      </c>
      <c r="BA38" s="357">
        <f>BF38-$BF$5</f>
        <v>46172</v>
      </c>
      <c r="BB38" s="332">
        <f>IF(_xlfn.XLOOKUP($E38,'[1]Import Eletra'!$B:$B,'[1]Import Eletra'!$AW:$AW,,0,1)=0,"",_xlfn.XLOOKUP($E38,'[1]Import Eletra'!$B:$B,'[1]Import Eletra'!$AW:$AW,,0,1))</f>
        <v>46175</v>
      </c>
      <c r="BC38" s="113">
        <f>$BA$4</f>
        <v>0</v>
      </c>
      <c r="BD38" s="113">
        <f ca="1">IF(BB38="",TODAY()-BA38,BB38-BA38)</f>
        <v>3</v>
      </c>
      <c r="BE38" s="184">
        <f ca="1">BD38-BC38</f>
        <v>3</v>
      </c>
      <c r="BF38" s="335">
        <f>BK38-$BK$5</f>
        <v>46172</v>
      </c>
      <c r="BG38" s="332">
        <f>IF(_xlfn.XLOOKUP($E38,'[1]Import Eletra'!$B:$B,'[1]Import Eletra'!$AX:$AX,,0,1)=0,"",_xlfn.XLOOKUP($E38,'[1]Import Eletra'!$B:$B,'[1]Import Eletra'!$AX:$AX,,0,1))</f>
        <v>46176</v>
      </c>
      <c r="BH38" s="113">
        <f>$BF$4</f>
        <v>0</v>
      </c>
      <c r="BI38" s="113">
        <f ca="1">IF(BG38="",TODAY()-BF38,BG38-BF38)</f>
        <v>4</v>
      </c>
      <c r="BJ38" s="184">
        <f ca="1">BI38-BH38</f>
        <v>4</v>
      </c>
      <c r="BK38" s="362">
        <f>BP38-$BP$5</f>
        <v>46172</v>
      </c>
      <c r="BL38" s="332" t="str">
        <f>IF(_xlfn.XLOOKUP($E38,'[1]Import Eletra'!$B:$B,'[1]Import Eletra'!$AY:$AY,,0,1)=0,"",_xlfn.XLOOKUP($E38,'[1]Import Eletra'!$B:$B,'[1]Import Eletra'!$AY:$AY,,0,1))</f>
        <v/>
      </c>
      <c r="BM38" s="113">
        <f>$BK$4</f>
        <v>0</v>
      </c>
      <c r="BN38" s="113">
        <f ca="1">IF(BL38="",TODAY()-BK38,BL38-BK38)</f>
        <v>39</v>
      </c>
      <c r="BO38" s="184">
        <f ca="1">BN38-BM38</f>
        <v>39</v>
      </c>
      <c r="BP38" s="335">
        <f>BU38-$BU$5</f>
        <v>46172</v>
      </c>
      <c r="BQ38" s="332" t="str">
        <f>IF(_xlfn.XLOOKUP($E38,'[1]Import Eletra'!$B:$B,'[1]Import Eletra'!$AZ:$AZ,,0,1)=0,"",_xlfn.XLOOKUP($E38,'[1]Import Eletra'!$B:$B,'[1]Import Eletra'!$AZ:$AZ,,0,1))</f>
        <v/>
      </c>
      <c r="BR38" s="113">
        <f>$BP$4</f>
        <v>0</v>
      </c>
      <c r="BS38" s="113">
        <f ca="1">IF(BQ38="",TODAY()-BP38,BQ38-BP38)</f>
        <v>39</v>
      </c>
      <c r="BT38" s="184">
        <f ca="1">BS38-BR38</f>
        <v>39</v>
      </c>
      <c r="BU38" s="362">
        <f>BZ38-$BZ$4</f>
        <v>46174</v>
      </c>
      <c r="BV38" s="332" t="str">
        <f>IF(_xlfn.XLOOKUP($E38,'[1]Import Eletra'!$B:$B,'[1]Import Eletra'!$BA:$BA,,0,1)=0,"",_xlfn.XLOOKUP($E38,'[1]Import Eletra'!$B:$B,'[1]Import Eletra'!$BA:$BA,,0,1))</f>
        <v/>
      </c>
      <c r="BW38" s="113">
        <f>$BU$4</f>
        <v>2</v>
      </c>
      <c r="BX38" s="113">
        <f ca="1">IF(BV38="",TODAY()-BU38,BV38-BU38)</f>
        <v>37</v>
      </c>
      <c r="BY38" s="184">
        <f ca="1">BX38-BW38</f>
        <v>35</v>
      </c>
      <c r="BZ38" s="335">
        <f>CE38-$CE$5</f>
        <v>46174</v>
      </c>
      <c r="CA38" s="332" t="str">
        <f>IF(_xlfn.XLOOKUP($E38,'[1]Import Eletra'!$B:$B,'[1]Import Eletra'!$BB:$BB,,0,1)=0,"",_xlfn.XLOOKUP($E38,'[1]Import Eletra'!$B:$B,'[1]Import Eletra'!$BB:$BB,,0,1))</f>
        <v/>
      </c>
      <c r="CB38" s="113">
        <f>$BZ$4</f>
        <v>0</v>
      </c>
      <c r="CC38" s="113">
        <f ca="1">IF(CA38="",TODAY()-BZ38,CA38-BZ38)</f>
        <v>37</v>
      </c>
      <c r="CD38" s="184">
        <f ca="1">CC38-CB38</f>
        <v>37</v>
      </c>
      <c r="CE38" s="362">
        <f>CJ38-$CJ$4</f>
        <v>46174</v>
      </c>
      <c r="CF38" s="332" t="str">
        <f>IF(_xlfn.XLOOKUP($E38,'[1]Import Eletra'!$B:$B,'[1]Import Eletra'!$BC:$BC,,0,1)=0,"",_xlfn.XLOOKUP($E38,'[1]Import Eletra'!$B:$B,'[1]Import Eletra'!$BC:$BC,,0,1))</f>
        <v/>
      </c>
      <c r="CG38" s="113">
        <f>$CE$4</f>
        <v>0</v>
      </c>
      <c r="CH38" s="113">
        <f ca="1">IF(CF38="",TODAY()-CE38,CF38-CE38)</f>
        <v>37</v>
      </c>
      <c r="CI38" s="184">
        <f ca="1">CH38-CG38</f>
        <v>37</v>
      </c>
      <c r="CJ38" s="335">
        <f>CO38-$CO$4</f>
        <v>46174</v>
      </c>
      <c r="CK38" s="332">
        <f>IF(_xlfn.XLOOKUP($E38,'[1]Import Eletra'!$B:$B,'[1]Import Eletra'!$BD:$BD,,0,1)=0,"",_xlfn.XLOOKUP($E38,'[1]Import Eletra'!$B:$B,'[1]Import Eletra'!$BD:$BD,,0,1))</f>
        <v>46175</v>
      </c>
      <c r="CL38" s="113"/>
      <c r="CM38" s="113">
        <f ca="1">IF(CK38="",TODAY()-CJ38,CK38-CJ38)</f>
        <v>1</v>
      </c>
      <c r="CN38" s="184">
        <f ca="1">CM38-CL38</f>
        <v>1</v>
      </c>
      <c r="CO38" s="362">
        <f>CT38-$CT$4</f>
        <v>46174</v>
      </c>
      <c r="CP38" s="332">
        <f>IF(_xlfn.XLOOKUP($E38,'[1]Import Eletra'!$B:$B,'[1]Import Eletra'!$BE:$BE,,0,1)=0,"",_xlfn.XLOOKUP($E38,'[1]Import Eletra'!$B:$B,'[1]Import Eletra'!$BE:$BE,,0,1))</f>
        <v>46176</v>
      </c>
      <c r="CQ38" s="113">
        <f>$CO$4</f>
        <v>0</v>
      </c>
      <c r="CR38" s="113">
        <f ca="1">IF(CP38="",TODAY()-CO38,CP38-CO38)</f>
        <v>2</v>
      </c>
      <c r="CS38" s="184">
        <f ca="1">CR38-CQ38</f>
        <v>2</v>
      </c>
      <c r="CT38" s="335">
        <f>CY38-$CY$4</f>
        <v>46174</v>
      </c>
      <c r="CU38" s="332">
        <f>IF(_xlfn.XLOOKUP($E38,'[1]Import Eletra'!$B:$B,'[1]Import Eletra'!$BF:$BF,,0,1)=0,"",_xlfn.XLOOKUP($E38,'[1]Import Eletra'!$B:$B,'[1]Import Eletra'!$BF:$BF,,0,1))</f>
        <v>46176</v>
      </c>
      <c r="CV38" s="113">
        <f>$CT$4</f>
        <v>0</v>
      </c>
      <c r="CW38" s="113">
        <f ca="1">IF(CU38="",TODAY()-CT38,CU38-CT38)</f>
        <v>2</v>
      </c>
      <c r="CX38" s="184">
        <f ca="1">CW38-CV38</f>
        <v>2</v>
      </c>
      <c r="CY38" s="110">
        <f>DD38-$DD$4</f>
        <v>46174</v>
      </c>
      <c r="CZ38" s="247">
        <f>IF(_xlfn.XLOOKUP($E38,'[1]Import Eletra'!$B:$B,'[1]Import Eletra'!$BF:$BF,,0,1)=0,"",_xlfn.XLOOKUP($E38,'[1]Import Eletra'!$B:$B,'[1]Import Eletra'!$BF:$BF,,0,1))</f>
        <v>46176</v>
      </c>
      <c r="DA38" s="210">
        <f>$CY$4</f>
        <v>0</v>
      </c>
      <c r="DB38" s="113">
        <f ca="1">IF(CZ38="",TODAY()-CY38,CZ38-CY38)</f>
        <v>2</v>
      </c>
      <c r="DC38" s="184">
        <f ca="1">DB38-DA38</f>
        <v>2</v>
      </c>
      <c r="DD38" s="110">
        <f>DI38-$DI$4</f>
        <v>46176</v>
      </c>
      <c r="DE38" s="271" t="str">
        <f>IF(_xlfn.XLOOKUP($E38,'[1]Import Eletra'!$B:$B,'[1]Import Eletra'!$BG:$BG,,0,1)=0,"",_xlfn.XLOOKUP($E38,'[1]Import Eletra'!$B:$B,'[1]Import Eletra'!$BG:$BG,0,1))</f>
        <v/>
      </c>
      <c r="DF38" s="113">
        <f>$DD$4</f>
        <v>2</v>
      </c>
      <c r="DG38" s="113">
        <f ca="1">IF(DE38="",TODAY()-DD38,DE38-DD38)</f>
        <v>35</v>
      </c>
      <c r="DH38" s="184">
        <f ca="1">DG38-DF38</f>
        <v>33</v>
      </c>
      <c r="DI38" s="110">
        <f>DO38-$DN$4</f>
        <v>46177</v>
      </c>
      <c r="DJ38" s="247" t="str">
        <f>IF(_xlfn.XLOOKUP($E38,'[1]Import Eletra'!$B:$B,'[1]Import Eletra'!$BH:$BH,,0,1)=0,"",_xlfn.XLOOKUP($E38,'[1]Import Eletra'!$B:$B,'[1]Import Eletra'!$BH:$BH,0,1))</f>
        <v/>
      </c>
      <c r="DK38" s="112">
        <f>$DI$4</f>
        <v>1</v>
      </c>
      <c r="DL38" s="112">
        <f ca="1">IF(DJ38="",TODAY()-DI38,DJ38-DI38)</f>
        <v>34</v>
      </c>
      <c r="DM38" s="184">
        <f ca="1">DL38-DK38</f>
        <v>33</v>
      </c>
      <c r="DN38" s="64"/>
      <c r="DO38" s="202">
        <f>N38+DT38</f>
        <v>46178</v>
      </c>
      <c r="DP38" s="165">
        <f>IF(_xlfn.XLOOKUP($E38,'[1]Import Eletra'!$B:$B,'[1]Import Eletra'!$O:$O,,0,1)=0,"",_xlfn.XLOOKUP($E38,'[1]Import Eletra'!$B:$B,'[1]Import Eletra'!$O:$O,0,1))</f>
        <v>46182</v>
      </c>
      <c r="DQ38" s="112">
        <f>$DN$4</f>
        <v>1</v>
      </c>
      <c r="DR38" s="112">
        <f ca="1">IF(DP38="",TODAY()-DO38,DP38-DO38)</f>
        <v>4</v>
      </c>
      <c r="DS38" s="184">
        <f ca="1">DR38-DQ38</f>
        <v>3</v>
      </c>
      <c r="DT38" s="143">
        <v>10</v>
      </c>
      <c r="DU38" s="140">
        <f ca="1">IF(DP38="",TODAY()-N38,DP38-N38)</f>
        <v>14</v>
      </c>
      <c r="DV38" s="184">
        <f ca="1">DU38-DT38</f>
        <v>4</v>
      </c>
      <c r="DX38" s="185" t="s">
        <v>245</v>
      </c>
      <c r="DY38" s="108" t="str">
        <f>IF(_xlfn.XLOOKUP($E38,'[1]Import Eletra'!$B:$B,'[1]Import Eletra'!$DW:$DW,,0,1)=0,"",_xlfn.XLOOKUP($E38,'[1]Import Eletra'!$B:$B,'[1]Import Eletra'!$DW:$DW,0,1))</f>
        <v>ACCOUNTING/TAX MONTH-END CLOSING</v>
      </c>
      <c r="EB38" s="287"/>
      <c r="ED38" s="409">
        <f>IF(_xlfn.XLOOKUP($E38,'[1]Import Eletra'!$B:$B,'[1]Import Eletra'!$BQ:$BQ,,0,1)=0,"",_xlfn.XLOOKUP($E38,'[1]Import Eletra'!$B:$B,'[1]Import Eletra'!$BQ:$BQ,0,1))</f>
        <v>4311.3100000000004</v>
      </c>
      <c r="EE38" s="410">
        <f>IF(_xlfn.XLOOKUP($E38,'[1]Import Eletra'!$B:$B,'[1]Import Eletra'!$BR:$BR,,0,1)=0,"",_xlfn.XLOOKUP($E38,'[1]Import Eletra'!$B:$B,'[1]Import Eletra'!$BR:$BR,0,1))</f>
        <v>46214</v>
      </c>
      <c r="EF38" s="409" t="str">
        <f>IF(_xlfn.XLOOKUP($E38,'[1]Import Eletra'!$B:$B,'[1]Import Eletra'!$BS:$BS,,0,1)=0,"",_xlfn.XLOOKUP($E38,'[1]Import Eletra'!$B:$B,'[1]Import Eletra'!$BS:$BS,0,1))</f>
        <v/>
      </c>
      <c r="EG38" s="410" t="str">
        <f>IF(_xlfn.XLOOKUP($E38,'[1]Import Eletra'!$B:$B,'[1]Import Eletra'!$BT:$BT,,0,1)=0,"",_xlfn.XLOOKUP($E38,'[1]Import Eletra'!$B:$B,'[1]Import Eletra'!$BT:$BT,0,1))</f>
        <v/>
      </c>
      <c r="EH38" s="409" t="str">
        <f>IF(_xlfn.XLOOKUP($E38,'[1]Import Eletra'!$B:$B,'[1]Import Eletra'!$BU:$BU,,0,1)=0,"",_xlfn.XLOOKUP($E38,'[1]Import Eletra'!$B:$B,'[1]Import Eletra'!$BU:$BU,0,1))</f>
        <v/>
      </c>
      <c r="EI38" s="410" t="str">
        <f>IF(_xlfn.XLOOKUP($E38,'[1]Import Eletra'!$B:$B,'[1]Import Eletra'!$BV:$BV,,0,1)=0,"",_xlfn.XLOOKUP($E38,'[1]Import Eletra'!$B:$B,'[1]Import Eletra'!$BV:$BV,0,1))</f>
        <v/>
      </c>
      <c r="EJ38" s="410" t="str">
        <f>IF(_xlfn.XLOOKUP($E38,'[1]Import Eletra'!$B:$B,'[1]Import Eletra'!$CI:$CI,,0,1)=0,"",_xlfn.XLOOKUP($E38,'[1]Import Eletra'!$B:$B,'[1]Import Eletra'!$CI:$CI,0,1))</f>
        <v/>
      </c>
      <c r="EK38" s="410" t="str">
        <f>IF(_xlfn.XLOOKUP($E38,'[1]Import Eletra'!$B:$B,'[1]Import Eletra'!$CD:$CD,,0,1)=0,"",_xlfn.XLOOKUP($E38,'[1]Import Eletra'!$B:$B,'[1]Import Eletra'!$CD:$CD,0,1))</f>
        <v/>
      </c>
      <c r="EL38" s="410" t="str">
        <f>IF(_xlfn.XLOOKUP($E38,'[1]Import Eletra'!$B:$B,'[1]Import Eletra'!$CE:$CE,,0,1)=0,"",_xlfn.XLOOKUP($E38,'[1]Import Eletra'!$B:$B,'[1]Import Eletra'!$CE:$CE,0,1))</f>
        <v/>
      </c>
      <c r="EM38" s="411" t="str">
        <f>IF(_xlfn.XLOOKUP($E38,'[1]Import Eletra'!$B:$B,'[1]Import Eletra'!$E:$E,,0,1)=0,"",_xlfn.XLOOKUP($E38,'[1]Import Eletra'!$B:$B,'[1]Import Eletra'!$E:$E,0,1))</f>
        <v>LEISIANE</v>
      </c>
      <c r="EN38" s="408" t="str">
        <f>IF(_xlfn.XLOOKUP($E38,'[1]Import Eletra'!$B:$B,'[1]Import Eletra'!$R:$R,,0,1)=0,"",_xlfn.XLOOKUP($E38,'[1]Import Eletra'!$B:$B,'[1]Import Eletra'!$R:$R,0,1))</f>
        <v>YRN2600069-10</v>
      </c>
      <c r="EO38" s="408" t="str">
        <f>IF(_xlfn.XLOOKUP($E38,'[1]Import Eletra'!$B:$B,'[1]Import Eletra'!$P:$P,,0,1)=0,"",_xlfn.XLOOKUP($E38,'[1]Import Eletra'!$B:$B,'[1]Import Eletra'!$P:$P,0,1))</f>
        <v>DTW260521FOR</v>
      </c>
      <c r="EP38" s="408" t="str">
        <f>IF(_xlfn.XLOOKUP($E38,'[1]Import Eletra'!$B:$B,'[1]Import Eletra'!$T:$T,,0,1)=0,"",_xlfn.XLOOKUP($E38,'[1]Import Eletra'!$B:$B,'[1]Import Eletra'!$T:$T,0,1))</f>
        <v/>
      </c>
    </row>
    <row r="39" spans="2:146" ht="30" customHeight="1">
      <c r="B39" s="371" t="s">
        <v>336</v>
      </c>
      <c r="C39" s="369">
        <v>1</v>
      </c>
      <c r="D39" s="104" t="s">
        <v>357</v>
      </c>
      <c r="E39" s="212" t="s">
        <v>291</v>
      </c>
      <c r="F39" s="106">
        <f>IF(_xlfn.XLOOKUP($E39,'[1]Import Eletra'!$B:$B,'[1]Import Eletra'!$U:$U,,0,1)=0,"",_xlfn.XLOOKUP($E39,'[1]Import Eletra'!$B:$B,'[1]Import Eletra'!$U:$U,,0,1))</f>
        <v>0.5</v>
      </c>
      <c r="G39" s="301" t="s">
        <v>244</v>
      </c>
      <c r="H39" s="2" t="str">
        <f>_xlfn.XLOOKUP($E39,'[1]Import Eletra'!$B:$B,'[1]Import Eletra'!$F:$F,,0,1)</f>
        <v>DELIVERED</v>
      </c>
      <c r="I39" s="108" t="str">
        <f>_xlfn.XLOOKUP($E39,'[1]Import Eletra'!$B:$B,'[1]Import Eletra'!$G:$G,,0,1)</f>
        <v>SEA</v>
      </c>
      <c r="J39" s="326">
        <v>46114</v>
      </c>
      <c r="K39" s="109">
        <v>30</v>
      </c>
      <c r="L39" s="109">
        <f>M39-J39</f>
        <v>8</v>
      </c>
      <c r="M39" s="326">
        <f>IF(_xlfn.XLOOKUP($E39,'[1]Import Eletra'!$B:$B,'[1]Import Eletra'!$J:$J,,0,1)=0,"",_xlfn.XLOOKUP($E39,'[1]Import Eletra'!$B:$B,'[1]Import Eletra'!$J:$J,,0,1))</f>
        <v>46122</v>
      </c>
      <c r="N39" s="332">
        <f>IF(_xlfn.XLOOKUP($E39,'[1]Import Eletra'!$B:$B,'[1]Import Eletra'!$L:$L,,0,1)=0,"",_xlfn.XLOOKUP($E39,'[1]Import Eletra'!$B:$B,'[1]Import Eletra'!$L:$L,,0,1))</f>
        <v>46169</v>
      </c>
      <c r="O39" s="335">
        <f>IF(_xlfn.XLOOKUP($E39,'[1]Import Eletra'!$B:$B,'[1]Import Eletra'!$AK:$AK,,0,1)=0,"",_xlfn.XLOOKUP($E39,'[1]Import Eletra'!$B:$B,'[1]Import Eletra'!$AK:$AK,,0,1))</f>
        <v>46146</v>
      </c>
      <c r="P39" s="326">
        <f>IF(_xlfn.XLOOKUP($E39,'[1]Import Eletra'!$B:$B,'[1]Import Eletra'!$AL:$AL,,0,1)=0,"",_xlfn.XLOOKUP($E39,'[1]Import Eletra'!$B:$B,'[1]Import Eletra'!$AL:$AL,,0,1))</f>
        <v>46148</v>
      </c>
      <c r="Q39" s="326">
        <f>IF(_xlfn.XLOOKUP($E39,'[1]Import Eletra'!$B:$B,'[1]Import Eletra'!$AM:$AM,,0,1)=0,"",_xlfn.XLOOKUP($E39,'[1]Import Eletra'!$B:$B,'[1]Import Eletra'!$AM:$AM,,0,1))</f>
        <v>46155</v>
      </c>
      <c r="R39" s="326">
        <f>IF(_xlfn.XLOOKUP($E39,'[1]Import Eletra'!$B:$B,'[1]Import Eletra'!$AN:$AN,,0,1)=0,"",_xlfn.XLOOKUP($E39,'[1]Import Eletra'!$B:$B,'[1]Import Eletra'!$AN:$AN,,0,1))</f>
        <v>46168</v>
      </c>
      <c r="S39" s="326">
        <f>IF(_xlfn.XLOOKUP($E39,'[1]Import Eletra'!$B:$B,'[1]Import Eletra'!$AO:$AO,,0,1)=0,"",_xlfn.XLOOKUP($E39,'[1]Import Eletra'!$B:$B,'[1]Import Eletra'!$AO:$AO,,0,1))</f>
        <v>46169</v>
      </c>
      <c r="T39" s="326">
        <f>IF(_xlfn.XLOOKUP($E39,'[1]Import Eletra'!$B:$B,'[1]Import Eletra'!$AP:$AP,,0,1)=0,"",_xlfn.XLOOKUP($E39,'[1]Import Eletra'!$B:$B,'[1]Import Eletra'!$AP:$AP,,0,1))</f>
        <v>46169</v>
      </c>
      <c r="U39" s="326">
        <f>IF(_xlfn.XLOOKUP($E39,'[1]Import Eletra'!$B:$B,'[1]Import Eletra'!$AQ:$AQ,,0,1)=0,"",_xlfn.XLOOKUP($E39,'[1]Import Eletra'!$B:$B,'[1]Import Eletra'!$AQ:$AQ,,0,1))</f>
        <v>46169</v>
      </c>
      <c r="V39" s="339">
        <f>IF(_xlfn.XLOOKUP($E39,'[1]Import Eletra'!$B:$B,'[1]Import Eletra'!$AR:$AR,,0,1)=0,"",_xlfn.XLOOKUP($E39,'[1]Import Eletra'!$B:$B,'[1]Import Eletra'!$AR:$AR,,0,1))</f>
        <v>46170</v>
      </c>
      <c r="W39" s="335">
        <f>AB39-$AB$5</f>
        <v>46170</v>
      </c>
      <c r="X39" s="332">
        <f>IF(_xlfn.XLOOKUP($E39,'[1]Import Eletra'!$B:$B,'[1]Import Eletra'!$AS:$AS,,0,1)=0,"",_xlfn.XLOOKUP($E39,'[1]Import Eletra'!$B:$B,'[1]Import Eletra'!$AS:$AS,,0,1))</f>
        <v>46170</v>
      </c>
      <c r="Y39" s="113">
        <f>$W$4</f>
        <v>0</v>
      </c>
      <c r="Z39" s="113">
        <f ca="1">IF(X39="",TODAY()-W39,X39-W39)</f>
        <v>0</v>
      </c>
      <c r="AA39" s="184">
        <f ca="1">Z39-Y39</f>
        <v>0</v>
      </c>
      <c r="AB39" s="348">
        <f>AG39-$AB$5</f>
        <v>46171</v>
      </c>
      <c r="AC39" s="332">
        <f>IF(_xlfn.XLOOKUP($E39,'[1]Import Eletra'!$B:$B,'[1]Import Eletra'!$AD:$AD,,0,1)=0,"",_xlfn.XLOOKUP($E39,'[1]Import Eletra'!$B:$B,'[1]Import Eletra'!$AD:$AD,,0,1))</f>
        <v>46170</v>
      </c>
      <c r="AD39" s="113">
        <f>$AB$4</f>
        <v>0</v>
      </c>
      <c r="AE39" s="113">
        <f ca="1">IF(AC39="",TODAY()-AB39,AC39-AB39)</f>
        <v>-1</v>
      </c>
      <c r="AF39" s="184">
        <f ca="1">AE39-AD39</f>
        <v>-1</v>
      </c>
      <c r="AG39" s="355">
        <f>AL39-$AL$5</f>
        <v>46172</v>
      </c>
      <c r="AH39" s="332">
        <f>IF(_xlfn.XLOOKUP($E39,'[1]Import Eletra'!$B:$B,'[1]Import Eletra'!$AE:$AE,,0,1)=0,"",_xlfn.XLOOKUP($E39,'[1]Import Eletra'!$B:$B,'[1]Import Eletra'!$AE:$AE,,0,1))</f>
        <v>46170</v>
      </c>
      <c r="AI39" s="113">
        <f>$AG$4</f>
        <v>0</v>
      </c>
      <c r="AJ39" s="113">
        <f ca="1">IF(AH39="",TODAY()-AG39,AH39-AG39)</f>
        <v>-2</v>
      </c>
      <c r="AK39" s="184">
        <f ca="1">AJ39-AI39</f>
        <v>-2</v>
      </c>
      <c r="AL39" s="355">
        <f>AQ39-$AQ$5</f>
        <v>46172</v>
      </c>
      <c r="AM39" s="332">
        <f>IF(_xlfn.XLOOKUP($E39,'[1]Import Eletra'!$B:$B,'[1]Import Eletra'!$AT:$AT,,0,1)=0,"",_xlfn.XLOOKUP($E39,'[1]Import Eletra'!$B:$B,'[1]Import Eletra'!$AT:$AT,,0,1))</f>
        <v>46170</v>
      </c>
      <c r="AN39" s="113">
        <f>$AL$4</f>
        <v>0</v>
      </c>
      <c r="AO39" s="113">
        <f ca="1">IF(AM39="",TODAY()-AL39,AM39-AL39)</f>
        <v>-2</v>
      </c>
      <c r="AP39" s="184">
        <f ca="1">AO39-AN39</f>
        <v>-2</v>
      </c>
      <c r="AQ39" s="357">
        <f>AV39-$AV$5</f>
        <v>46173</v>
      </c>
      <c r="AR39" s="332">
        <f>IF(_xlfn.XLOOKUP($E39,'[1]Import Eletra'!$B:$B,'[1]Import Eletra'!$AU:$AU,,0,1)=0,"",_xlfn.XLOOKUP($E39,'[1]Import Eletra'!$B:$B,'[1]Import Eletra'!$AU:$AU,,0,1))</f>
        <v>46170</v>
      </c>
      <c r="AS39" s="113">
        <f>$AQ$4</f>
        <v>1</v>
      </c>
      <c r="AT39" s="113">
        <f ca="1">IF(AR39="",TODAY()-AQ39,AR39-AQ39)</f>
        <v>-3</v>
      </c>
      <c r="AU39" s="184">
        <f ca="1">AT39-AS39</f>
        <v>-4</v>
      </c>
      <c r="AV39" s="355">
        <f>BA39-$BA$5</f>
        <v>46173</v>
      </c>
      <c r="AW39" s="332">
        <f>IF(_xlfn.XLOOKUP($E39,'[1]Import Eletra'!$B:$B,'[1]Import Eletra'!$AV:$AV,,0,1)=0,"",_xlfn.XLOOKUP($E39,'[1]Import Eletra'!$B:$B,'[1]Import Eletra'!$AV:$AV,,0,1))</f>
        <v>46170</v>
      </c>
      <c r="AX39" s="113">
        <f>$AV$4</f>
        <v>0</v>
      </c>
      <c r="AY39" s="113">
        <f ca="1">IF(AW39="",TODAY()-AV39,AW39-AV39)</f>
        <v>-3</v>
      </c>
      <c r="AZ39" s="184">
        <f ca="1">AY39-AX39</f>
        <v>-3</v>
      </c>
      <c r="BA39" s="357">
        <f>BF39-$BF$5</f>
        <v>46173</v>
      </c>
      <c r="BB39" s="332">
        <f>IF(_xlfn.XLOOKUP($E39,'[1]Import Eletra'!$B:$B,'[1]Import Eletra'!$AW:$AW,,0,1)=0,"",_xlfn.XLOOKUP($E39,'[1]Import Eletra'!$B:$B,'[1]Import Eletra'!$AW:$AW,,0,1))</f>
        <v>46170</v>
      </c>
      <c r="BC39" s="113">
        <f>$BA$4</f>
        <v>0</v>
      </c>
      <c r="BD39" s="113">
        <f ca="1">IF(BB39="",TODAY()-BA39,BB39-BA39)</f>
        <v>-3</v>
      </c>
      <c r="BE39" s="184">
        <f ca="1">BD39-BC39</f>
        <v>-3</v>
      </c>
      <c r="BF39" s="335">
        <f>BK39-$BK$5</f>
        <v>46173</v>
      </c>
      <c r="BG39" s="332">
        <f>IF(_xlfn.XLOOKUP($E39,'[1]Import Eletra'!$B:$B,'[1]Import Eletra'!$AX:$AX,,0,1)=0,"",_xlfn.XLOOKUP($E39,'[1]Import Eletra'!$B:$B,'[1]Import Eletra'!$AX:$AX,,0,1))</f>
        <v>46171</v>
      </c>
      <c r="BH39" s="113">
        <f>$BF$4</f>
        <v>0</v>
      </c>
      <c r="BI39" s="113">
        <f ca="1">IF(BG39="",TODAY()-BF39,BG39-BF39)</f>
        <v>-2</v>
      </c>
      <c r="BJ39" s="184">
        <f ca="1">BI39-BH39</f>
        <v>-2</v>
      </c>
      <c r="BK39" s="362">
        <f>BP39-$BP$5</f>
        <v>46173</v>
      </c>
      <c r="BL39" s="332" t="str">
        <f>IF(_xlfn.XLOOKUP($E39,'[1]Import Eletra'!$B:$B,'[1]Import Eletra'!$AY:$AY,,0,1)=0,"",_xlfn.XLOOKUP($E39,'[1]Import Eletra'!$B:$B,'[1]Import Eletra'!$AY:$AY,,0,1))</f>
        <v/>
      </c>
      <c r="BM39" s="113">
        <f>$BK$4</f>
        <v>0</v>
      </c>
      <c r="BN39" s="113">
        <f ca="1">IF(BL39="",TODAY()-BK39,BL39-BK39)</f>
        <v>38</v>
      </c>
      <c r="BO39" s="184">
        <f ca="1">BN39-BM39</f>
        <v>38</v>
      </c>
      <c r="BP39" s="335">
        <f>BU39-$BU$5</f>
        <v>46173</v>
      </c>
      <c r="BQ39" s="332" t="str">
        <f>IF(_xlfn.XLOOKUP($E39,'[1]Import Eletra'!$B:$B,'[1]Import Eletra'!$AZ:$AZ,,0,1)=0,"",_xlfn.XLOOKUP($E39,'[1]Import Eletra'!$B:$B,'[1]Import Eletra'!$AZ:$AZ,,0,1))</f>
        <v/>
      </c>
      <c r="BR39" s="113">
        <f>$BP$4</f>
        <v>0</v>
      </c>
      <c r="BS39" s="113">
        <f ca="1">IF(BQ39="",TODAY()-BP39,BQ39-BP39)</f>
        <v>38</v>
      </c>
      <c r="BT39" s="184">
        <f ca="1">BS39-BR39</f>
        <v>38</v>
      </c>
      <c r="BU39" s="362">
        <f>BZ39-$BZ$4</f>
        <v>46175</v>
      </c>
      <c r="BV39" s="332">
        <f>IF(_xlfn.XLOOKUP($E39,'[1]Import Eletra'!$B:$B,'[1]Import Eletra'!$BA:$BA,,0,1)=0,"",_xlfn.XLOOKUP($E39,'[1]Import Eletra'!$B:$B,'[1]Import Eletra'!$BA:$BA,,0,1))</f>
        <v>46178</v>
      </c>
      <c r="BW39" s="113">
        <f>$BU$4</f>
        <v>2</v>
      </c>
      <c r="BX39" s="113">
        <f ca="1">IF(BV39="",TODAY()-BU39,BV39-BU39)</f>
        <v>3</v>
      </c>
      <c r="BY39" s="184">
        <f ca="1">BX39-BW39</f>
        <v>1</v>
      </c>
      <c r="BZ39" s="335">
        <f>CE39-$CE$5</f>
        <v>46175</v>
      </c>
      <c r="CA39" s="332">
        <f>IF(_xlfn.XLOOKUP($E39,'[1]Import Eletra'!$B:$B,'[1]Import Eletra'!$BB:$BB,,0,1)=0,"",_xlfn.XLOOKUP($E39,'[1]Import Eletra'!$B:$B,'[1]Import Eletra'!$BB:$BB,,0,1))</f>
        <v>46178</v>
      </c>
      <c r="CB39" s="113">
        <f>$BZ$4</f>
        <v>0</v>
      </c>
      <c r="CC39" s="113">
        <f ca="1">IF(CA39="",TODAY()-BZ39,CA39-BZ39)</f>
        <v>3</v>
      </c>
      <c r="CD39" s="184">
        <f ca="1">CC39-CB39</f>
        <v>3</v>
      </c>
      <c r="CE39" s="362">
        <f>CJ39-$CJ$4</f>
        <v>46175</v>
      </c>
      <c r="CF39" s="332">
        <f>IF(_xlfn.XLOOKUP($E39,'[1]Import Eletra'!$B:$B,'[1]Import Eletra'!$BC:$BC,,0,1)=0,"",_xlfn.XLOOKUP($E39,'[1]Import Eletra'!$B:$B,'[1]Import Eletra'!$BC:$BC,,0,1))</f>
        <v>46178</v>
      </c>
      <c r="CG39" s="113">
        <f>$CE$4</f>
        <v>0</v>
      </c>
      <c r="CH39" s="113">
        <f ca="1">IF(CF39="",TODAY()-CE39,CF39-CE39)</f>
        <v>3</v>
      </c>
      <c r="CI39" s="184">
        <f ca="1">CH39-CG39</f>
        <v>3</v>
      </c>
      <c r="CJ39" s="335">
        <f>CO39-$CO$4</f>
        <v>46175</v>
      </c>
      <c r="CK39" s="332">
        <f>IF(_xlfn.XLOOKUP($E39,'[1]Import Eletra'!$B:$B,'[1]Import Eletra'!$BD:$BD,,0,1)=0,"",_xlfn.XLOOKUP($E39,'[1]Import Eletra'!$B:$B,'[1]Import Eletra'!$BD:$BD,,0,1))</f>
        <v>46171</v>
      </c>
      <c r="CL39" s="113"/>
      <c r="CM39" s="113">
        <f ca="1">IF(CK39="",TODAY()-CJ39,CK39-CJ39)</f>
        <v>-4</v>
      </c>
      <c r="CN39" s="184">
        <f ca="1">CM39-CL39</f>
        <v>-4</v>
      </c>
      <c r="CO39" s="362">
        <f>CT39-$CT$4</f>
        <v>46175</v>
      </c>
      <c r="CP39" s="332">
        <f>IF(_xlfn.XLOOKUP($E39,'[1]Import Eletra'!$B:$B,'[1]Import Eletra'!$BE:$BE,,0,1)=0,"",_xlfn.XLOOKUP($E39,'[1]Import Eletra'!$B:$B,'[1]Import Eletra'!$BE:$BE,,0,1))</f>
        <v>46171</v>
      </c>
      <c r="CQ39" s="113">
        <f>$CO$4</f>
        <v>0</v>
      </c>
      <c r="CR39" s="113">
        <f ca="1">IF(CP39="",TODAY()-CO39,CP39-CO39)</f>
        <v>-4</v>
      </c>
      <c r="CS39" s="184">
        <f ca="1">CR39-CQ39</f>
        <v>-4</v>
      </c>
      <c r="CT39" s="335">
        <f>CY39-$CY$4</f>
        <v>46175</v>
      </c>
      <c r="CU39" s="332">
        <f>IF(_xlfn.XLOOKUP($E39,'[1]Import Eletra'!$B:$B,'[1]Import Eletra'!$BF:$BF,,0,1)=0,"",_xlfn.XLOOKUP($E39,'[1]Import Eletra'!$B:$B,'[1]Import Eletra'!$BF:$BF,,0,1))</f>
        <v>46171</v>
      </c>
      <c r="CV39" s="113">
        <f>$CT$4</f>
        <v>0</v>
      </c>
      <c r="CW39" s="113">
        <f ca="1">IF(CU39="",TODAY()-CT39,CU39-CT39)</f>
        <v>-4</v>
      </c>
      <c r="CX39" s="184">
        <f ca="1">CW39-CV39</f>
        <v>-4</v>
      </c>
      <c r="CY39" s="110">
        <f>DD39-$DD$4</f>
        <v>46175</v>
      </c>
      <c r="CZ39" s="247">
        <f>IF(_xlfn.XLOOKUP($E39,'[1]Import Eletra'!$B:$B,'[1]Import Eletra'!$BF:$BF,,0,1)=0,"",_xlfn.XLOOKUP($E39,'[1]Import Eletra'!$B:$B,'[1]Import Eletra'!$BF:$BF,,0,1))</f>
        <v>46171</v>
      </c>
      <c r="DA39" s="210">
        <f>$CY$4</f>
        <v>0</v>
      </c>
      <c r="DB39" s="113">
        <f ca="1">IF(CZ39="",TODAY()-CY39,CZ39-CY39)</f>
        <v>-4</v>
      </c>
      <c r="DC39" s="184">
        <f ca="1">DB39-DA39</f>
        <v>-4</v>
      </c>
      <c r="DD39" s="110">
        <f>DI39-$DI$4</f>
        <v>46177</v>
      </c>
      <c r="DE39" s="247">
        <f>IF(_xlfn.XLOOKUP($E39,'[1]Import Eletra'!$B:$B,'[1]Import Eletra'!$BG:$BG,,0,1)=0,"",_xlfn.XLOOKUP($E39,'[1]Import Eletra'!$B:$B,'[1]Import Eletra'!$BG:$BG,0,1))</f>
        <v>46178</v>
      </c>
      <c r="DF39" s="113">
        <f>$DD$4</f>
        <v>2</v>
      </c>
      <c r="DG39" s="113">
        <f ca="1">IF(DE39="",TODAY()-DD39,DE39-DD39)</f>
        <v>1</v>
      </c>
      <c r="DH39" s="184">
        <f ca="1">DG39-DF39</f>
        <v>-1</v>
      </c>
      <c r="DI39" s="110">
        <f>DO39-$DN$4</f>
        <v>46178</v>
      </c>
      <c r="DJ39" s="247">
        <f>IF(_xlfn.XLOOKUP($E39,'[1]Import Eletra'!$B:$B,'[1]Import Eletra'!$BH:$BH,,0,1)=0,"",_xlfn.XLOOKUP($E39,'[1]Import Eletra'!$B:$B,'[1]Import Eletra'!$BH:$BH,0,1))</f>
        <v>46179</v>
      </c>
      <c r="DK39" s="112">
        <f>$DI$4</f>
        <v>1</v>
      </c>
      <c r="DL39" s="112">
        <f ca="1">IF(DJ39="",TODAY()-DI39,DJ39-DI39)</f>
        <v>1</v>
      </c>
      <c r="DM39" s="184">
        <f ca="1">DL39-DK39</f>
        <v>0</v>
      </c>
      <c r="DN39" s="64"/>
      <c r="DO39" s="202">
        <f>N39+DT39</f>
        <v>46179</v>
      </c>
      <c r="DP39" s="165">
        <f>IF(_xlfn.XLOOKUP($E39,'[1]Import Eletra'!$B:$B,'[1]Import Eletra'!$O:$O,,0,1)=0,"",_xlfn.XLOOKUP($E39,'[1]Import Eletra'!$B:$B,'[1]Import Eletra'!$O:$O,0,1))</f>
        <v>46179</v>
      </c>
      <c r="DQ39" s="112">
        <f>$DN$4</f>
        <v>1</v>
      </c>
      <c r="DR39" s="112">
        <f ca="1">IF(DP39="",TODAY()-DO39,DP39-DO39)</f>
        <v>0</v>
      </c>
      <c r="DS39" s="184">
        <f ca="1">DR39-DQ39</f>
        <v>-1</v>
      </c>
      <c r="DT39" s="143">
        <v>10</v>
      </c>
      <c r="DU39" s="140">
        <f ca="1">IF(DP39="",TODAY()-N39,DP39-N39)</f>
        <v>10</v>
      </c>
      <c r="DV39" s="184">
        <f ca="1">DU39-DT39</f>
        <v>0</v>
      </c>
      <c r="DX39" s="185" t="s">
        <v>245</v>
      </c>
      <c r="DY39" s="108" t="str">
        <f>IF(_xlfn.XLOOKUP($E39,'[1]Import Eletra'!$B:$B,'[1]Import Eletra'!$DW:$DW,,0,1)=0,"",_xlfn.XLOOKUP($E39,'[1]Import Eletra'!$B:$B,'[1]Import Eletra'!$DW:$DW,0,1))</f>
        <v>SEFAZ HOMOLOGATION - NF/GLME</v>
      </c>
      <c r="EB39" s="287"/>
      <c r="ED39" s="409">
        <f>IF(_xlfn.XLOOKUP($E39,'[1]Import Eletra'!$B:$B,'[1]Import Eletra'!$BQ:$BQ,,0,1)=0,"",_xlfn.XLOOKUP($E39,'[1]Import Eletra'!$B:$B,'[1]Import Eletra'!$BQ:$BQ,0,1))</f>
        <v>409.14499999999998</v>
      </c>
      <c r="EE39" s="410">
        <f>IF(_xlfn.XLOOKUP($E39,'[1]Import Eletra'!$B:$B,'[1]Import Eletra'!$BR:$BR,,0,1)=0,"",_xlfn.XLOOKUP($E39,'[1]Import Eletra'!$B:$B,'[1]Import Eletra'!$BR:$BR,0,1))</f>
        <v>46178</v>
      </c>
      <c r="EF39" s="409" t="str">
        <f>IF(_xlfn.XLOOKUP($E39,'[1]Import Eletra'!$B:$B,'[1]Import Eletra'!$BS:$BS,,0,1)=0,"",_xlfn.XLOOKUP($E39,'[1]Import Eletra'!$B:$B,'[1]Import Eletra'!$BS:$BS,0,1))</f>
        <v/>
      </c>
      <c r="EG39" s="410" t="str">
        <f>IF(_xlfn.XLOOKUP($E39,'[1]Import Eletra'!$B:$B,'[1]Import Eletra'!$BT:$BT,,0,1)=0,"",_xlfn.XLOOKUP($E39,'[1]Import Eletra'!$B:$B,'[1]Import Eletra'!$BT:$BT,0,1))</f>
        <v/>
      </c>
      <c r="EH39" s="409" t="str">
        <f>IF(_xlfn.XLOOKUP($E39,'[1]Import Eletra'!$B:$B,'[1]Import Eletra'!$BU:$BU,,0,1)=0,"",_xlfn.XLOOKUP($E39,'[1]Import Eletra'!$B:$B,'[1]Import Eletra'!$BU:$BU,0,1))</f>
        <v/>
      </c>
      <c r="EI39" s="410" t="str">
        <f>IF(_xlfn.XLOOKUP($E39,'[1]Import Eletra'!$B:$B,'[1]Import Eletra'!$BV:$BV,,0,1)=0,"",_xlfn.XLOOKUP($E39,'[1]Import Eletra'!$B:$B,'[1]Import Eletra'!$BV:$BV,0,1))</f>
        <v/>
      </c>
      <c r="EJ39" s="410">
        <f>IF(_xlfn.XLOOKUP($E39,'[1]Import Eletra'!$B:$B,'[1]Import Eletra'!$CI:$CI,,0,1)=0,"",_xlfn.XLOOKUP($E39,'[1]Import Eletra'!$B:$B,'[1]Import Eletra'!$CI:$CI,0,1))</f>
        <v>46187</v>
      </c>
      <c r="EK39" s="410" t="str">
        <f>IF(_xlfn.XLOOKUP($E39,'[1]Import Eletra'!$B:$B,'[1]Import Eletra'!$CD:$CD,,0,1)=0,"",_xlfn.XLOOKUP($E39,'[1]Import Eletra'!$B:$B,'[1]Import Eletra'!$CD:$CD,0,1))</f>
        <v/>
      </c>
      <c r="EL39" s="410" t="str">
        <f>IF(_xlfn.XLOOKUP($E39,'[1]Import Eletra'!$B:$B,'[1]Import Eletra'!$CE:$CE,,0,1)=0,"",_xlfn.XLOOKUP($E39,'[1]Import Eletra'!$B:$B,'[1]Import Eletra'!$CE:$CE,0,1))</f>
        <v>NÃO</v>
      </c>
      <c r="EM39" s="411" t="str">
        <f>IF(_xlfn.XLOOKUP($E39,'[1]Import Eletra'!$B:$B,'[1]Import Eletra'!$E:$E,,0,1)=0,"",_xlfn.XLOOKUP($E39,'[1]Import Eletra'!$B:$B,'[1]Import Eletra'!$E:$E,0,1))</f>
        <v>LEISIANE</v>
      </c>
      <c r="EN39" s="408" t="str">
        <f>IF(_xlfn.XLOOKUP($E39,'[1]Import Eletra'!$B:$B,'[1]Import Eletra'!$R:$R,,0,1)=0,"",_xlfn.XLOOKUP($E39,'[1]Import Eletra'!$B:$B,'[1]Import Eletra'!$R:$R,0,1))</f>
        <v>PWBR260060-10C</v>
      </c>
      <c r="EO39" s="408" t="str">
        <f>IF(_xlfn.XLOOKUP($E39,'[1]Import Eletra'!$B:$B,'[1]Import Eletra'!$P:$P,,0,1)=0,"",_xlfn.XLOOKUP($E39,'[1]Import Eletra'!$B:$B,'[1]Import Eletra'!$P:$P,0,1))</f>
        <v>SDBLBS594324</v>
      </c>
      <c r="EP39" s="408" t="str">
        <f>IF(_xlfn.XLOOKUP($E39,'[1]Import Eletra'!$B:$B,'[1]Import Eletra'!$T:$T,,0,1)=0,"",_xlfn.XLOOKUP($E39,'[1]Import Eletra'!$B:$B,'[1]Import Eletra'!$T:$T,0,1))</f>
        <v>TRIU8677304</v>
      </c>
    </row>
    <row r="40" spans="2:146" ht="30" customHeight="1">
      <c r="B40" s="371" t="s">
        <v>336</v>
      </c>
      <c r="C40" s="369">
        <v>2</v>
      </c>
      <c r="D40" s="104" t="s">
        <v>278</v>
      </c>
      <c r="E40" s="212" t="s">
        <v>290</v>
      </c>
      <c r="F40" s="106">
        <f>IF(_xlfn.XLOOKUP($E40,'[1]Import Eletra'!$B:$B,'[1]Import Eletra'!$U:$U,,0,1)=0,"",_xlfn.XLOOKUP($E40,'[1]Import Eletra'!$B:$B,'[1]Import Eletra'!$U:$U,,0,1))</f>
        <v>3</v>
      </c>
      <c r="G40" s="301" t="s">
        <v>244</v>
      </c>
      <c r="H40" s="2" t="str">
        <f>_xlfn.XLOOKUP($E40,'[1]Import Eletra'!$B:$B,'[1]Import Eletra'!$F:$F,,0,1)</f>
        <v>DELIVERED</v>
      </c>
      <c r="I40" s="108" t="str">
        <f>_xlfn.XLOOKUP($E40,'[1]Import Eletra'!$B:$B,'[1]Import Eletra'!$G:$G,,0,1)</f>
        <v>SEA</v>
      </c>
      <c r="J40" s="326">
        <v>46092</v>
      </c>
      <c r="K40" s="109">
        <v>30</v>
      </c>
      <c r="L40" s="109">
        <f>M40-J40</f>
        <v>30</v>
      </c>
      <c r="M40" s="326">
        <f>IF(_xlfn.XLOOKUP($E40,'[1]Import Eletra'!$B:$B,'[1]Import Eletra'!$J:$J,,0,1)=0,"",_xlfn.XLOOKUP($E40,'[1]Import Eletra'!$B:$B,'[1]Import Eletra'!$J:$J,,0,1))</f>
        <v>46122</v>
      </c>
      <c r="N40" s="332">
        <f>IF(_xlfn.XLOOKUP($E40,'[1]Import Eletra'!$B:$B,'[1]Import Eletra'!$L:$L,,0,1)=0,"",_xlfn.XLOOKUP($E40,'[1]Import Eletra'!$B:$B,'[1]Import Eletra'!$L:$L,,0,1))</f>
        <v>46169</v>
      </c>
      <c r="O40" s="335">
        <f>IF(_xlfn.XLOOKUP($E40,'[1]Import Eletra'!$B:$B,'[1]Import Eletra'!$AK:$AK,,0,1)=0,"",_xlfn.XLOOKUP($E40,'[1]Import Eletra'!$B:$B,'[1]Import Eletra'!$AK:$AK,,0,1))</f>
        <v>46141</v>
      </c>
      <c r="P40" s="326">
        <f>IF(_xlfn.XLOOKUP($E40,'[1]Import Eletra'!$B:$B,'[1]Import Eletra'!$AL:$AL,,0,1)=0,"",_xlfn.XLOOKUP($E40,'[1]Import Eletra'!$B:$B,'[1]Import Eletra'!$AL:$AL,,0,1))</f>
        <v>46148</v>
      </c>
      <c r="Q40" s="326">
        <f>IF(_xlfn.XLOOKUP($E40,'[1]Import Eletra'!$B:$B,'[1]Import Eletra'!$AM:$AM,,0,1)=0,"",_xlfn.XLOOKUP($E40,'[1]Import Eletra'!$B:$B,'[1]Import Eletra'!$AM:$AM,,0,1))</f>
        <v>46156</v>
      </c>
      <c r="R40" s="326">
        <f>IF(_xlfn.XLOOKUP($E40,'[1]Import Eletra'!$B:$B,'[1]Import Eletra'!$AN:$AN,,0,1)=0,"",_xlfn.XLOOKUP($E40,'[1]Import Eletra'!$B:$B,'[1]Import Eletra'!$AN:$AN,,0,1))</f>
        <v>46168</v>
      </c>
      <c r="S40" s="326">
        <f>IF(_xlfn.XLOOKUP($E40,'[1]Import Eletra'!$B:$B,'[1]Import Eletra'!$AO:$AO,,0,1)=0,"",_xlfn.XLOOKUP($E40,'[1]Import Eletra'!$B:$B,'[1]Import Eletra'!$AO:$AO,,0,1))</f>
        <v>46169</v>
      </c>
      <c r="T40" s="326">
        <f>IF(_xlfn.XLOOKUP($E40,'[1]Import Eletra'!$B:$B,'[1]Import Eletra'!$AP:$AP,,0,1)=0,"",_xlfn.XLOOKUP($E40,'[1]Import Eletra'!$B:$B,'[1]Import Eletra'!$AP:$AP,,0,1))</f>
        <v>46169</v>
      </c>
      <c r="U40" s="326">
        <f>IF(_xlfn.XLOOKUP($E40,'[1]Import Eletra'!$B:$B,'[1]Import Eletra'!$AQ:$AQ,,0,1)=0,"",_xlfn.XLOOKUP($E40,'[1]Import Eletra'!$B:$B,'[1]Import Eletra'!$AQ:$AQ,,0,1))</f>
        <v>46169</v>
      </c>
      <c r="V40" s="339">
        <f>IF(_xlfn.XLOOKUP($E40,'[1]Import Eletra'!$B:$B,'[1]Import Eletra'!$AR:$AR,,0,1)=0,"",_xlfn.XLOOKUP($E40,'[1]Import Eletra'!$B:$B,'[1]Import Eletra'!$AR:$AR,,0,1))</f>
        <v>46170</v>
      </c>
      <c r="W40" s="335">
        <f>AB40-$AB$5</f>
        <v>46170</v>
      </c>
      <c r="X40" s="332">
        <f>IF(_xlfn.XLOOKUP($E40,'[1]Import Eletra'!$B:$B,'[1]Import Eletra'!$AS:$AS,,0,1)=0,"",_xlfn.XLOOKUP($E40,'[1]Import Eletra'!$B:$B,'[1]Import Eletra'!$AS:$AS,,0,1))</f>
        <v>46174</v>
      </c>
      <c r="Y40" s="113">
        <f>$W$4</f>
        <v>0</v>
      </c>
      <c r="Z40" s="113">
        <f ca="1">IF(X40="",TODAY()-W40,X40-W40)</f>
        <v>4</v>
      </c>
      <c r="AA40" s="184">
        <f ca="1">Z40-Y40</f>
        <v>4</v>
      </c>
      <c r="AB40" s="348">
        <f>AG40-$AB$5</f>
        <v>46171</v>
      </c>
      <c r="AC40" s="351">
        <f>IF(_xlfn.XLOOKUP($E40,'[1]Import Eletra'!$B:$B,'[1]Import Eletra'!$AD:$AD,,0,1)=0,"",_xlfn.XLOOKUP($E40,'[1]Import Eletra'!$B:$B,'[1]Import Eletra'!$AD:$AD,,0,1))</f>
        <v>46174</v>
      </c>
      <c r="AD40" s="113">
        <f>$AB$4</f>
        <v>0</v>
      </c>
      <c r="AE40" s="113">
        <f ca="1">IF(AC40="",TODAY()-AB40,AC40-AB40)</f>
        <v>3</v>
      </c>
      <c r="AF40" s="184">
        <f ca="1">AE40-AD40</f>
        <v>3</v>
      </c>
      <c r="AG40" s="355">
        <f>AL40-$AL$5</f>
        <v>46172</v>
      </c>
      <c r="AH40" s="332">
        <f>IF(_xlfn.XLOOKUP($E40,'[1]Import Eletra'!$B:$B,'[1]Import Eletra'!$AE:$AE,,0,1)=0,"",_xlfn.XLOOKUP($E40,'[1]Import Eletra'!$B:$B,'[1]Import Eletra'!$AE:$AE,,0,1))</f>
        <v>46175</v>
      </c>
      <c r="AI40" s="113">
        <f>$AG$4</f>
        <v>0</v>
      </c>
      <c r="AJ40" s="113">
        <f ca="1">IF(AH40="",TODAY()-AG40,AH40-AG40)</f>
        <v>3</v>
      </c>
      <c r="AK40" s="184">
        <f ca="1">AJ40-AI40</f>
        <v>3</v>
      </c>
      <c r="AL40" s="355">
        <f>AQ40-$AQ$5</f>
        <v>46172</v>
      </c>
      <c r="AM40" s="332">
        <f>IF(_xlfn.XLOOKUP($E40,'[1]Import Eletra'!$B:$B,'[1]Import Eletra'!$AT:$AT,,0,1)=0,"",_xlfn.XLOOKUP($E40,'[1]Import Eletra'!$B:$B,'[1]Import Eletra'!$AT:$AT,,0,1))</f>
        <v>46174</v>
      </c>
      <c r="AN40" s="113">
        <f>$AL$4</f>
        <v>0</v>
      </c>
      <c r="AO40" s="113">
        <f ca="1">IF(AM40="",TODAY()-AL40,AM40-AL40)</f>
        <v>2</v>
      </c>
      <c r="AP40" s="184">
        <f ca="1">AO40-AN40</f>
        <v>2</v>
      </c>
      <c r="AQ40" s="357">
        <f>AV40-$AV$5</f>
        <v>46173</v>
      </c>
      <c r="AR40" s="332">
        <f>IF(_xlfn.XLOOKUP($E40,'[1]Import Eletra'!$B:$B,'[1]Import Eletra'!$AU:$AU,,0,1)=0,"",_xlfn.XLOOKUP($E40,'[1]Import Eletra'!$B:$B,'[1]Import Eletra'!$AU:$AU,,0,1))</f>
        <v>46175</v>
      </c>
      <c r="AS40" s="113">
        <f>$AQ$4</f>
        <v>1</v>
      </c>
      <c r="AT40" s="113">
        <f ca="1">IF(AR40="",TODAY()-AQ40,AR40-AQ40)</f>
        <v>2</v>
      </c>
      <c r="AU40" s="184">
        <f ca="1">AT40-AS40</f>
        <v>1</v>
      </c>
      <c r="AV40" s="355">
        <f>BA40-$BA$5</f>
        <v>46173</v>
      </c>
      <c r="AW40" s="332" t="str">
        <f>IF(_xlfn.XLOOKUP($E40,'[1]Import Eletra'!$B:$B,'[1]Import Eletra'!$AV:$AV,,0,1)=0,"",_xlfn.XLOOKUP($E40,'[1]Import Eletra'!$B:$B,'[1]Import Eletra'!$AV:$AV,,0,1))</f>
        <v/>
      </c>
      <c r="AX40" s="113">
        <f>$AV$4</f>
        <v>0</v>
      </c>
      <c r="AY40" s="113">
        <f ca="1">IF(AW40="",TODAY()-AV40,AW40-AV40)</f>
        <v>38</v>
      </c>
      <c r="AZ40" s="184">
        <f ca="1">AY40-AX40</f>
        <v>38</v>
      </c>
      <c r="BA40" s="357">
        <f>BF40-$BF$5</f>
        <v>46173</v>
      </c>
      <c r="BB40" s="332" t="str">
        <f>IF(_xlfn.XLOOKUP($E40,'[1]Import Eletra'!$B:$B,'[1]Import Eletra'!$AW:$AW,,0,1)=0,"",_xlfn.XLOOKUP($E40,'[1]Import Eletra'!$B:$B,'[1]Import Eletra'!$AW:$AW,,0,1))</f>
        <v/>
      </c>
      <c r="BC40" s="113">
        <f>$BA$4</f>
        <v>0</v>
      </c>
      <c r="BD40" s="113">
        <f ca="1">IF(BB40="",TODAY()-BA40,BB40-BA40)</f>
        <v>38</v>
      </c>
      <c r="BE40" s="184">
        <f ca="1">BD40-BC40</f>
        <v>38</v>
      </c>
      <c r="BF40" s="335">
        <f>BK40-$BK$5</f>
        <v>46173</v>
      </c>
      <c r="BG40" s="332" t="str">
        <f>IF(_xlfn.XLOOKUP($E40,'[1]Import Eletra'!$B:$B,'[1]Import Eletra'!$AX:$AX,,0,1)=0,"",_xlfn.XLOOKUP($E40,'[1]Import Eletra'!$B:$B,'[1]Import Eletra'!$AX:$AX,,0,1))</f>
        <v/>
      </c>
      <c r="BH40" s="113">
        <f>$BF$4</f>
        <v>0</v>
      </c>
      <c r="BI40" s="113">
        <f ca="1">IF(BG40="",TODAY()-BF40,BG40-BF40)</f>
        <v>38</v>
      </c>
      <c r="BJ40" s="184">
        <f ca="1">BI40-BH40</f>
        <v>38</v>
      </c>
      <c r="BK40" s="362">
        <f>BP40-$BP$5</f>
        <v>46173</v>
      </c>
      <c r="BL40" s="332" t="str">
        <f>IF(_xlfn.XLOOKUP($E40,'[1]Import Eletra'!$B:$B,'[1]Import Eletra'!$AY:$AY,,0,1)=0,"",_xlfn.XLOOKUP($E40,'[1]Import Eletra'!$B:$B,'[1]Import Eletra'!$AY:$AY,,0,1))</f>
        <v/>
      </c>
      <c r="BM40" s="113">
        <f>$BK$4</f>
        <v>0</v>
      </c>
      <c r="BN40" s="113">
        <f ca="1">IF(BL40="",TODAY()-BK40,BL40-BK40)</f>
        <v>38</v>
      </c>
      <c r="BO40" s="184">
        <f ca="1">BN40-BM40</f>
        <v>38</v>
      </c>
      <c r="BP40" s="335">
        <f>BU40-$BU$5</f>
        <v>46173</v>
      </c>
      <c r="BQ40" s="332" t="str">
        <f>IF(_xlfn.XLOOKUP($E40,'[1]Import Eletra'!$B:$B,'[1]Import Eletra'!$AZ:$AZ,,0,1)=0,"",_xlfn.XLOOKUP($E40,'[1]Import Eletra'!$B:$B,'[1]Import Eletra'!$AZ:$AZ,,0,1))</f>
        <v/>
      </c>
      <c r="BR40" s="113">
        <f>$BP$4</f>
        <v>0</v>
      </c>
      <c r="BS40" s="113">
        <f ca="1">IF(BQ40="",TODAY()-BP40,BQ40-BP40)</f>
        <v>38</v>
      </c>
      <c r="BT40" s="184">
        <f ca="1">BS40-BR40</f>
        <v>38</v>
      </c>
      <c r="BU40" s="362">
        <f>BZ40-$BZ$4</f>
        <v>46175</v>
      </c>
      <c r="BV40" s="332">
        <f>IF(_xlfn.XLOOKUP($E40,'[1]Import Eletra'!$B:$B,'[1]Import Eletra'!$BA:$BA,,0,1)=0,"",_xlfn.XLOOKUP($E40,'[1]Import Eletra'!$B:$B,'[1]Import Eletra'!$BA:$BA,,0,1))</f>
        <v>46178</v>
      </c>
      <c r="BW40" s="113">
        <f>$BU$4</f>
        <v>2</v>
      </c>
      <c r="BX40" s="113">
        <f ca="1">IF(BV40="",TODAY()-BU40,BV40-BU40)</f>
        <v>3</v>
      </c>
      <c r="BY40" s="184">
        <f ca="1">BX40-BW40</f>
        <v>1</v>
      </c>
      <c r="BZ40" s="335">
        <f>CE40-$CE$5</f>
        <v>46175</v>
      </c>
      <c r="CA40" s="332">
        <f>IF(_xlfn.XLOOKUP($E40,'[1]Import Eletra'!$B:$B,'[1]Import Eletra'!$BB:$BB,,0,1)=0,"",_xlfn.XLOOKUP($E40,'[1]Import Eletra'!$B:$B,'[1]Import Eletra'!$BB:$BB,,0,1))</f>
        <v>46178</v>
      </c>
      <c r="CB40" s="113">
        <f>$BZ$4</f>
        <v>0</v>
      </c>
      <c r="CC40" s="113">
        <f ca="1">IF(CA40="",TODAY()-BZ40,CA40-BZ40)</f>
        <v>3</v>
      </c>
      <c r="CD40" s="184">
        <f ca="1">CC40-CB40</f>
        <v>3</v>
      </c>
      <c r="CE40" s="362">
        <f>CJ40-$CJ$4</f>
        <v>46175</v>
      </c>
      <c r="CF40" s="332">
        <f>IF(_xlfn.XLOOKUP($E40,'[1]Import Eletra'!$B:$B,'[1]Import Eletra'!$BC:$BC,,0,1)=0,"",_xlfn.XLOOKUP($E40,'[1]Import Eletra'!$B:$B,'[1]Import Eletra'!$BC:$BC,,0,1))</f>
        <v>46181</v>
      </c>
      <c r="CG40" s="113">
        <f>$CE$4</f>
        <v>0</v>
      </c>
      <c r="CH40" s="113">
        <f ca="1">IF(CF40="",TODAY()-CE40,CF40-CE40)</f>
        <v>6</v>
      </c>
      <c r="CI40" s="184">
        <f ca="1">CH40-CG40</f>
        <v>6</v>
      </c>
      <c r="CJ40" s="335">
        <f>CO40-$CO$4</f>
        <v>46175</v>
      </c>
      <c r="CK40" s="332">
        <f>IF(_xlfn.XLOOKUP($E40,'[1]Import Eletra'!$B:$B,'[1]Import Eletra'!$BD:$BD,,0,1)=0,"",_xlfn.XLOOKUP($E40,'[1]Import Eletra'!$B:$B,'[1]Import Eletra'!$BD:$BD,,0,1))</f>
        <v>46175</v>
      </c>
      <c r="CL40" s="113"/>
      <c r="CM40" s="113">
        <f ca="1">IF(CK40="",TODAY()-CJ40,CK40-CJ40)</f>
        <v>0</v>
      </c>
      <c r="CN40" s="184">
        <f ca="1">CM40-CL40</f>
        <v>0</v>
      </c>
      <c r="CO40" s="362">
        <f>CT40-$CT$4</f>
        <v>46175</v>
      </c>
      <c r="CP40" s="332">
        <f>IF(_xlfn.XLOOKUP($E40,'[1]Import Eletra'!$B:$B,'[1]Import Eletra'!$BE:$BE,,0,1)=0,"",_xlfn.XLOOKUP($E40,'[1]Import Eletra'!$B:$B,'[1]Import Eletra'!$BE:$BE,,0,1))</f>
        <v>46175</v>
      </c>
      <c r="CQ40" s="113">
        <f>$CO$4</f>
        <v>0</v>
      </c>
      <c r="CR40" s="113">
        <f ca="1">IF(CP40="",TODAY()-CO40,CP40-CO40)</f>
        <v>0</v>
      </c>
      <c r="CS40" s="184">
        <f ca="1">CR40-CQ40</f>
        <v>0</v>
      </c>
      <c r="CT40" s="335">
        <f>CY40-$CY$4</f>
        <v>46175</v>
      </c>
      <c r="CU40" s="332">
        <f>IF(_xlfn.XLOOKUP($E40,'[1]Import Eletra'!$B:$B,'[1]Import Eletra'!$BF:$BF,,0,1)=0,"",_xlfn.XLOOKUP($E40,'[1]Import Eletra'!$B:$B,'[1]Import Eletra'!$BF:$BF,,0,1))</f>
        <v>46175</v>
      </c>
      <c r="CV40" s="113">
        <f>$CT$4</f>
        <v>0</v>
      </c>
      <c r="CW40" s="113">
        <f ca="1">IF(CU40="",TODAY()-CT40,CU40-CT40)</f>
        <v>0</v>
      </c>
      <c r="CX40" s="184">
        <f ca="1">CW40-CV40</f>
        <v>0</v>
      </c>
      <c r="CY40" s="110">
        <f>DD40-$DD$4</f>
        <v>46175</v>
      </c>
      <c r="CZ40" s="247">
        <f>IF(_xlfn.XLOOKUP($E40,'[1]Import Eletra'!$B:$B,'[1]Import Eletra'!$BF:$BF,,0,1)=0,"",_xlfn.XLOOKUP($E40,'[1]Import Eletra'!$B:$B,'[1]Import Eletra'!$BF:$BF,,0,1))</f>
        <v>46175</v>
      </c>
      <c r="DA40" s="210">
        <f>$CY$4</f>
        <v>0</v>
      </c>
      <c r="DB40" s="113">
        <f ca="1">IF(CZ40="",TODAY()-CY40,CZ40-CY40)</f>
        <v>0</v>
      </c>
      <c r="DC40" s="184">
        <f ca="1">DB40-DA40</f>
        <v>0</v>
      </c>
      <c r="DD40" s="110">
        <f>DI40-$DI$4</f>
        <v>46177</v>
      </c>
      <c r="DE40" s="247">
        <f>IF(_xlfn.XLOOKUP($E40,'[1]Import Eletra'!$B:$B,'[1]Import Eletra'!$BG:$BG,,0,1)=0,"",_xlfn.XLOOKUP($E40,'[1]Import Eletra'!$B:$B,'[1]Import Eletra'!$BG:$BG,0,1))</f>
        <v>46178</v>
      </c>
      <c r="DF40" s="113">
        <f>$DD$4</f>
        <v>2</v>
      </c>
      <c r="DG40" s="113">
        <f ca="1">IF(DE40="",TODAY()-DD40,DE40-DD40)</f>
        <v>1</v>
      </c>
      <c r="DH40" s="184">
        <f ca="1">DG40-DF40</f>
        <v>-1</v>
      </c>
      <c r="DI40" s="110">
        <f>DO40-$DN$4</f>
        <v>46178</v>
      </c>
      <c r="DJ40" s="247">
        <f>IF(_xlfn.XLOOKUP($E40,'[1]Import Eletra'!$B:$B,'[1]Import Eletra'!$BH:$BH,,0,1)=0,"",_xlfn.XLOOKUP($E40,'[1]Import Eletra'!$B:$B,'[1]Import Eletra'!$BH:$BH,0,1))</f>
        <v>46181</v>
      </c>
      <c r="DK40" s="112">
        <f>$DI$4</f>
        <v>1</v>
      </c>
      <c r="DL40" s="112">
        <f ca="1">IF(DJ40="",TODAY()-DI40,DJ40-DI40)</f>
        <v>3</v>
      </c>
      <c r="DM40" s="184">
        <f ca="1">DL40-DK40</f>
        <v>2</v>
      </c>
      <c r="DN40" s="64"/>
      <c r="DO40" s="202">
        <f>N40+DT40</f>
        <v>46179</v>
      </c>
      <c r="DP40" s="165">
        <f>IF(_xlfn.XLOOKUP($E40,'[1]Import Eletra'!$B:$B,'[1]Import Eletra'!$O:$O,,0,1)=0,"",_xlfn.XLOOKUP($E40,'[1]Import Eletra'!$B:$B,'[1]Import Eletra'!$O:$O,0,1))</f>
        <v>46181</v>
      </c>
      <c r="DQ40" s="112">
        <f>$DN$4</f>
        <v>1</v>
      </c>
      <c r="DR40" s="112">
        <f ca="1">IF(DP40="",TODAY()-DO40,DP40-DO40)</f>
        <v>2</v>
      </c>
      <c r="DS40" s="184">
        <f ca="1">DR40-DQ40</f>
        <v>1</v>
      </c>
      <c r="DT40" s="143">
        <v>10</v>
      </c>
      <c r="DU40" s="140">
        <f ca="1">IF(DP40="",TODAY()-N40,DP40-N40)</f>
        <v>12</v>
      </c>
      <c r="DV40" s="184">
        <f ca="1">DU40-DT40</f>
        <v>2</v>
      </c>
      <c r="DX40" s="185" t="s">
        <v>245</v>
      </c>
      <c r="DY40" s="108" t="str">
        <f>IF(_xlfn.XLOOKUP($E40,'[1]Import Eletra'!$B:$B,'[1]Import Eletra'!$DW:$DW,,0,1)=0,"",_xlfn.XLOOKUP($E40,'[1]Import Eletra'!$B:$B,'[1]Import Eletra'!$DW:$DW,0,1))</f>
        <v>ACCOUNTING/TAX MONTH-END CLOSING</v>
      </c>
      <c r="EB40" s="287"/>
      <c r="ED40" s="409">
        <f>IF(_xlfn.XLOOKUP($E40,'[1]Import Eletra'!$B:$B,'[1]Import Eletra'!$BQ:$BQ,,0,1)=0,"",_xlfn.XLOOKUP($E40,'[1]Import Eletra'!$B:$B,'[1]Import Eletra'!$BQ:$BQ,0,1))</f>
        <v>2454.87</v>
      </c>
      <c r="EE40" s="410">
        <f>IF(_xlfn.XLOOKUP($E40,'[1]Import Eletra'!$B:$B,'[1]Import Eletra'!$BR:$BR,,0,1)=0,"",_xlfn.XLOOKUP($E40,'[1]Import Eletra'!$B:$B,'[1]Import Eletra'!$BR:$BR,0,1))</f>
        <v>46178</v>
      </c>
      <c r="EF40" s="409" t="str">
        <f>IF(_xlfn.XLOOKUP($E40,'[1]Import Eletra'!$B:$B,'[1]Import Eletra'!$BS:$BS,,0,1)=0,"",_xlfn.XLOOKUP($E40,'[1]Import Eletra'!$B:$B,'[1]Import Eletra'!$BS:$BS,0,1))</f>
        <v/>
      </c>
      <c r="EG40" s="410" t="str">
        <f>IF(_xlfn.XLOOKUP($E40,'[1]Import Eletra'!$B:$B,'[1]Import Eletra'!$BT:$BT,,0,1)=0,"",_xlfn.XLOOKUP($E40,'[1]Import Eletra'!$B:$B,'[1]Import Eletra'!$BT:$BT,0,1))</f>
        <v/>
      </c>
      <c r="EH40" s="409" t="str">
        <f>IF(_xlfn.XLOOKUP($E40,'[1]Import Eletra'!$B:$B,'[1]Import Eletra'!$BU:$BU,,0,1)=0,"",_xlfn.XLOOKUP($E40,'[1]Import Eletra'!$B:$B,'[1]Import Eletra'!$BU:$BU,0,1))</f>
        <v/>
      </c>
      <c r="EI40" s="410" t="str">
        <f>IF(_xlfn.XLOOKUP($E40,'[1]Import Eletra'!$B:$B,'[1]Import Eletra'!$BV:$BV,,0,1)=0,"",_xlfn.XLOOKUP($E40,'[1]Import Eletra'!$B:$B,'[1]Import Eletra'!$BV:$BV,0,1))</f>
        <v/>
      </c>
      <c r="EJ40" s="410">
        <f>IF(_xlfn.XLOOKUP($E40,'[1]Import Eletra'!$B:$B,'[1]Import Eletra'!$CI:$CI,,0,1)=0,"",_xlfn.XLOOKUP($E40,'[1]Import Eletra'!$B:$B,'[1]Import Eletra'!$CI:$CI,0,1))</f>
        <v>46187</v>
      </c>
      <c r="EK40" s="410" t="str">
        <f>IF(_xlfn.XLOOKUP($E40,'[1]Import Eletra'!$B:$B,'[1]Import Eletra'!$CD:$CD,,0,1)=0,"",_xlfn.XLOOKUP($E40,'[1]Import Eletra'!$B:$B,'[1]Import Eletra'!$CD:$CD,0,1))</f>
        <v/>
      </c>
      <c r="EL40" s="410" t="str">
        <f>IF(_xlfn.XLOOKUP($E40,'[1]Import Eletra'!$B:$B,'[1]Import Eletra'!$CE:$CE,,0,1)=0,"",_xlfn.XLOOKUP($E40,'[1]Import Eletra'!$B:$B,'[1]Import Eletra'!$CE:$CE,0,1))</f>
        <v>NÃO</v>
      </c>
      <c r="EM40" s="411" t="str">
        <f>IF(_xlfn.XLOOKUP($E40,'[1]Import Eletra'!$B:$B,'[1]Import Eletra'!$E:$E,,0,1)=0,"",_xlfn.XLOOKUP($E40,'[1]Import Eletra'!$B:$B,'[1]Import Eletra'!$E:$E,0,1))</f>
        <v>LEISIANE</v>
      </c>
      <c r="EN40" s="408" t="str">
        <f>IF(_xlfn.XLOOKUP($E40,'[1]Import Eletra'!$B:$B,'[1]Import Eletra'!$R:$R,,0,1)=0,"",_xlfn.XLOOKUP($E40,'[1]Import Eletra'!$B:$B,'[1]Import Eletra'!$R:$R,0,1))</f>
        <v>PWBR260060-10B</v>
      </c>
      <c r="EO40" s="408" t="str">
        <f>IF(_xlfn.XLOOKUP($E40,'[1]Import Eletra'!$B:$B,'[1]Import Eletra'!$P:$P,,0,1)=0,"",_xlfn.XLOOKUP($E40,'[1]Import Eletra'!$B:$B,'[1]Import Eletra'!$P:$P,0,1))</f>
        <v>SDBLBS594323</v>
      </c>
      <c r="EP40" s="408" t="str">
        <f>IF(_xlfn.XLOOKUP($E40,'[1]Import Eletra'!$B:$B,'[1]Import Eletra'!$T:$T,,0,1)=0,"",_xlfn.XLOOKUP($E40,'[1]Import Eletra'!$B:$B,'[1]Import Eletra'!$T:$T,0,1))</f>
        <v>CGMU513625, TCLU114775, TRIU886044</v>
      </c>
    </row>
    <row r="41" spans="2:146" ht="30" customHeight="1">
      <c r="B41" s="371" t="s">
        <v>336</v>
      </c>
      <c r="C41" s="369">
        <v>6</v>
      </c>
      <c r="D41" s="104" t="str">
        <f>IF(_xlfn.XLOOKUP($E41,'[1]Import Eletra'!$B:$B,'[1]Import Eletra'!$A:$A,,0,1)=0,"",_xlfn.XLOOKUP($E41,'[1]Import Eletra'!$B:$B,'[1]Import Eletra'!$A:$A,,0,1))</f>
        <v>JUL_2026</v>
      </c>
      <c r="E41" s="212" t="s">
        <v>293</v>
      </c>
      <c r="F41" s="106">
        <f>IF(_xlfn.XLOOKUP($E41,'[1]Import Eletra'!$B:$B,'[1]Import Eletra'!$U:$U,,0,1)=0,"",_xlfn.XLOOKUP($E41,'[1]Import Eletra'!$B:$B,'[1]Import Eletra'!$U:$U,,0,1))</f>
        <v>1</v>
      </c>
      <c r="G41" s="301" t="s">
        <v>244</v>
      </c>
      <c r="H41" s="2" t="str">
        <f>_xlfn.XLOOKUP($E41,'[1]Import Eletra'!$B:$B,'[1]Import Eletra'!$F:$F,,0,1)</f>
        <v>DELIVERED</v>
      </c>
      <c r="I41" s="108" t="str">
        <f>_xlfn.XLOOKUP($E41,'[1]Import Eletra'!$B:$B,'[1]Import Eletra'!$G:$G,,0,1)</f>
        <v>SEA</v>
      </c>
      <c r="J41" s="326">
        <v>46092</v>
      </c>
      <c r="K41" s="109">
        <v>30</v>
      </c>
      <c r="L41" s="109">
        <f>M41-J41</f>
        <v>30</v>
      </c>
      <c r="M41" s="326">
        <f>IF(_xlfn.XLOOKUP($E41,'[1]Import Eletra'!$B:$B,'[1]Import Eletra'!$J:$J,,0,1)=0,"",_xlfn.XLOOKUP($E41,'[1]Import Eletra'!$B:$B,'[1]Import Eletra'!$J:$J,,0,1))</f>
        <v>46122</v>
      </c>
      <c r="N41" s="332">
        <f>IF(_xlfn.XLOOKUP($E41,'[1]Import Eletra'!$B:$B,'[1]Import Eletra'!$L:$L,,0,1)=0,"",_xlfn.XLOOKUP($E41,'[1]Import Eletra'!$B:$B,'[1]Import Eletra'!$L:$L,,0,1))</f>
        <v>46169</v>
      </c>
      <c r="O41" s="335">
        <f>IF(_xlfn.XLOOKUP($E41,'[1]Import Eletra'!$B:$B,'[1]Import Eletra'!$AK:$AK,,0,1)=0,"",_xlfn.XLOOKUP($E41,'[1]Import Eletra'!$B:$B,'[1]Import Eletra'!$AK:$AK,,0,1))</f>
        <v>46160</v>
      </c>
      <c r="P41" s="326">
        <f>IF(_xlfn.XLOOKUP($E41,'[1]Import Eletra'!$B:$B,'[1]Import Eletra'!$AL:$AL,,0,1)=0,"",_xlfn.XLOOKUP($E41,'[1]Import Eletra'!$B:$B,'[1]Import Eletra'!$AL:$AL,,0,1))</f>
        <v>46168</v>
      </c>
      <c r="Q41" s="326">
        <f>IF(_xlfn.XLOOKUP($E41,'[1]Import Eletra'!$B:$B,'[1]Import Eletra'!$AM:$AM,,0,1)=0,"",_xlfn.XLOOKUP($E41,'[1]Import Eletra'!$B:$B,'[1]Import Eletra'!$AM:$AM,,0,1))</f>
        <v>46168</v>
      </c>
      <c r="R41" s="326">
        <f>IF(_xlfn.XLOOKUP($E41,'[1]Import Eletra'!$B:$B,'[1]Import Eletra'!$AN:$AN,,0,1)=0,"",_xlfn.XLOOKUP($E41,'[1]Import Eletra'!$B:$B,'[1]Import Eletra'!$AN:$AN,,0,1))</f>
        <v>46168</v>
      </c>
      <c r="S41" s="326">
        <f>IF(_xlfn.XLOOKUP($E41,'[1]Import Eletra'!$B:$B,'[1]Import Eletra'!$AO:$AO,,0,1)=0,"",_xlfn.XLOOKUP($E41,'[1]Import Eletra'!$B:$B,'[1]Import Eletra'!$AO:$AO,,0,1))</f>
        <v>46169</v>
      </c>
      <c r="T41" s="326">
        <f>IF(_xlfn.XLOOKUP($E41,'[1]Import Eletra'!$B:$B,'[1]Import Eletra'!$AP:$AP,,0,1)=0,"",_xlfn.XLOOKUP($E41,'[1]Import Eletra'!$B:$B,'[1]Import Eletra'!$AP:$AP,,0,1))</f>
        <v>46169</v>
      </c>
      <c r="U41" s="326">
        <f>IF(_xlfn.XLOOKUP($E41,'[1]Import Eletra'!$B:$B,'[1]Import Eletra'!$AQ:$AQ,,0,1)=0,"",_xlfn.XLOOKUP($E41,'[1]Import Eletra'!$B:$B,'[1]Import Eletra'!$AQ:$AQ,,0,1))</f>
        <v>46169</v>
      </c>
      <c r="V41" s="339">
        <f>IF(_xlfn.XLOOKUP($E41,'[1]Import Eletra'!$B:$B,'[1]Import Eletra'!$AR:$AR,,0,1)=0,"",_xlfn.XLOOKUP($E41,'[1]Import Eletra'!$B:$B,'[1]Import Eletra'!$AR:$AR,,0,1))</f>
        <v>46170</v>
      </c>
      <c r="W41" s="335">
        <f>AB41-$AB$5</f>
        <v>46170</v>
      </c>
      <c r="X41" s="332">
        <f>IF(_xlfn.XLOOKUP($E41,'[1]Import Eletra'!$B:$B,'[1]Import Eletra'!$AS:$AS,,0,1)=0,"",_xlfn.XLOOKUP($E41,'[1]Import Eletra'!$B:$B,'[1]Import Eletra'!$AS:$AS,,0,1))</f>
        <v>46174</v>
      </c>
      <c r="Y41" s="113">
        <f>$W$4</f>
        <v>0</v>
      </c>
      <c r="Z41" s="113">
        <f ca="1">IF(X41="",TODAY()-W41,X41-W41)</f>
        <v>4</v>
      </c>
      <c r="AA41" s="184">
        <f ca="1">Z41-Y41</f>
        <v>4</v>
      </c>
      <c r="AB41" s="348">
        <f>AG41-$AB$5</f>
        <v>46171</v>
      </c>
      <c r="AC41" s="351">
        <f>IF(_xlfn.XLOOKUP($E41,'[1]Import Eletra'!$B:$B,'[1]Import Eletra'!$AD:$AD,,0,1)=0,"",_xlfn.XLOOKUP($E41,'[1]Import Eletra'!$B:$B,'[1]Import Eletra'!$AD:$AD,,0,1))</f>
        <v>46175</v>
      </c>
      <c r="AD41" s="113">
        <f>$AB$4</f>
        <v>0</v>
      </c>
      <c r="AE41" s="113">
        <f ca="1">IF(AC41="",TODAY()-AB41,AC41-AB41)</f>
        <v>4</v>
      </c>
      <c r="AF41" s="184">
        <f ca="1">AE41-AD41</f>
        <v>4</v>
      </c>
      <c r="AG41" s="355">
        <f>AL41-$AL$5</f>
        <v>46172</v>
      </c>
      <c r="AH41" s="351">
        <f>IF(_xlfn.XLOOKUP($E41,'[1]Import Eletra'!$B:$B,'[1]Import Eletra'!$AE:$AE,,0,1)=0,"",_xlfn.XLOOKUP($E41,'[1]Import Eletra'!$B:$B,'[1]Import Eletra'!$AE:$AE,,0,1))</f>
        <v>46175</v>
      </c>
      <c r="AI41" s="113">
        <f>$AG$4</f>
        <v>0</v>
      </c>
      <c r="AJ41" s="113">
        <f ca="1">IF(AH41="",TODAY()-AG41,AH41-AG41)</f>
        <v>3</v>
      </c>
      <c r="AK41" s="184">
        <f ca="1">AJ41-AI41</f>
        <v>3</v>
      </c>
      <c r="AL41" s="355">
        <f>AQ41-$AQ$5</f>
        <v>46172</v>
      </c>
      <c r="AM41" s="332">
        <f>IF(_xlfn.XLOOKUP($E41,'[1]Import Eletra'!$B:$B,'[1]Import Eletra'!$AT:$AT,,0,1)=0,"",_xlfn.XLOOKUP($E41,'[1]Import Eletra'!$B:$B,'[1]Import Eletra'!$AT:$AT,,0,1))</f>
        <v>46175</v>
      </c>
      <c r="AN41" s="113">
        <f>$AL$4</f>
        <v>0</v>
      </c>
      <c r="AO41" s="113">
        <f ca="1">IF(AM41="",TODAY()-AL41,AM41-AL41)</f>
        <v>3</v>
      </c>
      <c r="AP41" s="184">
        <f ca="1">AO41-AN41</f>
        <v>3</v>
      </c>
      <c r="AQ41" s="357">
        <f>AV41-$AV$5</f>
        <v>46173</v>
      </c>
      <c r="AR41" s="332">
        <f>IF(_xlfn.XLOOKUP($E41,'[1]Import Eletra'!$B:$B,'[1]Import Eletra'!$AU:$AU,,0,1)=0,"",_xlfn.XLOOKUP($E41,'[1]Import Eletra'!$B:$B,'[1]Import Eletra'!$AU:$AU,,0,1))</f>
        <v>46175</v>
      </c>
      <c r="AS41" s="113">
        <f>$AQ$4</f>
        <v>1</v>
      </c>
      <c r="AT41" s="113">
        <f ca="1">IF(AR41="",TODAY()-AQ41,AR41-AQ41)</f>
        <v>2</v>
      </c>
      <c r="AU41" s="184">
        <f ca="1">AT41-AS41</f>
        <v>1</v>
      </c>
      <c r="AV41" s="355">
        <f>BA41-$BA$5</f>
        <v>46173</v>
      </c>
      <c r="AW41" s="332">
        <f>IF(_xlfn.XLOOKUP($E41,'[1]Import Eletra'!$B:$B,'[1]Import Eletra'!$AV:$AV,,0,1)=0,"",_xlfn.XLOOKUP($E41,'[1]Import Eletra'!$B:$B,'[1]Import Eletra'!$AV:$AV,,0,1))</f>
        <v>46175</v>
      </c>
      <c r="AX41" s="113">
        <f>$AV$4</f>
        <v>0</v>
      </c>
      <c r="AY41" s="113">
        <f ca="1">IF(AW41="",TODAY()-AV41,AW41-AV41)</f>
        <v>2</v>
      </c>
      <c r="AZ41" s="184">
        <f ca="1">AY41-AX41</f>
        <v>2</v>
      </c>
      <c r="BA41" s="357">
        <f>BF41-$BF$5</f>
        <v>46173</v>
      </c>
      <c r="BB41" s="332">
        <f>IF(_xlfn.XLOOKUP($E41,'[1]Import Eletra'!$B:$B,'[1]Import Eletra'!$AW:$AW,,0,1)=0,"",_xlfn.XLOOKUP($E41,'[1]Import Eletra'!$B:$B,'[1]Import Eletra'!$AW:$AW,,0,1))</f>
        <v>46175</v>
      </c>
      <c r="BC41" s="113">
        <f>$BA$4</f>
        <v>0</v>
      </c>
      <c r="BD41" s="113">
        <f ca="1">IF(BB41="",TODAY()-BA41,BB41-BA41)</f>
        <v>2</v>
      </c>
      <c r="BE41" s="184">
        <f ca="1">BD41-BC41</f>
        <v>2</v>
      </c>
      <c r="BF41" s="335">
        <f>BK41-$BK$5</f>
        <v>46173</v>
      </c>
      <c r="BG41" s="332">
        <f>IF(_xlfn.XLOOKUP($E41,'[1]Import Eletra'!$B:$B,'[1]Import Eletra'!$AX:$AX,,0,1)=0,"",_xlfn.XLOOKUP($E41,'[1]Import Eletra'!$B:$B,'[1]Import Eletra'!$AX:$AX,,0,1))</f>
        <v>46176</v>
      </c>
      <c r="BH41" s="113">
        <f>$BF$4</f>
        <v>0</v>
      </c>
      <c r="BI41" s="113">
        <f ca="1">IF(BG41="",TODAY()-BF41,BG41-BF41)</f>
        <v>3</v>
      </c>
      <c r="BJ41" s="184">
        <f ca="1">BI41-BH41</f>
        <v>3</v>
      </c>
      <c r="BK41" s="362">
        <f>BP41-$BP$5</f>
        <v>46173</v>
      </c>
      <c r="BL41" s="332" t="str">
        <f>IF(_xlfn.XLOOKUP($E41,'[1]Import Eletra'!$B:$B,'[1]Import Eletra'!$AY:$AY,,0,1)=0,"",_xlfn.XLOOKUP($E41,'[1]Import Eletra'!$B:$B,'[1]Import Eletra'!$AY:$AY,,0,1))</f>
        <v/>
      </c>
      <c r="BM41" s="113">
        <f>$BK$4</f>
        <v>0</v>
      </c>
      <c r="BN41" s="113">
        <f ca="1">IF(BL41="",TODAY()-BK41,BL41-BK41)</f>
        <v>38</v>
      </c>
      <c r="BO41" s="184">
        <f ca="1">BN41-BM41</f>
        <v>38</v>
      </c>
      <c r="BP41" s="335">
        <f>BU41-$BU$5</f>
        <v>46173</v>
      </c>
      <c r="BQ41" s="332" t="str">
        <f>IF(_xlfn.XLOOKUP($E41,'[1]Import Eletra'!$B:$B,'[1]Import Eletra'!$AZ:$AZ,,0,1)=0,"",_xlfn.XLOOKUP($E41,'[1]Import Eletra'!$B:$B,'[1]Import Eletra'!$AZ:$AZ,,0,1))</f>
        <v/>
      </c>
      <c r="BR41" s="113">
        <f>$BP$4</f>
        <v>0</v>
      </c>
      <c r="BS41" s="113">
        <f ca="1">IF(BQ41="",TODAY()-BP41,BQ41-BP41)</f>
        <v>38</v>
      </c>
      <c r="BT41" s="184">
        <f ca="1">BS41-BR41</f>
        <v>38</v>
      </c>
      <c r="BU41" s="362">
        <f>BZ41-$BZ$4</f>
        <v>46175</v>
      </c>
      <c r="BV41" s="332">
        <f>IF(_xlfn.XLOOKUP($E41,'[1]Import Eletra'!$B:$B,'[1]Import Eletra'!$BA:$BA,,0,1)=0,"",_xlfn.XLOOKUP($E41,'[1]Import Eletra'!$B:$B,'[1]Import Eletra'!$BA:$BA,,0,1))</f>
        <v>46181</v>
      </c>
      <c r="BW41" s="113">
        <f>$BU$4</f>
        <v>2</v>
      </c>
      <c r="BX41" s="113">
        <f ca="1">IF(BV41="",TODAY()-BU41,BV41-BU41)</f>
        <v>6</v>
      </c>
      <c r="BY41" s="184">
        <f ca="1">BX41-BW41</f>
        <v>4</v>
      </c>
      <c r="BZ41" s="335">
        <f>CE41-$CE$5</f>
        <v>46175</v>
      </c>
      <c r="CA41" s="332">
        <f>IF(_xlfn.XLOOKUP($E41,'[1]Import Eletra'!$B:$B,'[1]Import Eletra'!$BB:$BB,,0,1)=0,"",_xlfn.XLOOKUP($E41,'[1]Import Eletra'!$B:$B,'[1]Import Eletra'!$BB:$BB,,0,1))</f>
        <v>46181</v>
      </c>
      <c r="CB41" s="113">
        <f>$BZ$4</f>
        <v>0</v>
      </c>
      <c r="CC41" s="113">
        <f ca="1">IF(CA41="",TODAY()-BZ41,CA41-BZ41)</f>
        <v>6</v>
      </c>
      <c r="CD41" s="184">
        <f ca="1">CC41-CB41</f>
        <v>6</v>
      </c>
      <c r="CE41" s="362">
        <f>CJ41-$CJ$4</f>
        <v>46175</v>
      </c>
      <c r="CF41" s="332" t="str">
        <f>IF(_xlfn.XLOOKUP($E41,'[1]Import Eletra'!$B:$B,'[1]Import Eletra'!$BC:$BC,,0,1)=0,"",_xlfn.XLOOKUP($E41,'[1]Import Eletra'!$B:$B,'[1]Import Eletra'!$BC:$BC,,0,1))</f>
        <v/>
      </c>
      <c r="CG41" s="113">
        <f>$CE$4</f>
        <v>0</v>
      </c>
      <c r="CH41" s="113">
        <f ca="1">IF(CF41="",TODAY()-CE41,CF41-CE41)</f>
        <v>36</v>
      </c>
      <c r="CI41" s="184">
        <f ca="1">CH41-CG41</f>
        <v>36</v>
      </c>
      <c r="CJ41" s="335">
        <f>CO41-$CO$4</f>
        <v>46175</v>
      </c>
      <c r="CK41" s="351">
        <f>IF(_xlfn.XLOOKUP($E41,'[1]Import Eletra'!$B:$B,'[1]Import Eletra'!$BD:$BD,,0,1)=0,"",_xlfn.XLOOKUP($E41,'[1]Import Eletra'!$B:$B,'[1]Import Eletra'!$BD:$BD,,0,1))</f>
        <v>46176</v>
      </c>
      <c r="CL41" s="113"/>
      <c r="CM41" s="113">
        <f ca="1">IF(CK41="",TODAY()-CJ41,CK41-CJ41)</f>
        <v>1</v>
      </c>
      <c r="CN41" s="184">
        <f ca="1">CM41-CL41</f>
        <v>1</v>
      </c>
      <c r="CO41" s="362">
        <f>CT41-$CT$4</f>
        <v>46175</v>
      </c>
      <c r="CP41" s="332">
        <f>IF(_xlfn.XLOOKUP($E41,'[1]Import Eletra'!$B:$B,'[1]Import Eletra'!$BE:$BE,,0,1)=0,"",_xlfn.XLOOKUP($E41,'[1]Import Eletra'!$B:$B,'[1]Import Eletra'!$BE:$BE,,0,1))</f>
        <v>46176</v>
      </c>
      <c r="CQ41" s="113">
        <f>$CO$4</f>
        <v>0</v>
      </c>
      <c r="CR41" s="113">
        <f ca="1">IF(CP41="",TODAY()-CO41,CP41-CO41)</f>
        <v>1</v>
      </c>
      <c r="CS41" s="184">
        <f ca="1">CR41-CQ41</f>
        <v>1</v>
      </c>
      <c r="CT41" s="335">
        <f>CY41-$CY$4</f>
        <v>46175</v>
      </c>
      <c r="CU41" s="332">
        <f>IF(_xlfn.XLOOKUP($E41,'[1]Import Eletra'!$B:$B,'[1]Import Eletra'!$BF:$BF,,0,1)=0,"",_xlfn.XLOOKUP($E41,'[1]Import Eletra'!$B:$B,'[1]Import Eletra'!$BF:$BF,,0,1))</f>
        <v>46176</v>
      </c>
      <c r="CV41" s="113">
        <f>$CT$4</f>
        <v>0</v>
      </c>
      <c r="CW41" s="113">
        <f ca="1">IF(CU41="",TODAY()-CT41,CU41-CT41)</f>
        <v>1</v>
      </c>
      <c r="CX41" s="184">
        <f ca="1">CW41-CV41</f>
        <v>1</v>
      </c>
      <c r="CY41" s="110">
        <f>DD41-$DD$4</f>
        <v>46175</v>
      </c>
      <c r="CZ41" s="247">
        <f>IF(_xlfn.XLOOKUP($E41,'[1]Import Eletra'!$B:$B,'[1]Import Eletra'!$BF:$BF,,0,1)=0,"",_xlfn.XLOOKUP($E41,'[1]Import Eletra'!$B:$B,'[1]Import Eletra'!$BF:$BF,,0,1))</f>
        <v>46176</v>
      </c>
      <c r="DA41" s="210">
        <f>$CY$4</f>
        <v>0</v>
      </c>
      <c r="DB41" s="113">
        <f ca="1">IF(CZ41="",TODAY()-CY41,CZ41-CY41)</f>
        <v>1</v>
      </c>
      <c r="DC41" s="184">
        <f ca="1">DB41-DA41</f>
        <v>1</v>
      </c>
      <c r="DD41" s="110">
        <f>DI41-$DI$4</f>
        <v>46177</v>
      </c>
      <c r="DE41" s="375">
        <f>IF(_xlfn.XLOOKUP($E41,'[1]Import Eletra'!$B:$B,'[1]Import Eletra'!$BG:$BG,,0,1)=0,"",_xlfn.XLOOKUP($E41,'[1]Import Eletra'!$B:$B,'[1]Import Eletra'!$BG:$BG,0,1))</f>
        <v>46181</v>
      </c>
      <c r="DF41" s="113">
        <f>$DD$4</f>
        <v>2</v>
      </c>
      <c r="DG41" s="113">
        <f ca="1">IF(DE41="",TODAY()-DD41,DE41-DD41)</f>
        <v>4</v>
      </c>
      <c r="DH41" s="184">
        <f ca="1">DG41-DF41</f>
        <v>2</v>
      </c>
      <c r="DI41" s="110">
        <f>DO41-$DN$4</f>
        <v>46178</v>
      </c>
      <c r="DJ41" s="247">
        <f>IF(_xlfn.XLOOKUP($E41,'[1]Import Eletra'!$B:$B,'[1]Import Eletra'!$BH:$BH,,0,1)=0,"",_xlfn.XLOOKUP($E41,'[1]Import Eletra'!$B:$B,'[1]Import Eletra'!$BH:$BH,0,1))</f>
        <v>46182</v>
      </c>
      <c r="DK41" s="112">
        <f>$DI$4</f>
        <v>1</v>
      </c>
      <c r="DL41" s="112">
        <f ca="1">IF(DJ41="",TODAY()-DI41,DJ41-DI41)</f>
        <v>4</v>
      </c>
      <c r="DM41" s="184">
        <f ca="1">DL41-DK41</f>
        <v>3</v>
      </c>
      <c r="DN41" s="64"/>
      <c r="DO41" s="202">
        <f>N41+DT41</f>
        <v>46179</v>
      </c>
      <c r="DP41" s="165">
        <f>IF(_xlfn.XLOOKUP($E41,'[1]Import Eletra'!$B:$B,'[1]Import Eletra'!$O:$O,,0,1)=0,"",_xlfn.XLOOKUP($E41,'[1]Import Eletra'!$B:$B,'[1]Import Eletra'!$O:$O,0,1))</f>
        <v>46183</v>
      </c>
      <c r="DQ41" s="112">
        <f>$DN$4</f>
        <v>1</v>
      </c>
      <c r="DR41" s="112">
        <f ca="1">IF(DP41="",TODAY()-DO41,DP41-DO41)</f>
        <v>4</v>
      </c>
      <c r="DS41" s="184">
        <f ca="1">DR41-DQ41</f>
        <v>3</v>
      </c>
      <c r="DT41" s="143">
        <v>10</v>
      </c>
      <c r="DU41" s="140">
        <f ca="1">IF(DP41="",TODAY()-N41,DP41-N41)</f>
        <v>14</v>
      </c>
      <c r="DV41" s="184">
        <f ca="1">DU41-DT41</f>
        <v>4</v>
      </c>
      <c r="DX41" s="185" t="s">
        <v>245</v>
      </c>
      <c r="DY41" s="108" t="str">
        <f>IF(_xlfn.XLOOKUP($E41,'[1]Import Eletra'!$B:$B,'[1]Import Eletra'!$DW:$DW,,0,1)=0,"",_xlfn.XLOOKUP($E41,'[1]Import Eletra'!$B:$B,'[1]Import Eletra'!$DW:$DW,0,1))</f>
        <v>SEFAZ HOMOLOGATION - NF/GLME</v>
      </c>
      <c r="EB41" s="287"/>
      <c r="ED41" s="409">
        <f>IF(_xlfn.XLOOKUP($E41,'[1]Import Eletra'!$B:$B,'[1]Import Eletra'!$BQ:$BQ,,0,1)=0,"",_xlfn.XLOOKUP($E41,'[1]Import Eletra'!$B:$B,'[1]Import Eletra'!$BQ:$BQ,0,1))</f>
        <v>818.29</v>
      </c>
      <c r="EE41" s="410">
        <f>IF(_xlfn.XLOOKUP($E41,'[1]Import Eletra'!$B:$B,'[1]Import Eletra'!$BR:$BR,,0,1)=0,"",_xlfn.XLOOKUP($E41,'[1]Import Eletra'!$B:$B,'[1]Import Eletra'!$BR:$BR,0,1))</f>
        <v>46182</v>
      </c>
      <c r="EF41" s="409" t="str">
        <f>IF(_xlfn.XLOOKUP($E41,'[1]Import Eletra'!$B:$B,'[1]Import Eletra'!$BS:$BS,,0,1)=0,"",_xlfn.XLOOKUP($E41,'[1]Import Eletra'!$B:$B,'[1]Import Eletra'!$BS:$BS,0,1))</f>
        <v/>
      </c>
      <c r="EG41" s="410" t="str">
        <f>IF(_xlfn.XLOOKUP($E41,'[1]Import Eletra'!$B:$B,'[1]Import Eletra'!$BT:$BT,,0,1)=0,"",_xlfn.XLOOKUP($E41,'[1]Import Eletra'!$B:$B,'[1]Import Eletra'!$BT:$BT,0,1))</f>
        <v/>
      </c>
      <c r="EH41" s="409" t="str">
        <f>IF(_xlfn.XLOOKUP($E41,'[1]Import Eletra'!$B:$B,'[1]Import Eletra'!$BU:$BU,,0,1)=0,"",_xlfn.XLOOKUP($E41,'[1]Import Eletra'!$B:$B,'[1]Import Eletra'!$BU:$BU,0,1))</f>
        <v/>
      </c>
      <c r="EI41" s="410" t="str">
        <f>IF(_xlfn.XLOOKUP($E41,'[1]Import Eletra'!$B:$B,'[1]Import Eletra'!$BV:$BV,,0,1)=0,"",_xlfn.XLOOKUP($E41,'[1]Import Eletra'!$B:$B,'[1]Import Eletra'!$BV:$BV,0,1))</f>
        <v/>
      </c>
      <c r="EJ41" s="410">
        <f>IF(_xlfn.XLOOKUP($E41,'[1]Import Eletra'!$B:$B,'[1]Import Eletra'!$CI:$CI,,0,1)=0,"",_xlfn.XLOOKUP($E41,'[1]Import Eletra'!$B:$B,'[1]Import Eletra'!$CI:$CI,0,1))</f>
        <v>46187</v>
      </c>
      <c r="EK41" s="410" t="str">
        <f>IF(_xlfn.XLOOKUP($E41,'[1]Import Eletra'!$B:$B,'[1]Import Eletra'!$CD:$CD,,0,1)=0,"",_xlfn.XLOOKUP($E41,'[1]Import Eletra'!$B:$B,'[1]Import Eletra'!$CD:$CD,0,1))</f>
        <v/>
      </c>
      <c r="EL41" s="410" t="str">
        <f>IF(_xlfn.XLOOKUP($E41,'[1]Import Eletra'!$B:$B,'[1]Import Eletra'!$CE:$CE,,0,1)=0,"",_xlfn.XLOOKUP($E41,'[1]Import Eletra'!$B:$B,'[1]Import Eletra'!$CE:$CE,0,1))</f>
        <v>NÃO</v>
      </c>
      <c r="EM41" s="411" t="str">
        <f>IF(_xlfn.XLOOKUP($E41,'[1]Import Eletra'!$B:$B,'[1]Import Eletra'!$E:$E,,0,1)=0,"",_xlfn.XLOOKUP($E41,'[1]Import Eletra'!$B:$B,'[1]Import Eletra'!$E:$E,0,1))</f>
        <v>LEISIANE</v>
      </c>
      <c r="EN41" s="408" t="str">
        <f>IF(_xlfn.XLOOKUP($E41,'[1]Import Eletra'!$B:$B,'[1]Import Eletra'!$R:$R,,0,1)=0,"",_xlfn.XLOOKUP($E41,'[1]Import Eletra'!$B:$B,'[1]Import Eletra'!$R:$R,0,1))</f>
        <v>PWBR260060-10E</v>
      </c>
      <c r="EO41" s="408" t="str">
        <f>IF(_xlfn.XLOOKUP($E41,'[1]Import Eletra'!$B:$B,'[1]Import Eletra'!$P:$P,,0,1)=0,"",_xlfn.XLOOKUP($E41,'[1]Import Eletra'!$B:$B,'[1]Import Eletra'!$P:$P,0,1))</f>
        <v>SDBLBS594326</v>
      </c>
      <c r="EP41" s="408" t="str">
        <f>IF(_xlfn.XLOOKUP($E41,'[1]Import Eletra'!$B:$B,'[1]Import Eletra'!$T:$T,,0,1)=0,"",_xlfn.XLOOKUP($E41,'[1]Import Eletra'!$B:$B,'[1]Import Eletra'!$T:$T,0,1))</f>
        <v>TTNU8008074</v>
      </c>
    </row>
    <row r="42" spans="2:146" ht="30" customHeight="1">
      <c r="B42" s="371" t="s">
        <v>336</v>
      </c>
      <c r="C42" s="369">
        <v>12</v>
      </c>
      <c r="D42" s="104" t="str">
        <f>IF(_xlfn.XLOOKUP($E42,'[1]Import Eletra'!$B:$B,'[1]Import Eletra'!$A:$A,,0,1)=0,"",_xlfn.XLOOKUP($E42,'[1]Import Eletra'!$B:$B,'[1]Import Eletra'!$A:$A,,0,1))</f>
        <v>JUL_2026</v>
      </c>
      <c r="E42" s="212" t="s">
        <v>289</v>
      </c>
      <c r="F42" s="106">
        <f>IF(_xlfn.XLOOKUP($E42,'[1]Import Eletra'!$B:$B,'[1]Import Eletra'!$U:$U,,0,1)=0,"",_xlfn.XLOOKUP($E42,'[1]Import Eletra'!$B:$B,'[1]Import Eletra'!$U:$U,,0,1))</f>
        <v>2</v>
      </c>
      <c r="G42" s="301" t="s">
        <v>244</v>
      </c>
      <c r="H42" s="2" t="str">
        <f>_xlfn.XLOOKUP($E42,'[1]Import Eletra'!$B:$B,'[1]Import Eletra'!$F:$F,,0,1)</f>
        <v>DELIVERED</v>
      </c>
      <c r="I42" s="108" t="str">
        <f>_xlfn.XLOOKUP($E42,'[1]Import Eletra'!$B:$B,'[1]Import Eletra'!$G:$G,,0,1)</f>
        <v>SEA</v>
      </c>
      <c r="J42" s="326">
        <v>46092</v>
      </c>
      <c r="K42" s="109">
        <v>30</v>
      </c>
      <c r="L42" s="109">
        <f>M42-J42</f>
        <v>30</v>
      </c>
      <c r="M42" s="326">
        <f>IF(_xlfn.XLOOKUP($E42,'[1]Import Eletra'!$B:$B,'[1]Import Eletra'!$J:$J,,0,1)=0,"",_xlfn.XLOOKUP($E42,'[1]Import Eletra'!$B:$B,'[1]Import Eletra'!$J:$J,,0,1))</f>
        <v>46122</v>
      </c>
      <c r="N42" s="332">
        <f>IF(_xlfn.XLOOKUP($E42,'[1]Import Eletra'!$B:$B,'[1]Import Eletra'!$L:$L,,0,1)=0,"",_xlfn.XLOOKUP($E42,'[1]Import Eletra'!$B:$B,'[1]Import Eletra'!$L:$L,,0,1))</f>
        <v>46169</v>
      </c>
      <c r="O42" s="335">
        <f>IF(_xlfn.XLOOKUP($E42,'[1]Import Eletra'!$B:$B,'[1]Import Eletra'!$AK:$AK,,0,1)=0,"",_xlfn.XLOOKUP($E42,'[1]Import Eletra'!$B:$B,'[1]Import Eletra'!$AK:$AK,,0,1))</f>
        <v>46141</v>
      </c>
      <c r="P42" s="326">
        <f>IF(_xlfn.XLOOKUP($E42,'[1]Import Eletra'!$B:$B,'[1]Import Eletra'!$AL:$AL,,0,1)=0,"",_xlfn.XLOOKUP($E42,'[1]Import Eletra'!$B:$B,'[1]Import Eletra'!$AL:$AL,,0,1))</f>
        <v>46147</v>
      </c>
      <c r="Q42" s="326">
        <f>IF(_xlfn.XLOOKUP($E42,'[1]Import Eletra'!$B:$B,'[1]Import Eletra'!$AM:$AM,,0,1)=0,"",_xlfn.XLOOKUP($E42,'[1]Import Eletra'!$B:$B,'[1]Import Eletra'!$AM:$AM,,0,1))</f>
        <v>46156</v>
      </c>
      <c r="R42" s="326">
        <f>IF(_xlfn.XLOOKUP($E42,'[1]Import Eletra'!$B:$B,'[1]Import Eletra'!$AN:$AN,,0,1)=0,"",_xlfn.XLOOKUP($E42,'[1]Import Eletra'!$B:$B,'[1]Import Eletra'!$AN:$AN,,0,1))</f>
        <v>46167</v>
      </c>
      <c r="S42" s="326">
        <f>IF(_xlfn.XLOOKUP($E42,'[1]Import Eletra'!$B:$B,'[1]Import Eletra'!$AO:$AO,,0,1)=0,"",_xlfn.XLOOKUP($E42,'[1]Import Eletra'!$B:$B,'[1]Import Eletra'!$AO:$AO,,0,1))</f>
        <v>46168</v>
      </c>
      <c r="T42" s="326">
        <f>IF(_xlfn.XLOOKUP($E42,'[1]Import Eletra'!$B:$B,'[1]Import Eletra'!$AP:$AP,,0,1)=0,"",_xlfn.XLOOKUP($E42,'[1]Import Eletra'!$B:$B,'[1]Import Eletra'!$AP:$AP,,0,1))</f>
        <v>46168</v>
      </c>
      <c r="U42" s="326">
        <f>IF(_xlfn.XLOOKUP($E42,'[1]Import Eletra'!$B:$B,'[1]Import Eletra'!$AQ:$AQ,,0,1)=0,"",_xlfn.XLOOKUP($E42,'[1]Import Eletra'!$B:$B,'[1]Import Eletra'!$AQ:$AQ,,0,1))</f>
        <v>46168</v>
      </c>
      <c r="V42" s="339">
        <f>IF(_xlfn.XLOOKUP($E42,'[1]Import Eletra'!$B:$B,'[1]Import Eletra'!$AR:$AR,,0,1)=0,"",_xlfn.XLOOKUP($E42,'[1]Import Eletra'!$B:$B,'[1]Import Eletra'!$AR:$AR,,0,1))</f>
        <v>46170</v>
      </c>
      <c r="W42" s="335">
        <f>AB42-$AB$5</f>
        <v>46170</v>
      </c>
      <c r="X42" s="332">
        <f>IF(_xlfn.XLOOKUP($E42,'[1]Import Eletra'!$B:$B,'[1]Import Eletra'!$AS:$AS,,0,1)=0,"",_xlfn.XLOOKUP($E42,'[1]Import Eletra'!$B:$B,'[1]Import Eletra'!$AS:$AS,,0,1))</f>
        <v>46174</v>
      </c>
      <c r="Y42" s="113">
        <f>$W$4</f>
        <v>0</v>
      </c>
      <c r="Z42" s="113">
        <f ca="1">IF(X42="",TODAY()-W42,X42-W42)</f>
        <v>4</v>
      </c>
      <c r="AA42" s="184">
        <f ca="1">Z42-Y42</f>
        <v>4</v>
      </c>
      <c r="AB42" s="348">
        <f>AG42-$AB$5</f>
        <v>46171</v>
      </c>
      <c r="AC42" s="351">
        <f>IF(_xlfn.XLOOKUP($E42,'[1]Import Eletra'!$B:$B,'[1]Import Eletra'!$AD:$AD,,0,1)=0,"",_xlfn.XLOOKUP($E42,'[1]Import Eletra'!$B:$B,'[1]Import Eletra'!$AD:$AD,,0,1))</f>
        <v>46176</v>
      </c>
      <c r="AD42" s="113">
        <f>$AB$4</f>
        <v>0</v>
      </c>
      <c r="AE42" s="113">
        <f ca="1">IF(AC42="",TODAY()-AB42,AC42-AB42)</f>
        <v>5</v>
      </c>
      <c r="AF42" s="184">
        <f ca="1">AE42-AD42</f>
        <v>5</v>
      </c>
      <c r="AG42" s="355">
        <f>AL42-$AL$5</f>
        <v>46172</v>
      </c>
      <c r="AH42" s="332">
        <f>IF(_xlfn.XLOOKUP($E42,'[1]Import Eletra'!$B:$B,'[1]Import Eletra'!$AE:$AE,,0,1)=0,"",_xlfn.XLOOKUP($E42,'[1]Import Eletra'!$B:$B,'[1]Import Eletra'!$AE:$AE,,0,1))</f>
        <v>46176</v>
      </c>
      <c r="AI42" s="113">
        <f>$AG$4</f>
        <v>0</v>
      </c>
      <c r="AJ42" s="113">
        <f ca="1">IF(AH42="",TODAY()-AG42,AH42-AG42)</f>
        <v>4</v>
      </c>
      <c r="AK42" s="184">
        <f ca="1">AJ42-AI42</f>
        <v>4</v>
      </c>
      <c r="AL42" s="355">
        <f>AQ42-$AQ$5</f>
        <v>46172</v>
      </c>
      <c r="AM42" s="332">
        <f>IF(_xlfn.XLOOKUP($E42,'[1]Import Eletra'!$B:$B,'[1]Import Eletra'!$AT:$AT,,0,1)=0,"",_xlfn.XLOOKUP($E42,'[1]Import Eletra'!$B:$B,'[1]Import Eletra'!$AT:$AT,,0,1))</f>
        <v>46176</v>
      </c>
      <c r="AN42" s="113">
        <f>$AL$4</f>
        <v>0</v>
      </c>
      <c r="AO42" s="113">
        <f ca="1">IF(AM42="",TODAY()-AL42,AM42-AL42)</f>
        <v>4</v>
      </c>
      <c r="AP42" s="184">
        <f ca="1">AO42-AN42</f>
        <v>4</v>
      </c>
      <c r="AQ42" s="357">
        <f>AV42-$AV$5</f>
        <v>46173</v>
      </c>
      <c r="AR42" s="332">
        <f>IF(_xlfn.XLOOKUP($E42,'[1]Import Eletra'!$B:$B,'[1]Import Eletra'!$AU:$AU,,0,1)=0,"",_xlfn.XLOOKUP($E42,'[1]Import Eletra'!$B:$B,'[1]Import Eletra'!$AU:$AU,,0,1))</f>
        <v>46176</v>
      </c>
      <c r="AS42" s="113">
        <f>$AQ$4</f>
        <v>1</v>
      </c>
      <c r="AT42" s="113">
        <f ca="1">IF(AR42="",TODAY()-AQ42,AR42-AQ42)</f>
        <v>3</v>
      </c>
      <c r="AU42" s="184">
        <f ca="1">AT42-AS42</f>
        <v>2</v>
      </c>
      <c r="AV42" s="355">
        <f>BA42-$BA$5</f>
        <v>46173</v>
      </c>
      <c r="AW42" s="351" t="str">
        <f>IF(_xlfn.XLOOKUP($E42,'[1]Import Eletra'!$B:$B,'[1]Import Eletra'!$AV:$AV,,0,1)=0,"",_xlfn.XLOOKUP($E42,'[1]Import Eletra'!$B:$B,'[1]Import Eletra'!$AV:$AV,,0,1))</f>
        <v/>
      </c>
      <c r="AX42" s="113">
        <f>$AV$4</f>
        <v>0</v>
      </c>
      <c r="AY42" s="113">
        <f ca="1">IF(AW42="",TODAY()-AV42,AW42-AV42)</f>
        <v>38</v>
      </c>
      <c r="AZ42" s="184">
        <f ca="1">AY42-AX42</f>
        <v>38</v>
      </c>
      <c r="BA42" s="357">
        <f>BF42-$BF$5</f>
        <v>46173</v>
      </c>
      <c r="BB42" s="332" t="str">
        <f>IF(_xlfn.XLOOKUP($E42,'[1]Import Eletra'!$B:$B,'[1]Import Eletra'!$AW:$AW,,0,1)=0,"",_xlfn.XLOOKUP($E42,'[1]Import Eletra'!$B:$B,'[1]Import Eletra'!$AW:$AW,,0,1))</f>
        <v/>
      </c>
      <c r="BC42" s="113">
        <f>$BA$4</f>
        <v>0</v>
      </c>
      <c r="BD42" s="113">
        <f ca="1">IF(BB42="",TODAY()-BA42,BB42-BA42)</f>
        <v>38</v>
      </c>
      <c r="BE42" s="184">
        <f ca="1">BD42-BC42</f>
        <v>38</v>
      </c>
      <c r="BF42" s="335">
        <f>BK42-$BK$5</f>
        <v>46173</v>
      </c>
      <c r="BG42" s="332" t="str">
        <f>IF(_xlfn.XLOOKUP($E42,'[1]Import Eletra'!$B:$B,'[1]Import Eletra'!$AX:$AX,,0,1)=0,"",_xlfn.XLOOKUP($E42,'[1]Import Eletra'!$B:$B,'[1]Import Eletra'!$AX:$AX,,0,1))</f>
        <v/>
      </c>
      <c r="BH42" s="113">
        <f>$BF$4</f>
        <v>0</v>
      </c>
      <c r="BI42" s="113">
        <f ca="1">IF(BG42="",TODAY()-BF42,BG42-BF42)</f>
        <v>38</v>
      </c>
      <c r="BJ42" s="184">
        <f ca="1">BI42-BH42</f>
        <v>38</v>
      </c>
      <c r="BK42" s="362">
        <f>BP42-$BP$5</f>
        <v>46173</v>
      </c>
      <c r="BL42" s="332" t="str">
        <f>IF(_xlfn.XLOOKUP($E42,'[1]Import Eletra'!$B:$B,'[1]Import Eletra'!$AY:$AY,,0,1)=0,"",_xlfn.XLOOKUP($E42,'[1]Import Eletra'!$B:$B,'[1]Import Eletra'!$AY:$AY,,0,1))</f>
        <v/>
      </c>
      <c r="BM42" s="113">
        <f>$BK$4</f>
        <v>0</v>
      </c>
      <c r="BN42" s="113">
        <f ca="1">IF(BL42="",TODAY()-BK42,BL42-BK42)</f>
        <v>38</v>
      </c>
      <c r="BO42" s="184">
        <f ca="1">BN42-BM42</f>
        <v>38</v>
      </c>
      <c r="BP42" s="335">
        <f>BU42-$BU$5</f>
        <v>46173</v>
      </c>
      <c r="BQ42" s="332" t="str">
        <f>IF(_xlfn.XLOOKUP($E42,'[1]Import Eletra'!$B:$B,'[1]Import Eletra'!$AZ:$AZ,,0,1)=0,"",_xlfn.XLOOKUP($E42,'[1]Import Eletra'!$B:$B,'[1]Import Eletra'!$AZ:$AZ,,0,1))</f>
        <v/>
      </c>
      <c r="BR42" s="113">
        <f>$BP$4</f>
        <v>0</v>
      </c>
      <c r="BS42" s="113">
        <f ca="1">IF(BQ42="",TODAY()-BP42,BQ42-BP42)</f>
        <v>38</v>
      </c>
      <c r="BT42" s="184">
        <f ca="1">BS42-BR42</f>
        <v>38</v>
      </c>
      <c r="BU42" s="362">
        <f>BZ42-$BZ$4</f>
        <v>46175</v>
      </c>
      <c r="BV42" s="332">
        <f>IF(_xlfn.XLOOKUP($E42,'[1]Import Eletra'!$B:$B,'[1]Import Eletra'!$BA:$BA,,0,1)=0,"",_xlfn.XLOOKUP($E42,'[1]Import Eletra'!$B:$B,'[1]Import Eletra'!$BA:$BA,,0,1))</f>
        <v>46183</v>
      </c>
      <c r="BW42" s="113">
        <f>$BU$4</f>
        <v>2</v>
      </c>
      <c r="BX42" s="113">
        <f ca="1">IF(BV42="",TODAY()-BU42,BV42-BU42)</f>
        <v>8</v>
      </c>
      <c r="BY42" s="184">
        <f ca="1">BX42-BW42</f>
        <v>6</v>
      </c>
      <c r="BZ42" s="335">
        <f>CE42-$CE$5</f>
        <v>46175</v>
      </c>
      <c r="CA42" s="332">
        <f>IF(_xlfn.XLOOKUP($E42,'[1]Import Eletra'!$B:$B,'[1]Import Eletra'!$BB:$BB,,0,1)=0,"",_xlfn.XLOOKUP($E42,'[1]Import Eletra'!$B:$B,'[1]Import Eletra'!$BB:$BB,,0,1))</f>
        <v>46183</v>
      </c>
      <c r="CB42" s="113">
        <f>$BZ$4</f>
        <v>0</v>
      </c>
      <c r="CC42" s="113">
        <f ca="1">IF(CA42="",TODAY()-BZ42,CA42-BZ42)</f>
        <v>8</v>
      </c>
      <c r="CD42" s="184">
        <f ca="1">CC42-CB42</f>
        <v>8</v>
      </c>
      <c r="CE42" s="362">
        <f>CJ42-$CJ$4</f>
        <v>46175</v>
      </c>
      <c r="CF42" s="332">
        <f>IF(_xlfn.XLOOKUP($E42,'[1]Import Eletra'!$B:$B,'[1]Import Eletra'!$BC:$BC,,0,1)=0,"",_xlfn.XLOOKUP($E42,'[1]Import Eletra'!$B:$B,'[1]Import Eletra'!$BC:$BC,,0,1))</f>
        <v>46183</v>
      </c>
      <c r="CG42" s="113">
        <f>$CE$4</f>
        <v>0</v>
      </c>
      <c r="CH42" s="113">
        <f ca="1">IF(CF42="",TODAY()-CE42,CF42-CE42)</f>
        <v>8</v>
      </c>
      <c r="CI42" s="184">
        <f ca="1">CH42-CG42</f>
        <v>8</v>
      </c>
      <c r="CJ42" s="335">
        <f>CO42-$CO$4</f>
        <v>46175</v>
      </c>
      <c r="CK42" s="351">
        <f>IF(_xlfn.XLOOKUP($E42,'[1]Import Eletra'!$B:$B,'[1]Import Eletra'!$BD:$BD,,0,1)=0,"",_xlfn.XLOOKUP($E42,'[1]Import Eletra'!$B:$B,'[1]Import Eletra'!$BD:$BD,,0,1))</f>
        <v>46181</v>
      </c>
      <c r="CL42" s="113"/>
      <c r="CM42" s="113">
        <f ca="1">IF(CK42="",TODAY()-CJ42,CK42-CJ42)</f>
        <v>6</v>
      </c>
      <c r="CN42" s="184">
        <f ca="1">CM42-CL42</f>
        <v>6</v>
      </c>
      <c r="CO42" s="362">
        <f>CT42-$CT$4</f>
        <v>46175</v>
      </c>
      <c r="CP42" s="332">
        <f>IF(_xlfn.XLOOKUP($E42,'[1]Import Eletra'!$B:$B,'[1]Import Eletra'!$BE:$BE,,0,1)=0,"",_xlfn.XLOOKUP($E42,'[1]Import Eletra'!$B:$B,'[1]Import Eletra'!$BE:$BE,,0,1))</f>
        <v>46181</v>
      </c>
      <c r="CQ42" s="113">
        <f>$CO$4</f>
        <v>0</v>
      </c>
      <c r="CR42" s="113">
        <f ca="1">IF(CP42="",TODAY()-CO42,CP42-CO42)</f>
        <v>6</v>
      </c>
      <c r="CS42" s="184">
        <f ca="1">CR42-CQ42</f>
        <v>6</v>
      </c>
      <c r="CT42" s="335">
        <f>CY42-$CY$4</f>
        <v>46175</v>
      </c>
      <c r="CU42" s="332">
        <f>IF(_xlfn.XLOOKUP($E42,'[1]Import Eletra'!$B:$B,'[1]Import Eletra'!$BF:$BF,,0,1)=0,"",_xlfn.XLOOKUP($E42,'[1]Import Eletra'!$B:$B,'[1]Import Eletra'!$BF:$BF,,0,1))</f>
        <v>46181</v>
      </c>
      <c r="CV42" s="113">
        <f>$CT$4</f>
        <v>0</v>
      </c>
      <c r="CW42" s="113">
        <f ca="1">IF(CU42="",TODAY()-CT42,CU42-CT42)</f>
        <v>6</v>
      </c>
      <c r="CX42" s="184">
        <f ca="1">CW42-CV42</f>
        <v>6</v>
      </c>
      <c r="CY42" s="110">
        <f>DD42-$DD$4</f>
        <v>46175</v>
      </c>
      <c r="CZ42" s="247">
        <f>IF(_xlfn.XLOOKUP($E42,'[1]Import Eletra'!$B:$B,'[1]Import Eletra'!$BF:$BF,,0,1)=0,"",_xlfn.XLOOKUP($E42,'[1]Import Eletra'!$B:$B,'[1]Import Eletra'!$BF:$BF,,0,1))</f>
        <v>46181</v>
      </c>
      <c r="DA42" s="210">
        <f>$CY$4</f>
        <v>0</v>
      </c>
      <c r="DB42" s="113">
        <f ca="1">IF(CZ42="",TODAY()-CY42,CZ42-CY42)</f>
        <v>6</v>
      </c>
      <c r="DC42" s="184">
        <f ca="1">DB42-DA42</f>
        <v>6</v>
      </c>
      <c r="DD42" s="110">
        <f>DI42-$DI$4</f>
        <v>46177</v>
      </c>
      <c r="DE42" s="247">
        <f>IF(_xlfn.XLOOKUP($E42,'[1]Import Eletra'!$B:$B,'[1]Import Eletra'!$BG:$BG,,0,1)=0,"",_xlfn.XLOOKUP($E42,'[1]Import Eletra'!$B:$B,'[1]Import Eletra'!$BG:$BG,0,1))</f>
        <v>46183</v>
      </c>
      <c r="DF42" s="113">
        <f>$DD$4</f>
        <v>2</v>
      </c>
      <c r="DG42" s="113">
        <f ca="1">IF(DE42="",TODAY()-DD42,DE42-DD42)</f>
        <v>6</v>
      </c>
      <c r="DH42" s="184">
        <f ca="1">DG42-DF42</f>
        <v>4</v>
      </c>
      <c r="DI42" s="110">
        <f>DO42-$DN$4</f>
        <v>46178</v>
      </c>
      <c r="DJ42" s="247">
        <f>IF(_xlfn.XLOOKUP($E42,'[1]Import Eletra'!$B:$B,'[1]Import Eletra'!$BH:$BH,,0,1)=0,"",_xlfn.XLOOKUP($E42,'[1]Import Eletra'!$B:$B,'[1]Import Eletra'!$BH:$BH,0,1))</f>
        <v>46184</v>
      </c>
      <c r="DK42" s="112">
        <f>$DI$4</f>
        <v>1</v>
      </c>
      <c r="DL42" s="112">
        <f ca="1">IF(DJ42="",TODAY()-DI42,DJ42-DI42)</f>
        <v>6</v>
      </c>
      <c r="DM42" s="184">
        <f ca="1">DL42-DK42</f>
        <v>5</v>
      </c>
      <c r="DN42" s="64"/>
      <c r="DO42" s="202">
        <f>N42+DT42</f>
        <v>46179</v>
      </c>
      <c r="DP42" s="298">
        <f>IF(_xlfn.XLOOKUP($E42,'[1]Import Eletra'!$B:$B,'[1]Import Eletra'!$O:$O,,0,1)=0,"",_xlfn.XLOOKUP($E42,'[1]Import Eletra'!$B:$B,'[1]Import Eletra'!$O:$O,0,1))</f>
        <v>46184</v>
      </c>
      <c r="DQ42" s="112">
        <f>$DN$4</f>
        <v>1</v>
      </c>
      <c r="DR42" s="112">
        <f ca="1">IF(DP42="",TODAY()-DO42,DP42-DO42)</f>
        <v>5</v>
      </c>
      <c r="DS42" s="184">
        <f ca="1">DR42-DQ42</f>
        <v>4</v>
      </c>
      <c r="DT42" s="143">
        <v>10</v>
      </c>
      <c r="DU42" s="140">
        <f ca="1">IF(DP42="",TODAY()-N42,DP42-N42)</f>
        <v>15</v>
      </c>
      <c r="DV42" s="184">
        <f ca="1">DU42-DT42</f>
        <v>5</v>
      </c>
      <c r="DX42" s="142" t="s">
        <v>358</v>
      </c>
      <c r="DY42" s="108" t="str">
        <f>IF(_xlfn.XLOOKUP($E42,'[1]Import Eletra'!$B:$B,'[1]Import Eletra'!$DW:$DW,,0,1)=0,"",_xlfn.XLOOKUP($E42,'[1]Import Eletra'!$B:$B,'[1]Import Eletra'!$DW:$DW,0,1))</f>
        <v>ACCOUNTING/TAX MONTH-END CLOSING</v>
      </c>
      <c r="EB42" s="287"/>
      <c r="ED42" s="409">
        <f>IF(_xlfn.XLOOKUP($E42,'[1]Import Eletra'!$B:$B,'[1]Import Eletra'!$BQ:$BQ,,0,1)=0,"",_xlfn.XLOOKUP($E42,'[1]Import Eletra'!$B:$B,'[1]Import Eletra'!$BQ:$BQ,0,1))</f>
        <v>1636.58</v>
      </c>
      <c r="EE42" s="410">
        <f>IF(_xlfn.XLOOKUP($E42,'[1]Import Eletra'!$B:$B,'[1]Import Eletra'!$BR:$BR,,0,1)=0,"",_xlfn.XLOOKUP($E42,'[1]Import Eletra'!$B:$B,'[1]Import Eletra'!$BR:$BR,0,1))</f>
        <v>46182</v>
      </c>
      <c r="EF42" s="409" t="str">
        <f>IF(_xlfn.XLOOKUP($E42,'[1]Import Eletra'!$B:$B,'[1]Import Eletra'!$BS:$BS,,0,1)=0,"",_xlfn.XLOOKUP($E42,'[1]Import Eletra'!$B:$B,'[1]Import Eletra'!$BS:$BS,0,1))</f>
        <v/>
      </c>
      <c r="EG42" s="410" t="str">
        <f>IF(_xlfn.XLOOKUP($E42,'[1]Import Eletra'!$B:$B,'[1]Import Eletra'!$BT:$BT,,0,1)=0,"",_xlfn.XLOOKUP($E42,'[1]Import Eletra'!$B:$B,'[1]Import Eletra'!$BT:$BT,0,1))</f>
        <v/>
      </c>
      <c r="EH42" s="409" t="str">
        <f>IF(_xlfn.XLOOKUP($E42,'[1]Import Eletra'!$B:$B,'[1]Import Eletra'!$BU:$BU,,0,1)=0,"",_xlfn.XLOOKUP($E42,'[1]Import Eletra'!$B:$B,'[1]Import Eletra'!$BU:$BU,0,1))</f>
        <v/>
      </c>
      <c r="EI42" s="410" t="str">
        <f>IF(_xlfn.XLOOKUP($E42,'[1]Import Eletra'!$B:$B,'[1]Import Eletra'!$BV:$BV,,0,1)=0,"",_xlfn.XLOOKUP($E42,'[1]Import Eletra'!$B:$B,'[1]Import Eletra'!$BV:$BV,0,1))</f>
        <v/>
      </c>
      <c r="EJ42" s="410">
        <f>IF(_xlfn.XLOOKUP($E42,'[1]Import Eletra'!$B:$B,'[1]Import Eletra'!$CI:$CI,,0,1)=0,"",_xlfn.XLOOKUP($E42,'[1]Import Eletra'!$B:$B,'[1]Import Eletra'!$CI:$CI,0,1))</f>
        <v>46187</v>
      </c>
      <c r="EK42" s="410" t="str">
        <f>IF(_xlfn.XLOOKUP($E42,'[1]Import Eletra'!$B:$B,'[1]Import Eletra'!$CD:$CD,,0,1)=0,"",_xlfn.XLOOKUP($E42,'[1]Import Eletra'!$B:$B,'[1]Import Eletra'!$CD:$CD,0,1))</f>
        <v/>
      </c>
      <c r="EL42" s="410" t="str">
        <f>IF(_xlfn.XLOOKUP($E42,'[1]Import Eletra'!$B:$B,'[1]Import Eletra'!$CE:$CE,,0,1)=0,"",_xlfn.XLOOKUP($E42,'[1]Import Eletra'!$B:$B,'[1]Import Eletra'!$CE:$CE,0,1))</f>
        <v>NÃO</v>
      </c>
      <c r="EM42" s="411" t="str">
        <f>IF(_xlfn.XLOOKUP($E42,'[1]Import Eletra'!$B:$B,'[1]Import Eletra'!$E:$E,,0,1)=0,"",_xlfn.XLOOKUP($E42,'[1]Import Eletra'!$B:$B,'[1]Import Eletra'!$E:$E,0,1))</f>
        <v>LEISIANE</v>
      </c>
      <c r="EN42" s="408" t="str">
        <f>IF(_xlfn.XLOOKUP($E42,'[1]Import Eletra'!$B:$B,'[1]Import Eletra'!$R:$R,,0,1)=0,"",_xlfn.XLOOKUP($E42,'[1]Import Eletra'!$B:$B,'[1]Import Eletra'!$R:$R,0,1))</f>
        <v>PWBR260060-10A</v>
      </c>
      <c r="EO42" s="408" t="str">
        <f>IF(_xlfn.XLOOKUP($E42,'[1]Import Eletra'!$B:$B,'[1]Import Eletra'!$P:$P,,0,1)=0,"",_xlfn.XLOOKUP($E42,'[1]Import Eletra'!$B:$B,'[1]Import Eletra'!$P:$P,0,1))</f>
        <v>SDBLBS594322</v>
      </c>
      <c r="EP42" s="408" t="str">
        <f>IF(_xlfn.XLOOKUP($E42,'[1]Import Eletra'!$B:$B,'[1]Import Eletra'!$T:$T,,0,1)=0,"",_xlfn.XLOOKUP($E42,'[1]Import Eletra'!$B:$B,'[1]Import Eletra'!$T:$T,0,1))</f>
        <v>TCLU122528, TCLU135227</v>
      </c>
    </row>
    <row r="43" spans="2:146" ht="30" customHeight="1">
      <c r="B43" s="371" t="s">
        <v>336</v>
      </c>
      <c r="C43" s="369"/>
      <c r="D43" s="104" t="s">
        <v>242</v>
      </c>
      <c r="E43" s="322" t="s">
        <v>292</v>
      </c>
      <c r="F43" s="106">
        <f>IF(_xlfn.XLOOKUP($E43,'[1]Import Eletra'!$B:$B,'[1]Import Eletra'!$U:$U,,0,1)=0,"",_xlfn.XLOOKUP($E43,'[1]Import Eletra'!$B:$B,'[1]Import Eletra'!$U:$U,,0,1))</f>
        <v>0.5</v>
      </c>
      <c r="G43" s="301" t="s">
        <v>244</v>
      </c>
      <c r="H43" s="2" t="str">
        <f>_xlfn.XLOOKUP($E43,'[1]Import Eletra'!$B:$B,'[1]Import Eletra'!$F:$F,,0,1)</f>
        <v>DELIVERED</v>
      </c>
      <c r="I43" s="108" t="str">
        <f>_xlfn.XLOOKUP($E43,'[1]Import Eletra'!$B:$B,'[1]Import Eletra'!$G:$G,,0,1)</f>
        <v>SEA</v>
      </c>
      <c r="J43" s="326">
        <v>45940</v>
      </c>
      <c r="K43" s="109">
        <v>30</v>
      </c>
      <c r="L43" s="109">
        <f>M43-J43</f>
        <v>182</v>
      </c>
      <c r="M43" s="326">
        <f>IF(_xlfn.XLOOKUP($E43,'[1]Import Eletra'!$B:$B,'[1]Import Eletra'!$J:$J,,0,1)=0,"",_xlfn.XLOOKUP($E43,'[1]Import Eletra'!$B:$B,'[1]Import Eletra'!$J:$J,,0,1))</f>
        <v>46122</v>
      </c>
      <c r="N43" s="332">
        <f>IF(_xlfn.XLOOKUP($E43,'[1]Import Eletra'!$B:$B,'[1]Import Eletra'!$L:$L,,0,1)=0,"",_xlfn.XLOOKUP($E43,'[1]Import Eletra'!$B:$B,'[1]Import Eletra'!$L:$L,,0,1))</f>
        <v>46169</v>
      </c>
      <c r="O43" s="335">
        <f>IF(_xlfn.XLOOKUP($E43,'[1]Import Eletra'!$B:$B,'[1]Import Eletra'!$AK:$AK,,0,1)=0,"",_xlfn.XLOOKUP($E43,'[1]Import Eletra'!$B:$B,'[1]Import Eletra'!$AK:$AK,,0,1))</f>
        <v>46140</v>
      </c>
      <c r="P43" s="326">
        <f>IF(_xlfn.XLOOKUP($E43,'[1]Import Eletra'!$B:$B,'[1]Import Eletra'!$AL:$AL,,0,1)=0,"",_xlfn.XLOOKUP($E43,'[1]Import Eletra'!$B:$B,'[1]Import Eletra'!$AL:$AL,,0,1))</f>
        <v>46148</v>
      </c>
      <c r="Q43" s="326">
        <f>IF(_xlfn.XLOOKUP($E43,'[1]Import Eletra'!$B:$B,'[1]Import Eletra'!$AM:$AM,,0,1)=0,"",_xlfn.XLOOKUP($E43,'[1]Import Eletra'!$B:$B,'[1]Import Eletra'!$AM:$AM,,0,1))</f>
        <v>46154</v>
      </c>
      <c r="R43" s="326">
        <f>IF(_xlfn.XLOOKUP($E43,'[1]Import Eletra'!$B:$B,'[1]Import Eletra'!$AN:$AN,,0,1)=0,"",_xlfn.XLOOKUP($E43,'[1]Import Eletra'!$B:$B,'[1]Import Eletra'!$AN:$AN,,0,1))</f>
        <v>46168</v>
      </c>
      <c r="S43" s="326">
        <f>IF(_xlfn.XLOOKUP($E43,'[1]Import Eletra'!$B:$B,'[1]Import Eletra'!$AO:$AO,,0,1)=0,"",_xlfn.XLOOKUP($E43,'[1]Import Eletra'!$B:$B,'[1]Import Eletra'!$AO:$AO,,0,1))</f>
        <v>46168</v>
      </c>
      <c r="T43" s="326">
        <f>IF(_xlfn.XLOOKUP($E43,'[1]Import Eletra'!$B:$B,'[1]Import Eletra'!$AP:$AP,,0,1)=0,"",_xlfn.XLOOKUP($E43,'[1]Import Eletra'!$B:$B,'[1]Import Eletra'!$AP:$AP,,0,1))</f>
        <v>46168</v>
      </c>
      <c r="U43" s="326">
        <f>IF(_xlfn.XLOOKUP($E43,'[1]Import Eletra'!$B:$B,'[1]Import Eletra'!$AQ:$AQ,,0,1)=0,"",_xlfn.XLOOKUP($E43,'[1]Import Eletra'!$B:$B,'[1]Import Eletra'!$AQ:$AQ,,0,1))</f>
        <v>46168</v>
      </c>
      <c r="V43" s="339">
        <f>IF(_xlfn.XLOOKUP($E43,'[1]Import Eletra'!$B:$B,'[1]Import Eletra'!$AR:$AR,,0,1)=0,"",_xlfn.XLOOKUP($E43,'[1]Import Eletra'!$B:$B,'[1]Import Eletra'!$AR:$AR,,0,1))</f>
        <v>46170</v>
      </c>
      <c r="W43" s="335">
        <f>AB43-$AB$5</f>
        <v>46170</v>
      </c>
      <c r="X43" s="332">
        <f>IF(_xlfn.XLOOKUP($E43,'[1]Import Eletra'!$B:$B,'[1]Import Eletra'!$AS:$AS,,0,1)=0,"",_xlfn.XLOOKUP($E43,'[1]Import Eletra'!$B:$B,'[1]Import Eletra'!$AS:$AS,,0,1))</f>
        <v>46174</v>
      </c>
      <c r="Y43" s="113">
        <f>$W$4</f>
        <v>0</v>
      </c>
      <c r="Z43" s="113">
        <f ca="1">IF(X43="",TODAY()-W43,X43-W43)</f>
        <v>4</v>
      </c>
      <c r="AA43" s="184">
        <f ca="1">Z43-Y43</f>
        <v>4</v>
      </c>
      <c r="AB43" s="348">
        <f>AG43-$AB$5</f>
        <v>46171</v>
      </c>
      <c r="AC43" s="332">
        <f>IF(_xlfn.XLOOKUP($E43,'[1]Import Eletra'!$B:$B,'[1]Import Eletra'!$AD:$AD,,0,1)=0,"",_xlfn.XLOOKUP($E43,'[1]Import Eletra'!$B:$B,'[1]Import Eletra'!$AD:$AD,,0,1))</f>
        <v>46174</v>
      </c>
      <c r="AD43" s="113">
        <f>$AB$4</f>
        <v>0</v>
      </c>
      <c r="AE43" s="113">
        <f ca="1">IF(AC43="",TODAY()-AB43,AC43-AB43)</f>
        <v>3</v>
      </c>
      <c r="AF43" s="184">
        <f ca="1">AE43-AD43</f>
        <v>3</v>
      </c>
      <c r="AG43" s="355">
        <f>AL43-$AL$5</f>
        <v>46172</v>
      </c>
      <c r="AH43" s="332">
        <f>IF(_xlfn.XLOOKUP($E43,'[1]Import Eletra'!$B:$B,'[1]Import Eletra'!$AE:$AE,,0,1)=0,"",_xlfn.XLOOKUP($E43,'[1]Import Eletra'!$B:$B,'[1]Import Eletra'!$AE:$AE,,0,1))</f>
        <v>46174</v>
      </c>
      <c r="AI43" s="113">
        <f>$AG$4</f>
        <v>0</v>
      </c>
      <c r="AJ43" s="113">
        <f ca="1">IF(AH43="",TODAY()-AG43,AH43-AG43)</f>
        <v>2</v>
      </c>
      <c r="AK43" s="184">
        <f ca="1">AJ43-AI43</f>
        <v>2</v>
      </c>
      <c r="AL43" s="355">
        <f>AQ43-$AQ$5</f>
        <v>46172</v>
      </c>
      <c r="AM43" s="332">
        <f>IF(_xlfn.XLOOKUP($E43,'[1]Import Eletra'!$B:$B,'[1]Import Eletra'!$AT:$AT,,0,1)=0,"",_xlfn.XLOOKUP($E43,'[1]Import Eletra'!$B:$B,'[1]Import Eletra'!$AT:$AT,,0,1))</f>
        <v>46175</v>
      </c>
      <c r="AN43" s="113">
        <f>$AL$4</f>
        <v>0</v>
      </c>
      <c r="AO43" s="113">
        <f ca="1">IF(AM43="",TODAY()-AL43,AM43-AL43)</f>
        <v>3</v>
      </c>
      <c r="AP43" s="184">
        <f ca="1">AO43-AN43</f>
        <v>3</v>
      </c>
      <c r="AQ43" s="357">
        <f>AV43-$AV$5</f>
        <v>46173</v>
      </c>
      <c r="AR43" s="332">
        <f>IF(_xlfn.XLOOKUP($E43,'[1]Import Eletra'!$B:$B,'[1]Import Eletra'!$AU:$AU,,0,1)=0,"",_xlfn.XLOOKUP($E43,'[1]Import Eletra'!$B:$B,'[1]Import Eletra'!$AU:$AU,,0,1))</f>
        <v>46175</v>
      </c>
      <c r="AS43" s="113">
        <f>$AQ$4</f>
        <v>1</v>
      </c>
      <c r="AT43" s="113">
        <f ca="1">IF(AR43="",TODAY()-AQ43,AR43-AQ43)</f>
        <v>2</v>
      </c>
      <c r="AU43" s="184">
        <f ca="1">AT43-AS43</f>
        <v>1</v>
      </c>
      <c r="AV43" s="355">
        <f>BA43-$BA$5</f>
        <v>46173</v>
      </c>
      <c r="AW43" s="332" t="str">
        <f>IF(_xlfn.XLOOKUP($E43,'[1]Import Eletra'!$B:$B,'[1]Import Eletra'!$AV:$AV,,0,1)=0,"",_xlfn.XLOOKUP($E43,'[1]Import Eletra'!$B:$B,'[1]Import Eletra'!$AV:$AV,,0,1))</f>
        <v/>
      </c>
      <c r="AX43" s="113">
        <f>$AV$4</f>
        <v>0</v>
      </c>
      <c r="AY43" s="113">
        <f ca="1">IF(AW43="",TODAY()-AV43,AW43-AV43)</f>
        <v>38</v>
      </c>
      <c r="AZ43" s="184">
        <f ca="1">AY43-AX43</f>
        <v>38</v>
      </c>
      <c r="BA43" s="357">
        <f>BF43-$BF$5</f>
        <v>46173</v>
      </c>
      <c r="BB43" s="332" t="str">
        <f>IF(_xlfn.XLOOKUP($E43,'[1]Import Eletra'!$B:$B,'[1]Import Eletra'!$AW:$AW,,0,1)=0,"",_xlfn.XLOOKUP($E43,'[1]Import Eletra'!$B:$B,'[1]Import Eletra'!$AW:$AW,,0,1))</f>
        <v/>
      </c>
      <c r="BC43" s="113">
        <f>$BA$4</f>
        <v>0</v>
      </c>
      <c r="BD43" s="113">
        <f ca="1">IF(BB43="",TODAY()-BA43,BB43-BA43)</f>
        <v>38</v>
      </c>
      <c r="BE43" s="184">
        <f ca="1">BD43-BC43</f>
        <v>38</v>
      </c>
      <c r="BF43" s="335">
        <f>BK43-$BK$5</f>
        <v>46173</v>
      </c>
      <c r="BG43" s="332" t="str">
        <f>IF(_xlfn.XLOOKUP($E43,'[1]Import Eletra'!$B:$B,'[1]Import Eletra'!$AX:$AX,,0,1)=0,"",_xlfn.XLOOKUP($E43,'[1]Import Eletra'!$B:$B,'[1]Import Eletra'!$AX:$AX,,0,1))</f>
        <v/>
      </c>
      <c r="BH43" s="113">
        <f>$BF$4</f>
        <v>0</v>
      </c>
      <c r="BI43" s="113">
        <f ca="1">IF(BG43="",TODAY()-BF43,BG43-BF43)</f>
        <v>38</v>
      </c>
      <c r="BJ43" s="184">
        <f ca="1">BI43-BH43</f>
        <v>38</v>
      </c>
      <c r="BK43" s="362">
        <f>BP43-$BP$5</f>
        <v>46173</v>
      </c>
      <c r="BL43" s="332" t="str">
        <f>IF(_xlfn.XLOOKUP($E43,'[1]Import Eletra'!$B:$B,'[1]Import Eletra'!$AY:$AY,,0,1)=0,"",_xlfn.XLOOKUP($E43,'[1]Import Eletra'!$B:$B,'[1]Import Eletra'!$AY:$AY,,0,1))</f>
        <v/>
      </c>
      <c r="BM43" s="113">
        <f>$BK$4</f>
        <v>0</v>
      </c>
      <c r="BN43" s="113">
        <f ca="1">IF(BL43="",TODAY()-BK43,BL43-BK43)</f>
        <v>38</v>
      </c>
      <c r="BO43" s="184">
        <f ca="1">BN43-BM43</f>
        <v>38</v>
      </c>
      <c r="BP43" s="335">
        <f>BU43-$BU$5</f>
        <v>46173</v>
      </c>
      <c r="BQ43" s="332" t="str">
        <f>IF(_xlfn.XLOOKUP($E43,'[1]Import Eletra'!$B:$B,'[1]Import Eletra'!$AZ:$AZ,,0,1)=0,"",_xlfn.XLOOKUP($E43,'[1]Import Eletra'!$B:$B,'[1]Import Eletra'!$AZ:$AZ,,0,1))</f>
        <v/>
      </c>
      <c r="BR43" s="113">
        <f>$BP$4</f>
        <v>0</v>
      </c>
      <c r="BS43" s="113">
        <f ca="1">IF(BQ43="",TODAY()-BP43,BQ43-BP43)</f>
        <v>38</v>
      </c>
      <c r="BT43" s="184">
        <f ca="1">BS43-BR43</f>
        <v>38</v>
      </c>
      <c r="BU43" s="362">
        <f>BZ43-$BZ$4</f>
        <v>46175</v>
      </c>
      <c r="BV43" s="332">
        <f>IF(_xlfn.XLOOKUP($E43,'[1]Import Eletra'!$B:$B,'[1]Import Eletra'!$BA:$BA,,0,1)=0,"",_xlfn.XLOOKUP($E43,'[1]Import Eletra'!$B:$B,'[1]Import Eletra'!$BA:$BA,,0,1))</f>
        <v>46178</v>
      </c>
      <c r="BW43" s="113">
        <f>$BU$4</f>
        <v>2</v>
      </c>
      <c r="BX43" s="113">
        <f ca="1">IF(BV43="",TODAY()-BU43,BV43-BU43)</f>
        <v>3</v>
      </c>
      <c r="BY43" s="184">
        <f ca="1">BX43-BW43</f>
        <v>1</v>
      </c>
      <c r="BZ43" s="335">
        <f>CE43-$CE$5</f>
        <v>46175</v>
      </c>
      <c r="CA43" s="332">
        <f>IF(_xlfn.XLOOKUP($E43,'[1]Import Eletra'!$B:$B,'[1]Import Eletra'!$BB:$BB,,0,1)=0,"",_xlfn.XLOOKUP($E43,'[1]Import Eletra'!$B:$B,'[1]Import Eletra'!$BB:$BB,,0,1))</f>
        <v>46178</v>
      </c>
      <c r="CB43" s="113">
        <f>$BZ$4</f>
        <v>0</v>
      </c>
      <c r="CC43" s="113">
        <f ca="1">IF(CA43="",TODAY()-BZ43,CA43-BZ43)</f>
        <v>3</v>
      </c>
      <c r="CD43" s="184">
        <f ca="1">CC43-CB43</f>
        <v>3</v>
      </c>
      <c r="CE43" s="362">
        <f>CJ43-$CJ$4</f>
        <v>46175</v>
      </c>
      <c r="CF43" s="332" t="str">
        <f>IF(_xlfn.XLOOKUP($E43,'[1]Import Eletra'!$B:$B,'[1]Import Eletra'!$BC:$BC,,0,1)=0,"",_xlfn.XLOOKUP($E43,'[1]Import Eletra'!$B:$B,'[1]Import Eletra'!$BC:$BC,,0,1))</f>
        <v/>
      </c>
      <c r="CG43" s="113">
        <f>$CE$4</f>
        <v>0</v>
      </c>
      <c r="CH43" s="113">
        <f ca="1">IF(CF43="",TODAY()-CE43,CF43-CE43)</f>
        <v>36</v>
      </c>
      <c r="CI43" s="184">
        <f ca="1">CH43-CG43</f>
        <v>36</v>
      </c>
      <c r="CJ43" s="335">
        <f>CO43-$CO$4</f>
        <v>46175</v>
      </c>
      <c r="CK43" s="332">
        <f>IF(_xlfn.XLOOKUP($E43,'[1]Import Eletra'!$B:$B,'[1]Import Eletra'!$BD:$BD,,0,1)=0,"",_xlfn.XLOOKUP($E43,'[1]Import Eletra'!$B:$B,'[1]Import Eletra'!$BD:$BD,,0,1))</f>
        <v>46175</v>
      </c>
      <c r="CL43" s="113"/>
      <c r="CM43" s="113">
        <f ca="1">IF(CK43="",TODAY()-CJ43,CK43-CJ43)</f>
        <v>0</v>
      </c>
      <c r="CN43" s="184">
        <f ca="1">CM43-CL43</f>
        <v>0</v>
      </c>
      <c r="CO43" s="362">
        <f>CT43-$CT$4</f>
        <v>46175</v>
      </c>
      <c r="CP43" s="332">
        <f>IF(_xlfn.XLOOKUP($E43,'[1]Import Eletra'!$B:$B,'[1]Import Eletra'!$BE:$BE,,0,1)=0,"",_xlfn.XLOOKUP($E43,'[1]Import Eletra'!$B:$B,'[1]Import Eletra'!$BE:$BE,,0,1))</f>
        <v>46175</v>
      </c>
      <c r="CQ43" s="113">
        <f>$CO$4</f>
        <v>0</v>
      </c>
      <c r="CR43" s="113">
        <f ca="1">IF(CP43="",TODAY()-CO43,CP43-CO43)</f>
        <v>0</v>
      </c>
      <c r="CS43" s="184">
        <f ca="1">CR43-CQ43</f>
        <v>0</v>
      </c>
      <c r="CT43" s="335">
        <f>CY43-$CY$4</f>
        <v>46175</v>
      </c>
      <c r="CU43" s="332">
        <f>IF(_xlfn.XLOOKUP($E43,'[1]Import Eletra'!$B:$B,'[1]Import Eletra'!$BF:$BF,,0,1)=0,"",_xlfn.XLOOKUP($E43,'[1]Import Eletra'!$B:$B,'[1]Import Eletra'!$BF:$BF,,0,1))</f>
        <v>46175</v>
      </c>
      <c r="CV43" s="113">
        <f>$CT$4</f>
        <v>0</v>
      </c>
      <c r="CW43" s="113">
        <f ca="1">IF(CU43="",TODAY()-CT43,CU43-CT43)</f>
        <v>0</v>
      </c>
      <c r="CX43" s="184">
        <f ca="1">CW43-CV43</f>
        <v>0</v>
      </c>
      <c r="CY43" s="110">
        <f>DD43-$DD$4</f>
        <v>46175</v>
      </c>
      <c r="CZ43" s="247">
        <f>IF(_xlfn.XLOOKUP($E43,'[1]Import Eletra'!$B:$B,'[1]Import Eletra'!$BF:$BF,,0,1)=0,"",_xlfn.XLOOKUP($E43,'[1]Import Eletra'!$B:$B,'[1]Import Eletra'!$BF:$BF,,0,1))</f>
        <v>46175</v>
      </c>
      <c r="DA43" s="210">
        <f>$CY$4</f>
        <v>0</v>
      </c>
      <c r="DB43" s="113">
        <f ca="1">IF(CZ43="",TODAY()-CY43,CZ43-CY43)</f>
        <v>0</v>
      </c>
      <c r="DC43" s="184">
        <f ca="1">DB43-DA43</f>
        <v>0</v>
      </c>
      <c r="DD43" s="110">
        <f>DI43-$DI$4</f>
        <v>46177</v>
      </c>
      <c r="DE43" s="247">
        <f>IF(_xlfn.XLOOKUP($E43,'[1]Import Eletra'!$B:$B,'[1]Import Eletra'!$BG:$BG,,0,1)=0,"",_xlfn.XLOOKUP($E43,'[1]Import Eletra'!$B:$B,'[1]Import Eletra'!$BG:$BG,0,1))</f>
        <v>46178</v>
      </c>
      <c r="DF43" s="113">
        <f>$DD$4</f>
        <v>2</v>
      </c>
      <c r="DG43" s="113">
        <f ca="1">IF(DE43="",TODAY()-DD43,DE43-DD43)</f>
        <v>1</v>
      </c>
      <c r="DH43" s="184">
        <f ca="1">DG43-DF43</f>
        <v>-1</v>
      </c>
      <c r="DI43" s="110">
        <f>DO43-$DN$4</f>
        <v>46178</v>
      </c>
      <c r="DJ43" s="247">
        <f>IF(_xlfn.XLOOKUP($E43,'[1]Import Eletra'!$B:$B,'[1]Import Eletra'!$BH:$BH,,0,1)=0,"",_xlfn.XLOOKUP($E43,'[1]Import Eletra'!$B:$B,'[1]Import Eletra'!$BH:$BH,0,1))</f>
        <v>46179</v>
      </c>
      <c r="DK43" s="112">
        <f>$DI$4</f>
        <v>1</v>
      </c>
      <c r="DL43" s="112">
        <f ca="1">IF(DJ43="",TODAY()-DI43,DJ43-DI43)</f>
        <v>1</v>
      </c>
      <c r="DM43" s="184">
        <f ca="1">DL43-DK43</f>
        <v>0</v>
      </c>
      <c r="DN43" s="64"/>
      <c r="DO43" s="202">
        <f>N43+DT43</f>
        <v>46179</v>
      </c>
      <c r="DP43" s="165">
        <f>IF(_xlfn.XLOOKUP($E43,'[1]Import Eletra'!$B:$B,'[1]Import Eletra'!$O:$O,,0,1)=0,"",_xlfn.XLOOKUP($E43,'[1]Import Eletra'!$B:$B,'[1]Import Eletra'!$O:$O,0,1))</f>
        <v>46179</v>
      </c>
      <c r="DQ43" s="112">
        <f>$DN$4</f>
        <v>1</v>
      </c>
      <c r="DR43" s="112">
        <f ca="1">IF(DP43="",TODAY()-DO43,DP43-DO43)</f>
        <v>0</v>
      </c>
      <c r="DS43" s="184">
        <f ca="1">DR43-DQ43</f>
        <v>-1</v>
      </c>
      <c r="DT43" s="143">
        <v>10</v>
      </c>
      <c r="DU43" s="140">
        <f ca="1">IF(DP43="",TODAY()-N43,DP43-N43)</f>
        <v>10</v>
      </c>
      <c r="DV43" s="184">
        <f ca="1">DU43-DT43</f>
        <v>0</v>
      </c>
      <c r="DX43" s="185" t="s">
        <v>245</v>
      </c>
      <c r="DY43" s="108" t="str">
        <f>IF(_xlfn.XLOOKUP($E43,'[1]Import Eletra'!$B:$B,'[1]Import Eletra'!$DW:$DW,,0,1)=0,"",_xlfn.XLOOKUP($E43,'[1]Import Eletra'!$B:$B,'[1]Import Eletra'!$DW:$DW,0,1))</f>
        <v>SEFAZ HOMOLOGATION - NF/GLME</v>
      </c>
      <c r="EB43" s="287"/>
      <c r="ED43" s="409">
        <f>IF(_xlfn.XLOOKUP($E43,'[1]Import Eletra'!$B:$B,'[1]Import Eletra'!$BQ:$BQ,,0,1)=0,"",_xlfn.XLOOKUP($E43,'[1]Import Eletra'!$B:$B,'[1]Import Eletra'!$BQ:$BQ,0,1))</f>
        <v>409.14499999999998</v>
      </c>
      <c r="EE43" s="410">
        <f>IF(_xlfn.XLOOKUP($E43,'[1]Import Eletra'!$B:$B,'[1]Import Eletra'!$BR:$BR,,0,1)=0,"",_xlfn.XLOOKUP($E43,'[1]Import Eletra'!$B:$B,'[1]Import Eletra'!$BR:$BR,0,1))</f>
        <v>46178</v>
      </c>
      <c r="EF43" s="409" t="str">
        <f>IF(_xlfn.XLOOKUP($E43,'[1]Import Eletra'!$B:$B,'[1]Import Eletra'!$BS:$BS,,0,1)=0,"",_xlfn.XLOOKUP($E43,'[1]Import Eletra'!$B:$B,'[1]Import Eletra'!$BS:$BS,0,1))</f>
        <v/>
      </c>
      <c r="EG43" s="410" t="str">
        <f>IF(_xlfn.XLOOKUP($E43,'[1]Import Eletra'!$B:$B,'[1]Import Eletra'!$BT:$BT,,0,1)=0,"",_xlfn.XLOOKUP($E43,'[1]Import Eletra'!$B:$B,'[1]Import Eletra'!$BT:$BT,0,1))</f>
        <v/>
      </c>
      <c r="EH43" s="409" t="str">
        <f>IF(_xlfn.XLOOKUP($E43,'[1]Import Eletra'!$B:$B,'[1]Import Eletra'!$BU:$BU,,0,1)=0,"",_xlfn.XLOOKUP($E43,'[1]Import Eletra'!$B:$B,'[1]Import Eletra'!$BU:$BU,0,1))</f>
        <v/>
      </c>
      <c r="EI43" s="410" t="str">
        <f>IF(_xlfn.XLOOKUP($E43,'[1]Import Eletra'!$B:$B,'[1]Import Eletra'!$BV:$BV,,0,1)=0,"",_xlfn.XLOOKUP($E43,'[1]Import Eletra'!$B:$B,'[1]Import Eletra'!$BV:$BV,0,1))</f>
        <v/>
      </c>
      <c r="EJ43" s="410">
        <f>IF(_xlfn.XLOOKUP($E43,'[1]Import Eletra'!$B:$B,'[1]Import Eletra'!$CI:$CI,,0,1)=0,"",_xlfn.XLOOKUP($E43,'[1]Import Eletra'!$B:$B,'[1]Import Eletra'!$CI:$CI,0,1))</f>
        <v>46187</v>
      </c>
      <c r="EK43" s="410" t="str">
        <f>IF(_xlfn.XLOOKUP($E43,'[1]Import Eletra'!$B:$B,'[1]Import Eletra'!$CD:$CD,,0,1)=0,"",_xlfn.XLOOKUP($E43,'[1]Import Eletra'!$B:$B,'[1]Import Eletra'!$CD:$CD,0,1))</f>
        <v/>
      </c>
      <c r="EL43" s="410" t="str">
        <f>IF(_xlfn.XLOOKUP($E43,'[1]Import Eletra'!$B:$B,'[1]Import Eletra'!$CE:$CE,,0,1)=0,"",_xlfn.XLOOKUP($E43,'[1]Import Eletra'!$B:$B,'[1]Import Eletra'!$CE:$CE,0,1))</f>
        <v>NÃO</v>
      </c>
      <c r="EM43" s="411" t="str">
        <f>IF(_xlfn.XLOOKUP($E43,'[1]Import Eletra'!$B:$B,'[1]Import Eletra'!$E:$E,,0,1)=0,"",_xlfn.XLOOKUP($E43,'[1]Import Eletra'!$B:$B,'[1]Import Eletra'!$E:$E,0,1))</f>
        <v>LEISIANE</v>
      </c>
      <c r="EN43" s="408" t="str">
        <f>IF(_xlfn.XLOOKUP($E43,'[1]Import Eletra'!$B:$B,'[1]Import Eletra'!$R:$R,,0,1)=0,"",_xlfn.XLOOKUP($E43,'[1]Import Eletra'!$B:$B,'[1]Import Eletra'!$R:$R,0,1))</f>
        <v>PWBR260060-10D</v>
      </c>
      <c r="EO43" s="408" t="str">
        <f>IF(_xlfn.XLOOKUP($E43,'[1]Import Eletra'!$B:$B,'[1]Import Eletra'!$P:$P,,0,1)=0,"",_xlfn.XLOOKUP($E43,'[1]Import Eletra'!$B:$B,'[1]Import Eletra'!$P:$P,0,1))</f>
        <v>SDBLBS594325</v>
      </c>
      <c r="EP43" s="408" t="str">
        <f>IF(_xlfn.XLOOKUP($E43,'[1]Import Eletra'!$B:$B,'[1]Import Eletra'!$T:$T,,0,1)=0,"",_xlfn.XLOOKUP($E43,'[1]Import Eletra'!$B:$B,'[1]Import Eletra'!$T:$T,0,1))</f>
        <v>TRIU8677304</v>
      </c>
    </row>
    <row r="44" spans="2:146" ht="30" customHeight="1">
      <c r="B44" s="371" t="s">
        <v>336</v>
      </c>
      <c r="C44" s="369"/>
      <c r="D44" s="104" t="str">
        <f>IF(_xlfn.XLOOKUP($E44,'[1]Import Eletra'!$B:$B,'[1]Import Eletra'!$A:$A,,0,1)=0,"",_xlfn.XLOOKUP($E44,'[1]Import Eletra'!$B:$B,'[1]Import Eletra'!$A:$A,,0,1))</f>
        <v>JUN_2026</v>
      </c>
      <c r="E44" s="322" t="s">
        <v>359</v>
      </c>
      <c r="F44" s="106" t="str">
        <f>IF(_xlfn.XLOOKUP($E44,'[1]Import Eletra'!$B:$B,'[1]Import Eletra'!$U:$U,,0,1)=0,"",_xlfn.XLOOKUP($E44,'[1]Import Eletra'!$B:$B,'[1]Import Eletra'!$U:$U,,0,1))</f>
        <v/>
      </c>
      <c r="G44" s="301" t="s">
        <v>244</v>
      </c>
      <c r="H44" s="2" t="str">
        <f>_xlfn.XLOOKUP($E44,'[1]Import Eletra'!$B:$B,'[1]Import Eletra'!$F:$F,,0,1)</f>
        <v>DELIVERED</v>
      </c>
      <c r="I44" s="108" t="str">
        <f>_xlfn.XLOOKUP($E44,'[1]Import Eletra'!$B:$B,'[1]Import Eletra'!$G:$G,,0,1)</f>
        <v>AIR</v>
      </c>
      <c r="J44" s="326">
        <v>46121</v>
      </c>
      <c r="K44" s="109">
        <v>30</v>
      </c>
      <c r="L44" s="109">
        <f>M44-J44</f>
        <v>55</v>
      </c>
      <c r="M44" s="326">
        <f>IF(_xlfn.XLOOKUP($E44,'[1]Import Eletra'!$B:$B,'[1]Import Eletra'!$J:$J,,0,1)=0,"",_xlfn.XLOOKUP($E44,'[1]Import Eletra'!$B:$B,'[1]Import Eletra'!$J:$J,,0,1))</f>
        <v>46176</v>
      </c>
      <c r="N44" s="332">
        <f>IF(_xlfn.XLOOKUP($E44,'[1]Import Eletra'!$B:$B,'[1]Import Eletra'!$L:$L,,0,1)=0,"",_xlfn.XLOOKUP($E44,'[1]Import Eletra'!$B:$B,'[1]Import Eletra'!$L:$L,,0,1))</f>
        <v>46178</v>
      </c>
      <c r="O44" s="335">
        <f>IF(_xlfn.XLOOKUP($E44,'[1]Import Eletra'!$B:$B,'[1]Import Eletra'!$AK:$AK,,0,1)=0,"",_xlfn.XLOOKUP($E44,'[1]Import Eletra'!$B:$B,'[1]Import Eletra'!$AK:$AK,,0,1))</f>
        <v>46174</v>
      </c>
      <c r="P44" s="326">
        <f>IF(_xlfn.XLOOKUP($E44,'[1]Import Eletra'!$B:$B,'[1]Import Eletra'!$AL:$AL,,0,1)=0,"",_xlfn.XLOOKUP($E44,'[1]Import Eletra'!$B:$B,'[1]Import Eletra'!$AL:$AL,,0,1))</f>
        <v>46175</v>
      </c>
      <c r="Q44" s="326">
        <f>IF(_xlfn.XLOOKUP($E44,'[1]Import Eletra'!$B:$B,'[1]Import Eletra'!$AM:$AM,,0,1)=0,"",_xlfn.XLOOKUP($E44,'[1]Import Eletra'!$B:$B,'[1]Import Eletra'!$AM:$AM,,0,1))</f>
        <v>46176</v>
      </c>
      <c r="R44" s="326">
        <f>IF(_xlfn.XLOOKUP($E44,'[1]Import Eletra'!$B:$B,'[1]Import Eletra'!$AN:$AN,,0,1)=0,"",_xlfn.XLOOKUP($E44,'[1]Import Eletra'!$B:$B,'[1]Import Eletra'!$AN:$AN,,0,1))</f>
        <v>46178</v>
      </c>
      <c r="S44" s="326">
        <f>IF(_xlfn.XLOOKUP($E44,'[1]Import Eletra'!$B:$B,'[1]Import Eletra'!$AO:$AO,,0,1)=0,"",_xlfn.XLOOKUP($E44,'[1]Import Eletra'!$B:$B,'[1]Import Eletra'!$AO:$AO,,0,1))</f>
        <v>46181</v>
      </c>
      <c r="T44" s="326">
        <f>IF(_xlfn.XLOOKUP($E44,'[1]Import Eletra'!$B:$B,'[1]Import Eletra'!$AP:$AP,,0,1)=0,"",_xlfn.XLOOKUP($E44,'[1]Import Eletra'!$B:$B,'[1]Import Eletra'!$AP:$AP,,0,1))</f>
        <v>46181</v>
      </c>
      <c r="U44" s="326">
        <f>IF(_xlfn.XLOOKUP($E44,'[1]Import Eletra'!$B:$B,'[1]Import Eletra'!$AQ:$AQ,,0,1)=0,"",_xlfn.XLOOKUP($E44,'[1]Import Eletra'!$B:$B,'[1]Import Eletra'!$AQ:$AQ,,0,1))</f>
        <v>46182</v>
      </c>
      <c r="V44" s="339">
        <f>IF(_xlfn.XLOOKUP($E44,'[1]Import Eletra'!$B:$B,'[1]Import Eletra'!$AR:$AR,,0,1)=0,"",_xlfn.XLOOKUP($E44,'[1]Import Eletra'!$B:$B,'[1]Import Eletra'!$AR:$AR,,0,1))</f>
        <v>46181</v>
      </c>
      <c r="W44" s="335">
        <f>AB44-$AB$5</f>
        <v>46179</v>
      </c>
      <c r="X44" s="332">
        <f>IF(_xlfn.XLOOKUP($E44,'[1]Import Eletra'!$B:$B,'[1]Import Eletra'!$AS:$AS,,0,1)=0,"",_xlfn.XLOOKUP($E44,'[1]Import Eletra'!$B:$B,'[1]Import Eletra'!$AS:$AS,,0,1))</f>
        <v>46182</v>
      </c>
      <c r="Y44" s="113">
        <f>$W$4</f>
        <v>0</v>
      </c>
      <c r="Z44" s="113">
        <f ca="1">IF(X44="",TODAY()-W44,X44-W44)</f>
        <v>3</v>
      </c>
      <c r="AA44" s="184">
        <f ca="1">Z44-Y44</f>
        <v>3</v>
      </c>
      <c r="AB44" s="348">
        <f>AG44-$AB$5</f>
        <v>46180</v>
      </c>
      <c r="AC44" s="332">
        <f>IF(_xlfn.XLOOKUP($E44,'[1]Import Eletra'!$B:$B,'[1]Import Eletra'!$AD:$AD,,0,1)=0,"",_xlfn.XLOOKUP($E44,'[1]Import Eletra'!$B:$B,'[1]Import Eletra'!$AD:$AD,,0,1))</f>
        <v>46182</v>
      </c>
      <c r="AD44" s="113">
        <f>$AB$4</f>
        <v>0</v>
      </c>
      <c r="AE44" s="113">
        <f ca="1">IF(AC44="",TODAY()-AB44,AC44-AB44)</f>
        <v>2</v>
      </c>
      <c r="AF44" s="184">
        <f ca="1">AE44-AD44</f>
        <v>2</v>
      </c>
      <c r="AG44" s="355">
        <f>AL44-$AL$5</f>
        <v>46181</v>
      </c>
      <c r="AH44" s="332">
        <f>IF(_xlfn.XLOOKUP($E44,'[1]Import Eletra'!$B:$B,'[1]Import Eletra'!$AE:$AE,,0,1)=0,"",_xlfn.XLOOKUP($E44,'[1]Import Eletra'!$B:$B,'[1]Import Eletra'!$AE:$AE,,0,1))</f>
        <v>46183</v>
      </c>
      <c r="AI44" s="113">
        <f>$AG$4</f>
        <v>0</v>
      </c>
      <c r="AJ44" s="113">
        <f ca="1">IF(AH44="",TODAY()-AG44,AH44-AG44)</f>
        <v>2</v>
      </c>
      <c r="AK44" s="184">
        <f ca="1">AJ44-AI44</f>
        <v>2</v>
      </c>
      <c r="AL44" s="355">
        <f>AQ44-$AQ$5</f>
        <v>46181</v>
      </c>
      <c r="AM44" s="332">
        <f>IF(_xlfn.XLOOKUP($E44,'[1]Import Eletra'!$B:$B,'[1]Import Eletra'!$AT:$AT,,0,1)=0,"",_xlfn.XLOOKUP($E44,'[1]Import Eletra'!$B:$B,'[1]Import Eletra'!$AT:$AT,,0,1))</f>
        <v>46182</v>
      </c>
      <c r="AN44" s="113">
        <f>$AL$4</f>
        <v>0</v>
      </c>
      <c r="AO44" s="113">
        <f ca="1">IF(AM44="",TODAY()-AL44,AM44-AL44)</f>
        <v>1</v>
      </c>
      <c r="AP44" s="184">
        <f ca="1">AO44-AN44</f>
        <v>1</v>
      </c>
      <c r="AQ44" s="357">
        <f>AV44-$AV$5</f>
        <v>46182</v>
      </c>
      <c r="AR44" s="332">
        <f>IF(_xlfn.XLOOKUP($E44,'[1]Import Eletra'!$B:$B,'[1]Import Eletra'!$AU:$AU,,0,1)=0,"",_xlfn.XLOOKUP($E44,'[1]Import Eletra'!$B:$B,'[1]Import Eletra'!$AU:$AU,,0,1))</f>
        <v>46182</v>
      </c>
      <c r="AS44" s="113">
        <f>$AQ$4</f>
        <v>1</v>
      </c>
      <c r="AT44" s="113">
        <f ca="1">IF(AR44="",TODAY()-AQ44,AR44-AQ44)</f>
        <v>0</v>
      </c>
      <c r="AU44" s="184">
        <f ca="1">AT44-AS44</f>
        <v>-1</v>
      </c>
      <c r="AV44" s="355">
        <f>BA44-$BA$5</f>
        <v>46182</v>
      </c>
      <c r="AW44" s="332" t="str">
        <f>IF(_xlfn.XLOOKUP($E44,'[1]Import Eletra'!$B:$B,'[1]Import Eletra'!$AV:$AV,,0,1)=0,"",_xlfn.XLOOKUP($E44,'[1]Import Eletra'!$B:$B,'[1]Import Eletra'!$AV:$AV,,0,1))</f>
        <v/>
      </c>
      <c r="AX44" s="113">
        <f>$AV$4</f>
        <v>0</v>
      </c>
      <c r="AY44" s="113">
        <f ca="1">IF(AW44="",TODAY()-AV44,AW44-AV44)</f>
        <v>29</v>
      </c>
      <c r="AZ44" s="184">
        <f ca="1">AY44-AX44</f>
        <v>29</v>
      </c>
      <c r="BA44" s="357">
        <f>BF44-$BF$5</f>
        <v>46182</v>
      </c>
      <c r="BB44" s="332" t="str">
        <f>IF(_xlfn.XLOOKUP($E44,'[1]Import Eletra'!$B:$B,'[1]Import Eletra'!$AW:$AW,,0,1)=0,"",_xlfn.XLOOKUP($E44,'[1]Import Eletra'!$B:$B,'[1]Import Eletra'!$AW:$AW,,0,1))</f>
        <v/>
      </c>
      <c r="BC44" s="113">
        <f>$BA$4</f>
        <v>0</v>
      </c>
      <c r="BD44" s="113">
        <f ca="1">IF(BB44="",TODAY()-BA44,BB44-BA44)</f>
        <v>29</v>
      </c>
      <c r="BE44" s="184">
        <f ca="1">BD44-BC44</f>
        <v>29</v>
      </c>
      <c r="BF44" s="335">
        <f>BK44-$BK$5</f>
        <v>46182</v>
      </c>
      <c r="BG44" s="332" t="str">
        <f>IF(_xlfn.XLOOKUP($E44,'[1]Import Eletra'!$B:$B,'[1]Import Eletra'!$AX:$AX,,0,1)=0,"",_xlfn.XLOOKUP($E44,'[1]Import Eletra'!$B:$B,'[1]Import Eletra'!$AX:$AX,,0,1))</f>
        <v/>
      </c>
      <c r="BH44" s="113">
        <f>$BF$4</f>
        <v>0</v>
      </c>
      <c r="BI44" s="113">
        <f ca="1">IF(BG44="",TODAY()-BF44,BG44-BF44)</f>
        <v>29</v>
      </c>
      <c r="BJ44" s="184">
        <f ca="1">BI44-BH44</f>
        <v>29</v>
      </c>
      <c r="BK44" s="362">
        <f>BP44-$BP$5</f>
        <v>46182</v>
      </c>
      <c r="BL44" s="332" t="str">
        <f>IF(_xlfn.XLOOKUP($E44,'[1]Import Eletra'!$B:$B,'[1]Import Eletra'!$AY:$AY,,0,1)=0,"",_xlfn.XLOOKUP($E44,'[1]Import Eletra'!$B:$B,'[1]Import Eletra'!$AY:$AY,,0,1))</f>
        <v/>
      </c>
      <c r="BM44" s="113">
        <f>$BK$4</f>
        <v>0</v>
      </c>
      <c r="BN44" s="113">
        <f ca="1">IF(BL44="",TODAY()-BK44,BL44-BK44)</f>
        <v>29</v>
      </c>
      <c r="BO44" s="184">
        <f ca="1">BN44-BM44</f>
        <v>29</v>
      </c>
      <c r="BP44" s="335">
        <f>BU44-$BU$5</f>
        <v>46182</v>
      </c>
      <c r="BQ44" s="332" t="str">
        <f>IF(_xlfn.XLOOKUP($E44,'[1]Import Eletra'!$B:$B,'[1]Import Eletra'!$AZ:$AZ,,0,1)=0,"",_xlfn.XLOOKUP($E44,'[1]Import Eletra'!$B:$B,'[1]Import Eletra'!$AZ:$AZ,,0,1))</f>
        <v/>
      </c>
      <c r="BR44" s="113">
        <f>$BP$4</f>
        <v>0</v>
      </c>
      <c r="BS44" s="113">
        <f ca="1">IF(BQ44="",TODAY()-BP44,BQ44-BP44)</f>
        <v>29</v>
      </c>
      <c r="BT44" s="184">
        <f ca="1">BS44-BR44</f>
        <v>29</v>
      </c>
      <c r="BU44" s="362">
        <f>BZ44-$BZ$4</f>
        <v>46184</v>
      </c>
      <c r="BV44" s="332">
        <f>IF(_xlfn.XLOOKUP($E44,'[1]Import Eletra'!$B:$B,'[1]Import Eletra'!$BA:$BA,,0,1)=0,"",_xlfn.XLOOKUP($E44,'[1]Import Eletra'!$B:$B,'[1]Import Eletra'!$BA:$BA,,0,1))</f>
        <v>46188</v>
      </c>
      <c r="BW44" s="113">
        <f>$BU$4</f>
        <v>2</v>
      </c>
      <c r="BX44" s="113">
        <f ca="1">IF(BV44="",TODAY()-BU44,BV44-BU44)</f>
        <v>4</v>
      </c>
      <c r="BY44" s="184">
        <f ca="1">BX44-BW44</f>
        <v>2</v>
      </c>
      <c r="BZ44" s="335">
        <f>CE44-$CE$5</f>
        <v>46184</v>
      </c>
      <c r="CA44" s="332" t="str">
        <f>IF(_xlfn.XLOOKUP($E44,'[1]Import Eletra'!$B:$B,'[1]Import Eletra'!$BB:$BB,,0,1)=0,"",_xlfn.XLOOKUP($E44,'[1]Import Eletra'!$B:$B,'[1]Import Eletra'!$BB:$BB,,0,1))</f>
        <v/>
      </c>
      <c r="CB44" s="113">
        <f>$BZ$4</f>
        <v>0</v>
      </c>
      <c r="CC44" s="113">
        <f ca="1">IF(CA44="",TODAY()-BZ44,CA44-BZ44)</f>
        <v>27</v>
      </c>
      <c r="CD44" s="184">
        <f ca="1">CC44-CB44</f>
        <v>27</v>
      </c>
      <c r="CE44" s="362">
        <f>CJ44-$CJ$4</f>
        <v>46184</v>
      </c>
      <c r="CF44" s="332" t="str">
        <f>IF(_xlfn.XLOOKUP($E44,'[1]Import Eletra'!$B:$B,'[1]Import Eletra'!$BC:$BC,,0,1)=0,"",_xlfn.XLOOKUP($E44,'[1]Import Eletra'!$B:$B,'[1]Import Eletra'!$BC:$BC,,0,1))</f>
        <v/>
      </c>
      <c r="CG44" s="113">
        <f>$CE$4</f>
        <v>0</v>
      </c>
      <c r="CH44" s="113">
        <f ca="1">IF(CF44="",TODAY()-CE44,CF44-CE44)</f>
        <v>27</v>
      </c>
      <c r="CI44" s="184">
        <f ca="1">CH44-CG44</f>
        <v>27</v>
      </c>
      <c r="CJ44" s="335">
        <f>CO44-$CO$4</f>
        <v>46184</v>
      </c>
      <c r="CK44" s="332">
        <f>IF(_xlfn.XLOOKUP($E44,'[1]Import Eletra'!$B:$B,'[1]Import Eletra'!$BD:$BD,,0,1)=0,"",_xlfn.XLOOKUP($E44,'[1]Import Eletra'!$B:$B,'[1]Import Eletra'!$BD:$BD,,0,1))</f>
        <v>46183</v>
      </c>
      <c r="CL44" s="113"/>
      <c r="CM44" s="113">
        <f ca="1">IF(CK44="",TODAY()-CJ44,CK44-CJ44)</f>
        <v>-1</v>
      </c>
      <c r="CN44" s="184">
        <f ca="1">CM44-CL44</f>
        <v>-1</v>
      </c>
      <c r="CO44" s="362">
        <f>CT44-$CT$4</f>
        <v>46184</v>
      </c>
      <c r="CP44" s="332">
        <f>IF(_xlfn.XLOOKUP($E44,'[1]Import Eletra'!$B:$B,'[1]Import Eletra'!$BE:$BE,,0,1)=0,"",_xlfn.XLOOKUP($E44,'[1]Import Eletra'!$B:$B,'[1]Import Eletra'!$BE:$BE,,0,1))</f>
        <v>46184</v>
      </c>
      <c r="CQ44" s="113">
        <f>$CO$4</f>
        <v>0</v>
      </c>
      <c r="CR44" s="113">
        <f ca="1">IF(CP44="",TODAY()-CO44,CP44-CO44)</f>
        <v>0</v>
      </c>
      <c r="CS44" s="184">
        <f ca="1">CR44-CQ44</f>
        <v>0</v>
      </c>
      <c r="CT44" s="335">
        <f>CY44-$CY$4</f>
        <v>46184</v>
      </c>
      <c r="CU44" s="332">
        <f>IF(_xlfn.XLOOKUP($E44,'[1]Import Eletra'!$B:$B,'[1]Import Eletra'!$BF:$BF,,0,1)=0,"",_xlfn.XLOOKUP($E44,'[1]Import Eletra'!$B:$B,'[1]Import Eletra'!$BF:$BF,,0,1))</f>
        <v>46184</v>
      </c>
      <c r="CV44" s="113">
        <f>$CT$4</f>
        <v>0</v>
      </c>
      <c r="CW44" s="113">
        <f ca="1">IF(CU44="",TODAY()-CT44,CU44-CT44)</f>
        <v>0</v>
      </c>
      <c r="CX44" s="184">
        <f ca="1">CW44-CV44</f>
        <v>0</v>
      </c>
      <c r="CY44" s="110">
        <f>DD44-$DD$4</f>
        <v>46184</v>
      </c>
      <c r="CZ44" s="247">
        <f>IF(_xlfn.XLOOKUP($E44,'[1]Import Eletra'!$B:$B,'[1]Import Eletra'!$BF:$BF,,0,1)=0,"",_xlfn.XLOOKUP($E44,'[1]Import Eletra'!$B:$B,'[1]Import Eletra'!$BF:$BF,,0,1))</f>
        <v>46184</v>
      </c>
      <c r="DA44" s="210">
        <f>$CY$4</f>
        <v>0</v>
      </c>
      <c r="DB44" s="113">
        <f ca="1">IF(CZ44="",TODAY()-CY44,CZ44-CY44)</f>
        <v>0</v>
      </c>
      <c r="DC44" s="184">
        <f ca="1">DB44-DA44</f>
        <v>0</v>
      </c>
      <c r="DD44" s="110">
        <f>DI44-$DI$4</f>
        <v>46186</v>
      </c>
      <c r="DE44" s="247">
        <f>IF(_xlfn.XLOOKUP($E44,'[1]Import Eletra'!$B:$B,'[1]Import Eletra'!$BG:$BG,,0,1)=0,"",_xlfn.XLOOKUP($E44,'[1]Import Eletra'!$B:$B,'[1]Import Eletra'!$BG:$BG,0,1))</f>
        <v>46188</v>
      </c>
      <c r="DF44" s="113">
        <f>$DD$4</f>
        <v>2</v>
      </c>
      <c r="DG44" s="113">
        <f ca="1">IF(DE44="",TODAY()-DD44,DE44-DD44)</f>
        <v>2</v>
      </c>
      <c r="DH44" s="184">
        <f ca="1">DG44-DF44</f>
        <v>0</v>
      </c>
      <c r="DI44" s="110">
        <f>DO44-$DN$4</f>
        <v>46187</v>
      </c>
      <c r="DJ44" s="247">
        <f>IF(_xlfn.XLOOKUP($E44,'[1]Import Eletra'!$B:$B,'[1]Import Eletra'!$BH:$BH,,0,1)=0,"",_xlfn.XLOOKUP($E44,'[1]Import Eletra'!$B:$B,'[1]Import Eletra'!$BH:$BH,0,1))</f>
        <v>46189</v>
      </c>
      <c r="DK44" s="112">
        <f>$DI$4</f>
        <v>1</v>
      </c>
      <c r="DL44" s="112">
        <f ca="1">IF(DJ44="",TODAY()-DI44,DJ44-DI44)</f>
        <v>2</v>
      </c>
      <c r="DM44" s="184">
        <f ca="1">DL44-DK44</f>
        <v>1</v>
      </c>
      <c r="DN44" s="64"/>
      <c r="DO44" s="202">
        <f>N44+DT44</f>
        <v>46188</v>
      </c>
      <c r="DP44" s="298">
        <f>IF(_xlfn.XLOOKUP($E44,'[1]Import Eletra'!$B:$B,'[1]Import Eletra'!$O:$O,,0,1)=0,"",_xlfn.XLOOKUP($E44,'[1]Import Eletra'!$B:$B,'[1]Import Eletra'!$O:$O,0,1))</f>
        <v>46189</v>
      </c>
      <c r="DQ44" s="112">
        <f>$DN$4</f>
        <v>1</v>
      </c>
      <c r="DR44" s="112">
        <f ca="1">IF(DP44="",TODAY()-DO44,DP44-DO44)</f>
        <v>1</v>
      </c>
      <c r="DS44" s="184">
        <f ca="1">DR44-DQ44</f>
        <v>0</v>
      </c>
      <c r="DT44" s="143">
        <v>10</v>
      </c>
      <c r="DU44" s="140">
        <f ca="1">IF(DP44="",TODAY()-N44,DP44-N44)</f>
        <v>11</v>
      </c>
      <c r="DV44" s="184">
        <f ca="1">DU44-DT44</f>
        <v>1</v>
      </c>
      <c r="DX44" s="185" t="s">
        <v>245</v>
      </c>
      <c r="DY44" s="108" t="str">
        <f>IF(_xlfn.XLOOKUP($E44,'[1]Import Eletra'!$B:$B,'[1]Import Eletra'!$DW:$DW,,0,1)=0,"",_xlfn.XLOOKUP($E44,'[1]Import Eletra'!$B:$B,'[1]Import Eletra'!$DW:$DW,0,1))</f>
        <v>SEFAZ HOMOLOGATION - NF/GLME</v>
      </c>
      <c r="EB44" s="287"/>
      <c r="ED44" s="409">
        <f>IF(_xlfn.XLOOKUP($E44,'[1]Import Eletra'!$B:$B,'[1]Import Eletra'!$BQ:$BQ,,0,1)=0,"",_xlfn.XLOOKUP($E44,'[1]Import Eletra'!$B:$B,'[1]Import Eletra'!$BQ:$BQ,0,1))</f>
        <v>41533.550000000003</v>
      </c>
      <c r="EE44" s="410">
        <f>IF(_xlfn.XLOOKUP($E44,'[1]Import Eletra'!$B:$B,'[1]Import Eletra'!$BR:$BR,,0,1)=0,"",_xlfn.XLOOKUP($E44,'[1]Import Eletra'!$B:$B,'[1]Import Eletra'!$BR:$BR,0,1))</f>
        <v>46214</v>
      </c>
      <c r="EF44" s="409" t="str">
        <f>IF(_xlfn.XLOOKUP($E44,'[1]Import Eletra'!$B:$B,'[1]Import Eletra'!$BS:$BS,,0,1)=0,"",_xlfn.XLOOKUP($E44,'[1]Import Eletra'!$B:$B,'[1]Import Eletra'!$BS:$BS,0,1))</f>
        <v/>
      </c>
      <c r="EG44" s="410" t="str">
        <f>IF(_xlfn.XLOOKUP($E44,'[1]Import Eletra'!$B:$B,'[1]Import Eletra'!$BT:$BT,,0,1)=0,"",_xlfn.XLOOKUP($E44,'[1]Import Eletra'!$B:$B,'[1]Import Eletra'!$BT:$BT,0,1))</f>
        <v/>
      </c>
      <c r="EH44" s="409" t="str">
        <f>IF(_xlfn.XLOOKUP($E44,'[1]Import Eletra'!$B:$B,'[1]Import Eletra'!$BU:$BU,,0,1)=0,"",_xlfn.XLOOKUP($E44,'[1]Import Eletra'!$B:$B,'[1]Import Eletra'!$BU:$BU,0,1))</f>
        <v/>
      </c>
      <c r="EI44" s="410" t="str">
        <f>IF(_xlfn.XLOOKUP($E44,'[1]Import Eletra'!$B:$B,'[1]Import Eletra'!$BV:$BV,,0,1)=0,"",_xlfn.XLOOKUP($E44,'[1]Import Eletra'!$B:$B,'[1]Import Eletra'!$BV:$BV,0,1))</f>
        <v/>
      </c>
      <c r="EJ44" s="410" t="str">
        <f>IF(_xlfn.XLOOKUP($E44,'[1]Import Eletra'!$B:$B,'[1]Import Eletra'!$CI:$CI,,0,1)=0,"",_xlfn.XLOOKUP($E44,'[1]Import Eletra'!$B:$B,'[1]Import Eletra'!$CI:$CI,0,1))</f>
        <v/>
      </c>
      <c r="EK44" s="410" t="str">
        <f>IF(_xlfn.XLOOKUP($E44,'[1]Import Eletra'!$B:$B,'[1]Import Eletra'!$CD:$CD,,0,1)=0,"",_xlfn.XLOOKUP($E44,'[1]Import Eletra'!$B:$B,'[1]Import Eletra'!$CD:$CD,0,1))</f>
        <v/>
      </c>
      <c r="EL44" s="410" t="str">
        <f>IF(_xlfn.XLOOKUP($E44,'[1]Import Eletra'!$B:$B,'[1]Import Eletra'!$CE:$CE,,0,1)=0,"",_xlfn.XLOOKUP($E44,'[1]Import Eletra'!$B:$B,'[1]Import Eletra'!$CE:$CE,0,1))</f>
        <v/>
      </c>
      <c r="EM44" s="411" t="str">
        <f>IF(_xlfn.XLOOKUP($E44,'[1]Import Eletra'!$B:$B,'[1]Import Eletra'!$E:$E,,0,1)=0,"",_xlfn.XLOOKUP($E44,'[1]Import Eletra'!$B:$B,'[1]Import Eletra'!$E:$E,0,1))</f>
        <v>LEISIANE</v>
      </c>
      <c r="EN44" s="408" t="str">
        <f>IF(_xlfn.XLOOKUP($E44,'[1]Import Eletra'!$B:$B,'[1]Import Eletra'!$R:$R,,0,1)=0,"",_xlfn.XLOOKUP($E44,'[1]Import Eletra'!$B:$B,'[1]Import Eletra'!$R:$R,0,1))</f>
        <v>PWBR260099-40</v>
      </c>
      <c r="EO44" s="408" t="str">
        <f>IF(_xlfn.XLOOKUP($E44,'[1]Import Eletra'!$B:$B,'[1]Import Eletra'!$P:$P,,0,1)=0,"",_xlfn.XLOOKUP($E44,'[1]Import Eletra'!$B:$B,'[1]Import Eletra'!$P:$P,0,1))</f>
        <v>DTW260529FOR</v>
      </c>
      <c r="EP44" s="408" t="str">
        <f>IF(_xlfn.XLOOKUP($E44,'[1]Import Eletra'!$B:$B,'[1]Import Eletra'!$T:$T,,0,1)=0,"",_xlfn.XLOOKUP($E44,'[1]Import Eletra'!$B:$B,'[1]Import Eletra'!$T:$T,0,1))</f>
        <v/>
      </c>
    </row>
    <row r="45" spans="2:146" ht="30" customHeight="1">
      <c r="B45" s="371" t="s">
        <v>336</v>
      </c>
      <c r="C45" s="369"/>
      <c r="D45" s="104" t="str">
        <f>IF(_xlfn.XLOOKUP($E45,'[1]Import Eletra'!$B:$B,'[1]Import Eletra'!$A:$A,,0,1)=0,"",_xlfn.XLOOKUP($E45,'[1]Import Eletra'!$B:$B,'[1]Import Eletra'!$A:$A,,0,1))</f>
        <v>APR_2026</v>
      </c>
      <c r="E45" s="323" t="s">
        <v>360</v>
      </c>
      <c r="F45" s="106" t="str">
        <f>IF(_xlfn.XLOOKUP($E45,'[1]Import Eletra'!$B:$B,'[1]Import Eletra'!$U:$U,,0,1)=0,"",_xlfn.XLOOKUP($E45,'[1]Import Eletra'!$B:$B,'[1]Import Eletra'!$U:$U,,0,1))</f>
        <v/>
      </c>
      <c r="G45" s="301" t="s">
        <v>244</v>
      </c>
      <c r="H45" s="2" t="str">
        <f>_xlfn.XLOOKUP($E45,'[1]Import Eletra'!$B:$B,'[1]Import Eletra'!$F:$F,,0,1)</f>
        <v>DELIVERED</v>
      </c>
      <c r="I45" s="108" t="str">
        <f>_xlfn.XLOOKUP($E45,'[1]Import Eletra'!$B:$B,'[1]Import Eletra'!$G:$G,,0,1)</f>
        <v>AIR</v>
      </c>
      <c r="J45" s="326">
        <v>46015</v>
      </c>
      <c r="K45" s="109">
        <v>30</v>
      </c>
      <c r="L45" s="109">
        <f>M45-J45</f>
        <v>160</v>
      </c>
      <c r="M45" s="326">
        <f>IF(_xlfn.XLOOKUP($E45,'[1]Import Eletra'!$B:$B,'[1]Import Eletra'!$J:$J,,0,1)=0,"",_xlfn.XLOOKUP($E45,'[1]Import Eletra'!$B:$B,'[1]Import Eletra'!$J:$J,,0,1))</f>
        <v>46175</v>
      </c>
      <c r="N45" s="332">
        <f>IF(_xlfn.XLOOKUP($E45,'[1]Import Eletra'!$B:$B,'[1]Import Eletra'!$L:$L,,0,1)=0,"",_xlfn.XLOOKUP($E45,'[1]Import Eletra'!$B:$B,'[1]Import Eletra'!$L:$L,,0,1))</f>
        <v>46178</v>
      </c>
      <c r="O45" s="374">
        <f>IF(_xlfn.XLOOKUP($E45,'[1]Import Eletra'!$B:$B,'[1]Import Eletra'!$AK:$AK,,0,1)=0,"",_xlfn.XLOOKUP($E45,'[1]Import Eletra'!$B:$B,'[1]Import Eletra'!$AK:$AK,,0,1))</f>
        <v>46175</v>
      </c>
      <c r="P45" s="326">
        <f>IF(_xlfn.XLOOKUP($E45,'[1]Import Eletra'!$B:$B,'[1]Import Eletra'!$AL:$AL,,0,1)=0,"",_xlfn.XLOOKUP($E45,'[1]Import Eletra'!$B:$B,'[1]Import Eletra'!$AL:$AL,,0,1))</f>
        <v>46176</v>
      </c>
      <c r="Q45" s="326">
        <f>IF(_xlfn.XLOOKUP($E45,'[1]Import Eletra'!$B:$B,'[1]Import Eletra'!$AM:$AM,,0,1)=0,"",_xlfn.XLOOKUP($E45,'[1]Import Eletra'!$B:$B,'[1]Import Eletra'!$AM:$AM,,0,1))</f>
        <v>46178</v>
      </c>
      <c r="R45" s="326">
        <f>IF(_xlfn.XLOOKUP($E45,'[1]Import Eletra'!$B:$B,'[1]Import Eletra'!$AN:$AN,,0,1)=0,"",_xlfn.XLOOKUP($E45,'[1]Import Eletra'!$B:$B,'[1]Import Eletra'!$AN:$AN,,0,1))</f>
        <v>46178</v>
      </c>
      <c r="S45" s="326">
        <f>IF(_xlfn.XLOOKUP($E45,'[1]Import Eletra'!$B:$B,'[1]Import Eletra'!$AO:$AO,,0,1)=0,"",_xlfn.XLOOKUP($E45,'[1]Import Eletra'!$B:$B,'[1]Import Eletra'!$AO:$AO,,0,1))</f>
        <v>46178</v>
      </c>
      <c r="T45" s="326">
        <f>IF(_xlfn.XLOOKUP($E45,'[1]Import Eletra'!$B:$B,'[1]Import Eletra'!$AP:$AP,,0,1)=0,"",_xlfn.XLOOKUP($E45,'[1]Import Eletra'!$B:$B,'[1]Import Eletra'!$AP:$AP,,0,1))</f>
        <v>46178</v>
      </c>
      <c r="U45" s="326">
        <f>IF(_xlfn.XLOOKUP($E45,'[1]Import Eletra'!$B:$B,'[1]Import Eletra'!$AQ:$AQ,,0,1)=0,"",_xlfn.XLOOKUP($E45,'[1]Import Eletra'!$B:$B,'[1]Import Eletra'!$AQ:$AQ,,0,1))</f>
        <v>46178</v>
      </c>
      <c r="V45" s="339">
        <f>IF(_xlfn.XLOOKUP($E45,'[1]Import Eletra'!$B:$B,'[1]Import Eletra'!$AR:$AR,,0,1)=0,"",_xlfn.XLOOKUP($E45,'[1]Import Eletra'!$B:$B,'[1]Import Eletra'!$AR:$AR,,0,1))</f>
        <v>46181</v>
      </c>
      <c r="W45" s="335">
        <f>AB45-$AB$5</f>
        <v>46179</v>
      </c>
      <c r="X45" s="332">
        <f>IF(_xlfn.XLOOKUP($E45,'[1]Import Eletra'!$B:$B,'[1]Import Eletra'!$AS:$AS,,0,1)=0,"",_xlfn.XLOOKUP($E45,'[1]Import Eletra'!$B:$B,'[1]Import Eletra'!$AS:$AS,,0,1))</f>
        <v>46182</v>
      </c>
      <c r="Y45" s="113">
        <f>$W$4</f>
        <v>0</v>
      </c>
      <c r="Z45" s="113">
        <f ca="1">IF(X45="",TODAY()-W45,X45-W45)</f>
        <v>3</v>
      </c>
      <c r="AA45" s="184">
        <f ca="1">Z45-Y45</f>
        <v>3</v>
      </c>
      <c r="AB45" s="348">
        <f>AG45-$AB$5</f>
        <v>46180</v>
      </c>
      <c r="AC45" s="332">
        <f>IF(_xlfn.XLOOKUP($E45,'[1]Import Eletra'!$B:$B,'[1]Import Eletra'!$AD:$AD,,0,1)=0,"",_xlfn.XLOOKUP($E45,'[1]Import Eletra'!$B:$B,'[1]Import Eletra'!$AD:$AD,,0,1))</f>
        <v>46182</v>
      </c>
      <c r="AD45" s="113">
        <f>$AB$4</f>
        <v>0</v>
      </c>
      <c r="AE45" s="113">
        <f ca="1">IF(AC45="",TODAY()-AB45,AC45-AB45)</f>
        <v>2</v>
      </c>
      <c r="AF45" s="184">
        <f ca="1">AE45-AD45</f>
        <v>2</v>
      </c>
      <c r="AG45" s="355">
        <f>AL45-$AL$5</f>
        <v>46181</v>
      </c>
      <c r="AH45" s="332">
        <f>IF(_xlfn.XLOOKUP($E45,'[1]Import Eletra'!$B:$B,'[1]Import Eletra'!$AE:$AE,,0,1)=0,"",_xlfn.XLOOKUP($E45,'[1]Import Eletra'!$B:$B,'[1]Import Eletra'!$AE:$AE,,0,1))</f>
        <v>46183</v>
      </c>
      <c r="AI45" s="113">
        <f>$AG$4</f>
        <v>0</v>
      </c>
      <c r="AJ45" s="113">
        <f ca="1">IF(AH45="",TODAY()-AG45,AH45-AG45)</f>
        <v>2</v>
      </c>
      <c r="AK45" s="184">
        <f ca="1">AJ45-AI45</f>
        <v>2</v>
      </c>
      <c r="AL45" s="355">
        <f>AQ45-$AQ$5</f>
        <v>46181</v>
      </c>
      <c r="AM45" s="332">
        <f>IF(_xlfn.XLOOKUP($E45,'[1]Import Eletra'!$B:$B,'[1]Import Eletra'!$AT:$AT,,0,1)=0,"",_xlfn.XLOOKUP($E45,'[1]Import Eletra'!$B:$B,'[1]Import Eletra'!$AT:$AT,,0,1))</f>
        <v>46182</v>
      </c>
      <c r="AN45" s="113">
        <f>$AL$4</f>
        <v>0</v>
      </c>
      <c r="AO45" s="113">
        <f ca="1">IF(AM45="",TODAY()-AL45,AM45-AL45)</f>
        <v>1</v>
      </c>
      <c r="AP45" s="184">
        <f ca="1">AO45-AN45</f>
        <v>1</v>
      </c>
      <c r="AQ45" s="357">
        <f>AV45-$AV$5</f>
        <v>46182</v>
      </c>
      <c r="AR45" s="332">
        <f>IF(_xlfn.XLOOKUP($E45,'[1]Import Eletra'!$B:$B,'[1]Import Eletra'!$AU:$AU,,0,1)=0,"",_xlfn.XLOOKUP($E45,'[1]Import Eletra'!$B:$B,'[1]Import Eletra'!$AU:$AU,,0,1))</f>
        <v>46183</v>
      </c>
      <c r="AS45" s="113">
        <f>$AQ$4</f>
        <v>1</v>
      </c>
      <c r="AT45" s="113">
        <f ca="1">IF(AR45="",TODAY()-AQ45,AR45-AQ45)</f>
        <v>1</v>
      </c>
      <c r="AU45" s="184">
        <f ca="1">AT45-AS45</f>
        <v>0</v>
      </c>
      <c r="AV45" s="355">
        <f>BA45-$BA$5</f>
        <v>46182</v>
      </c>
      <c r="AW45" s="332" t="str">
        <f>IF(_xlfn.XLOOKUP($E45,'[1]Import Eletra'!$B:$B,'[1]Import Eletra'!$AV:$AV,,0,1)=0,"",_xlfn.XLOOKUP($E45,'[1]Import Eletra'!$B:$B,'[1]Import Eletra'!$AV:$AV,,0,1))</f>
        <v/>
      </c>
      <c r="AX45" s="113">
        <f>$AV$4</f>
        <v>0</v>
      </c>
      <c r="AY45" s="113">
        <f ca="1">IF(AW45="",TODAY()-AV45,AW45-AV45)</f>
        <v>29</v>
      </c>
      <c r="AZ45" s="184">
        <f ca="1">AY45-AX45</f>
        <v>29</v>
      </c>
      <c r="BA45" s="357">
        <f>BF45-$BF$5</f>
        <v>46182</v>
      </c>
      <c r="BB45" s="332" t="str">
        <f>IF(_xlfn.XLOOKUP($E45,'[1]Import Eletra'!$B:$B,'[1]Import Eletra'!$AW:$AW,,0,1)=0,"",_xlfn.XLOOKUP($E45,'[1]Import Eletra'!$B:$B,'[1]Import Eletra'!$AW:$AW,,0,1))</f>
        <v/>
      </c>
      <c r="BC45" s="113">
        <f>$BA$4</f>
        <v>0</v>
      </c>
      <c r="BD45" s="113">
        <f ca="1">IF(BB45="",TODAY()-BA45,BB45-BA45)</f>
        <v>29</v>
      </c>
      <c r="BE45" s="184">
        <f ca="1">BD45-BC45</f>
        <v>29</v>
      </c>
      <c r="BF45" s="335">
        <f>BK45-$BK$5</f>
        <v>46182</v>
      </c>
      <c r="BG45" s="332" t="str">
        <f>IF(_xlfn.XLOOKUP($E45,'[1]Import Eletra'!$B:$B,'[1]Import Eletra'!$AX:$AX,,0,1)=0,"",_xlfn.XLOOKUP($E45,'[1]Import Eletra'!$B:$B,'[1]Import Eletra'!$AX:$AX,,0,1))</f>
        <v/>
      </c>
      <c r="BH45" s="113">
        <f>$BF$4</f>
        <v>0</v>
      </c>
      <c r="BI45" s="113">
        <f ca="1">IF(BG45="",TODAY()-BF45,BG45-BF45)</f>
        <v>29</v>
      </c>
      <c r="BJ45" s="184">
        <f ca="1">BI45-BH45</f>
        <v>29</v>
      </c>
      <c r="BK45" s="362">
        <f>BP45-$BP$5</f>
        <v>46182</v>
      </c>
      <c r="BL45" s="332" t="str">
        <f>IF(_xlfn.XLOOKUP($E45,'[1]Import Eletra'!$B:$B,'[1]Import Eletra'!$AY:$AY,,0,1)=0,"",_xlfn.XLOOKUP($E45,'[1]Import Eletra'!$B:$B,'[1]Import Eletra'!$AY:$AY,,0,1))</f>
        <v/>
      </c>
      <c r="BM45" s="113">
        <f>$BK$4</f>
        <v>0</v>
      </c>
      <c r="BN45" s="113">
        <f ca="1">IF(BL45="",TODAY()-BK45,BL45-BK45)</f>
        <v>29</v>
      </c>
      <c r="BO45" s="184">
        <f ca="1">BN45-BM45</f>
        <v>29</v>
      </c>
      <c r="BP45" s="335">
        <f>BU45-$BU$5</f>
        <v>46182</v>
      </c>
      <c r="BQ45" s="332" t="str">
        <f>IF(_xlfn.XLOOKUP($E45,'[1]Import Eletra'!$B:$B,'[1]Import Eletra'!$AZ:$AZ,,0,1)=0,"",_xlfn.XLOOKUP($E45,'[1]Import Eletra'!$B:$B,'[1]Import Eletra'!$AZ:$AZ,,0,1))</f>
        <v/>
      </c>
      <c r="BR45" s="113">
        <f>$BP$4</f>
        <v>0</v>
      </c>
      <c r="BS45" s="113">
        <f ca="1">IF(BQ45="",TODAY()-BP45,BQ45-BP45)</f>
        <v>29</v>
      </c>
      <c r="BT45" s="184">
        <f ca="1">BS45-BR45</f>
        <v>29</v>
      </c>
      <c r="BU45" s="362">
        <f>BZ45-$BZ$4</f>
        <v>46184</v>
      </c>
      <c r="BV45" s="332">
        <f>IF(_xlfn.XLOOKUP($E45,'[1]Import Eletra'!$B:$B,'[1]Import Eletra'!$BA:$BA,,0,1)=0,"",_xlfn.XLOOKUP($E45,'[1]Import Eletra'!$B:$B,'[1]Import Eletra'!$BA:$BA,,0,1))</f>
        <v>46185</v>
      </c>
      <c r="BW45" s="113">
        <f>$BU$4</f>
        <v>2</v>
      </c>
      <c r="BX45" s="113">
        <f ca="1">IF(BV45="",TODAY()-BU45,BV45-BU45)</f>
        <v>1</v>
      </c>
      <c r="BY45" s="184">
        <f ca="1">BX45-BW45</f>
        <v>-1</v>
      </c>
      <c r="BZ45" s="335">
        <f>CE45-$CE$5</f>
        <v>46184</v>
      </c>
      <c r="CA45" s="332">
        <f>IF(_xlfn.XLOOKUP($E45,'[1]Import Eletra'!$B:$B,'[1]Import Eletra'!$BB:$BB,,0,1)=0,"",_xlfn.XLOOKUP($E45,'[1]Import Eletra'!$B:$B,'[1]Import Eletra'!$BB:$BB,,0,1))</f>
        <v>46185</v>
      </c>
      <c r="CB45" s="113">
        <f>$BZ$4</f>
        <v>0</v>
      </c>
      <c r="CC45" s="113">
        <f ca="1">IF(CA45="",TODAY()-BZ45,CA45-BZ45)</f>
        <v>1</v>
      </c>
      <c r="CD45" s="184">
        <f ca="1">CC45-CB45</f>
        <v>1</v>
      </c>
      <c r="CE45" s="362">
        <f>CJ45-$CJ$4</f>
        <v>46184</v>
      </c>
      <c r="CF45" s="332">
        <f>IF(_xlfn.XLOOKUP($E45,'[1]Import Eletra'!$B:$B,'[1]Import Eletra'!$BC:$BC,,0,1)=0,"",_xlfn.XLOOKUP($E45,'[1]Import Eletra'!$B:$B,'[1]Import Eletra'!$BC:$BC,,0,1))</f>
        <v>46185</v>
      </c>
      <c r="CG45" s="113">
        <f>$CE$4</f>
        <v>0</v>
      </c>
      <c r="CH45" s="113">
        <f ca="1">IF(CF45="",TODAY()-CE45,CF45-CE45)</f>
        <v>1</v>
      </c>
      <c r="CI45" s="184">
        <f ca="1">CH45-CG45</f>
        <v>1</v>
      </c>
      <c r="CJ45" s="335">
        <f>CO45-$CO$4</f>
        <v>46184</v>
      </c>
      <c r="CK45" s="332">
        <f>IF(_xlfn.XLOOKUP($E45,'[1]Import Eletra'!$B:$B,'[1]Import Eletra'!$BD:$BD,,0,1)=0,"",_xlfn.XLOOKUP($E45,'[1]Import Eletra'!$B:$B,'[1]Import Eletra'!$BD:$BD,,0,1))</f>
        <v>46183</v>
      </c>
      <c r="CL45" s="113"/>
      <c r="CM45" s="113">
        <f ca="1">IF(CK45="",TODAY()-CJ45,CK45-CJ45)</f>
        <v>-1</v>
      </c>
      <c r="CN45" s="184">
        <f ca="1">CM45-CL45</f>
        <v>-1</v>
      </c>
      <c r="CO45" s="362">
        <f>CT45-$CT$4</f>
        <v>46184</v>
      </c>
      <c r="CP45" s="332">
        <f>IF(_xlfn.XLOOKUP($E45,'[1]Import Eletra'!$B:$B,'[1]Import Eletra'!$BE:$BE,,0,1)=0,"",_xlfn.XLOOKUP($E45,'[1]Import Eletra'!$B:$B,'[1]Import Eletra'!$BE:$BE,,0,1))</f>
        <v>46183</v>
      </c>
      <c r="CQ45" s="113">
        <f>$CO$4</f>
        <v>0</v>
      </c>
      <c r="CR45" s="113">
        <f ca="1">IF(CP45="",TODAY()-CO45,CP45-CO45)</f>
        <v>-1</v>
      </c>
      <c r="CS45" s="184">
        <f ca="1">CR45-CQ45</f>
        <v>-1</v>
      </c>
      <c r="CT45" s="335">
        <f>CY45-$CY$4</f>
        <v>46184</v>
      </c>
      <c r="CU45" s="332">
        <f>IF(_xlfn.XLOOKUP($E45,'[1]Import Eletra'!$B:$B,'[1]Import Eletra'!$BF:$BF,,0,1)=0,"",_xlfn.XLOOKUP($E45,'[1]Import Eletra'!$B:$B,'[1]Import Eletra'!$BF:$BF,,0,1))</f>
        <v>46183</v>
      </c>
      <c r="CV45" s="113">
        <f>$CT$4</f>
        <v>0</v>
      </c>
      <c r="CW45" s="113">
        <f ca="1">IF(CU45="",TODAY()-CT45,CU45-CT45)</f>
        <v>-1</v>
      </c>
      <c r="CX45" s="184">
        <f ca="1">CW45-CV45</f>
        <v>-1</v>
      </c>
      <c r="CY45" s="110">
        <f>DD45-$DD$4</f>
        <v>46184</v>
      </c>
      <c r="CZ45" s="247">
        <f>IF(_xlfn.XLOOKUP($E45,'[1]Import Eletra'!$B:$B,'[1]Import Eletra'!$BF:$BF,,0,1)=0,"",_xlfn.XLOOKUP($E45,'[1]Import Eletra'!$B:$B,'[1]Import Eletra'!$BF:$BF,,0,1))</f>
        <v>46183</v>
      </c>
      <c r="DA45" s="210">
        <f>$CY$4</f>
        <v>0</v>
      </c>
      <c r="DB45" s="113">
        <f ca="1">IF(CZ45="",TODAY()-CY45,CZ45-CY45)</f>
        <v>-1</v>
      </c>
      <c r="DC45" s="184">
        <f ca="1">DB45-DA45</f>
        <v>-1</v>
      </c>
      <c r="DD45" s="110">
        <f>DI45-$DI$4</f>
        <v>46186</v>
      </c>
      <c r="DE45" s="247">
        <f>IF(_xlfn.XLOOKUP($E45,'[1]Import Eletra'!$B:$B,'[1]Import Eletra'!$BG:$BG,,0,1)=0,"",_xlfn.XLOOKUP($E45,'[1]Import Eletra'!$B:$B,'[1]Import Eletra'!$BG:$BG,0,1))</f>
        <v>46185</v>
      </c>
      <c r="DF45" s="113">
        <f>$DD$4</f>
        <v>2</v>
      </c>
      <c r="DG45" s="113">
        <f ca="1">IF(DE45="",TODAY()-DD45,DE45-DD45)</f>
        <v>-1</v>
      </c>
      <c r="DH45" s="184">
        <f ca="1">DG45-DF45</f>
        <v>-3</v>
      </c>
      <c r="DI45" s="110">
        <f>DO45-$DN$4</f>
        <v>46187</v>
      </c>
      <c r="DJ45" s="247">
        <f>IF(_xlfn.XLOOKUP($E45,'[1]Import Eletra'!$B:$B,'[1]Import Eletra'!$BH:$BH,,0,1)=0,"",_xlfn.XLOOKUP($E45,'[1]Import Eletra'!$B:$B,'[1]Import Eletra'!$BH:$BH,0,1))</f>
        <v>46188</v>
      </c>
      <c r="DK45" s="112">
        <f>$DI$4</f>
        <v>1</v>
      </c>
      <c r="DL45" s="112">
        <f ca="1">IF(DJ45="",TODAY()-DI45,DJ45-DI45)</f>
        <v>1</v>
      </c>
      <c r="DM45" s="184">
        <f ca="1">DL45-DK45</f>
        <v>0</v>
      </c>
      <c r="DN45" s="64"/>
      <c r="DO45" s="202">
        <f>N45+DT45</f>
        <v>46188</v>
      </c>
      <c r="DP45" s="298">
        <f>IF(_xlfn.XLOOKUP($E45,'[1]Import Eletra'!$B:$B,'[1]Import Eletra'!$O:$O,,0,1)=0,"",_xlfn.XLOOKUP($E45,'[1]Import Eletra'!$B:$B,'[1]Import Eletra'!$O:$O,0,1))</f>
        <v>46188</v>
      </c>
      <c r="DQ45" s="112">
        <f>$DN$4</f>
        <v>1</v>
      </c>
      <c r="DR45" s="112">
        <f ca="1">IF(DP45="",TODAY()-DO45,DP45-DO45)</f>
        <v>0</v>
      </c>
      <c r="DS45" s="184">
        <f ca="1">DR45-DQ45</f>
        <v>-1</v>
      </c>
      <c r="DT45" s="143">
        <v>10</v>
      </c>
      <c r="DU45" s="140">
        <f ca="1">IF(DP45="",TODAY()-N45,DP45-N45)</f>
        <v>10</v>
      </c>
      <c r="DV45" s="184">
        <f ca="1">DU45-DT45</f>
        <v>0</v>
      </c>
      <c r="DX45" s="185" t="s">
        <v>245</v>
      </c>
      <c r="DY45" s="108" t="str">
        <f>IF(_xlfn.XLOOKUP($E45,'[1]Import Eletra'!$B:$B,'[1]Import Eletra'!$DW:$DW,,0,1)=0,"",_xlfn.XLOOKUP($E45,'[1]Import Eletra'!$B:$B,'[1]Import Eletra'!$DW:$DW,0,1))</f>
        <v/>
      </c>
      <c r="EB45" s="287"/>
      <c r="ED45" s="409" t="str">
        <f>IF(_xlfn.XLOOKUP($E45,'[1]Import Eletra'!$B:$B,'[1]Import Eletra'!$BQ:$BQ,,0,1)=0,"",_xlfn.XLOOKUP($E45,'[1]Import Eletra'!$B:$B,'[1]Import Eletra'!$BQ:$BQ,0,1))</f>
        <v/>
      </c>
      <c r="EE45" s="410" t="str">
        <f>IF(_xlfn.XLOOKUP($E45,'[1]Import Eletra'!$B:$B,'[1]Import Eletra'!$BR:$BR,,0,1)=0,"",_xlfn.XLOOKUP($E45,'[1]Import Eletra'!$B:$B,'[1]Import Eletra'!$BR:$BR,0,1))</f>
        <v/>
      </c>
      <c r="EF45" s="409" t="str">
        <f>IF(_xlfn.XLOOKUP($E45,'[1]Import Eletra'!$B:$B,'[1]Import Eletra'!$BS:$BS,,0,1)=0,"",_xlfn.XLOOKUP($E45,'[1]Import Eletra'!$B:$B,'[1]Import Eletra'!$BS:$BS,0,1))</f>
        <v/>
      </c>
      <c r="EG45" s="410" t="str">
        <f>IF(_xlfn.XLOOKUP($E45,'[1]Import Eletra'!$B:$B,'[1]Import Eletra'!$BT:$BT,,0,1)=0,"",_xlfn.XLOOKUP($E45,'[1]Import Eletra'!$B:$B,'[1]Import Eletra'!$BT:$BT,0,1))</f>
        <v/>
      </c>
      <c r="EH45" s="409" t="str">
        <f>IF(_xlfn.XLOOKUP($E45,'[1]Import Eletra'!$B:$B,'[1]Import Eletra'!$BU:$BU,,0,1)=0,"",_xlfn.XLOOKUP($E45,'[1]Import Eletra'!$B:$B,'[1]Import Eletra'!$BU:$BU,0,1))</f>
        <v/>
      </c>
      <c r="EI45" s="410" t="str">
        <f>IF(_xlfn.XLOOKUP($E45,'[1]Import Eletra'!$B:$B,'[1]Import Eletra'!$BV:$BV,,0,1)=0,"",_xlfn.XLOOKUP($E45,'[1]Import Eletra'!$B:$B,'[1]Import Eletra'!$BV:$BV,0,1))</f>
        <v/>
      </c>
      <c r="EJ45" s="410" t="str">
        <f>IF(_xlfn.XLOOKUP($E45,'[1]Import Eletra'!$B:$B,'[1]Import Eletra'!$CI:$CI,,0,1)=0,"",_xlfn.XLOOKUP($E45,'[1]Import Eletra'!$B:$B,'[1]Import Eletra'!$CI:$CI,0,1))</f>
        <v/>
      </c>
      <c r="EK45" s="410" t="str">
        <f>IF(_xlfn.XLOOKUP($E45,'[1]Import Eletra'!$B:$B,'[1]Import Eletra'!$CD:$CD,,0,1)=0,"",_xlfn.XLOOKUP($E45,'[1]Import Eletra'!$B:$B,'[1]Import Eletra'!$CD:$CD,0,1))</f>
        <v/>
      </c>
      <c r="EL45" s="410" t="str">
        <f>IF(_xlfn.XLOOKUP($E45,'[1]Import Eletra'!$B:$B,'[1]Import Eletra'!$CE:$CE,,0,1)=0,"",_xlfn.XLOOKUP($E45,'[1]Import Eletra'!$B:$B,'[1]Import Eletra'!$CE:$CE,0,1))</f>
        <v/>
      </c>
      <c r="EM45" s="411" t="str">
        <f>IF(_xlfn.XLOOKUP($E45,'[1]Import Eletra'!$B:$B,'[1]Import Eletra'!$E:$E,,0,1)=0,"",_xlfn.XLOOKUP($E45,'[1]Import Eletra'!$B:$B,'[1]Import Eletra'!$E:$E,0,1))</f>
        <v>LEISIANE</v>
      </c>
      <c r="EN45" s="408" t="str">
        <f>IF(_xlfn.XLOOKUP($E45,'[1]Import Eletra'!$B:$B,'[1]Import Eletra'!$R:$R,,0,1)=0,"",_xlfn.XLOOKUP($E45,'[1]Import Eletra'!$B:$B,'[1]Import Eletra'!$R:$R,0,1))</f>
        <v>PWBR260099-10</v>
      </c>
      <c r="EO45" s="408" t="str">
        <f>IF(_xlfn.XLOOKUP($E45,'[1]Import Eletra'!$B:$B,'[1]Import Eletra'!$P:$P,,0,1)=0,"",_xlfn.XLOOKUP($E45,'[1]Import Eletra'!$B:$B,'[1]Import Eletra'!$P:$P,0,1))</f>
        <v>DTW260528FOR</v>
      </c>
      <c r="EP45" s="408" t="str">
        <f>IF(_xlfn.XLOOKUP($E45,'[1]Import Eletra'!$B:$B,'[1]Import Eletra'!$T:$T,,0,1)=0,"",_xlfn.XLOOKUP($E45,'[1]Import Eletra'!$B:$B,'[1]Import Eletra'!$T:$T,0,1))</f>
        <v/>
      </c>
    </row>
    <row r="46" spans="2:146" ht="30" customHeight="1">
      <c r="B46" s="371" t="s">
        <v>336</v>
      </c>
      <c r="C46" s="369">
        <v>3</v>
      </c>
      <c r="D46" s="104" t="str">
        <f>IF(_xlfn.XLOOKUP($E46,'[1]Import Eletra'!$B:$B,'[1]Import Eletra'!$A:$A,,0,1)=0,"",_xlfn.XLOOKUP($E46,'[1]Import Eletra'!$B:$B,'[1]Import Eletra'!$A:$A,,0,1))</f>
        <v>JUN_2026</v>
      </c>
      <c r="E46" s="323" t="s">
        <v>299</v>
      </c>
      <c r="F46" s="106">
        <f>IF(_xlfn.XLOOKUP($E46,'[1]Import Eletra'!$B:$B,'[1]Import Eletra'!$U:$U,,0,1)=0,"",_xlfn.XLOOKUP($E46,'[1]Import Eletra'!$B:$B,'[1]Import Eletra'!$U:$U,,0,1))</f>
        <v>3</v>
      </c>
      <c r="G46" s="301" t="s">
        <v>244</v>
      </c>
      <c r="H46" s="2" t="str">
        <f>_xlfn.XLOOKUP($E46,'[1]Import Eletra'!$B:$B,'[1]Import Eletra'!$F:$F,,0,1)</f>
        <v>DELIVERED</v>
      </c>
      <c r="I46" s="108" t="str">
        <f>_xlfn.XLOOKUP($E46,'[1]Import Eletra'!$B:$B,'[1]Import Eletra'!$G:$G,,0,1)</f>
        <v>SEA</v>
      </c>
      <c r="J46" s="326">
        <v>46121</v>
      </c>
      <c r="K46" s="109">
        <v>30</v>
      </c>
      <c r="L46" s="109">
        <f>M46-J46</f>
        <v>16</v>
      </c>
      <c r="M46" s="326">
        <f>IF(_xlfn.XLOOKUP($E46,'[1]Import Eletra'!$B:$B,'[1]Import Eletra'!$J:$J,,0,1)=0,"",_xlfn.XLOOKUP($E46,'[1]Import Eletra'!$B:$B,'[1]Import Eletra'!$J:$J,,0,1))</f>
        <v>46137</v>
      </c>
      <c r="N46" s="332">
        <f>IF(_xlfn.XLOOKUP($E46,'[1]Import Eletra'!$B:$B,'[1]Import Eletra'!$L:$L,,0,1)=0,"",_xlfn.XLOOKUP($E46,'[1]Import Eletra'!$B:$B,'[1]Import Eletra'!$L:$L,,0,1))</f>
        <v>46180</v>
      </c>
      <c r="O46" s="374">
        <f>IF(_xlfn.XLOOKUP($E46,'[1]Import Eletra'!$B:$B,'[1]Import Eletra'!$AK:$AK,,0,1)=0,"",_xlfn.XLOOKUP($E46,'[1]Import Eletra'!$B:$B,'[1]Import Eletra'!$AK:$AK,,0,1))</f>
        <v>46175</v>
      </c>
      <c r="P46" s="326">
        <f>IF(_xlfn.XLOOKUP($E46,'[1]Import Eletra'!$B:$B,'[1]Import Eletra'!$AL:$AL,,0,1)=0,"",_xlfn.XLOOKUP($E46,'[1]Import Eletra'!$B:$B,'[1]Import Eletra'!$AL:$AL,,0,1))</f>
        <v>46176</v>
      </c>
      <c r="Q46" s="326">
        <f>IF(_xlfn.XLOOKUP($E46,'[1]Import Eletra'!$B:$B,'[1]Import Eletra'!$AM:$AM,,0,1)=0,"",_xlfn.XLOOKUP($E46,'[1]Import Eletra'!$B:$B,'[1]Import Eletra'!$AM:$AM,,0,1))</f>
        <v>46176</v>
      </c>
      <c r="R46" s="326">
        <f>IF(_xlfn.XLOOKUP($E46,'[1]Import Eletra'!$B:$B,'[1]Import Eletra'!$AN:$AN,,0,1)=0,"",_xlfn.XLOOKUP($E46,'[1]Import Eletra'!$B:$B,'[1]Import Eletra'!$AN:$AN,,0,1))</f>
        <v>46176</v>
      </c>
      <c r="S46" s="326">
        <f>IF(_xlfn.XLOOKUP($E46,'[1]Import Eletra'!$B:$B,'[1]Import Eletra'!$AO:$AO,,0,1)=0,"",_xlfn.XLOOKUP($E46,'[1]Import Eletra'!$B:$B,'[1]Import Eletra'!$AO:$AO,,0,1))</f>
        <v>46178</v>
      </c>
      <c r="T46" s="326">
        <f>IF(_xlfn.XLOOKUP($E46,'[1]Import Eletra'!$B:$B,'[1]Import Eletra'!$AP:$AP,,0,1)=0,"",_xlfn.XLOOKUP($E46,'[1]Import Eletra'!$B:$B,'[1]Import Eletra'!$AP:$AP,,0,1))</f>
        <v>46178</v>
      </c>
      <c r="U46" s="326">
        <f>IF(_xlfn.XLOOKUP($E46,'[1]Import Eletra'!$B:$B,'[1]Import Eletra'!$AQ:$AQ,,0,1)=0,"",_xlfn.XLOOKUP($E46,'[1]Import Eletra'!$B:$B,'[1]Import Eletra'!$AQ:$AQ,,0,1))</f>
        <v>46178</v>
      </c>
      <c r="V46" s="339">
        <f>IF(_xlfn.XLOOKUP($E46,'[1]Import Eletra'!$B:$B,'[1]Import Eletra'!$AR:$AR,,0,1)=0,"",_xlfn.XLOOKUP($E46,'[1]Import Eletra'!$B:$B,'[1]Import Eletra'!$AR:$AR,,0,1))</f>
        <v>46182</v>
      </c>
      <c r="W46" s="335">
        <f>AB46-$AB$5</f>
        <v>46181</v>
      </c>
      <c r="X46" s="332">
        <f>IF(_xlfn.XLOOKUP($E46,'[1]Import Eletra'!$B:$B,'[1]Import Eletra'!$AS:$AS,,0,1)=0,"",_xlfn.XLOOKUP($E46,'[1]Import Eletra'!$B:$B,'[1]Import Eletra'!$AS:$AS,,0,1))</f>
        <v>46182</v>
      </c>
      <c r="Y46" s="113">
        <f>$W$4</f>
        <v>0</v>
      </c>
      <c r="Z46" s="113">
        <f ca="1">IF(X46="",TODAY()-W46,X46-W46)</f>
        <v>1</v>
      </c>
      <c r="AA46" s="184">
        <f ca="1">Z46-Y46</f>
        <v>1</v>
      </c>
      <c r="AB46" s="348">
        <f>AG46-$AB$5</f>
        <v>46182</v>
      </c>
      <c r="AC46" s="332">
        <f>IF(_xlfn.XLOOKUP($E46,'[1]Import Eletra'!$B:$B,'[1]Import Eletra'!$AD:$AD,,0,1)=0,"",_xlfn.XLOOKUP($E46,'[1]Import Eletra'!$B:$B,'[1]Import Eletra'!$AD:$AD,,0,1))</f>
        <v>46182</v>
      </c>
      <c r="AD46" s="113">
        <f>$AB$4</f>
        <v>0</v>
      </c>
      <c r="AE46" s="113">
        <f ca="1">IF(AC46="",TODAY()-AB46,AC46-AB46)</f>
        <v>0</v>
      </c>
      <c r="AF46" s="184">
        <f ca="1">AE46-AD46</f>
        <v>0</v>
      </c>
      <c r="AG46" s="355">
        <f>AL46-$AL$5</f>
        <v>46183</v>
      </c>
      <c r="AH46" s="332">
        <f>IF(_xlfn.XLOOKUP($E46,'[1]Import Eletra'!$B:$B,'[1]Import Eletra'!$AE:$AE,,0,1)=0,"",_xlfn.XLOOKUP($E46,'[1]Import Eletra'!$B:$B,'[1]Import Eletra'!$AE:$AE,,0,1))</f>
        <v>46183</v>
      </c>
      <c r="AI46" s="113">
        <f>$AG$4</f>
        <v>0</v>
      </c>
      <c r="AJ46" s="113">
        <f ca="1">IF(AH46="",TODAY()-AG46,AH46-AG46)</f>
        <v>0</v>
      </c>
      <c r="AK46" s="184">
        <f ca="1">AJ46-AI46</f>
        <v>0</v>
      </c>
      <c r="AL46" s="355">
        <f>AQ46-$AQ$5</f>
        <v>46183</v>
      </c>
      <c r="AM46" s="332">
        <f>IF(_xlfn.XLOOKUP($E46,'[1]Import Eletra'!$B:$B,'[1]Import Eletra'!$AT:$AT,,0,1)=0,"",_xlfn.XLOOKUP($E46,'[1]Import Eletra'!$B:$B,'[1]Import Eletra'!$AT:$AT,,0,1))</f>
        <v>46182</v>
      </c>
      <c r="AN46" s="113">
        <f>$AL$4</f>
        <v>0</v>
      </c>
      <c r="AO46" s="113">
        <f ca="1">IF(AM46="",TODAY()-AL46,AM46-AL46)</f>
        <v>-1</v>
      </c>
      <c r="AP46" s="184">
        <f ca="1">AO46-AN46</f>
        <v>-1</v>
      </c>
      <c r="AQ46" s="357">
        <f>AV46-$AV$5</f>
        <v>46184</v>
      </c>
      <c r="AR46" s="332">
        <f>IF(_xlfn.XLOOKUP($E46,'[1]Import Eletra'!$B:$B,'[1]Import Eletra'!$AU:$AU,,0,1)=0,"",_xlfn.XLOOKUP($E46,'[1]Import Eletra'!$B:$B,'[1]Import Eletra'!$AU:$AU,,0,1))</f>
        <v>46182</v>
      </c>
      <c r="AS46" s="113">
        <f>$AQ$4</f>
        <v>1</v>
      </c>
      <c r="AT46" s="113">
        <f ca="1">IF(AR46="",TODAY()-AQ46,AR46-AQ46)</f>
        <v>-2</v>
      </c>
      <c r="AU46" s="184">
        <f ca="1">AT46-AS46</f>
        <v>-3</v>
      </c>
      <c r="AV46" s="355">
        <f>BA46-$BA$5</f>
        <v>46184</v>
      </c>
      <c r="AW46" s="332" t="str">
        <f>IF(_xlfn.XLOOKUP($E46,'[1]Import Eletra'!$B:$B,'[1]Import Eletra'!$AV:$AV,,0,1)=0,"",_xlfn.XLOOKUP($E46,'[1]Import Eletra'!$B:$B,'[1]Import Eletra'!$AV:$AV,,0,1))</f>
        <v/>
      </c>
      <c r="AX46" s="113">
        <f>$AV$4</f>
        <v>0</v>
      </c>
      <c r="AY46" s="113">
        <f ca="1">IF(AW46="",TODAY()-AV46,AW46-AV46)</f>
        <v>27</v>
      </c>
      <c r="AZ46" s="184">
        <f ca="1">AY46-AX46</f>
        <v>27</v>
      </c>
      <c r="BA46" s="357">
        <f>BF46-$BF$5</f>
        <v>46184</v>
      </c>
      <c r="BB46" s="332" t="str">
        <f>IF(_xlfn.XLOOKUP($E46,'[1]Import Eletra'!$B:$B,'[1]Import Eletra'!$AW:$AW,,0,1)=0,"",_xlfn.XLOOKUP($E46,'[1]Import Eletra'!$B:$B,'[1]Import Eletra'!$AW:$AW,,0,1))</f>
        <v/>
      </c>
      <c r="BC46" s="113">
        <f>$BA$4</f>
        <v>0</v>
      </c>
      <c r="BD46" s="113">
        <f ca="1">IF(BB46="",TODAY()-BA46,BB46-BA46)</f>
        <v>27</v>
      </c>
      <c r="BE46" s="184">
        <f ca="1">BD46-BC46</f>
        <v>27</v>
      </c>
      <c r="BF46" s="335">
        <f>BK46-$BK$5</f>
        <v>46184</v>
      </c>
      <c r="BG46" s="332" t="str">
        <f>IF(_xlfn.XLOOKUP($E46,'[1]Import Eletra'!$B:$B,'[1]Import Eletra'!$AX:$AX,,0,1)=0,"",_xlfn.XLOOKUP($E46,'[1]Import Eletra'!$B:$B,'[1]Import Eletra'!$AX:$AX,,0,1))</f>
        <v/>
      </c>
      <c r="BH46" s="113">
        <f>$BF$4</f>
        <v>0</v>
      </c>
      <c r="BI46" s="113">
        <f ca="1">IF(BG46="",TODAY()-BF46,BG46-BF46)</f>
        <v>27</v>
      </c>
      <c r="BJ46" s="184">
        <f ca="1">BI46-BH46</f>
        <v>27</v>
      </c>
      <c r="BK46" s="362">
        <f>BP46-$BP$5</f>
        <v>46184</v>
      </c>
      <c r="BL46" s="332" t="str">
        <f>IF(_xlfn.XLOOKUP($E46,'[1]Import Eletra'!$B:$B,'[1]Import Eletra'!$AY:$AY,,0,1)=0,"",_xlfn.XLOOKUP($E46,'[1]Import Eletra'!$B:$B,'[1]Import Eletra'!$AY:$AY,,0,1))</f>
        <v/>
      </c>
      <c r="BM46" s="113">
        <f>$BK$4</f>
        <v>0</v>
      </c>
      <c r="BN46" s="113">
        <f ca="1">IF(BL46="",TODAY()-BK46,BL46-BK46)</f>
        <v>27</v>
      </c>
      <c r="BO46" s="184">
        <f ca="1">BN46-BM46</f>
        <v>27</v>
      </c>
      <c r="BP46" s="335">
        <f>BU46-$BU$5</f>
        <v>46184</v>
      </c>
      <c r="BQ46" s="332" t="str">
        <f>IF(_xlfn.XLOOKUP($E46,'[1]Import Eletra'!$B:$B,'[1]Import Eletra'!$AZ:$AZ,,0,1)=0,"",_xlfn.XLOOKUP($E46,'[1]Import Eletra'!$B:$B,'[1]Import Eletra'!$AZ:$AZ,,0,1))</f>
        <v/>
      </c>
      <c r="BR46" s="113">
        <f>$BP$4</f>
        <v>0</v>
      </c>
      <c r="BS46" s="113">
        <f ca="1">IF(BQ46="",TODAY()-BP46,BQ46-BP46)</f>
        <v>27</v>
      </c>
      <c r="BT46" s="184">
        <f ca="1">BS46-BR46</f>
        <v>27</v>
      </c>
      <c r="BU46" s="362">
        <f>BZ46-$BZ$4</f>
        <v>46186</v>
      </c>
      <c r="BV46" s="332">
        <f>IF(_xlfn.XLOOKUP($E46,'[1]Import Eletra'!$B:$B,'[1]Import Eletra'!$BA:$BA,,0,1)=0,"",_xlfn.XLOOKUP($E46,'[1]Import Eletra'!$B:$B,'[1]Import Eletra'!$BA:$BA,,0,1))</f>
        <v>46185</v>
      </c>
      <c r="BW46" s="113">
        <f>$BU$4</f>
        <v>2</v>
      </c>
      <c r="BX46" s="113">
        <f ca="1">IF(BV46="",TODAY()-BU46,BV46-BU46)</f>
        <v>-1</v>
      </c>
      <c r="BY46" s="184">
        <f ca="1">BX46-BW46</f>
        <v>-3</v>
      </c>
      <c r="BZ46" s="335">
        <f>CE46-$CE$5</f>
        <v>46186</v>
      </c>
      <c r="CA46" s="332">
        <f>IF(_xlfn.XLOOKUP($E46,'[1]Import Eletra'!$B:$B,'[1]Import Eletra'!$BB:$BB,,0,1)=0,"",_xlfn.XLOOKUP($E46,'[1]Import Eletra'!$B:$B,'[1]Import Eletra'!$BB:$BB,,0,1))</f>
        <v>46185</v>
      </c>
      <c r="CB46" s="113">
        <f>$BZ$4</f>
        <v>0</v>
      </c>
      <c r="CC46" s="113">
        <f ca="1">IF(CA46="",TODAY()-BZ46,CA46-BZ46)</f>
        <v>-1</v>
      </c>
      <c r="CD46" s="184">
        <f ca="1">CC46-CB46</f>
        <v>-1</v>
      </c>
      <c r="CE46" s="362">
        <f>CJ46-$CJ$4</f>
        <v>46186</v>
      </c>
      <c r="CF46" s="332">
        <f>IF(_xlfn.XLOOKUP($E46,'[1]Import Eletra'!$B:$B,'[1]Import Eletra'!$BC:$BC,,0,1)=0,"",_xlfn.XLOOKUP($E46,'[1]Import Eletra'!$B:$B,'[1]Import Eletra'!$BC:$BC,,0,1))</f>
        <v>46185</v>
      </c>
      <c r="CG46" s="113">
        <f>$CE$4</f>
        <v>0</v>
      </c>
      <c r="CH46" s="113">
        <f ca="1">IF(CF46="",TODAY()-CE46,CF46-CE46)</f>
        <v>-1</v>
      </c>
      <c r="CI46" s="184">
        <f ca="1">CH46-CG46</f>
        <v>-1</v>
      </c>
      <c r="CJ46" s="335">
        <f>CO46-$CO$4</f>
        <v>46186</v>
      </c>
      <c r="CK46" s="332">
        <f>IF(_xlfn.XLOOKUP($E46,'[1]Import Eletra'!$B:$B,'[1]Import Eletra'!$BD:$BD,,0,1)=0,"",_xlfn.XLOOKUP($E46,'[1]Import Eletra'!$B:$B,'[1]Import Eletra'!$BD:$BD,,0,1))</f>
        <v>46183</v>
      </c>
      <c r="CL46" s="113"/>
      <c r="CM46" s="113">
        <f ca="1">IF(CK46="",TODAY()-CJ46,CK46-CJ46)</f>
        <v>-3</v>
      </c>
      <c r="CN46" s="184">
        <f ca="1">CM46-CL46</f>
        <v>-3</v>
      </c>
      <c r="CO46" s="362">
        <f>CT46-$CT$4</f>
        <v>46186</v>
      </c>
      <c r="CP46" s="332">
        <f>IF(_xlfn.XLOOKUP($E46,'[1]Import Eletra'!$B:$B,'[1]Import Eletra'!$BE:$BE,,0,1)=0,"",_xlfn.XLOOKUP($E46,'[1]Import Eletra'!$B:$B,'[1]Import Eletra'!$BE:$BE,,0,1))</f>
        <v>46183</v>
      </c>
      <c r="CQ46" s="113">
        <f>$CO$4</f>
        <v>0</v>
      </c>
      <c r="CR46" s="113">
        <f ca="1">IF(CP46="",TODAY()-CO46,CP46-CO46)</f>
        <v>-3</v>
      </c>
      <c r="CS46" s="184">
        <f ca="1">CR46-CQ46</f>
        <v>-3</v>
      </c>
      <c r="CT46" s="335">
        <f>CY46-$CY$4</f>
        <v>46186</v>
      </c>
      <c r="CU46" s="332">
        <f>IF(_xlfn.XLOOKUP($E46,'[1]Import Eletra'!$B:$B,'[1]Import Eletra'!$BF:$BF,,0,1)=0,"",_xlfn.XLOOKUP($E46,'[1]Import Eletra'!$B:$B,'[1]Import Eletra'!$BF:$BF,,0,1))</f>
        <v>46183</v>
      </c>
      <c r="CV46" s="113">
        <f>$CT$4</f>
        <v>0</v>
      </c>
      <c r="CW46" s="113">
        <f ca="1">IF(CU46="",TODAY()-CT46,CU46-CT46)</f>
        <v>-3</v>
      </c>
      <c r="CX46" s="184">
        <f ca="1">CW46-CV46</f>
        <v>-3</v>
      </c>
      <c r="CY46" s="110">
        <f>DD46-$DD$4</f>
        <v>46186</v>
      </c>
      <c r="CZ46" s="247">
        <f>IF(_xlfn.XLOOKUP($E46,'[1]Import Eletra'!$B:$B,'[1]Import Eletra'!$BF:$BF,,0,1)=0,"",_xlfn.XLOOKUP($E46,'[1]Import Eletra'!$B:$B,'[1]Import Eletra'!$BF:$BF,,0,1))</f>
        <v>46183</v>
      </c>
      <c r="DA46" s="210">
        <f>$CY$4</f>
        <v>0</v>
      </c>
      <c r="DB46" s="113">
        <f ca="1">IF(CZ46="",TODAY()-CY46,CZ46-CY46)</f>
        <v>-3</v>
      </c>
      <c r="DC46" s="184">
        <f ca="1">DB46-DA46</f>
        <v>-3</v>
      </c>
      <c r="DD46" s="110">
        <f>DI46-$DI$4</f>
        <v>46188</v>
      </c>
      <c r="DE46" s="247">
        <f>IF(_xlfn.XLOOKUP($E46,'[1]Import Eletra'!$B:$B,'[1]Import Eletra'!$BG:$BG,,0,1)=0,"",_xlfn.XLOOKUP($E46,'[1]Import Eletra'!$B:$B,'[1]Import Eletra'!$BG:$BG,0,1))</f>
        <v>46185</v>
      </c>
      <c r="DF46" s="113">
        <f>$DD$4</f>
        <v>2</v>
      </c>
      <c r="DG46" s="113">
        <f ca="1">IF(DE46="",TODAY()-DD46,DE46-DD46)</f>
        <v>-3</v>
      </c>
      <c r="DH46" s="184">
        <f ca="1">DG46-DF46</f>
        <v>-5</v>
      </c>
      <c r="DI46" s="110">
        <f>DO46-$DN$4</f>
        <v>46189</v>
      </c>
      <c r="DJ46" s="247">
        <f>IF(_xlfn.XLOOKUP($E46,'[1]Import Eletra'!$B:$B,'[1]Import Eletra'!$BH:$BH,,0,1)=0,"",_xlfn.XLOOKUP($E46,'[1]Import Eletra'!$B:$B,'[1]Import Eletra'!$BH:$BH,0,1))</f>
        <v>46188</v>
      </c>
      <c r="DK46" s="112">
        <f>$DI$4</f>
        <v>1</v>
      </c>
      <c r="DL46" s="112">
        <f ca="1">IF(DJ46="",TODAY()-DI46,DJ46-DI46)</f>
        <v>-1</v>
      </c>
      <c r="DM46" s="184">
        <f ca="1">DL46-DK46</f>
        <v>-2</v>
      </c>
      <c r="DN46" s="64"/>
      <c r="DO46" s="202">
        <f>N46+DT46</f>
        <v>46190</v>
      </c>
      <c r="DP46" s="298">
        <f>IF(_xlfn.XLOOKUP($E46,'[1]Import Eletra'!$B:$B,'[1]Import Eletra'!$O:$O,,0,1)=0,"",_xlfn.XLOOKUP($E46,'[1]Import Eletra'!$B:$B,'[1]Import Eletra'!$O:$O,0,1))</f>
        <v>46188</v>
      </c>
      <c r="DQ46" s="112">
        <f>$DN$4</f>
        <v>1</v>
      </c>
      <c r="DR46" s="112">
        <f ca="1">IF(DP46="",TODAY()-DO46,DP46-DO46)</f>
        <v>-2</v>
      </c>
      <c r="DS46" s="184">
        <f ca="1">DR46-DQ46</f>
        <v>-3</v>
      </c>
      <c r="DT46" s="143">
        <v>10</v>
      </c>
      <c r="DU46" s="140">
        <f ca="1">IF(DP46="",TODAY()-N46,DP46-N46)</f>
        <v>8</v>
      </c>
      <c r="DV46" s="184">
        <f ca="1">DU46-DT46</f>
        <v>-2</v>
      </c>
      <c r="DX46" s="185" t="s">
        <v>245</v>
      </c>
      <c r="DY46" s="108" t="str">
        <f>IF(_xlfn.XLOOKUP($E46,'[1]Import Eletra'!$B:$B,'[1]Import Eletra'!$DW:$DW,,0,1)=0,"",_xlfn.XLOOKUP($E46,'[1]Import Eletra'!$B:$B,'[1]Import Eletra'!$DW:$DW,0,1))</f>
        <v/>
      </c>
      <c r="EB46" s="287" t="s">
        <v>273</v>
      </c>
      <c r="ED46" s="409" t="str">
        <f>IF(_xlfn.XLOOKUP($E46,'[1]Import Eletra'!$B:$B,'[1]Import Eletra'!$BQ:$BQ,,0,1)=0,"",_xlfn.XLOOKUP($E46,'[1]Import Eletra'!$B:$B,'[1]Import Eletra'!$BQ:$BQ,0,1))</f>
        <v/>
      </c>
      <c r="EE46" s="410" t="str">
        <f>IF(_xlfn.XLOOKUP($E46,'[1]Import Eletra'!$B:$B,'[1]Import Eletra'!$BR:$BR,,0,1)=0,"",_xlfn.XLOOKUP($E46,'[1]Import Eletra'!$B:$B,'[1]Import Eletra'!$BR:$BR,0,1))</f>
        <v/>
      </c>
      <c r="EF46" s="409" t="str">
        <f>IF(_xlfn.XLOOKUP($E46,'[1]Import Eletra'!$B:$B,'[1]Import Eletra'!$BS:$BS,,0,1)=0,"",_xlfn.XLOOKUP($E46,'[1]Import Eletra'!$B:$B,'[1]Import Eletra'!$BS:$BS,0,1))</f>
        <v/>
      </c>
      <c r="EG46" s="410" t="str">
        <f>IF(_xlfn.XLOOKUP($E46,'[1]Import Eletra'!$B:$B,'[1]Import Eletra'!$BT:$BT,,0,1)=0,"",_xlfn.XLOOKUP($E46,'[1]Import Eletra'!$B:$B,'[1]Import Eletra'!$BT:$BT,0,1))</f>
        <v/>
      </c>
      <c r="EH46" s="409" t="str">
        <f>IF(_xlfn.XLOOKUP($E46,'[1]Import Eletra'!$B:$B,'[1]Import Eletra'!$BU:$BU,,0,1)=0,"",_xlfn.XLOOKUP($E46,'[1]Import Eletra'!$B:$B,'[1]Import Eletra'!$BU:$BU,0,1))</f>
        <v/>
      </c>
      <c r="EI46" s="410" t="str">
        <f>IF(_xlfn.XLOOKUP($E46,'[1]Import Eletra'!$B:$B,'[1]Import Eletra'!$BV:$BV,,0,1)=0,"",_xlfn.XLOOKUP($E46,'[1]Import Eletra'!$B:$B,'[1]Import Eletra'!$BV:$BV,0,1))</f>
        <v/>
      </c>
      <c r="EJ46" s="410">
        <f>IF(_xlfn.XLOOKUP($E46,'[1]Import Eletra'!$B:$B,'[1]Import Eletra'!$CI:$CI,,0,1)=0,"",_xlfn.XLOOKUP($E46,'[1]Import Eletra'!$B:$B,'[1]Import Eletra'!$CI:$CI,0,1))</f>
        <v>46198</v>
      </c>
      <c r="EK46" s="410" t="str">
        <f>IF(_xlfn.XLOOKUP($E46,'[1]Import Eletra'!$B:$B,'[1]Import Eletra'!$CD:$CD,,0,1)=0,"",_xlfn.XLOOKUP($E46,'[1]Import Eletra'!$B:$B,'[1]Import Eletra'!$CD:$CD,0,1))</f>
        <v/>
      </c>
      <c r="EL46" s="410" t="str">
        <f>IF(_xlfn.XLOOKUP($E46,'[1]Import Eletra'!$B:$B,'[1]Import Eletra'!$CE:$CE,,0,1)=0,"",_xlfn.XLOOKUP($E46,'[1]Import Eletra'!$B:$B,'[1]Import Eletra'!$CE:$CE,0,1))</f>
        <v>NÃO</v>
      </c>
      <c r="EM46" s="411" t="str">
        <f>IF(_xlfn.XLOOKUP($E46,'[1]Import Eletra'!$B:$B,'[1]Import Eletra'!$E:$E,,0,1)=0,"",_xlfn.XLOOKUP($E46,'[1]Import Eletra'!$B:$B,'[1]Import Eletra'!$E:$E,0,1))</f>
        <v>LEISIANE</v>
      </c>
      <c r="EN46" s="408" t="str">
        <f>IF(_xlfn.XLOOKUP($E46,'[1]Import Eletra'!$B:$B,'[1]Import Eletra'!$R:$R,,0,1)=0,"",_xlfn.XLOOKUP($E46,'[1]Import Eletra'!$B:$B,'[1]Import Eletra'!$R:$R,0,1))</f>
        <v>PWBR260065-10D</v>
      </c>
      <c r="EO46" s="408" t="str">
        <f>IF(_xlfn.XLOOKUP($E46,'[1]Import Eletra'!$B:$B,'[1]Import Eletra'!$P:$P,,0,1)=0,"",_xlfn.XLOOKUP($E46,'[1]Import Eletra'!$B:$B,'[1]Import Eletra'!$P:$P,0,1))</f>
        <v>SDBLBS596926</v>
      </c>
      <c r="EP46" s="408" t="str">
        <f>IF(_xlfn.XLOOKUP($E46,'[1]Import Eletra'!$B:$B,'[1]Import Eletra'!$T:$T,,0,1)=0,"",_xlfn.XLOOKUP($E46,'[1]Import Eletra'!$B:$B,'[1]Import Eletra'!$T:$T,0,1))</f>
        <v>MSMU8213143, TGBU6868217, TRHU5067747</v>
      </c>
    </row>
    <row r="47" spans="2:146" ht="30" customHeight="1">
      <c r="B47" s="371" t="s">
        <v>336</v>
      </c>
      <c r="C47" s="369">
        <v>9</v>
      </c>
      <c r="D47" s="104" t="str">
        <f>IF(_xlfn.XLOOKUP($E47,'[1]Import Eletra'!$B:$B,'[1]Import Eletra'!$A:$A,,0,1)=0,"",_xlfn.XLOOKUP($E47,'[1]Import Eletra'!$B:$B,'[1]Import Eletra'!$A:$A,,0,1))</f>
        <v>JUL_2026</v>
      </c>
      <c r="E47" s="323" t="s">
        <v>295</v>
      </c>
      <c r="F47" s="106">
        <f>IF(_xlfn.XLOOKUP($E47,'[1]Import Eletra'!$B:$B,'[1]Import Eletra'!$U:$U,,0,1)=0,"",_xlfn.XLOOKUP($E47,'[1]Import Eletra'!$B:$B,'[1]Import Eletra'!$U:$U,,0,1))</f>
        <v>3</v>
      </c>
      <c r="G47" s="301" t="s">
        <v>244</v>
      </c>
      <c r="H47" s="2" t="str">
        <f>_xlfn.XLOOKUP($E47,'[1]Import Eletra'!$B:$B,'[1]Import Eletra'!$F:$F,,0,1)</f>
        <v>DELIVERED</v>
      </c>
      <c r="I47" s="108" t="str">
        <f>_xlfn.XLOOKUP($E47,'[1]Import Eletra'!$B:$B,'[1]Import Eletra'!$G:$G,,0,1)</f>
        <v>SEA</v>
      </c>
      <c r="J47" s="326">
        <v>46121</v>
      </c>
      <c r="K47" s="109">
        <v>30</v>
      </c>
      <c r="L47" s="109">
        <f>M47-J47</f>
        <v>12</v>
      </c>
      <c r="M47" s="326">
        <f>IF(_xlfn.XLOOKUP($E47,'[1]Import Eletra'!$B:$B,'[1]Import Eletra'!$J:$J,,0,1)=0,"",_xlfn.XLOOKUP($E47,'[1]Import Eletra'!$B:$B,'[1]Import Eletra'!$J:$J,,0,1))</f>
        <v>46133</v>
      </c>
      <c r="N47" s="332">
        <f>IF(_xlfn.XLOOKUP($E47,'[1]Import Eletra'!$B:$B,'[1]Import Eletra'!$L:$L,,0,1)=0,"",_xlfn.XLOOKUP($E47,'[1]Import Eletra'!$B:$B,'[1]Import Eletra'!$L:$L,,0,1))</f>
        <v>46180</v>
      </c>
      <c r="O47" s="374">
        <f>IF(_xlfn.XLOOKUP($E47,'[1]Import Eletra'!$B:$B,'[1]Import Eletra'!$AK:$AK,,0,1)=0,"",_xlfn.XLOOKUP($E47,'[1]Import Eletra'!$B:$B,'[1]Import Eletra'!$AK:$AK,,0,1))</f>
        <v>46175</v>
      </c>
      <c r="P47" s="326">
        <f>IF(_xlfn.XLOOKUP($E47,'[1]Import Eletra'!$B:$B,'[1]Import Eletra'!$AL:$AL,,0,1)=0,"",_xlfn.XLOOKUP($E47,'[1]Import Eletra'!$B:$B,'[1]Import Eletra'!$AL:$AL,,0,1))</f>
        <v>46176</v>
      </c>
      <c r="Q47" s="326">
        <f>IF(_xlfn.XLOOKUP($E47,'[1]Import Eletra'!$B:$B,'[1]Import Eletra'!$AM:$AM,,0,1)=0,"",_xlfn.XLOOKUP($E47,'[1]Import Eletra'!$B:$B,'[1]Import Eletra'!$AM:$AM,,0,1))</f>
        <v>46184</v>
      </c>
      <c r="R47" s="326">
        <f>IF(_xlfn.XLOOKUP($E47,'[1]Import Eletra'!$B:$B,'[1]Import Eletra'!$AN:$AN,,0,1)=0,"",_xlfn.XLOOKUP($E47,'[1]Import Eletra'!$B:$B,'[1]Import Eletra'!$AN:$AN,,0,1))</f>
        <v>46184</v>
      </c>
      <c r="S47" s="326">
        <f>IF(_xlfn.XLOOKUP($E47,'[1]Import Eletra'!$B:$B,'[1]Import Eletra'!$AO:$AO,,0,1)=0,"",_xlfn.XLOOKUP($E47,'[1]Import Eletra'!$B:$B,'[1]Import Eletra'!$AO:$AO,,0,1))</f>
        <v>46185</v>
      </c>
      <c r="T47" s="326">
        <f>IF(_xlfn.XLOOKUP($E47,'[1]Import Eletra'!$B:$B,'[1]Import Eletra'!$AP:$AP,,0,1)=0,"",_xlfn.XLOOKUP($E47,'[1]Import Eletra'!$B:$B,'[1]Import Eletra'!$AP:$AP,,0,1))</f>
        <v>46185</v>
      </c>
      <c r="U47" s="326">
        <f>IF(_xlfn.XLOOKUP($E47,'[1]Import Eletra'!$B:$B,'[1]Import Eletra'!$AQ:$AQ,,0,1)=0,"",_xlfn.XLOOKUP($E47,'[1]Import Eletra'!$B:$B,'[1]Import Eletra'!$AQ:$AQ,,0,1))</f>
        <v>46185</v>
      </c>
      <c r="V47" s="339">
        <f>IF(_xlfn.XLOOKUP($E47,'[1]Import Eletra'!$B:$B,'[1]Import Eletra'!$AR:$AR,,0,1)=0,"",_xlfn.XLOOKUP($E47,'[1]Import Eletra'!$B:$B,'[1]Import Eletra'!$AR:$AR,,0,1))</f>
        <v>46181</v>
      </c>
      <c r="W47" s="335">
        <f>AB47-$AB$5</f>
        <v>46181</v>
      </c>
      <c r="X47" s="332">
        <f>IF(_xlfn.XLOOKUP($E47,'[1]Import Eletra'!$B:$B,'[1]Import Eletra'!$AS:$AS,,0,1)=0,"",_xlfn.XLOOKUP($E47,'[1]Import Eletra'!$B:$B,'[1]Import Eletra'!$AS:$AS,,0,1))</f>
        <v>46185</v>
      </c>
      <c r="Y47" s="113">
        <f>$W$4</f>
        <v>0</v>
      </c>
      <c r="Z47" s="113">
        <f ca="1">IF(X47="",TODAY()-W47,X47-W47)</f>
        <v>4</v>
      </c>
      <c r="AA47" s="184">
        <f ca="1">Z47-Y47</f>
        <v>4</v>
      </c>
      <c r="AB47" s="348">
        <f>AG47-$AB$5</f>
        <v>46182</v>
      </c>
      <c r="AC47" s="332">
        <f>IF(_xlfn.XLOOKUP($E47,'[1]Import Eletra'!$B:$B,'[1]Import Eletra'!$AD:$AD,,0,1)=0,"",_xlfn.XLOOKUP($E47,'[1]Import Eletra'!$B:$B,'[1]Import Eletra'!$AD:$AD,,0,1))</f>
        <v>46185</v>
      </c>
      <c r="AD47" s="113">
        <f>$AB$4</f>
        <v>0</v>
      </c>
      <c r="AE47" s="113">
        <f ca="1">IF(AC47="",TODAY()-AB47,AC47-AB47)</f>
        <v>3</v>
      </c>
      <c r="AF47" s="184">
        <f ca="1">AE47-AD47</f>
        <v>3</v>
      </c>
      <c r="AG47" s="355">
        <f>AL47-$AL$5</f>
        <v>46183</v>
      </c>
      <c r="AH47" s="332">
        <f>IF(_xlfn.XLOOKUP($E47,'[1]Import Eletra'!$B:$B,'[1]Import Eletra'!$AE:$AE,,0,1)=0,"",_xlfn.XLOOKUP($E47,'[1]Import Eletra'!$B:$B,'[1]Import Eletra'!$AE:$AE,,0,1))</f>
        <v>46185</v>
      </c>
      <c r="AI47" s="113">
        <f>$AG$4</f>
        <v>0</v>
      </c>
      <c r="AJ47" s="113">
        <f ca="1">IF(AH47="",TODAY()-AG47,AH47-AG47)</f>
        <v>2</v>
      </c>
      <c r="AK47" s="184">
        <f ca="1">AJ47-AI47</f>
        <v>2</v>
      </c>
      <c r="AL47" s="355">
        <f>AQ47-$AQ$5</f>
        <v>46183</v>
      </c>
      <c r="AM47" s="332">
        <f>IF(_xlfn.XLOOKUP($E47,'[1]Import Eletra'!$B:$B,'[1]Import Eletra'!$AT:$AT,,0,1)=0,"",_xlfn.XLOOKUP($E47,'[1]Import Eletra'!$B:$B,'[1]Import Eletra'!$AT:$AT,,0,1))</f>
        <v>46188</v>
      </c>
      <c r="AN47" s="113">
        <f>$AL$4</f>
        <v>0</v>
      </c>
      <c r="AO47" s="113">
        <f ca="1">IF(AM47="",TODAY()-AL47,AM47-AL47)</f>
        <v>5</v>
      </c>
      <c r="AP47" s="184">
        <f ca="1">AO47-AN47</f>
        <v>5</v>
      </c>
      <c r="AQ47" s="357">
        <f>AV47-$AV$5</f>
        <v>46184</v>
      </c>
      <c r="AR47" s="332">
        <f>IF(_xlfn.XLOOKUP($E47,'[1]Import Eletra'!$B:$B,'[1]Import Eletra'!$AU:$AU,,0,1)=0,"",_xlfn.XLOOKUP($E47,'[1]Import Eletra'!$B:$B,'[1]Import Eletra'!$AU:$AU,,0,1))</f>
        <v>46188</v>
      </c>
      <c r="AS47" s="113">
        <f>$AQ$4</f>
        <v>1</v>
      </c>
      <c r="AT47" s="113">
        <f ca="1">IF(AR47="",TODAY()-AQ47,AR47-AQ47)</f>
        <v>4</v>
      </c>
      <c r="AU47" s="184">
        <f ca="1">AT47-AS47</f>
        <v>3</v>
      </c>
      <c r="AV47" s="355">
        <f>BA47-$BA$5</f>
        <v>46184</v>
      </c>
      <c r="AW47" s="332" t="str">
        <f>IF(_xlfn.XLOOKUP($E47,'[1]Import Eletra'!$B:$B,'[1]Import Eletra'!$AV:$AV,,0,1)=0,"",_xlfn.XLOOKUP($E47,'[1]Import Eletra'!$B:$B,'[1]Import Eletra'!$AV:$AV,,0,1))</f>
        <v/>
      </c>
      <c r="AX47" s="113">
        <f>$AV$4</f>
        <v>0</v>
      </c>
      <c r="AY47" s="113">
        <f ca="1">IF(AW47="",TODAY()-AV47,AW47-AV47)</f>
        <v>27</v>
      </c>
      <c r="AZ47" s="184">
        <f ca="1">AY47-AX47</f>
        <v>27</v>
      </c>
      <c r="BA47" s="357">
        <f>BF47-$BF$5</f>
        <v>46184</v>
      </c>
      <c r="BB47" s="332" t="str">
        <f>IF(_xlfn.XLOOKUP($E47,'[1]Import Eletra'!$B:$B,'[1]Import Eletra'!$AW:$AW,,0,1)=0,"",_xlfn.XLOOKUP($E47,'[1]Import Eletra'!$B:$B,'[1]Import Eletra'!$AW:$AW,,0,1))</f>
        <v/>
      </c>
      <c r="BC47" s="113">
        <f>$BA$4</f>
        <v>0</v>
      </c>
      <c r="BD47" s="113">
        <f ca="1">IF(BB47="",TODAY()-BA47,BB47-BA47)</f>
        <v>27</v>
      </c>
      <c r="BE47" s="184">
        <f ca="1">BD47-BC47</f>
        <v>27</v>
      </c>
      <c r="BF47" s="335">
        <f>BK47-$BK$5</f>
        <v>46184</v>
      </c>
      <c r="BG47" s="332" t="str">
        <f>IF(_xlfn.XLOOKUP($E47,'[1]Import Eletra'!$B:$B,'[1]Import Eletra'!$AX:$AX,,0,1)=0,"",_xlfn.XLOOKUP($E47,'[1]Import Eletra'!$B:$B,'[1]Import Eletra'!$AX:$AX,,0,1))</f>
        <v/>
      </c>
      <c r="BH47" s="113">
        <f>$BF$4</f>
        <v>0</v>
      </c>
      <c r="BI47" s="113">
        <f ca="1">IF(BG47="",TODAY()-BF47,BG47-BF47)</f>
        <v>27</v>
      </c>
      <c r="BJ47" s="184">
        <f ca="1">BI47-BH47</f>
        <v>27</v>
      </c>
      <c r="BK47" s="362">
        <f>BP47-$BP$5</f>
        <v>46184</v>
      </c>
      <c r="BL47" s="332" t="str">
        <f>IF(_xlfn.XLOOKUP($E47,'[1]Import Eletra'!$B:$B,'[1]Import Eletra'!$AY:$AY,,0,1)=0,"",_xlfn.XLOOKUP($E47,'[1]Import Eletra'!$B:$B,'[1]Import Eletra'!$AY:$AY,,0,1))</f>
        <v/>
      </c>
      <c r="BM47" s="113">
        <f>$BK$4</f>
        <v>0</v>
      </c>
      <c r="BN47" s="113">
        <f ca="1">IF(BL47="",TODAY()-BK47,BL47-BK47)</f>
        <v>27</v>
      </c>
      <c r="BO47" s="184">
        <f ca="1">BN47-BM47</f>
        <v>27</v>
      </c>
      <c r="BP47" s="335">
        <f>BU47-$BU$5</f>
        <v>46184</v>
      </c>
      <c r="BQ47" s="332" t="str">
        <f>IF(_xlfn.XLOOKUP($E47,'[1]Import Eletra'!$B:$B,'[1]Import Eletra'!$AZ:$AZ,,0,1)=0,"",_xlfn.XLOOKUP($E47,'[1]Import Eletra'!$B:$B,'[1]Import Eletra'!$AZ:$AZ,,0,1))</f>
        <v/>
      </c>
      <c r="BR47" s="113">
        <f>$BP$4</f>
        <v>0</v>
      </c>
      <c r="BS47" s="113">
        <f ca="1">IF(BQ47="",TODAY()-BP47,BQ47-BP47)</f>
        <v>27</v>
      </c>
      <c r="BT47" s="184">
        <f ca="1">BS47-BR47</f>
        <v>27</v>
      </c>
      <c r="BU47" s="362">
        <f>BZ47-$BZ$4</f>
        <v>46186</v>
      </c>
      <c r="BV47" s="332">
        <f>IF(_xlfn.XLOOKUP($E47,'[1]Import Eletra'!$B:$B,'[1]Import Eletra'!$BA:$BA,,0,1)=0,"",_xlfn.XLOOKUP($E47,'[1]Import Eletra'!$B:$B,'[1]Import Eletra'!$BA:$BA,,0,1))</f>
        <v>46195</v>
      </c>
      <c r="BW47" s="113">
        <f>$BU$4</f>
        <v>2</v>
      </c>
      <c r="BX47" s="113">
        <f ca="1">IF(BV47="",TODAY()-BU47,BV47-BU47)</f>
        <v>9</v>
      </c>
      <c r="BY47" s="184">
        <f ca="1">BX47-BW47</f>
        <v>7</v>
      </c>
      <c r="BZ47" s="335">
        <f>CE47-$CE$5</f>
        <v>46186</v>
      </c>
      <c r="CA47" s="332">
        <f>IF(_xlfn.XLOOKUP($E47,'[1]Import Eletra'!$B:$B,'[1]Import Eletra'!$BB:$BB,,0,1)=0,"",_xlfn.XLOOKUP($E47,'[1]Import Eletra'!$B:$B,'[1]Import Eletra'!$BB:$BB,,0,1))</f>
        <v>46196</v>
      </c>
      <c r="CB47" s="113">
        <f>$BZ$4</f>
        <v>0</v>
      </c>
      <c r="CC47" s="113">
        <f ca="1">IF(CA47="",TODAY()-BZ47,CA47-BZ47)</f>
        <v>10</v>
      </c>
      <c r="CD47" s="184">
        <f ca="1">CC47-CB47</f>
        <v>10</v>
      </c>
      <c r="CE47" s="362">
        <f>CJ47-$CJ$4</f>
        <v>46186</v>
      </c>
      <c r="CF47" s="332" t="str">
        <f>IF(_xlfn.XLOOKUP($E47,'[1]Import Eletra'!$B:$B,'[1]Import Eletra'!$BC:$BC,,0,1)=0,"",_xlfn.XLOOKUP($E47,'[1]Import Eletra'!$B:$B,'[1]Import Eletra'!$BC:$BC,,0,1))</f>
        <v/>
      </c>
      <c r="CG47" s="113">
        <f>$CE$4</f>
        <v>0</v>
      </c>
      <c r="CH47" s="113">
        <f ca="1">IF(CF47="",TODAY()-CE47,CF47-CE47)</f>
        <v>25</v>
      </c>
      <c r="CI47" s="184">
        <f ca="1">CH47-CG47</f>
        <v>25</v>
      </c>
      <c r="CJ47" s="335">
        <f>CO47-$CO$4</f>
        <v>46186</v>
      </c>
      <c r="CK47" s="332">
        <f>IF(_xlfn.XLOOKUP($E47,'[1]Import Eletra'!$B:$B,'[1]Import Eletra'!$BD:$BD,,0,1)=0,"",_xlfn.XLOOKUP($E47,'[1]Import Eletra'!$B:$B,'[1]Import Eletra'!$BD:$BD,,0,1))</f>
        <v>46188</v>
      </c>
      <c r="CL47" s="113"/>
      <c r="CM47" s="113">
        <f ca="1">IF(CK47="",TODAY()-CJ47,CK47-CJ47)</f>
        <v>2</v>
      </c>
      <c r="CN47" s="184">
        <f ca="1">CM47-CL47</f>
        <v>2</v>
      </c>
      <c r="CO47" s="362">
        <f>CT47-$CT$4</f>
        <v>46186</v>
      </c>
      <c r="CP47" s="345">
        <f>IF(_xlfn.XLOOKUP($E47,'[1]Import Eletra'!$B:$B,'[1]Import Eletra'!$BE:$BE,,0,1)=0,"",_xlfn.XLOOKUP($E47,'[1]Import Eletra'!$B:$B,'[1]Import Eletra'!$BE:$BE,,0,1))</f>
        <v>46189</v>
      </c>
      <c r="CQ47" s="113">
        <f>$CO$4</f>
        <v>0</v>
      </c>
      <c r="CR47" s="113">
        <f ca="1">IF(CP47="",TODAY()-CO47,CP47-CO47)</f>
        <v>3</v>
      </c>
      <c r="CS47" s="184">
        <f ca="1">CR47-CQ47</f>
        <v>3</v>
      </c>
      <c r="CT47" s="335">
        <f>CY47-$CY$4</f>
        <v>46186</v>
      </c>
      <c r="CU47" s="332">
        <f>IF(_xlfn.XLOOKUP($E47,'[1]Import Eletra'!$B:$B,'[1]Import Eletra'!$BF:$BF,,0,1)=0,"",_xlfn.XLOOKUP($E47,'[1]Import Eletra'!$B:$B,'[1]Import Eletra'!$BF:$BF,,0,1))</f>
        <v>46189</v>
      </c>
      <c r="CV47" s="113">
        <f>$CT$4</f>
        <v>0</v>
      </c>
      <c r="CW47" s="113">
        <f ca="1">IF(CU47="",TODAY()-CT47,CU47-CT47)</f>
        <v>3</v>
      </c>
      <c r="CX47" s="184">
        <f ca="1">CW47-CV47</f>
        <v>3</v>
      </c>
      <c r="CY47" s="110">
        <f>DD47-$DD$4</f>
        <v>46186</v>
      </c>
      <c r="CZ47" s="247">
        <f>IF(_xlfn.XLOOKUP($E47,'[1]Import Eletra'!$B:$B,'[1]Import Eletra'!$BF:$BF,,0,1)=0,"",_xlfn.XLOOKUP($E47,'[1]Import Eletra'!$B:$B,'[1]Import Eletra'!$BF:$BF,,0,1))</f>
        <v>46189</v>
      </c>
      <c r="DA47" s="210">
        <f>$CY$4</f>
        <v>0</v>
      </c>
      <c r="DB47" s="113">
        <f ca="1">IF(CZ47="",TODAY()-CY47,CZ47-CY47)</f>
        <v>3</v>
      </c>
      <c r="DC47" s="184">
        <f ca="1">DB47-DA47</f>
        <v>3</v>
      </c>
      <c r="DD47" s="110">
        <f>DI47-$DI$4</f>
        <v>46188</v>
      </c>
      <c r="DE47" s="247">
        <f>IF(_xlfn.XLOOKUP($E47,'[1]Import Eletra'!$B:$B,'[1]Import Eletra'!$BG:$BG,,0,1)=0,"",_xlfn.XLOOKUP($E47,'[1]Import Eletra'!$B:$B,'[1]Import Eletra'!$BG:$BG,0,1))</f>
        <v>46195</v>
      </c>
      <c r="DF47" s="113">
        <f>$DD$4</f>
        <v>2</v>
      </c>
      <c r="DG47" s="113">
        <f ca="1">IF(DE47="",TODAY()-DD47,DE47-DD47)</f>
        <v>7</v>
      </c>
      <c r="DH47" s="184">
        <f ca="1">DG47-DF47</f>
        <v>5</v>
      </c>
      <c r="DI47" s="110">
        <f>DO47-$DN$4</f>
        <v>46189</v>
      </c>
      <c r="DJ47" s="247">
        <f>IF(_xlfn.XLOOKUP($E47,'[1]Import Eletra'!$B:$B,'[1]Import Eletra'!$BH:$BH,,0,1)=0,"",_xlfn.XLOOKUP($E47,'[1]Import Eletra'!$B:$B,'[1]Import Eletra'!$BH:$BH,0,1))</f>
        <v>46196</v>
      </c>
      <c r="DK47" s="112">
        <f>$DI$4</f>
        <v>1</v>
      </c>
      <c r="DL47" s="112">
        <f ca="1">IF(DJ47="",TODAY()-DI47,DJ47-DI47)</f>
        <v>7</v>
      </c>
      <c r="DM47" s="184">
        <f ca="1">DL47-DK47</f>
        <v>6</v>
      </c>
      <c r="DN47" s="64"/>
      <c r="DO47" s="202">
        <f>N47+DT47</f>
        <v>46190</v>
      </c>
      <c r="DP47" s="298">
        <f>IF(_xlfn.XLOOKUP($E47,'[1]Import Eletra'!$B:$B,'[1]Import Eletra'!$O:$O,,0,1)=0,"",_xlfn.XLOOKUP($E47,'[1]Import Eletra'!$B:$B,'[1]Import Eletra'!$O:$O,0,1))</f>
        <v>46196</v>
      </c>
      <c r="DQ47" s="112">
        <f>$DN$4</f>
        <v>1</v>
      </c>
      <c r="DR47" s="112">
        <f ca="1">IF(DP47="",TODAY()-DO47,DP47-DO47)</f>
        <v>6</v>
      </c>
      <c r="DS47" s="184">
        <f ca="1">DR47-DQ47</f>
        <v>5</v>
      </c>
      <c r="DT47" s="143">
        <v>10</v>
      </c>
      <c r="DU47" s="140">
        <f ca="1">IF(DP47="",TODAY()-N47,DP47-N47)</f>
        <v>16</v>
      </c>
      <c r="DV47" s="184">
        <f ca="1">DU47-DT47</f>
        <v>6</v>
      </c>
      <c r="DX47" s="425" t="s">
        <v>245</v>
      </c>
      <c r="DY47" s="108" t="str">
        <f>IF(_xlfn.XLOOKUP($E47,'[1]Import Eletra'!$B:$B,'[1]Import Eletra'!$DW:$DW,,0,1)=0,"",_xlfn.XLOOKUP($E47,'[1]Import Eletra'!$B:$B,'[1]Import Eletra'!$DW:$DW,0,1))</f>
        <v/>
      </c>
      <c r="EB47" s="287" t="s">
        <v>273</v>
      </c>
      <c r="ED47" s="409">
        <f>IF(_xlfn.XLOOKUP($E47,'[1]Import Eletra'!$B:$B,'[1]Import Eletra'!$BQ:$BQ,,0,1)=0,"",_xlfn.XLOOKUP($E47,'[1]Import Eletra'!$B:$B,'[1]Import Eletra'!$BQ:$BQ,0,1))</f>
        <v>2454.87</v>
      </c>
      <c r="EE47" s="410">
        <f>IF(_xlfn.XLOOKUP($E47,'[1]Import Eletra'!$B:$B,'[1]Import Eletra'!$BR:$BR,,0,1)=0,"",_xlfn.XLOOKUP($E47,'[1]Import Eletra'!$B:$B,'[1]Import Eletra'!$BR:$BR,0,1))</f>
        <v>46191</v>
      </c>
      <c r="EF47" s="409" t="str">
        <f>IF(_xlfn.XLOOKUP($E47,'[1]Import Eletra'!$B:$B,'[1]Import Eletra'!$BS:$BS,,0,1)=0,"",_xlfn.XLOOKUP($E47,'[1]Import Eletra'!$B:$B,'[1]Import Eletra'!$BS:$BS,0,1))</f>
        <v/>
      </c>
      <c r="EG47" s="410" t="str">
        <f>IF(_xlfn.XLOOKUP($E47,'[1]Import Eletra'!$B:$B,'[1]Import Eletra'!$BT:$BT,,0,1)=0,"",_xlfn.XLOOKUP($E47,'[1]Import Eletra'!$B:$B,'[1]Import Eletra'!$BT:$BT,0,1))</f>
        <v/>
      </c>
      <c r="EH47" s="409" t="str">
        <f>IF(_xlfn.XLOOKUP($E47,'[1]Import Eletra'!$B:$B,'[1]Import Eletra'!$BU:$BU,,0,1)=0,"",_xlfn.XLOOKUP($E47,'[1]Import Eletra'!$B:$B,'[1]Import Eletra'!$BU:$BU,0,1))</f>
        <v/>
      </c>
      <c r="EI47" s="410" t="str">
        <f>IF(_xlfn.XLOOKUP($E47,'[1]Import Eletra'!$B:$B,'[1]Import Eletra'!$BV:$BV,,0,1)=0,"",_xlfn.XLOOKUP($E47,'[1]Import Eletra'!$B:$B,'[1]Import Eletra'!$BV:$BV,0,1))</f>
        <v/>
      </c>
      <c r="EJ47" s="410">
        <f>IF(_xlfn.XLOOKUP($E47,'[1]Import Eletra'!$B:$B,'[1]Import Eletra'!$CI:$CI,,0,1)=0,"",_xlfn.XLOOKUP($E47,'[1]Import Eletra'!$B:$B,'[1]Import Eletra'!$CI:$CI,0,1))</f>
        <v>46198</v>
      </c>
      <c r="EK47" s="410" t="str">
        <f>IF(_xlfn.XLOOKUP($E47,'[1]Import Eletra'!$B:$B,'[1]Import Eletra'!$CD:$CD,,0,1)=0,"",_xlfn.XLOOKUP($E47,'[1]Import Eletra'!$B:$B,'[1]Import Eletra'!$CD:$CD,0,1))</f>
        <v/>
      </c>
      <c r="EL47" s="410" t="str">
        <f>IF(_xlfn.XLOOKUP($E47,'[1]Import Eletra'!$B:$B,'[1]Import Eletra'!$CE:$CE,,0,1)=0,"",_xlfn.XLOOKUP($E47,'[1]Import Eletra'!$B:$B,'[1]Import Eletra'!$CE:$CE,0,1))</f>
        <v>NÃO</v>
      </c>
      <c r="EM47" s="411" t="str">
        <f>IF(_xlfn.XLOOKUP($E47,'[1]Import Eletra'!$B:$B,'[1]Import Eletra'!$E:$E,,0,1)=0,"",_xlfn.XLOOKUP($E47,'[1]Import Eletra'!$B:$B,'[1]Import Eletra'!$E:$E,0,1))</f>
        <v>LEISIANE</v>
      </c>
      <c r="EN47" s="408" t="str">
        <f>IF(_xlfn.XLOOKUP($E47,'[1]Import Eletra'!$B:$B,'[1]Import Eletra'!$R:$R,,0,1)=0,"",_xlfn.XLOOKUP($E47,'[1]Import Eletra'!$B:$B,'[1]Import Eletra'!$R:$R,0,1))</f>
        <v>PWBR260065-10A</v>
      </c>
      <c r="EO47" s="408" t="str">
        <f>IF(_xlfn.XLOOKUP($E47,'[1]Import Eletra'!$B:$B,'[1]Import Eletra'!$P:$P,,0,1)=0,"",_xlfn.XLOOKUP($E47,'[1]Import Eletra'!$B:$B,'[1]Import Eletra'!$P:$P,0,1))</f>
        <v>SDBLBS596923</v>
      </c>
      <c r="EP47" s="408" t="str">
        <f>IF(_xlfn.XLOOKUP($E47,'[1]Import Eletra'!$B:$B,'[1]Import Eletra'!$T:$T,,0,1)=0,"",_xlfn.XLOOKUP($E47,'[1]Import Eletra'!$B:$B,'[1]Import Eletra'!$T:$T,0,1))</f>
        <v>MSBU8197080, MSDU7422918, TXGU5312165</v>
      </c>
    </row>
    <row r="48" spans="2:146" ht="30" customHeight="1">
      <c r="B48" s="371" t="s">
        <v>336</v>
      </c>
      <c r="C48" s="369"/>
      <c r="D48" s="104" t="str">
        <f>IF(_xlfn.XLOOKUP($E48,'[1]Import Eletra'!$B:$B,'[1]Import Eletra'!$A:$A,,0,1)=0,"",_xlfn.XLOOKUP($E48,'[1]Import Eletra'!$B:$B,'[1]Import Eletra'!$A:$A,,0,1))</f>
        <v>JUL_2026</v>
      </c>
      <c r="E48" s="323" t="s">
        <v>297</v>
      </c>
      <c r="F48" s="106">
        <f>IF(_xlfn.XLOOKUP($E48,'[1]Import Eletra'!$B:$B,'[1]Import Eletra'!$U:$U,,0,1)=0,"",_xlfn.XLOOKUP($E48,'[1]Import Eletra'!$B:$B,'[1]Import Eletra'!$U:$U,,0,1))</f>
        <v>3</v>
      </c>
      <c r="G48" s="301" t="s">
        <v>244</v>
      </c>
      <c r="H48" s="2" t="str">
        <f>_xlfn.XLOOKUP($E48,'[1]Import Eletra'!$B:$B,'[1]Import Eletra'!$F:$F,,0,1)</f>
        <v>DELIVERED</v>
      </c>
      <c r="I48" s="108" t="str">
        <f>_xlfn.XLOOKUP($E48,'[1]Import Eletra'!$B:$B,'[1]Import Eletra'!$G:$G,,0,1)</f>
        <v>SEA</v>
      </c>
      <c r="J48" s="326">
        <v>46121</v>
      </c>
      <c r="K48" s="109">
        <v>30</v>
      </c>
      <c r="L48" s="109">
        <f>M48-J48</f>
        <v>12</v>
      </c>
      <c r="M48" s="326">
        <f>IF(_xlfn.XLOOKUP($E48,'[1]Import Eletra'!$B:$B,'[1]Import Eletra'!$J:$J,,0,1)=0,"",_xlfn.XLOOKUP($E48,'[1]Import Eletra'!$B:$B,'[1]Import Eletra'!$J:$J,,0,1))</f>
        <v>46133</v>
      </c>
      <c r="N48" s="332">
        <f>IF(_xlfn.XLOOKUP($E48,'[1]Import Eletra'!$B:$B,'[1]Import Eletra'!$L:$L,,0,1)=0,"",_xlfn.XLOOKUP($E48,'[1]Import Eletra'!$B:$B,'[1]Import Eletra'!$L:$L,,0,1))</f>
        <v>46180</v>
      </c>
      <c r="O48" s="374">
        <f>IF(_xlfn.XLOOKUP($E48,'[1]Import Eletra'!$B:$B,'[1]Import Eletra'!$AK:$AK,,0,1)=0,"",_xlfn.XLOOKUP($E48,'[1]Import Eletra'!$B:$B,'[1]Import Eletra'!$AK:$AK,,0,1))</f>
        <v>46175</v>
      </c>
      <c r="P48" s="326">
        <f>IF(_xlfn.XLOOKUP($E48,'[1]Import Eletra'!$B:$B,'[1]Import Eletra'!$AL:$AL,,0,1)=0,"",_xlfn.XLOOKUP($E48,'[1]Import Eletra'!$B:$B,'[1]Import Eletra'!$AL:$AL,,0,1))</f>
        <v>46176</v>
      </c>
      <c r="Q48" s="326">
        <f>IF(_xlfn.XLOOKUP($E48,'[1]Import Eletra'!$B:$B,'[1]Import Eletra'!$AM:$AM,,0,1)=0,"",_xlfn.XLOOKUP($E48,'[1]Import Eletra'!$B:$B,'[1]Import Eletra'!$AM:$AM,,0,1))</f>
        <v>46178</v>
      </c>
      <c r="R48" s="326">
        <f>IF(_xlfn.XLOOKUP($E48,'[1]Import Eletra'!$B:$B,'[1]Import Eletra'!$AN:$AN,,0,1)=0,"",_xlfn.XLOOKUP($E48,'[1]Import Eletra'!$B:$B,'[1]Import Eletra'!$AN:$AN,,0,1))</f>
        <v>46178</v>
      </c>
      <c r="S48" s="326">
        <f>IF(_xlfn.XLOOKUP($E48,'[1]Import Eletra'!$B:$B,'[1]Import Eletra'!$AO:$AO,,0,1)=0,"",_xlfn.XLOOKUP($E48,'[1]Import Eletra'!$B:$B,'[1]Import Eletra'!$AO:$AO,,0,1))</f>
        <v>46178</v>
      </c>
      <c r="T48" s="326">
        <f>IF(_xlfn.XLOOKUP($E48,'[1]Import Eletra'!$B:$B,'[1]Import Eletra'!$AP:$AP,,0,1)=0,"",_xlfn.XLOOKUP($E48,'[1]Import Eletra'!$B:$B,'[1]Import Eletra'!$AP:$AP,,0,1))</f>
        <v>46178</v>
      </c>
      <c r="U48" s="326">
        <f>IF(_xlfn.XLOOKUP($E48,'[1]Import Eletra'!$B:$B,'[1]Import Eletra'!$AQ:$AQ,,0,1)=0,"",_xlfn.XLOOKUP($E48,'[1]Import Eletra'!$B:$B,'[1]Import Eletra'!$AQ:$AQ,,0,1))</f>
        <v>46178</v>
      </c>
      <c r="V48" s="339">
        <f>IF(_xlfn.XLOOKUP($E48,'[1]Import Eletra'!$B:$B,'[1]Import Eletra'!$AR:$AR,,0,1)=0,"",_xlfn.XLOOKUP($E48,'[1]Import Eletra'!$B:$B,'[1]Import Eletra'!$AR:$AR,,0,1))</f>
        <v>46183</v>
      </c>
      <c r="W48" s="335">
        <f>AB48-$AB$5</f>
        <v>46181</v>
      </c>
      <c r="X48" s="332">
        <f>IF(_xlfn.XLOOKUP($E48,'[1]Import Eletra'!$B:$B,'[1]Import Eletra'!$AS:$AS,,0,1)=0,"",_xlfn.XLOOKUP($E48,'[1]Import Eletra'!$B:$B,'[1]Import Eletra'!$AS:$AS,,0,1))</f>
        <v>46183</v>
      </c>
      <c r="Y48" s="113">
        <f>$W$4</f>
        <v>0</v>
      </c>
      <c r="Z48" s="113">
        <f ca="1">IF(X48="",TODAY()-W48,X48-W48)</f>
        <v>2</v>
      </c>
      <c r="AA48" s="184">
        <f ca="1">Z48-Y48</f>
        <v>2</v>
      </c>
      <c r="AB48" s="348">
        <f>AG48-$AB$5</f>
        <v>46182</v>
      </c>
      <c r="AC48" s="332">
        <f>IF(_xlfn.XLOOKUP($E48,'[1]Import Eletra'!$B:$B,'[1]Import Eletra'!$AD:$AD,,0,1)=0,"",_xlfn.XLOOKUP($E48,'[1]Import Eletra'!$B:$B,'[1]Import Eletra'!$AD:$AD,,0,1))</f>
        <v>46183</v>
      </c>
      <c r="AD48" s="113">
        <f>$AB$4</f>
        <v>0</v>
      </c>
      <c r="AE48" s="113">
        <f ca="1">IF(AC48="",TODAY()-AB48,AC48-AB48)</f>
        <v>1</v>
      </c>
      <c r="AF48" s="184">
        <f ca="1">AE48-AD48</f>
        <v>1</v>
      </c>
      <c r="AG48" s="355">
        <f>AL48-$AL$5</f>
        <v>46183</v>
      </c>
      <c r="AH48" s="332">
        <f>IF(_xlfn.XLOOKUP($E48,'[1]Import Eletra'!$B:$B,'[1]Import Eletra'!$AE:$AE,,0,1)=0,"",_xlfn.XLOOKUP($E48,'[1]Import Eletra'!$B:$B,'[1]Import Eletra'!$AE:$AE,,0,1))</f>
        <v>46183</v>
      </c>
      <c r="AI48" s="113">
        <f>$AG$4</f>
        <v>0</v>
      </c>
      <c r="AJ48" s="113">
        <f ca="1">IF(AH48="",TODAY()-AG48,AH48-AG48)</f>
        <v>0</v>
      </c>
      <c r="AK48" s="184">
        <f ca="1">AJ48-AI48</f>
        <v>0</v>
      </c>
      <c r="AL48" s="355">
        <f>AQ48-$AQ$5</f>
        <v>46183</v>
      </c>
      <c r="AM48" s="332">
        <f>IF(_xlfn.XLOOKUP($E48,'[1]Import Eletra'!$B:$B,'[1]Import Eletra'!$AT:$AT,,0,1)=0,"",_xlfn.XLOOKUP($E48,'[1]Import Eletra'!$B:$B,'[1]Import Eletra'!$AT:$AT,,0,1))</f>
        <v>46183</v>
      </c>
      <c r="AN48" s="113">
        <f>$AL$4</f>
        <v>0</v>
      </c>
      <c r="AO48" s="113">
        <f ca="1">IF(AM48="",TODAY()-AL48,AM48-AL48)</f>
        <v>0</v>
      </c>
      <c r="AP48" s="184">
        <f ca="1">AO48-AN48</f>
        <v>0</v>
      </c>
      <c r="AQ48" s="357">
        <f>AV48-$AV$5</f>
        <v>46184</v>
      </c>
      <c r="AR48" s="332">
        <f>IF(_xlfn.XLOOKUP($E48,'[1]Import Eletra'!$B:$B,'[1]Import Eletra'!$AU:$AU,,0,1)=0,"",_xlfn.XLOOKUP($E48,'[1]Import Eletra'!$B:$B,'[1]Import Eletra'!$AU:$AU,,0,1))</f>
        <v>46183</v>
      </c>
      <c r="AS48" s="113">
        <f>$AQ$4</f>
        <v>1</v>
      </c>
      <c r="AT48" s="113">
        <f ca="1">IF(AR48="",TODAY()-AQ48,AR48-AQ48)</f>
        <v>-1</v>
      </c>
      <c r="AU48" s="184">
        <f ca="1">AT48-AS48</f>
        <v>-2</v>
      </c>
      <c r="AV48" s="355">
        <f>BA48-$BA$5</f>
        <v>46184</v>
      </c>
      <c r="AW48" s="332" t="str">
        <f>IF(_xlfn.XLOOKUP($E48,'[1]Import Eletra'!$B:$B,'[1]Import Eletra'!$AV:$AV,,0,1)=0,"",_xlfn.XLOOKUP($E48,'[1]Import Eletra'!$B:$B,'[1]Import Eletra'!$AV:$AV,,0,1))</f>
        <v/>
      </c>
      <c r="AX48" s="113">
        <f>$AV$4</f>
        <v>0</v>
      </c>
      <c r="AY48" s="113">
        <f ca="1">IF(AW48="",TODAY()-AV48,AW48-AV48)</f>
        <v>27</v>
      </c>
      <c r="AZ48" s="184">
        <f ca="1">AY48-AX48</f>
        <v>27</v>
      </c>
      <c r="BA48" s="357">
        <f>BF48-$BF$5</f>
        <v>46184</v>
      </c>
      <c r="BB48" s="332" t="str">
        <f>IF(_xlfn.XLOOKUP($E48,'[1]Import Eletra'!$B:$B,'[1]Import Eletra'!$AW:$AW,,0,1)=0,"",_xlfn.XLOOKUP($E48,'[1]Import Eletra'!$B:$B,'[1]Import Eletra'!$AW:$AW,,0,1))</f>
        <v/>
      </c>
      <c r="BC48" s="113">
        <f>$BA$4</f>
        <v>0</v>
      </c>
      <c r="BD48" s="113">
        <f ca="1">IF(BB48="",TODAY()-BA48,BB48-BA48)</f>
        <v>27</v>
      </c>
      <c r="BE48" s="184">
        <f ca="1">BD48-BC48</f>
        <v>27</v>
      </c>
      <c r="BF48" s="335">
        <f>BK48-$BK$5</f>
        <v>46184</v>
      </c>
      <c r="BG48" s="332" t="str">
        <f>IF(_xlfn.XLOOKUP($E48,'[1]Import Eletra'!$B:$B,'[1]Import Eletra'!$AX:$AX,,0,1)=0,"",_xlfn.XLOOKUP($E48,'[1]Import Eletra'!$B:$B,'[1]Import Eletra'!$AX:$AX,,0,1))</f>
        <v/>
      </c>
      <c r="BH48" s="113">
        <f>$BF$4</f>
        <v>0</v>
      </c>
      <c r="BI48" s="113">
        <f ca="1">IF(BG48="",TODAY()-BF48,BG48-BF48)</f>
        <v>27</v>
      </c>
      <c r="BJ48" s="184">
        <f ca="1">BI48-BH48</f>
        <v>27</v>
      </c>
      <c r="BK48" s="362">
        <f>BP48-$BP$5</f>
        <v>46184</v>
      </c>
      <c r="BL48" s="332" t="str">
        <f>IF(_xlfn.XLOOKUP($E48,'[1]Import Eletra'!$B:$B,'[1]Import Eletra'!$AY:$AY,,0,1)=0,"",_xlfn.XLOOKUP($E48,'[1]Import Eletra'!$B:$B,'[1]Import Eletra'!$AY:$AY,,0,1))</f>
        <v/>
      </c>
      <c r="BM48" s="113">
        <f>$BK$4</f>
        <v>0</v>
      </c>
      <c r="BN48" s="113">
        <f ca="1">IF(BL48="",TODAY()-BK48,BL48-BK48)</f>
        <v>27</v>
      </c>
      <c r="BO48" s="184">
        <f ca="1">BN48-BM48</f>
        <v>27</v>
      </c>
      <c r="BP48" s="335">
        <f>BU48-$BU$5</f>
        <v>46184</v>
      </c>
      <c r="BQ48" s="332" t="str">
        <f>IF(_xlfn.XLOOKUP($E48,'[1]Import Eletra'!$B:$B,'[1]Import Eletra'!$AZ:$AZ,,0,1)=0,"",_xlfn.XLOOKUP($E48,'[1]Import Eletra'!$B:$B,'[1]Import Eletra'!$AZ:$AZ,,0,1))</f>
        <v/>
      </c>
      <c r="BR48" s="113">
        <f>$BP$4</f>
        <v>0</v>
      </c>
      <c r="BS48" s="113">
        <f ca="1">IF(BQ48="",TODAY()-BP48,BQ48-BP48)</f>
        <v>27</v>
      </c>
      <c r="BT48" s="184">
        <f ca="1">BS48-BR48</f>
        <v>27</v>
      </c>
      <c r="BU48" s="362">
        <f>BZ48-$BZ$4</f>
        <v>46186</v>
      </c>
      <c r="BV48" s="332">
        <f>IF(_xlfn.XLOOKUP($E48,'[1]Import Eletra'!$B:$B,'[1]Import Eletra'!$BA:$BA,,0,1)=0,"",_xlfn.XLOOKUP($E48,'[1]Import Eletra'!$B:$B,'[1]Import Eletra'!$BA:$BA,,0,1))</f>
        <v>46185</v>
      </c>
      <c r="BW48" s="113">
        <f>$BU$4</f>
        <v>2</v>
      </c>
      <c r="BX48" s="113">
        <f ca="1">IF(BV48="",TODAY()-BU48,BV48-BU48)</f>
        <v>-1</v>
      </c>
      <c r="BY48" s="184">
        <f ca="1">BX48-BW48</f>
        <v>-3</v>
      </c>
      <c r="BZ48" s="335">
        <f>CE48-$CE$5</f>
        <v>46186</v>
      </c>
      <c r="CA48" s="332">
        <f>IF(_xlfn.XLOOKUP($E48,'[1]Import Eletra'!$B:$B,'[1]Import Eletra'!$BB:$BB,,0,1)=0,"",_xlfn.XLOOKUP($E48,'[1]Import Eletra'!$B:$B,'[1]Import Eletra'!$BB:$BB,,0,1))</f>
        <v>46185</v>
      </c>
      <c r="CB48" s="113">
        <f>$BZ$4</f>
        <v>0</v>
      </c>
      <c r="CC48" s="113">
        <f ca="1">IF(CA48="",TODAY()-BZ48,CA48-BZ48)</f>
        <v>-1</v>
      </c>
      <c r="CD48" s="184">
        <f ca="1">CC48-CB48</f>
        <v>-1</v>
      </c>
      <c r="CE48" s="362">
        <f>CJ48-$CJ$4</f>
        <v>46186</v>
      </c>
      <c r="CF48" s="332">
        <f>IF(_xlfn.XLOOKUP($E48,'[1]Import Eletra'!$B:$B,'[1]Import Eletra'!$BC:$BC,,0,1)=0,"",_xlfn.XLOOKUP($E48,'[1]Import Eletra'!$B:$B,'[1]Import Eletra'!$BC:$BC,,0,1))</f>
        <v>46185</v>
      </c>
      <c r="CG48" s="113">
        <f>$CE$4</f>
        <v>0</v>
      </c>
      <c r="CH48" s="113">
        <f ca="1">IF(CF48="",TODAY()-CE48,CF48-CE48)</f>
        <v>-1</v>
      </c>
      <c r="CI48" s="184">
        <f ca="1">CH48-CG48</f>
        <v>-1</v>
      </c>
      <c r="CJ48" s="335">
        <f>CO48-$CO$4</f>
        <v>46186</v>
      </c>
      <c r="CK48" s="332">
        <f>IF(_xlfn.XLOOKUP($E48,'[1]Import Eletra'!$B:$B,'[1]Import Eletra'!$BD:$BD,,0,1)=0,"",_xlfn.XLOOKUP($E48,'[1]Import Eletra'!$B:$B,'[1]Import Eletra'!$BD:$BD,,0,1))</f>
        <v>46183</v>
      </c>
      <c r="CL48" s="113"/>
      <c r="CM48" s="113">
        <f ca="1">IF(CK48="",TODAY()-CJ48,CK48-CJ48)</f>
        <v>-3</v>
      </c>
      <c r="CN48" s="184">
        <f ca="1">CM48-CL48</f>
        <v>-3</v>
      </c>
      <c r="CO48" s="362">
        <f>CT48-$CT$4</f>
        <v>46186</v>
      </c>
      <c r="CP48" s="332">
        <f>IF(_xlfn.XLOOKUP($E48,'[1]Import Eletra'!$B:$B,'[1]Import Eletra'!$BE:$BE,,0,1)=0,"",_xlfn.XLOOKUP($E48,'[1]Import Eletra'!$B:$B,'[1]Import Eletra'!$BE:$BE,,0,1))</f>
        <v>46183</v>
      </c>
      <c r="CQ48" s="113">
        <f>$CO$4</f>
        <v>0</v>
      </c>
      <c r="CR48" s="113">
        <f ca="1">IF(CP48="",TODAY()-CO48,CP48-CO48)</f>
        <v>-3</v>
      </c>
      <c r="CS48" s="184">
        <f ca="1">CR48-CQ48</f>
        <v>-3</v>
      </c>
      <c r="CT48" s="335">
        <f>CY48-$CY$4</f>
        <v>46186</v>
      </c>
      <c r="CU48" s="332">
        <f>IF(_xlfn.XLOOKUP($E48,'[1]Import Eletra'!$B:$B,'[1]Import Eletra'!$BF:$BF,,0,1)=0,"",_xlfn.XLOOKUP($E48,'[1]Import Eletra'!$B:$B,'[1]Import Eletra'!$BF:$BF,,0,1))</f>
        <v>46183</v>
      </c>
      <c r="CV48" s="113">
        <f>$CT$4</f>
        <v>0</v>
      </c>
      <c r="CW48" s="113">
        <f ca="1">IF(CU48="",TODAY()-CT48,CU48-CT48)</f>
        <v>-3</v>
      </c>
      <c r="CX48" s="184">
        <f ca="1">CW48-CV48</f>
        <v>-3</v>
      </c>
      <c r="CY48" s="110">
        <f>DD48-$DD$4</f>
        <v>46186</v>
      </c>
      <c r="CZ48" s="247">
        <f>IF(_xlfn.XLOOKUP($E48,'[1]Import Eletra'!$B:$B,'[1]Import Eletra'!$BF:$BF,,0,1)=0,"",_xlfn.XLOOKUP($E48,'[1]Import Eletra'!$B:$B,'[1]Import Eletra'!$BF:$BF,,0,1))</f>
        <v>46183</v>
      </c>
      <c r="DA48" s="210">
        <f>$CY$4</f>
        <v>0</v>
      </c>
      <c r="DB48" s="113">
        <f ca="1">IF(CZ48="",TODAY()-CY48,CZ48-CY48)</f>
        <v>-3</v>
      </c>
      <c r="DC48" s="184">
        <f ca="1">DB48-DA48</f>
        <v>-3</v>
      </c>
      <c r="DD48" s="110">
        <f>DI48-$DI$4</f>
        <v>46188</v>
      </c>
      <c r="DE48" s="247">
        <f>IF(_xlfn.XLOOKUP($E48,'[1]Import Eletra'!$B:$B,'[1]Import Eletra'!$BG:$BG,,0,1)=0,"",_xlfn.XLOOKUP($E48,'[1]Import Eletra'!$B:$B,'[1]Import Eletra'!$BG:$BG,0,1))</f>
        <v>46185</v>
      </c>
      <c r="DF48" s="113">
        <f>$DD$4</f>
        <v>2</v>
      </c>
      <c r="DG48" s="113">
        <f ca="1">IF(DE48="",TODAY()-DD48,DE48-DD48)</f>
        <v>-3</v>
      </c>
      <c r="DH48" s="184">
        <f ca="1">DG48-DF48</f>
        <v>-5</v>
      </c>
      <c r="DI48" s="110">
        <f>DO48-$DN$4</f>
        <v>46189</v>
      </c>
      <c r="DJ48" s="247">
        <f>IF(_xlfn.XLOOKUP($E48,'[1]Import Eletra'!$B:$B,'[1]Import Eletra'!$BH:$BH,,0,1)=0,"",_xlfn.XLOOKUP($E48,'[1]Import Eletra'!$B:$B,'[1]Import Eletra'!$BH:$BH,0,1))</f>
        <v>46189</v>
      </c>
      <c r="DK48" s="112">
        <f>$DI$4</f>
        <v>1</v>
      </c>
      <c r="DL48" s="112">
        <f ca="1">IF(DJ48="",TODAY()-DI48,DJ48-DI48)</f>
        <v>0</v>
      </c>
      <c r="DM48" s="184">
        <f ca="1">DL48-DK48</f>
        <v>-1</v>
      </c>
      <c r="DN48" s="64"/>
      <c r="DO48" s="202">
        <f>N48+DT48</f>
        <v>46190</v>
      </c>
      <c r="DP48" s="298">
        <f>IF(_xlfn.XLOOKUP($E48,'[1]Import Eletra'!$B:$B,'[1]Import Eletra'!$O:$O,,0,1)=0,"",_xlfn.XLOOKUP($E48,'[1]Import Eletra'!$B:$B,'[1]Import Eletra'!$O:$O,0,1))</f>
        <v>46189</v>
      </c>
      <c r="DQ48" s="112">
        <f>$DN$4</f>
        <v>1</v>
      </c>
      <c r="DR48" s="112">
        <f ca="1">IF(DP48="",TODAY()-DO48,DP48-DO48)</f>
        <v>-1</v>
      </c>
      <c r="DS48" s="184">
        <f ca="1">DR48-DQ48</f>
        <v>-2</v>
      </c>
      <c r="DT48" s="143">
        <v>10</v>
      </c>
      <c r="DU48" s="140">
        <f ca="1">IF(DP48="",TODAY()-N48,DP48-N48)</f>
        <v>9</v>
      </c>
      <c r="DV48" s="184">
        <f ca="1">DU48-DT48</f>
        <v>-1</v>
      </c>
      <c r="DX48" s="185" t="s">
        <v>245</v>
      </c>
      <c r="DY48" s="108" t="str">
        <f>IF(_xlfn.XLOOKUP($E48,'[1]Import Eletra'!$B:$B,'[1]Import Eletra'!$DW:$DW,,0,1)=0,"",_xlfn.XLOOKUP($E48,'[1]Import Eletra'!$B:$B,'[1]Import Eletra'!$DW:$DW,0,1))</f>
        <v/>
      </c>
      <c r="EB48" s="287" t="s">
        <v>273</v>
      </c>
      <c r="ED48" s="409" t="str">
        <f>IF(_xlfn.XLOOKUP($E48,'[1]Import Eletra'!$B:$B,'[1]Import Eletra'!$BQ:$BQ,,0,1)=0,"",_xlfn.XLOOKUP($E48,'[1]Import Eletra'!$B:$B,'[1]Import Eletra'!$BQ:$BQ,0,1))</f>
        <v/>
      </c>
      <c r="EE48" s="410" t="str">
        <f>IF(_xlfn.XLOOKUP($E48,'[1]Import Eletra'!$B:$B,'[1]Import Eletra'!$BR:$BR,,0,1)=0,"",_xlfn.XLOOKUP($E48,'[1]Import Eletra'!$B:$B,'[1]Import Eletra'!$BR:$BR,0,1))</f>
        <v/>
      </c>
      <c r="EF48" s="409" t="str">
        <f>IF(_xlfn.XLOOKUP($E48,'[1]Import Eletra'!$B:$B,'[1]Import Eletra'!$BS:$BS,,0,1)=0,"",_xlfn.XLOOKUP($E48,'[1]Import Eletra'!$B:$B,'[1]Import Eletra'!$BS:$BS,0,1))</f>
        <v/>
      </c>
      <c r="EG48" s="410" t="str">
        <f>IF(_xlfn.XLOOKUP($E48,'[1]Import Eletra'!$B:$B,'[1]Import Eletra'!$BT:$BT,,0,1)=0,"",_xlfn.XLOOKUP($E48,'[1]Import Eletra'!$B:$B,'[1]Import Eletra'!$BT:$BT,0,1))</f>
        <v/>
      </c>
      <c r="EH48" s="409" t="str">
        <f>IF(_xlfn.XLOOKUP($E48,'[1]Import Eletra'!$B:$B,'[1]Import Eletra'!$BU:$BU,,0,1)=0,"",_xlfn.XLOOKUP($E48,'[1]Import Eletra'!$B:$B,'[1]Import Eletra'!$BU:$BU,0,1))</f>
        <v/>
      </c>
      <c r="EI48" s="410" t="str">
        <f>IF(_xlfn.XLOOKUP($E48,'[1]Import Eletra'!$B:$B,'[1]Import Eletra'!$BV:$BV,,0,1)=0,"",_xlfn.XLOOKUP($E48,'[1]Import Eletra'!$B:$B,'[1]Import Eletra'!$BV:$BV,0,1))</f>
        <v/>
      </c>
      <c r="EJ48" s="410">
        <f>IF(_xlfn.XLOOKUP($E48,'[1]Import Eletra'!$B:$B,'[1]Import Eletra'!$CI:$CI,,0,1)=0,"",_xlfn.XLOOKUP($E48,'[1]Import Eletra'!$B:$B,'[1]Import Eletra'!$CI:$CI,0,1))</f>
        <v>46198</v>
      </c>
      <c r="EK48" s="410" t="str">
        <f>IF(_xlfn.XLOOKUP($E48,'[1]Import Eletra'!$B:$B,'[1]Import Eletra'!$CD:$CD,,0,1)=0,"",_xlfn.XLOOKUP($E48,'[1]Import Eletra'!$B:$B,'[1]Import Eletra'!$CD:$CD,0,1))</f>
        <v/>
      </c>
      <c r="EL48" s="410" t="str">
        <f>IF(_xlfn.XLOOKUP($E48,'[1]Import Eletra'!$B:$B,'[1]Import Eletra'!$CE:$CE,,0,1)=0,"",_xlfn.XLOOKUP($E48,'[1]Import Eletra'!$B:$B,'[1]Import Eletra'!$CE:$CE,0,1))</f>
        <v>NÃO</v>
      </c>
      <c r="EM48" s="411" t="str">
        <f>IF(_xlfn.XLOOKUP($E48,'[1]Import Eletra'!$B:$B,'[1]Import Eletra'!$E:$E,,0,1)=0,"",_xlfn.XLOOKUP($E48,'[1]Import Eletra'!$B:$B,'[1]Import Eletra'!$E:$E,0,1))</f>
        <v>LEISIANE</v>
      </c>
      <c r="EN48" s="408" t="str">
        <f>IF(_xlfn.XLOOKUP($E48,'[1]Import Eletra'!$B:$B,'[1]Import Eletra'!$R:$R,,0,1)=0,"",_xlfn.XLOOKUP($E48,'[1]Import Eletra'!$B:$B,'[1]Import Eletra'!$R:$R,0,1))</f>
        <v>PWBR260065-10B</v>
      </c>
      <c r="EO48" s="408" t="str">
        <f>IF(_xlfn.XLOOKUP($E48,'[1]Import Eletra'!$B:$B,'[1]Import Eletra'!$P:$P,,0,1)=0,"",_xlfn.XLOOKUP($E48,'[1]Import Eletra'!$B:$B,'[1]Import Eletra'!$P:$P,0,1))</f>
        <v>SDBLBS596924</v>
      </c>
      <c r="EP48" s="408" t="str">
        <f>IF(_xlfn.XLOOKUP($E48,'[1]Import Eletra'!$B:$B,'[1]Import Eletra'!$T:$T,,0,1)=0,"",_xlfn.XLOOKUP($E48,'[1]Import Eletra'!$B:$B,'[1]Import Eletra'!$T:$T,0,1))</f>
        <v>FFAU4025566, MSMU5655861, TGHU6135422</v>
      </c>
    </row>
    <row r="49" spans="2:146" ht="30" customHeight="1">
      <c r="B49" s="371" t="s">
        <v>352</v>
      </c>
      <c r="C49" s="369">
        <v>11</v>
      </c>
      <c r="D49" s="104" t="str">
        <f>IF(_xlfn.XLOOKUP($E49,'[1]Import Eletra'!$B:$B,'[1]Import Eletra'!$A:$A,,0,1)=0,"",_xlfn.XLOOKUP($E49,'[1]Import Eletra'!$B:$B,'[1]Import Eletra'!$A:$A,,0,1))</f>
        <v>JUL_2026</v>
      </c>
      <c r="E49" s="373" t="s">
        <v>298</v>
      </c>
      <c r="F49" s="106">
        <f>IF(_xlfn.XLOOKUP($E49,'[1]Import Eletra'!$B:$B,'[1]Import Eletra'!$U:$U,,0,1)=0,"",_xlfn.XLOOKUP($E49,'[1]Import Eletra'!$B:$B,'[1]Import Eletra'!$U:$U,,0,1))</f>
        <v>3</v>
      </c>
      <c r="G49" s="301" t="s">
        <v>244</v>
      </c>
      <c r="H49" s="2" t="str">
        <f>_xlfn.XLOOKUP($E49,'[1]Import Eletra'!$B:$B,'[1]Import Eletra'!$F:$F,,0,1)</f>
        <v>DELIVERED</v>
      </c>
      <c r="I49" s="108" t="str">
        <f>_xlfn.XLOOKUP($E49,'[1]Import Eletra'!$B:$B,'[1]Import Eletra'!$G:$G,,0,1)</f>
        <v>SEA</v>
      </c>
      <c r="J49" s="326">
        <v>46121</v>
      </c>
      <c r="K49" s="109">
        <v>30</v>
      </c>
      <c r="L49" s="109">
        <f>M49-J49</f>
        <v>12</v>
      </c>
      <c r="M49" s="326">
        <f>IF(_xlfn.XLOOKUP($E49,'[1]Import Eletra'!$B:$B,'[1]Import Eletra'!$J:$J,,0,1)=0,"",_xlfn.XLOOKUP($E49,'[1]Import Eletra'!$B:$B,'[1]Import Eletra'!$J:$J,,0,1))</f>
        <v>46133</v>
      </c>
      <c r="N49" s="332">
        <f>IF(_xlfn.XLOOKUP($E49,'[1]Import Eletra'!$B:$B,'[1]Import Eletra'!$L:$L,,0,1)=0,"",_xlfn.XLOOKUP($E49,'[1]Import Eletra'!$B:$B,'[1]Import Eletra'!$L:$L,,0,1))</f>
        <v>46180</v>
      </c>
      <c r="O49" s="374">
        <f>IF(_xlfn.XLOOKUP($E49,'[1]Import Eletra'!$B:$B,'[1]Import Eletra'!$AK:$AK,,0,1)=0,"",_xlfn.XLOOKUP($E49,'[1]Import Eletra'!$B:$B,'[1]Import Eletra'!$AK:$AK,,0,1))</f>
        <v>46175</v>
      </c>
      <c r="P49" s="326">
        <f>IF(_xlfn.XLOOKUP($E49,'[1]Import Eletra'!$B:$B,'[1]Import Eletra'!$AL:$AL,,0,1)=0,"",_xlfn.XLOOKUP($E49,'[1]Import Eletra'!$B:$B,'[1]Import Eletra'!$AL:$AL,,0,1))</f>
        <v>46176</v>
      </c>
      <c r="Q49" s="326">
        <f>IF(_xlfn.XLOOKUP($E49,'[1]Import Eletra'!$B:$B,'[1]Import Eletra'!$AM:$AM,,0,1)=0,"",_xlfn.XLOOKUP($E49,'[1]Import Eletra'!$B:$B,'[1]Import Eletra'!$AM:$AM,,0,1))</f>
        <v>46178</v>
      </c>
      <c r="R49" s="326">
        <f>IF(_xlfn.XLOOKUP($E49,'[1]Import Eletra'!$B:$B,'[1]Import Eletra'!$AN:$AN,,0,1)=0,"",_xlfn.XLOOKUP($E49,'[1]Import Eletra'!$B:$B,'[1]Import Eletra'!$AN:$AN,,0,1))</f>
        <v>46181</v>
      </c>
      <c r="S49" s="326">
        <f>IF(_xlfn.XLOOKUP($E49,'[1]Import Eletra'!$B:$B,'[1]Import Eletra'!$AO:$AO,,0,1)=0,"",_xlfn.XLOOKUP($E49,'[1]Import Eletra'!$B:$B,'[1]Import Eletra'!$AO:$AO,,0,1))</f>
        <v>46181</v>
      </c>
      <c r="T49" s="326">
        <f>IF(_xlfn.XLOOKUP($E49,'[1]Import Eletra'!$B:$B,'[1]Import Eletra'!$AP:$AP,,0,1)=0,"",_xlfn.XLOOKUP($E49,'[1]Import Eletra'!$B:$B,'[1]Import Eletra'!$AP:$AP,,0,1))</f>
        <v>46181</v>
      </c>
      <c r="U49" s="326">
        <f>IF(_xlfn.XLOOKUP($E49,'[1]Import Eletra'!$B:$B,'[1]Import Eletra'!$AQ:$AQ,,0,1)=0,"",_xlfn.XLOOKUP($E49,'[1]Import Eletra'!$B:$B,'[1]Import Eletra'!$AQ:$AQ,,0,1))</f>
        <v>46182</v>
      </c>
      <c r="V49" s="339">
        <f>IF(_xlfn.XLOOKUP($E49,'[1]Import Eletra'!$B:$B,'[1]Import Eletra'!$AR:$AR,,0,1)=0,"",_xlfn.XLOOKUP($E49,'[1]Import Eletra'!$B:$B,'[1]Import Eletra'!$AR:$AR,,0,1))</f>
        <v>46182</v>
      </c>
      <c r="W49" s="335">
        <f>AB49-$AB$5</f>
        <v>46181</v>
      </c>
      <c r="X49" s="332">
        <f>IF(_xlfn.XLOOKUP($E49,'[1]Import Eletra'!$B:$B,'[1]Import Eletra'!$AS:$AS,,0,1)=0,"",_xlfn.XLOOKUP($E49,'[1]Import Eletra'!$B:$B,'[1]Import Eletra'!$AS:$AS,,0,1))</f>
        <v>46182</v>
      </c>
      <c r="Y49" s="113">
        <f>$W$4</f>
        <v>0</v>
      </c>
      <c r="Z49" s="113">
        <f ca="1">IF(X49="",TODAY()-W49,X49-W49)</f>
        <v>1</v>
      </c>
      <c r="AA49" s="184">
        <f ca="1">Z49-Y49</f>
        <v>1</v>
      </c>
      <c r="AB49" s="348">
        <f>AG49-$AB$5</f>
        <v>46182</v>
      </c>
      <c r="AC49" s="332">
        <f>IF(_xlfn.XLOOKUP($E49,'[1]Import Eletra'!$B:$B,'[1]Import Eletra'!$AD:$AD,,0,1)=0,"",_xlfn.XLOOKUP($E49,'[1]Import Eletra'!$B:$B,'[1]Import Eletra'!$AD:$AD,,0,1))</f>
        <v>46183</v>
      </c>
      <c r="AD49" s="113">
        <f>$AB$4</f>
        <v>0</v>
      </c>
      <c r="AE49" s="113">
        <f ca="1">IF(AC49="",TODAY()-AB49,AC49-AB49)</f>
        <v>1</v>
      </c>
      <c r="AF49" s="184">
        <f ca="1">AE49-AD49</f>
        <v>1</v>
      </c>
      <c r="AG49" s="355">
        <f>AL49-$AL$5</f>
        <v>46183</v>
      </c>
      <c r="AH49" s="332">
        <f>IF(_xlfn.XLOOKUP($E49,'[1]Import Eletra'!$B:$B,'[1]Import Eletra'!$AE:$AE,,0,1)=0,"",_xlfn.XLOOKUP($E49,'[1]Import Eletra'!$B:$B,'[1]Import Eletra'!$AE:$AE,,0,1))</f>
        <v>46183</v>
      </c>
      <c r="AI49" s="113">
        <f>$AG$4</f>
        <v>0</v>
      </c>
      <c r="AJ49" s="113">
        <f ca="1">IF(AH49="",TODAY()-AG49,AH49-AG49)</f>
        <v>0</v>
      </c>
      <c r="AK49" s="184">
        <f ca="1">AJ49-AI49</f>
        <v>0</v>
      </c>
      <c r="AL49" s="355">
        <f>AQ49-$AQ$5</f>
        <v>46183</v>
      </c>
      <c r="AM49" s="332">
        <f>IF(_xlfn.XLOOKUP($E49,'[1]Import Eletra'!$B:$B,'[1]Import Eletra'!$AT:$AT,,0,1)=0,"",_xlfn.XLOOKUP($E49,'[1]Import Eletra'!$B:$B,'[1]Import Eletra'!$AT:$AT,,0,1))</f>
        <v>46183</v>
      </c>
      <c r="AN49" s="113">
        <f>$AL$4</f>
        <v>0</v>
      </c>
      <c r="AO49" s="113">
        <f ca="1">IF(AM49="",TODAY()-AL49,AM49-AL49)</f>
        <v>0</v>
      </c>
      <c r="AP49" s="184">
        <f ca="1">AO49-AN49</f>
        <v>0</v>
      </c>
      <c r="AQ49" s="357">
        <f>AV49-$AV$5</f>
        <v>46184</v>
      </c>
      <c r="AR49" s="332">
        <f>IF(_xlfn.XLOOKUP($E49,'[1]Import Eletra'!$B:$B,'[1]Import Eletra'!$AU:$AU,,0,1)=0,"",_xlfn.XLOOKUP($E49,'[1]Import Eletra'!$B:$B,'[1]Import Eletra'!$AU:$AU,,0,1))</f>
        <v>46183</v>
      </c>
      <c r="AS49" s="113">
        <f>$AQ$4</f>
        <v>1</v>
      </c>
      <c r="AT49" s="113">
        <f ca="1">IF(AR49="",TODAY()-AQ49,AR49-AQ49)</f>
        <v>-1</v>
      </c>
      <c r="AU49" s="184">
        <f ca="1">AT49-AS49</f>
        <v>-2</v>
      </c>
      <c r="AV49" s="355">
        <f>BA49-$BA$5</f>
        <v>46184</v>
      </c>
      <c r="AW49" s="332" t="str">
        <f>IF(_xlfn.XLOOKUP($E49,'[1]Import Eletra'!$B:$B,'[1]Import Eletra'!$AV:$AV,,0,1)=0,"",_xlfn.XLOOKUP($E49,'[1]Import Eletra'!$B:$B,'[1]Import Eletra'!$AV:$AV,,0,1))</f>
        <v/>
      </c>
      <c r="AX49" s="113">
        <f>$AV$4</f>
        <v>0</v>
      </c>
      <c r="AY49" s="113">
        <f ca="1">IF(AW49="",TODAY()-AV49,AW49-AV49)</f>
        <v>27</v>
      </c>
      <c r="AZ49" s="184">
        <f ca="1">AY49-AX49</f>
        <v>27</v>
      </c>
      <c r="BA49" s="357">
        <f>BF49-$BF$5</f>
        <v>46184</v>
      </c>
      <c r="BB49" s="332" t="str">
        <f>IF(_xlfn.XLOOKUP($E49,'[1]Import Eletra'!$B:$B,'[1]Import Eletra'!$AW:$AW,,0,1)=0,"",_xlfn.XLOOKUP($E49,'[1]Import Eletra'!$B:$B,'[1]Import Eletra'!$AW:$AW,,0,1))</f>
        <v/>
      </c>
      <c r="BC49" s="113">
        <f>$BA$4</f>
        <v>0</v>
      </c>
      <c r="BD49" s="113">
        <f ca="1">IF(BB49="",TODAY()-BA49,BB49-BA49)</f>
        <v>27</v>
      </c>
      <c r="BE49" s="184">
        <f ca="1">BD49-BC49</f>
        <v>27</v>
      </c>
      <c r="BF49" s="335">
        <f>BK49-$BK$5</f>
        <v>46184</v>
      </c>
      <c r="BG49" s="332" t="str">
        <f>IF(_xlfn.XLOOKUP($E49,'[1]Import Eletra'!$B:$B,'[1]Import Eletra'!$AX:$AX,,0,1)=0,"",_xlfn.XLOOKUP($E49,'[1]Import Eletra'!$B:$B,'[1]Import Eletra'!$AX:$AX,,0,1))</f>
        <v/>
      </c>
      <c r="BH49" s="113">
        <f>$BF$4</f>
        <v>0</v>
      </c>
      <c r="BI49" s="113">
        <f ca="1">IF(BG49="",TODAY()-BF49,BG49-BF49)</f>
        <v>27</v>
      </c>
      <c r="BJ49" s="184">
        <f ca="1">BI49-BH49</f>
        <v>27</v>
      </c>
      <c r="BK49" s="362">
        <f>BP49-$BP$5</f>
        <v>46184</v>
      </c>
      <c r="BL49" s="332" t="str">
        <f>IF(_xlfn.XLOOKUP($E49,'[1]Import Eletra'!$B:$B,'[1]Import Eletra'!$AY:$AY,,0,1)=0,"",_xlfn.XLOOKUP($E49,'[1]Import Eletra'!$B:$B,'[1]Import Eletra'!$AY:$AY,,0,1))</f>
        <v/>
      </c>
      <c r="BM49" s="113">
        <f>$BK$4</f>
        <v>0</v>
      </c>
      <c r="BN49" s="113">
        <f ca="1">IF(BL49="",TODAY()-BK49,BL49-BK49)</f>
        <v>27</v>
      </c>
      <c r="BO49" s="184">
        <f ca="1">BN49-BM49</f>
        <v>27</v>
      </c>
      <c r="BP49" s="335">
        <f>BU49-$BU$5</f>
        <v>46184</v>
      </c>
      <c r="BQ49" s="332" t="str">
        <f>IF(_xlfn.XLOOKUP($E49,'[1]Import Eletra'!$B:$B,'[1]Import Eletra'!$AZ:$AZ,,0,1)=0,"",_xlfn.XLOOKUP($E49,'[1]Import Eletra'!$B:$B,'[1]Import Eletra'!$AZ:$AZ,,0,1))</f>
        <v/>
      </c>
      <c r="BR49" s="113">
        <f>$BP$4</f>
        <v>0</v>
      </c>
      <c r="BS49" s="113">
        <f ca="1">IF(BQ49="",TODAY()-BP49,BQ49-BP49)</f>
        <v>27</v>
      </c>
      <c r="BT49" s="184">
        <f ca="1">BS49-BR49</f>
        <v>27</v>
      </c>
      <c r="BU49" s="362">
        <f>BZ49-$BZ$4</f>
        <v>46186</v>
      </c>
      <c r="BV49" s="332">
        <f>IF(_xlfn.XLOOKUP($E49,'[1]Import Eletra'!$B:$B,'[1]Import Eletra'!$BA:$BA,,0,1)=0,"",_xlfn.XLOOKUP($E49,'[1]Import Eletra'!$B:$B,'[1]Import Eletra'!$BA:$BA,,0,1))</f>
        <v>46185</v>
      </c>
      <c r="BW49" s="113">
        <f>$BU$4</f>
        <v>2</v>
      </c>
      <c r="BX49" s="113">
        <f ca="1">IF(BV49="",TODAY()-BU49,BV49-BU49)</f>
        <v>-1</v>
      </c>
      <c r="BY49" s="184">
        <f ca="1">BX49-BW49</f>
        <v>-3</v>
      </c>
      <c r="BZ49" s="335">
        <f>CE49-$CE$5</f>
        <v>46186</v>
      </c>
      <c r="CA49" s="332">
        <f>IF(_xlfn.XLOOKUP($E49,'[1]Import Eletra'!$B:$B,'[1]Import Eletra'!$BB:$BB,,0,1)=0,"",_xlfn.XLOOKUP($E49,'[1]Import Eletra'!$B:$B,'[1]Import Eletra'!$BB:$BB,,0,1))</f>
        <v>46185</v>
      </c>
      <c r="CB49" s="113">
        <f>$BZ$4</f>
        <v>0</v>
      </c>
      <c r="CC49" s="113">
        <f ca="1">IF(CA49="",TODAY()-BZ49,CA49-BZ49)</f>
        <v>-1</v>
      </c>
      <c r="CD49" s="184">
        <f ca="1">CC49-CB49</f>
        <v>-1</v>
      </c>
      <c r="CE49" s="362">
        <f>CJ49-$CJ$4</f>
        <v>46186</v>
      </c>
      <c r="CF49" s="332">
        <f>IF(_xlfn.XLOOKUP($E49,'[1]Import Eletra'!$B:$B,'[1]Import Eletra'!$BC:$BC,,0,1)=0,"",_xlfn.XLOOKUP($E49,'[1]Import Eletra'!$B:$B,'[1]Import Eletra'!$BC:$BC,,0,1))</f>
        <v>46185</v>
      </c>
      <c r="CG49" s="113">
        <f>$CE$4</f>
        <v>0</v>
      </c>
      <c r="CH49" s="113">
        <f ca="1">IF(CF49="",TODAY()-CE49,CF49-CE49)</f>
        <v>-1</v>
      </c>
      <c r="CI49" s="184">
        <f ca="1">CH49-CG49</f>
        <v>-1</v>
      </c>
      <c r="CJ49" s="335">
        <f>CO49-$CO$4</f>
        <v>46186</v>
      </c>
      <c r="CK49" s="332">
        <f>IF(_xlfn.XLOOKUP($E49,'[1]Import Eletra'!$B:$B,'[1]Import Eletra'!$BD:$BD,,0,1)=0,"",_xlfn.XLOOKUP($E49,'[1]Import Eletra'!$B:$B,'[1]Import Eletra'!$BD:$BD,,0,1))</f>
        <v>46183</v>
      </c>
      <c r="CL49" s="113"/>
      <c r="CM49" s="113">
        <f ca="1">IF(CK49="",TODAY()-CJ49,CK49-CJ49)</f>
        <v>-3</v>
      </c>
      <c r="CN49" s="184">
        <f ca="1">CM49-CL49</f>
        <v>-3</v>
      </c>
      <c r="CO49" s="362">
        <f>CT49-$CT$4</f>
        <v>46186</v>
      </c>
      <c r="CP49" s="332">
        <f>IF(_xlfn.XLOOKUP($E49,'[1]Import Eletra'!$B:$B,'[1]Import Eletra'!$BE:$BE,,0,1)=0,"",_xlfn.XLOOKUP($E49,'[1]Import Eletra'!$B:$B,'[1]Import Eletra'!$BE:$BE,,0,1))</f>
        <v>46183</v>
      </c>
      <c r="CQ49" s="113">
        <f>$CO$4</f>
        <v>0</v>
      </c>
      <c r="CR49" s="113">
        <f ca="1">IF(CP49="",TODAY()-CO49,CP49-CO49)</f>
        <v>-3</v>
      </c>
      <c r="CS49" s="184">
        <f ca="1">CR49-CQ49</f>
        <v>-3</v>
      </c>
      <c r="CT49" s="335">
        <f>CY49-$CY$4</f>
        <v>46186</v>
      </c>
      <c r="CU49" s="332">
        <f>IF(_xlfn.XLOOKUP($E49,'[1]Import Eletra'!$B:$B,'[1]Import Eletra'!$BF:$BF,,0,1)=0,"",_xlfn.XLOOKUP($E49,'[1]Import Eletra'!$B:$B,'[1]Import Eletra'!$BF:$BF,,0,1))</f>
        <v>46183</v>
      </c>
      <c r="CV49" s="113">
        <f>$CT$4</f>
        <v>0</v>
      </c>
      <c r="CW49" s="113">
        <f ca="1">IF(CU49="",TODAY()-CT49,CU49-CT49)</f>
        <v>-3</v>
      </c>
      <c r="CX49" s="184">
        <f ca="1">CW49-CV49</f>
        <v>-3</v>
      </c>
      <c r="CY49" s="110">
        <f>DD49-$DD$4</f>
        <v>46186</v>
      </c>
      <c r="CZ49" s="247">
        <f>IF(_xlfn.XLOOKUP($E49,'[1]Import Eletra'!$B:$B,'[1]Import Eletra'!$BF:$BF,,0,1)=0,"",_xlfn.XLOOKUP($E49,'[1]Import Eletra'!$B:$B,'[1]Import Eletra'!$BF:$BF,,0,1))</f>
        <v>46183</v>
      </c>
      <c r="DA49" s="210">
        <f>$CY$4</f>
        <v>0</v>
      </c>
      <c r="DB49" s="113">
        <f ca="1">IF(CZ49="",TODAY()-CY49,CZ49-CY49)</f>
        <v>-3</v>
      </c>
      <c r="DC49" s="184">
        <f ca="1">DB49-DA49</f>
        <v>-3</v>
      </c>
      <c r="DD49" s="110">
        <f>DI49-$DI$4</f>
        <v>46188</v>
      </c>
      <c r="DE49" s="247">
        <f>IF(_xlfn.XLOOKUP($E49,'[1]Import Eletra'!$B:$B,'[1]Import Eletra'!$BG:$BG,,0,1)=0,"",_xlfn.XLOOKUP($E49,'[1]Import Eletra'!$B:$B,'[1]Import Eletra'!$BG:$BG,0,1))</f>
        <v>46185</v>
      </c>
      <c r="DF49" s="113">
        <f>$DD$4</f>
        <v>2</v>
      </c>
      <c r="DG49" s="113">
        <f ca="1">IF(DE49="",TODAY()-DD49,DE49-DD49)</f>
        <v>-3</v>
      </c>
      <c r="DH49" s="184">
        <f ca="1">DG49-DF49</f>
        <v>-5</v>
      </c>
      <c r="DI49" s="110">
        <f>DO49-$DN$4</f>
        <v>46189</v>
      </c>
      <c r="DJ49" s="247">
        <f>IF(_xlfn.XLOOKUP($E49,'[1]Import Eletra'!$B:$B,'[1]Import Eletra'!$BH:$BH,,0,1)=0,"",_xlfn.XLOOKUP($E49,'[1]Import Eletra'!$B:$B,'[1]Import Eletra'!$BH:$BH,0,1))</f>
        <v>46189</v>
      </c>
      <c r="DK49" s="112">
        <f>$DI$4</f>
        <v>1</v>
      </c>
      <c r="DL49" s="112">
        <f ca="1">IF(DJ49="",TODAY()-DI49,DJ49-DI49)</f>
        <v>0</v>
      </c>
      <c r="DM49" s="184">
        <f ca="1">DL49-DK49</f>
        <v>-1</v>
      </c>
      <c r="DN49" s="64"/>
      <c r="DO49" s="202">
        <f>N49+DT49</f>
        <v>46190</v>
      </c>
      <c r="DP49" s="298">
        <f>IF(_xlfn.XLOOKUP($E49,'[1]Import Eletra'!$B:$B,'[1]Import Eletra'!$O:$O,,0,1)=0,"",_xlfn.XLOOKUP($E49,'[1]Import Eletra'!$B:$B,'[1]Import Eletra'!$O:$O,0,1))</f>
        <v>46189</v>
      </c>
      <c r="DQ49" s="112">
        <f>$DN$4</f>
        <v>1</v>
      </c>
      <c r="DR49" s="112">
        <f ca="1">IF(DP49="",TODAY()-DO49,DP49-DO49)</f>
        <v>-1</v>
      </c>
      <c r="DS49" s="184">
        <f ca="1">DR49-DQ49</f>
        <v>-2</v>
      </c>
      <c r="DT49" s="143">
        <v>10</v>
      </c>
      <c r="DU49" s="140">
        <f ca="1">IF(DP49="",TODAY()-N49,DP49-N49)</f>
        <v>9</v>
      </c>
      <c r="DV49" s="184">
        <f ca="1">DU49-DT49</f>
        <v>-1</v>
      </c>
      <c r="DX49" s="185" t="s">
        <v>245</v>
      </c>
      <c r="DY49" s="108" t="str">
        <f>IF(_xlfn.XLOOKUP($E49,'[1]Import Eletra'!$B:$B,'[1]Import Eletra'!$DW:$DW,,0,1)=0,"",_xlfn.XLOOKUP($E49,'[1]Import Eletra'!$B:$B,'[1]Import Eletra'!$DW:$DW,0,1))</f>
        <v/>
      </c>
      <c r="EB49" s="287" t="s">
        <v>273</v>
      </c>
      <c r="ED49" s="409" t="str">
        <f>IF(_xlfn.XLOOKUP($E49,'[1]Import Eletra'!$B:$B,'[1]Import Eletra'!$BQ:$BQ,,0,1)=0,"",_xlfn.XLOOKUP($E49,'[1]Import Eletra'!$B:$B,'[1]Import Eletra'!$BQ:$BQ,0,1))</f>
        <v/>
      </c>
      <c r="EE49" s="410" t="str">
        <f>IF(_xlfn.XLOOKUP($E49,'[1]Import Eletra'!$B:$B,'[1]Import Eletra'!$BR:$BR,,0,1)=0,"",_xlfn.XLOOKUP($E49,'[1]Import Eletra'!$B:$B,'[1]Import Eletra'!$BR:$BR,0,1))</f>
        <v/>
      </c>
      <c r="EF49" s="409" t="str">
        <f>IF(_xlfn.XLOOKUP($E49,'[1]Import Eletra'!$B:$B,'[1]Import Eletra'!$BS:$BS,,0,1)=0,"",_xlfn.XLOOKUP($E49,'[1]Import Eletra'!$B:$B,'[1]Import Eletra'!$BS:$BS,0,1))</f>
        <v/>
      </c>
      <c r="EG49" s="410" t="str">
        <f>IF(_xlfn.XLOOKUP($E49,'[1]Import Eletra'!$B:$B,'[1]Import Eletra'!$BT:$BT,,0,1)=0,"",_xlfn.XLOOKUP($E49,'[1]Import Eletra'!$B:$B,'[1]Import Eletra'!$BT:$BT,0,1))</f>
        <v/>
      </c>
      <c r="EH49" s="409" t="str">
        <f>IF(_xlfn.XLOOKUP($E49,'[1]Import Eletra'!$B:$B,'[1]Import Eletra'!$BU:$BU,,0,1)=0,"",_xlfn.XLOOKUP($E49,'[1]Import Eletra'!$B:$B,'[1]Import Eletra'!$BU:$BU,0,1))</f>
        <v/>
      </c>
      <c r="EI49" s="410" t="str">
        <f>IF(_xlfn.XLOOKUP($E49,'[1]Import Eletra'!$B:$B,'[1]Import Eletra'!$BV:$BV,,0,1)=0,"",_xlfn.XLOOKUP($E49,'[1]Import Eletra'!$B:$B,'[1]Import Eletra'!$BV:$BV,0,1))</f>
        <v/>
      </c>
      <c r="EJ49" s="410">
        <f>IF(_xlfn.XLOOKUP($E49,'[1]Import Eletra'!$B:$B,'[1]Import Eletra'!$CI:$CI,,0,1)=0,"",_xlfn.XLOOKUP($E49,'[1]Import Eletra'!$B:$B,'[1]Import Eletra'!$CI:$CI,0,1))</f>
        <v>46198</v>
      </c>
      <c r="EK49" s="410" t="str">
        <f>IF(_xlfn.XLOOKUP($E49,'[1]Import Eletra'!$B:$B,'[1]Import Eletra'!$CD:$CD,,0,1)=0,"",_xlfn.XLOOKUP($E49,'[1]Import Eletra'!$B:$B,'[1]Import Eletra'!$CD:$CD,0,1))</f>
        <v/>
      </c>
      <c r="EL49" s="410" t="str">
        <f>IF(_xlfn.XLOOKUP($E49,'[1]Import Eletra'!$B:$B,'[1]Import Eletra'!$CE:$CE,,0,1)=0,"",_xlfn.XLOOKUP($E49,'[1]Import Eletra'!$B:$B,'[1]Import Eletra'!$CE:$CE,0,1))</f>
        <v>NÃO</v>
      </c>
      <c r="EM49" s="411" t="str">
        <f>IF(_xlfn.XLOOKUP($E49,'[1]Import Eletra'!$B:$B,'[1]Import Eletra'!$E:$E,,0,1)=0,"",_xlfn.XLOOKUP($E49,'[1]Import Eletra'!$B:$B,'[1]Import Eletra'!$E:$E,0,1))</f>
        <v>LEISIANE</v>
      </c>
      <c r="EN49" s="408" t="str">
        <f>IF(_xlfn.XLOOKUP($E49,'[1]Import Eletra'!$B:$B,'[1]Import Eletra'!$R:$R,,0,1)=0,"",_xlfn.XLOOKUP($E49,'[1]Import Eletra'!$B:$B,'[1]Import Eletra'!$R:$R,0,1))</f>
        <v>PWBR260065-10C</v>
      </c>
      <c r="EO49" s="408" t="str">
        <f>IF(_xlfn.XLOOKUP($E49,'[1]Import Eletra'!$B:$B,'[1]Import Eletra'!$P:$P,,0,1)=0,"",_xlfn.XLOOKUP($E49,'[1]Import Eletra'!$B:$B,'[1]Import Eletra'!$P:$P,0,1))</f>
        <v>SDBLBS596925</v>
      </c>
      <c r="EP49" s="408" t="str">
        <f>IF(_xlfn.XLOOKUP($E49,'[1]Import Eletra'!$B:$B,'[1]Import Eletra'!$T:$T,,0,1)=0,"",_xlfn.XLOOKUP($E49,'[1]Import Eletra'!$B:$B,'[1]Import Eletra'!$T:$T,0,1))</f>
        <v>FDCU0069666, GAOU7873580, MSDU8999571</v>
      </c>
    </row>
    <row r="50" spans="2:146" ht="36" customHeight="1">
      <c r="B50" s="371"/>
      <c r="C50" s="369"/>
      <c r="D50" s="104" t="str">
        <f>IF(_xlfn.XLOOKUP($E50,'[1]Import Eletra'!$B:$B,'[1]Import Eletra'!$A:$A,,0,1)=0,"",_xlfn.XLOOKUP($E50,'[1]Import Eletra'!$B:$B,'[1]Import Eletra'!$A:$A,,0,1))</f>
        <v>JUL_2026</v>
      </c>
      <c r="E50" s="274" t="s">
        <v>300</v>
      </c>
      <c r="F50" s="106">
        <f>IF(_xlfn.XLOOKUP($E50,'[1]Import Eletra'!$B:$B,'[1]Import Eletra'!$U:$U,,0,1)=0,"",_xlfn.XLOOKUP($E50,'[1]Import Eletra'!$B:$B,'[1]Import Eletra'!$U:$U,,0,1))</f>
        <v>2</v>
      </c>
      <c r="G50" s="301" t="s">
        <v>244</v>
      </c>
      <c r="H50" s="2" t="str">
        <f>_xlfn.XLOOKUP($E50,'[1]Import Eletra'!$B:$B,'[1]Import Eletra'!$F:$F,,0,1)</f>
        <v>DELIVERED</v>
      </c>
      <c r="I50" s="108" t="str">
        <f>_xlfn.XLOOKUP($E50,'[1]Import Eletra'!$B:$B,'[1]Import Eletra'!$G:$G,,0,1)</f>
        <v>SEA</v>
      </c>
      <c r="J50" s="326">
        <v>46121</v>
      </c>
      <c r="K50" s="109">
        <v>30</v>
      </c>
      <c r="L50" s="109">
        <f>M50-J50</f>
        <v>16</v>
      </c>
      <c r="M50" s="326">
        <f>IF(_xlfn.XLOOKUP($E50,'[1]Import Eletra'!$B:$B,'[1]Import Eletra'!$J:$J,,0,1)=0,"",_xlfn.XLOOKUP($E50,'[1]Import Eletra'!$B:$B,'[1]Import Eletra'!$J:$J,,0,1))</f>
        <v>46137</v>
      </c>
      <c r="N50" s="332">
        <f>IF(_xlfn.XLOOKUP($E50,'[1]Import Eletra'!$B:$B,'[1]Import Eletra'!$L:$L,,0,1)=0,"",_xlfn.XLOOKUP($E50,'[1]Import Eletra'!$B:$B,'[1]Import Eletra'!$L:$L,,0,1))</f>
        <v>46180</v>
      </c>
      <c r="O50" s="374">
        <f>IF(_xlfn.XLOOKUP($E50,'[1]Import Eletra'!$B:$B,'[1]Import Eletra'!$AK:$AK,,0,1)=0,"",_xlfn.XLOOKUP($E50,'[1]Import Eletra'!$B:$B,'[1]Import Eletra'!$AK:$AK,,0,1))</f>
        <v>46175</v>
      </c>
      <c r="P50" s="326">
        <f>IF(_xlfn.XLOOKUP($E50,'[1]Import Eletra'!$B:$B,'[1]Import Eletra'!$AL:$AL,,0,1)=0,"",_xlfn.XLOOKUP($E50,'[1]Import Eletra'!$B:$B,'[1]Import Eletra'!$AL:$AL,,0,1))</f>
        <v>46178</v>
      </c>
      <c r="Q50" s="326">
        <f>IF(_xlfn.XLOOKUP($E50,'[1]Import Eletra'!$B:$B,'[1]Import Eletra'!$AM:$AM,,0,1)=0,"",_xlfn.XLOOKUP($E50,'[1]Import Eletra'!$B:$B,'[1]Import Eletra'!$AM:$AM,,0,1))</f>
        <v>46181</v>
      </c>
      <c r="R50" s="326">
        <f>IF(_xlfn.XLOOKUP($E50,'[1]Import Eletra'!$B:$B,'[1]Import Eletra'!$AN:$AN,,0,1)=0,"",_xlfn.XLOOKUP($E50,'[1]Import Eletra'!$B:$B,'[1]Import Eletra'!$AN:$AN,,0,1))</f>
        <v>46182</v>
      </c>
      <c r="S50" s="326">
        <f>IF(_xlfn.XLOOKUP($E50,'[1]Import Eletra'!$B:$B,'[1]Import Eletra'!$AO:$AO,,0,1)=0,"",_xlfn.XLOOKUP($E50,'[1]Import Eletra'!$B:$B,'[1]Import Eletra'!$AO:$AO,,0,1))</f>
        <v>46182</v>
      </c>
      <c r="T50" s="326">
        <f>IF(_xlfn.XLOOKUP($E50,'[1]Import Eletra'!$B:$B,'[1]Import Eletra'!$AP:$AP,,0,1)=0,"",_xlfn.XLOOKUP($E50,'[1]Import Eletra'!$B:$B,'[1]Import Eletra'!$AP:$AP,,0,1))</f>
        <v>46182</v>
      </c>
      <c r="U50" s="326">
        <f>IF(_xlfn.XLOOKUP($E50,'[1]Import Eletra'!$B:$B,'[1]Import Eletra'!$AQ:$AQ,,0,1)=0,"",_xlfn.XLOOKUP($E50,'[1]Import Eletra'!$B:$B,'[1]Import Eletra'!$AQ:$AQ,,0,1))</f>
        <v>46183</v>
      </c>
      <c r="V50" s="339">
        <f>IF(_xlfn.XLOOKUP($E50,'[1]Import Eletra'!$B:$B,'[1]Import Eletra'!$AR:$AR,,0,1)=0,"",_xlfn.XLOOKUP($E50,'[1]Import Eletra'!$B:$B,'[1]Import Eletra'!$AR:$AR,,0,1))</f>
        <v>46182</v>
      </c>
      <c r="W50" s="335">
        <f>AB50-$AB$5</f>
        <v>46181</v>
      </c>
      <c r="X50" s="332">
        <f>IF(_xlfn.XLOOKUP($E50,'[1]Import Eletra'!$B:$B,'[1]Import Eletra'!$AS:$AS,,0,1)=0,"",_xlfn.XLOOKUP($E50,'[1]Import Eletra'!$B:$B,'[1]Import Eletra'!$AS:$AS,,0,1))</f>
        <v>46185</v>
      </c>
      <c r="Y50" s="113">
        <f>$W$4</f>
        <v>0</v>
      </c>
      <c r="Z50" s="113">
        <f ca="1">IF(X50="",TODAY()-W50,X50-W50)</f>
        <v>4</v>
      </c>
      <c r="AA50" s="184">
        <f ca="1">Z50-Y50</f>
        <v>4</v>
      </c>
      <c r="AB50" s="348">
        <f>AG50-$AB$5</f>
        <v>46182</v>
      </c>
      <c r="AC50" s="332">
        <f>IF(_xlfn.XLOOKUP($E50,'[1]Import Eletra'!$B:$B,'[1]Import Eletra'!$AD:$AD,,0,1)=0,"",_xlfn.XLOOKUP($E50,'[1]Import Eletra'!$B:$B,'[1]Import Eletra'!$AD:$AD,,0,1))</f>
        <v>46185</v>
      </c>
      <c r="AD50" s="113">
        <f>$AB$4</f>
        <v>0</v>
      </c>
      <c r="AE50" s="113">
        <f ca="1">IF(AC50="",TODAY()-AB50,AC50-AB50)</f>
        <v>3</v>
      </c>
      <c r="AF50" s="184">
        <f ca="1">AE50-AD50</f>
        <v>3</v>
      </c>
      <c r="AG50" s="355">
        <f>AL50-$AL$5</f>
        <v>46183</v>
      </c>
      <c r="AH50" s="332">
        <f>IF(_xlfn.XLOOKUP($E50,'[1]Import Eletra'!$B:$B,'[1]Import Eletra'!$AE:$AE,,0,1)=0,"",_xlfn.XLOOKUP($E50,'[1]Import Eletra'!$B:$B,'[1]Import Eletra'!$AE:$AE,,0,1))</f>
        <v>46203</v>
      </c>
      <c r="AI50" s="113">
        <f>$AG$4</f>
        <v>0</v>
      </c>
      <c r="AJ50" s="113">
        <f ca="1">IF(AH50="",TODAY()-AG50,AH50-AG50)</f>
        <v>20</v>
      </c>
      <c r="AK50" s="184">
        <f ca="1">AJ50-AI50</f>
        <v>20</v>
      </c>
      <c r="AL50" s="355">
        <f>AQ50-$AQ$5</f>
        <v>46183</v>
      </c>
      <c r="AM50" s="332">
        <f>IF(_xlfn.XLOOKUP($E50,'[1]Import Eletra'!$B:$B,'[1]Import Eletra'!$AT:$AT,,0,1)=0,"",_xlfn.XLOOKUP($E50,'[1]Import Eletra'!$B:$B,'[1]Import Eletra'!$AT:$AT,,0,1))</f>
        <v>46185</v>
      </c>
      <c r="AN50" s="113">
        <f>$AL$4</f>
        <v>0</v>
      </c>
      <c r="AO50" s="113">
        <f ca="1">IF(AM50="",TODAY()-AL50,AM50-AL50)</f>
        <v>2</v>
      </c>
      <c r="AP50" s="184">
        <f ca="1">AO50-AN50</f>
        <v>2</v>
      </c>
      <c r="AQ50" s="357">
        <f>AV50-$AV$5</f>
        <v>46184</v>
      </c>
      <c r="AR50" s="345">
        <f>IF(_xlfn.XLOOKUP($E50,'[1]Import Eletra'!$B:$B,'[1]Import Eletra'!$AU:$AU,,0,1)=0,"",_xlfn.XLOOKUP($E50,'[1]Import Eletra'!$B:$B,'[1]Import Eletra'!$AU:$AU,,0,1))</f>
        <v>46188</v>
      </c>
      <c r="AS50" s="113">
        <f>$AQ$4</f>
        <v>1</v>
      </c>
      <c r="AT50" s="113">
        <f ca="1">IF(AR50="",TODAY()-AQ50,AR50-AQ50)</f>
        <v>4</v>
      </c>
      <c r="AU50" s="184">
        <f ca="1">AT50-AS50</f>
        <v>3</v>
      </c>
      <c r="AV50" s="355">
        <f>BA50-$BA$5</f>
        <v>46184</v>
      </c>
      <c r="AW50" s="332" t="str">
        <f>IF(_xlfn.XLOOKUP($E50,'[1]Import Eletra'!$B:$B,'[1]Import Eletra'!$AV:$AV,,0,1)=0,"",_xlfn.XLOOKUP($E50,'[1]Import Eletra'!$B:$B,'[1]Import Eletra'!$AV:$AV,,0,1))</f>
        <v/>
      </c>
      <c r="AX50" s="113">
        <f>$AV$4</f>
        <v>0</v>
      </c>
      <c r="AY50" s="113">
        <f ca="1">IF(AW50="",TODAY()-AV50,AW50-AV50)</f>
        <v>27</v>
      </c>
      <c r="AZ50" s="184">
        <f ca="1">AY50-AX50</f>
        <v>27</v>
      </c>
      <c r="BA50" s="357">
        <f>BF50-$BF$5</f>
        <v>46184</v>
      </c>
      <c r="BB50" s="332" t="str">
        <f>IF(_xlfn.XLOOKUP($E50,'[1]Import Eletra'!$B:$B,'[1]Import Eletra'!$AW:$AW,,0,1)=0,"",_xlfn.XLOOKUP($E50,'[1]Import Eletra'!$B:$B,'[1]Import Eletra'!$AW:$AW,,0,1))</f>
        <v/>
      </c>
      <c r="BC50" s="113">
        <f>$BA$4</f>
        <v>0</v>
      </c>
      <c r="BD50" s="113">
        <f ca="1">IF(BB50="",TODAY()-BA50,BB50-BA50)</f>
        <v>27</v>
      </c>
      <c r="BE50" s="184">
        <f ca="1">BD50-BC50</f>
        <v>27</v>
      </c>
      <c r="BF50" s="335">
        <f>BK50-$BK$5</f>
        <v>46184</v>
      </c>
      <c r="BG50" s="332" t="str">
        <f>IF(_xlfn.XLOOKUP($E50,'[1]Import Eletra'!$B:$B,'[1]Import Eletra'!$AX:$AX,,0,1)=0,"",_xlfn.XLOOKUP($E50,'[1]Import Eletra'!$B:$B,'[1]Import Eletra'!$AX:$AX,,0,1))</f>
        <v/>
      </c>
      <c r="BH50" s="113">
        <f>$BF$4</f>
        <v>0</v>
      </c>
      <c r="BI50" s="113">
        <f ca="1">IF(BG50="",TODAY()-BF50,BG50-BF50)</f>
        <v>27</v>
      </c>
      <c r="BJ50" s="184">
        <f ca="1">BI50-BH50</f>
        <v>27</v>
      </c>
      <c r="BK50" s="362">
        <f>BP50-$BP$5</f>
        <v>46184</v>
      </c>
      <c r="BL50" s="332" t="str">
        <f>IF(_xlfn.XLOOKUP($E50,'[1]Import Eletra'!$B:$B,'[1]Import Eletra'!$AY:$AY,,0,1)=0,"",_xlfn.XLOOKUP($E50,'[1]Import Eletra'!$B:$B,'[1]Import Eletra'!$AY:$AY,,0,1))</f>
        <v/>
      </c>
      <c r="BM50" s="113">
        <f>$BK$4</f>
        <v>0</v>
      </c>
      <c r="BN50" s="113">
        <f ca="1">IF(BL50="",TODAY()-BK50,BL50-BK50)</f>
        <v>27</v>
      </c>
      <c r="BO50" s="184">
        <f ca="1">BN50-BM50</f>
        <v>27</v>
      </c>
      <c r="BP50" s="335">
        <f>BU50-$BU$5</f>
        <v>46184</v>
      </c>
      <c r="BQ50" s="332" t="str">
        <f>IF(_xlfn.XLOOKUP($E50,'[1]Import Eletra'!$B:$B,'[1]Import Eletra'!$AZ:$AZ,,0,1)=0,"",_xlfn.XLOOKUP($E50,'[1]Import Eletra'!$B:$B,'[1]Import Eletra'!$AZ:$AZ,,0,1))</f>
        <v/>
      </c>
      <c r="BR50" s="113">
        <f>$BP$4</f>
        <v>0</v>
      </c>
      <c r="BS50" s="113">
        <f ca="1">IF(BQ50="",TODAY()-BP50,BQ50-BP50)</f>
        <v>27</v>
      </c>
      <c r="BT50" s="184">
        <f ca="1">BS50-BR50</f>
        <v>27</v>
      </c>
      <c r="BU50" s="362">
        <f>BZ50-$BZ$4</f>
        <v>46186</v>
      </c>
      <c r="BV50" s="332">
        <f>IF(_xlfn.XLOOKUP($E50,'[1]Import Eletra'!$B:$B,'[1]Import Eletra'!$BA:$BA,,0,1)=0,"",_xlfn.XLOOKUP($E50,'[1]Import Eletra'!$B:$B,'[1]Import Eletra'!$BA:$BA,,0,1))</f>
        <v>46205</v>
      </c>
      <c r="BW50" s="113">
        <f>$BU$4</f>
        <v>2</v>
      </c>
      <c r="BX50" s="113">
        <f ca="1">IF(BV50="",TODAY()-BU50,BV50-BU50)</f>
        <v>19</v>
      </c>
      <c r="BY50" s="184">
        <f ca="1">BX50-BW50</f>
        <v>17</v>
      </c>
      <c r="BZ50" s="335">
        <f>CE50-$CE$5</f>
        <v>46186</v>
      </c>
      <c r="CA50" s="332">
        <f>IF(_xlfn.XLOOKUP($E50,'[1]Import Eletra'!$B:$B,'[1]Import Eletra'!$BB:$BB,,0,1)=0,"",_xlfn.XLOOKUP($E50,'[1]Import Eletra'!$B:$B,'[1]Import Eletra'!$BB:$BB,,0,1))</f>
        <v>46205</v>
      </c>
      <c r="CB50" s="113">
        <f>$BZ$4</f>
        <v>0</v>
      </c>
      <c r="CC50" s="113">
        <f ca="1">IF(CA50="",TODAY()-BZ50,CA50-BZ50)</f>
        <v>19</v>
      </c>
      <c r="CD50" s="184">
        <f ca="1">CC50-CB50</f>
        <v>19</v>
      </c>
      <c r="CE50" s="362">
        <f>CJ50-$CJ$4</f>
        <v>46186</v>
      </c>
      <c r="CF50" s="332" t="str">
        <f>IF(_xlfn.XLOOKUP($E50,'[1]Import Eletra'!$B:$B,'[1]Import Eletra'!$BC:$BC,,0,1)=0,"",_xlfn.XLOOKUP($E50,'[1]Import Eletra'!$B:$B,'[1]Import Eletra'!$BC:$BC,,0,1))</f>
        <v/>
      </c>
      <c r="CG50" s="113">
        <f>$CE$4</f>
        <v>0</v>
      </c>
      <c r="CH50" s="113">
        <f ca="1">IF(CF50="",TODAY()-CE50,CF50-CE50)</f>
        <v>25</v>
      </c>
      <c r="CI50" s="184">
        <f ca="1">CH50-CG50</f>
        <v>25</v>
      </c>
      <c r="CJ50" s="335">
        <f>CO50-$CO$4</f>
        <v>46186</v>
      </c>
      <c r="CK50" s="332">
        <f>IF(_xlfn.XLOOKUP($E50,'[1]Import Eletra'!$B:$B,'[1]Import Eletra'!$BD:$BD,,0,1)=0,"",_xlfn.XLOOKUP($E50,'[1]Import Eletra'!$B:$B,'[1]Import Eletra'!$BD:$BD,,0,1))</f>
        <v>46203</v>
      </c>
      <c r="CL50" s="113"/>
      <c r="CM50" s="113">
        <f ca="1">IF(CK50="",TODAY()-CJ50,CK50-CJ50)</f>
        <v>17</v>
      </c>
      <c r="CN50" s="184">
        <f ca="1">CM50-CL50</f>
        <v>17</v>
      </c>
      <c r="CO50" s="362">
        <f>CT50-$CT$4</f>
        <v>46186</v>
      </c>
      <c r="CP50" s="332">
        <f>IF(_xlfn.XLOOKUP($E50,'[1]Import Eletra'!$B:$B,'[1]Import Eletra'!$BE:$BE,,0,1)=0,"",_xlfn.XLOOKUP($E50,'[1]Import Eletra'!$B:$B,'[1]Import Eletra'!$BE:$BE,,0,1))</f>
        <v>46203</v>
      </c>
      <c r="CQ50" s="113">
        <f>$CO$4</f>
        <v>0</v>
      </c>
      <c r="CR50" s="113">
        <f ca="1">IF(CP50="",TODAY()-CO50,CP50-CO50)</f>
        <v>17</v>
      </c>
      <c r="CS50" s="184">
        <f ca="1">CR50-CQ50</f>
        <v>17</v>
      </c>
      <c r="CT50" s="335">
        <f>CY50-$CY$4</f>
        <v>46186</v>
      </c>
      <c r="CU50" s="332">
        <f>IF(_xlfn.XLOOKUP($E50,'[1]Import Eletra'!$B:$B,'[1]Import Eletra'!$BF:$BF,,0,1)=0,"",_xlfn.XLOOKUP($E50,'[1]Import Eletra'!$B:$B,'[1]Import Eletra'!$BF:$BF,,0,1))</f>
        <v>46203</v>
      </c>
      <c r="CV50" s="113">
        <f>$CT$4</f>
        <v>0</v>
      </c>
      <c r="CW50" s="113">
        <f ca="1">IF(CU50="",TODAY()-CT50,CU50-CT50)</f>
        <v>17</v>
      </c>
      <c r="CX50" s="184">
        <f ca="1">CW50-CV50</f>
        <v>17</v>
      </c>
      <c r="CY50" s="110">
        <f>DD50-$DD$4</f>
        <v>46186</v>
      </c>
      <c r="CZ50" s="247">
        <f>IF(_xlfn.XLOOKUP($E50,'[1]Import Eletra'!$B:$B,'[1]Import Eletra'!$BF:$BF,,0,1)=0,"",_xlfn.XLOOKUP($E50,'[1]Import Eletra'!$B:$B,'[1]Import Eletra'!$BF:$BF,,0,1))</f>
        <v>46203</v>
      </c>
      <c r="DA50" s="210">
        <f>$CY$4</f>
        <v>0</v>
      </c>
      <c r="DB50" s="113">
        <f ca="1">IF(CZ50="",TODAY()-CY50,CZ50-CY50)</f>
        <v>17</v>
      </c>
      <c r="DC50" s="184">
        <f ca="1">DB50-DA50</f>
        <v>17</v>
      </c>
      <c r="DD50" s="110">
        <f>DI50-$DI$4</f>
        <v>46188</v>
      </c>
      <c r="DE50" s="247">
        <f>IF(_xlfn.XLOOKUP($E50,'[1]Import Eletra'!$B:$B,'[1]Import Eletra'!$BG:$BG,,0,1)=0,"",_xlfn.XLOOKUP($E50,'[1]Import Eletra'!$B:$B,'[1]Import Eletra'!$BG:$BG,0,1))</f>
        <v>46205</v>
      </c>
      <c r="DF50" s="113">
        <f>$DD$4</f>
        <v>2</v>
      </c>
      <c r="DG50" s="113">
        <f ca="1">IF(DE50="",TODAY()-DD50,DE50-DD50)</f>
        <v>17</v>
      </c>
      <c r="DH50" s="184">
        <f ca="1">DG50-DF50</f>
        <v>15</v>
      </c>
      <c r="DI50" s="110">
        <f>DO50-$DN$4</f>
        <v>46189</v>
      </c>
      <c r="DJ50" s="247">
        <f>IF(_xlfn.XLOOKUP($E50,'[1]Import Eletra'!$B:$B,'[1]Import Eletra'!$BH:$BH,,0,1)=0,"",_xlfn.XLOOKUP($E50,'[1]Import Eletra'!$B:$B,'[1]Import Eletra'!$BH:$BH,0,1))</f>
        <v>46206</v>
      </c>
      <c r="DK50" s="112">
        <f>$DI$4</f>
        <v>1</v>
      </c>
      <c r="DL50" s="112">
        <f ca="1">IF(DJ50="",TODAY()-DI50,DJ50-DI50)</f>
        <v>17</v>
      </c>
      <c r="DM50" s="184">
        <f ca="1">DL50-DK50</f>
        <v>16</v>
      </c>
      <c r="DN50" s="64"/>
      <c r="DO50" s="202">
        <f>N50+DT50</f>
        <v>46190</v>
      </c>
      <c r="DP50" s="298">
        <f>IF(_xlfn.XLOOKUP($E50,'[1]Import Eletra'!$B:$B,'[1]Import Eletra'!$O:$O,,0,1)=0,"",_xlfn.XLOOKUP($E50,'[1]Import Eletra'!$B:$B,'[1]Import Eletra'!$O:$O,0,1))</f>
        <v>46206</v>
      </c>
      <c r="DQ50" s="112">
        <f>$DN$4</f>
        <v>1</v>
      </c>
      <c r="DR50" s="112">
        <f ca="1">IF(DP50="",TODAY()-DO50,DP50-DO50)</f>
        <v>16</v>
      </c>
      <c r="DS50" s="184">
        <f ca="1">DR50-DQ50</f>
        <v>15</v>
      </c>
      <c r="DT50" s="143">
        <v>10</v>
      </c>
      <c r="DU50" s="140">
        <f ca="1">IF(DP50="",TODAY()-N50,DP50-N50)</f>
        <v>26</v>
      </c>
      <c r="DV50" s="184">
        <f ca="1">DU50-DT50</f>
        <v>16</v>
      </c>
      <c r="DX50" s="422" t="s">
        <v>245</v>
      </c>
      <c r="DY50" s="108" t="str">
        <f>IF(_xlfn.XLOOKUP($E50,'[1]Import Eletra'!$B:$B,'[1]Import Eletra'!$DW:$DW,,0,1)=0,"",_xlfn.XLOOKUP($E50,'[1]Import Eletra'!$B:$B,'[1]Import Eletra'!$DW:$DW,0,1))</f>
        <v/>
      </c>
      <c r="EB50" s="287" t="s">
        <v>273</v>
      </c>
      <c r="ED50" s="409">
        <f>IF(_xlfn.XLOOKUP($E50,'[1]Import Eletra'!$B:$B,'[1]Import Eletra'!$BQ:$BQ,,0,1)=0,"",_xlfn.XLOOKUP($E50,'[1]Import Eletra'!$B:$B,'[1]Import Eletra'!$BQ:$BQ,0,1))</f>
        <v>3626.4</v>
      </c>
      <c r="EE50" s="410">
        <f>IF(_xlfn.XLOOKUP($E50,'[1]Import Eletra'!$B:$B,'[1]Import Eletra'!$BR:$BR,,0,1)=0,"",_xlfn.XLOOKUP($E50,'[1]Import Eletra'!$B:$B,'[1]Import Eletra'!$BR:$BR,0,1))</f>
        <v>46204</v>
      </c>
      <c r="EF50" s="409" t="str">
        <f>IF(_xlfn.XLOOKUP($E50,'[1]Import Eletra'!$B:$B,'[1]Import Eletra'!$BS:$BS,,0,1)=0,"",_xlfn.XLOOKUP($E50,'[1]Import Eletra'!$B:$B,'[1]Import Eletra'!$BS:$BS,0,1))</f>
        <v/>
      </c>
      <c r="EG50" s="410" t="str">
        <f>IF(_xlfn.XLOOKUP($E50,'[1]Import Eletra'!$B:$B,'[1]Import Eletra'!$BT:$BT,,0,1)=0,"",_xlfn.XLOOKUP($E50,'[1]Import Eletra'!$B:$B,'[1]Import Eletra'!$BT:$BT,0,1))</f>
        <v/>
      </c>
      <c r="EH50" s="409" t="str">
        <f>IF(_xlfn.XLOOKUP($E50,'[1]Import Eletra'!$B:$B,'[1]Import Eletra'!$BU:$BU,,0,1)=0,"",_xlfn.XLOOKUP($E50,'[1]Import Eletra'!$B:$B,'[1]Import Eletra'!$BU:$BU,0,1))</f>
        <v/>
      </c>
      <c r="EI50" s="410" t="str">
        <f>IF(_xlfn.XLOOKUP($E50,'[1]Import Eletra'!$B:$B,'[1]Import Eletra'!$BV:$BV,,0,1)=0,"",_xlfn.XLOOKUP($E50,'[1]Import Eletra'!$B:$B,'[1]Import Eletra'!$BV:$BV,0,1))</f>
        <v/>
      </c>
      <c r="EJ50" s="410">
        <f>IF(_xlfn.XLOOKUP($E50,'[1]Import Eletra'!$B:$B,'[1]Import Eletra'!$CI:$CI,,0,1)=0,"",_xlfn.XLOOKUP($E50,'[1]Import Eletra'!$B:$B,'[1]Import Eletra'!$CI:$CI,0,1))</f>
        <v>46198</v>
      </c>
      <c r="EK50" s="410" t="str">
        <f>IF(_xlfn.XLOOKUP($E50,'[1]Import Eletra'!$B:$B,'[1]Import Eletra'!$CD:$CD,,0,1)=0,"",_xlfn.XLOOKUP($E50,'[1]Import Eletra'!$B:$B,'[1]Import Eletra'!$CD:$CD,0,1))</f>
        <v/>
      </c>
      <c r="EL50" s="410" t="str">
        <f>IF(_xlfn.XLOOKUP($E50,'[1]Import Eletra'!$B:$B,'[1]Import Eletra'!$CE:$CE,,0,1)=0,"",_xlfn.XLOOKUP($E50,'[1]Import Eletra'!$B:$B,'[1]Import Eletra'!$CE:$CE,0,1))</f>
        <v>NÃO</v>
      </c>
      <c r="EM50" s="411" t="str">
        <f>IF(_xlfn.XLOOKUP($E50,'[1]Import Eletra'!$B:$B,'[1]Import Eletra'!$E:$E,,0,1)=0,"",_xlfn.XLOOKUP($E50,'[1]Import Eletra'!$B:$B,'[1]Import Eletra'!$E:$E,0,1))</f>
        <v>LEISIANE</v>
      </c>
      <c r="EN50" s="408" t="str">
        <f>IF(_xlfn.XLOOKUP($E50,'[1]Import Eletra'!$B:$B,'[1]Import Eletra'!$R:$R,,0,1)=0,"",_xlfn.XLOOKUP($E50,'[1]Import Eletra'!$B:$B,'[1]Import Eletra'!$R:$R,0,1))</f>
        <v>PWBR260065-10E</v>
      </c>
      <c r="EO50" s="408" t="str">
        <f>IF(_xlfn.XLOOKUP($E50,'[1]Import Eletra'!$B:$B,'[1]Import Eletra'!$P:$P,,0,1)=0,"",_xlfn.XLOOKUP($E50,'[1]Import Eletra'!$B:$B,'[1]Import Eletra'!$P:$P,0,1))</f>
        <v>SDBLBS596929</v>
      </c>
      <c r="EP50" s="408" t="str">
        <f>IF(_xlfn.XLOOKUP($E50,'[1]Import Eletra'!$B:$B,'[1]Import Eletra'!$T:$T,,0,1)=0,"",_xlfn.XLOOKUP($E50,'[1]Import Eletra'!$B:$B,'[1]Import Eletra'!$T:$T,0,1))</f>
        <v>MSMU5417950, MSMU6803011</v>
      </c>
    </row>
    <row r="51" spans="2:146" ht="30" customHeight="1">
      <c r="B51" s="371" t="s">
        <v>336</v>
      </c>
      <c r="C51" s="369">
        <v>10</v>
      </c>
      <c r="D51" s="104" t="str">
        <f>IF(_xlfn.XLOOKUP($E51,'[1]Import Eletra'!$B:$B,'[1]Import Eletra'!$A:$A,,0,1)=0,"",_xlfn.XLOOKUP($E51,'[1]Import Eletra'!$B:$B,'[1]Import Eletra'!$A:$A,,0,1))</f>
        <v>FEV_2026</v>
      </c>
      <c r="E51" s="322" t="s">
        <v>301</v>
      </c>
      <c r="F51" s="106">
        <f>IF(_xlfn.XLOOKUP($E51,'[1]Import Eletra'!$B:$B,'[1]Import Eletra'!$U:$U,,0,1)=0,"",_xlfn.XLOOKUP($E51,'[1]Import Eletra'!$B:$B,'[1]Import Eletra'!$U:$U,,0,1))</f>
        <v>0.5</v>
      </c>
      <c r="G51" s="301" t="s">
        <v>244</v>
      </c>
      <c r="H51" s="2" t="str">
        <f>_xlfn.XLOOKUP($E51,'[1]Import Eletra'!$B:$B,'[1]Import Eletra'!$F:$F,,0,1)</f>
        <v>DELIVERED</v>
      </c>
      <c r="I51" s="108" t="str">
        <f>_xlfn.XLOOKUP($E51,'[1]Import Eletra'!$B:$B,'[1]Import Eletra'!$G:$G,,0,1)</f>
        <v>SEA</v>
      </c>
      <c r="J51" s="326">
        <f>IF(_xlfn.XLOOKUP($E51,'[1]Import Eletra'!$B:$B,'[1]Import Eletra'!$DX:$DX,,0,1)=0,"",_xlfn.XLOOKUP($E51,'[1]Import Eletra'!$B:$B,'[1]Import Eletra'!$DX:$DX,,0,1))</f>
        <v>46061</v>
      </c>
      <c r="K51" s="109">
        <v>30</v>
      </c>
      <c r="L51" s="109">
        <f>M51-J51</f>
        <v>86</v>
      </c>
      <c r="M51" s="326">
        <f>IF(_xlfn.XLOOKUP($E51,'[1]Import Eletra'!$B:$B,'[1]Import Eletra'!$J:$J,,0,1)=0,"",_xlfn.XLOOKUP($E51,'[1]Import Eletra'!$B:$B,'[1]Import Eletra'!$J:$J,,0,1))</f>
        <v>46147</v>
      </c>
      <c r="N51" s="366">
        <f>IF(_xlfn.XLOOKUP($E51,'[1]Import Eletra'!$B:$B,'[1]Import Eletra'!$L:$L,,0,1)=0,"",_xlfn.XLOOKUP($E51,'[1]Import Eletra'!$B:$B,'[1]Import Eletra'!$L:$L,,0,1))</f>
        <v>46187</v>
      </c>
      <c r="O51" s="374">
        <f>IF(_xlfn.XLOOKUP($E51,'[1]Import Eletra'!$B:$B,'[1]Import Eletra'!$AK:$AK,,0,1)=0,"",_xlfn.XLOOKUP($E51,'[1]Import Eletra'!$B:$B,'[1]Import Eletra'!$AK:$AK,,0,1))</f>
        <v>46176</v>
      </c>
      <c r="P51" s="326">
        <f>IF(_xlfn.XLOOKUP($E51,'[1]Import Eletra'!$B:$B,'[1]Import Eletra'!$AL:$AL,,0,1)=0,"",_xlfn.XLOOKUP($E51,'[1]Import Eletra'!$B:$B,'[1]Import Eletra'!$AL:$AL,,0,1))</f>
        <v>46176</v>
      </c>
      <c r="Q51" s="326">
        <f>IF(_xlfn.XLOOKUP($E51,'[1]Import Eletra'!$B:$B,'[1]Import Eletra'!$AM:$AM,,0,1)=0,"",_xlfn.XLOOKUP($E51,'[1]Import Eletra'!$B:$B,'[1]Import Eletra'!$AM:$AM,,0,1))</f>
        <v>46181</v>
      </c>
      <c r="R51" s="326">
        <f>IF(_xlfn.XLOOKUP($E51,'[1]Import Eletra'!$B:$B,'[1]Import Eletra'!$AN:$AN,,0,1)=0,"",_xlfn.XLOOKUP($E51,'[1]Import Eletra'!$B:$B,'[1]Import Eletra'!$AN:$AN,,0,1))</f>
        <v>46181</v>
      </c>
      <c r="S51" s="326">
        <f>IF(_xlfn.XLOOKUP($E51,'[1]Import Eletra'!$B:$B,'[1]Import Eletra'!$AO:$AO,,0,1)=0,"",_xlfn.XLOOKUP($E51,'[1]Import Eletra'!$B:$B,'[1]Import Eletra'!$AO:$AO,,0,1))</f>
        <v>46190</v>
      </c>
      <c r="T51" s="326">
        <f>IF(_xlfn.XLOOKUP($E51,'[1]Import Eletra'!$B:$B,'[1]Import Eletra'!$AP:$AP,,0,1)=0,"",_xlfn.XLOOKUP($E51,'[1]Import Eletra'!$B:$B,'[1]Import Eletra'!$AP:$AP,,0,1))</f>
        <v>46190</v>
      </c>
      <c r="U51" s="326">
        <f>IF(_xlfn.XLOOKUP($E51,'[1]Import Eletra'!$B:$B,'[1]Import Eletra'!$AQ:$AQ,,0,1)=0,"",_xlfn.XLOOKUP($E51,'[1]Import Eletra'!$B:$B,'[1]Import Eletra'!$AQ:$AQ,,0,1))</f>
        <v>46183</v>
      </c>
      <c r="V51" s="343">
        <f>IF(_xlfn.XLOOKUP($E51,'[1]Import Eletra'!$B:$B,'[1]Import Eletra'!$AR:$AR,,0,1)=0,"",_xlfn.XLOOKUP($E51,'[1]Import Eletra'!$B:$B,'[1]Import Eletra'!$AR:$AR,,0,1))</f>
        <v>46189</v>
      </c>
      <c r="W51" s="335">
        <f>AB51-$AB$5</f>
        <v>46188</v>
      </c>
      <c r="X51" s="332">
        <f>IF(_xlfn.XLOOKUP($E51,'[1]Import Eletra'!$B:$B,'[1]Import Eletra'!$AS:$AS,,0,1)=0,"",_xlfn.XLOOKUP($E51,'[1]Import Eletra'!$B:$B,'[1]Import Eletra'!$AS:$AS,,0,1))</f>
        <v>46192</v>
      </c>
      <c r="Y51" s="113">
        <f>$W$4</f>
        <v>0</v>
      </c>
      <c r="Z51" s="113">
        <f ca="1">IF(X51="",TODAY()-W51,X51-W51)</f>
        <v>4</v>
      </c>
      <c r="AA51" s="184">
        <f ca="1">Z51-Y51</f>
        <v>4</v>
      </c>
      <c r="AB51" s="348">
        <f>AG51-$AB$5</f>
        <v>46189</v>
      </c>
      <c r="AC51" s="332">
        <f>IF(_xlfn.XLOOKUP($E51,'[1]Import Eletra'!$B:$B,'[1]Import Eletra'!$AD:$AD,,0,1)=0,"",_xlfn.XLOOKUP($E51,'[1]Import Eletra'!$B:$B,'[1]Import Eletra'!$AD:$AD,,0,1))</f>
        <v>46192</v>
      </c>
      <c r="AD51" s="113">
        <f>$AB$4</f>
        <v>0</v>
      </c>
      <c r="AE51" s="113">
        <f ca="1">IF(AC51="",TODAY()-AB51,AC51-AB51)</f>
        <v>3</v>
      </c>
      <c r="AF51" s="184">
        <f ca="1">AE51-AD51</f>
        <v>3</v>
      </c>
      <c r="AG51" s="355">
        <f>AL51-$AL$5</f>
        <v>46190</v>
      </c>
      <c r="AH51" s="332">
        <f>IF(_xlfn.XLOOKUP($E51,'[1]Import Eletra'!$B:$B,'[1]Import Eletra'!$AE:$AE,,0,1)=0,"",_xlfn.XLOOKUP($E51,'[1]Import Eletra'!$B:$B,'[1]Import Eletra'!$AE:$AE,,0,1))</f>
        <v>46192</v>
      </c>
      <c r="AI51" s="113">
        <f>$AG$4</f>
        <v>0</v>
      </c>
      <c r="AJ51" s="113">
        <f ca="1">IF(AH51="",TODAY()-AG51,AH51-AG51)</f>
        <v>2</v>
      </c>
      <c r="AK51" s="184">
        <f ca="1">AJ51-AI51</f>
        <v>2</v>
      </c>
      <c r="AL51" s="355">
        <f>AQ51-$AQ$5</f>
        <v>46190</v>
      </c>
      <c r="AM51" s="332">
        <f>IF(_xlfn.XLOOKUP($E51,'[1]Import Eletra'!$B:$B,'[1]Import Eletra'!$AT:$AT,,0,1)=0,"",_xlfn.XLOOKUP($E51,'[1]Import Eletra'!$B:$B,'[1]Import Eletra'!$AT:$AT,,0,1))</f>
        <v>46192</v>
      </c>
      <c r="AN51" s="113">
        <f>$AL$4</f>
        <v>0</v>
      </c>
      <c r="AO51" s="113">
        <f ca="1">IF(AM51="",TODAY()-AL51,AM51-AL51)</f>
        <v>2</v>
      </c>
      <c r="AP51" s="184">
        <f ca="1">AO51-AN51</f>
        <v>2</v>
      </c>
      <c r="AQ51" s="357">
        <f>AV51-$AV$5</f>
        <v>46191</v>
      </c>
      <c r="AR51" s="332">
        <f>IF(_xlfn.XLOOKUP($E51,'[1]Import Eletra'!$B:$B,'[1]Import Eletra'!$AU:$AU,,0,1)=0,"",_xlfn.XLOOKUP($E51,'[1]Import Eletra'!$B:$B,'[1]Import Eletra'!$AU:$AU,,0,1))</f>
        <v>46192</v>
      </c>
      <c r="AS51" s="113">
        <f>$AQ$4</f>
        <v>1</v>
      </c>
      <c r="AT51" s="113">
        <f ca="1">IF(AR51="",TODAY()-AQ51,AR51-AQ51)</f>
        <v>1</v>
      </c>
      <c r="AU51" s="184">
        <f ca="1">AT51-AS51</f>
        <v>0</v>
      </c>
      <c r="AV51" s="355">
        <f>BA51-$BA$5</f>
        <v>46191</v>
      </c>
      <c r="AW51" s="332">
        <f>IF(_xlfn.XLOOKUP($E51,'[1]Import Eletra'!$B:$B,'[1]Import Eletra'!$AV:$AV,,0,1)=0,"",_xlfn.XLOOKUP($E51,'[1]Import Eletra'!$B:$B,'[1]Import Eletra'!$AV:$AV,,0,1))</f>
        <v>46192</v>
      </c>
      <c r="AX51" s="113">
        <f>$AV$4</f>
        <v>0</v>
      </c>
      <c r="AY51" s="113">
        <f ca="1">IF(AW51="",TODAY()-AV51,AW51-AV51)</f>
        <v>1</v>
      </c>
      <c r="AZ51" s="184">
        <f ca="1">AY51-AX51</f>
        <v>1</v>
      </c>
      <c r="BA51" s="357">
        <f>BF51-$BF$5</f>
        <v>46191</v>
      </c>
      <c r="BB51" s="332">
        <f>IF(_xlfn.XLOOKUP($E51,'[1]Import Eletra'!$B:$B,'[1]Import Eletra'!$AW:$AW,,0,1)=0,"",_xlfn.XLOOKUP($E51,'[1]Import Eletra'!$B:$B,'[1]Import Eletra'!$AW:$AW,,0,1))</f>
        <v>46192</v>
      </c>
      <c r="BC51" s="113">
        <f>$BA$4</f>
        <v>0</v>
      </c>
      <c r="BD51" s="113">
        <f ca="1">IF(BB51="",TODAY()-BA51,BB51-BA51)</f>
        <v>1</v>
      </c>
      <c r="BE51" s="184">
        <f ca="1">BD51-BC51</f>
        <v>1</v>
      </c>
      <c r="BF51" s="335">
        <f>BK51-$BK$5</f>
        <v>46191</v>
      </c>
      <c r="BG51" s="332" t="str">
        <f>IF(_xlfn.XLOOKUP($E51,'[1]Import Eletra'!$B:$B,'[1]Import Eletra'!$AX:$AX,,0,1)=0,"",_xlfn.XLOOKUP($E51,'[1]Import Eletra'!$B:$B,'[1]Import Eletra'!$AX:$AX,,0,1))</f>
        <v/>
      </c>
      <c r="BH51" s="113">
        <f>$BF$4</f>
        <v>0</v>
      </c>
      <c r="BI51" s="113">
        <f ca="1">IF(BG51="",TODAY()-BF51,BG51-BF51)</f>
        <v>20</v>
      </c>
      <c r="BJ51" s="184">
        <f ca="1">BI51-BH51</f>
        <v>20</v>
      </c>
      <c r="BK51" s="362">
        <f>BP51-$BP$5</f>
        <v>46191</v>
      </c>
      <c r="BL51" s="332" t="str">
        <f>IF(_xlfn.XLOOKUP($E51,'[1]Import Eletra'!$B:$B,'[1]Import Eletra'!$AY:$AY,,0,1)=0,"",_xlfn.XLOOKUP($E51,'[1]Import Eletra'!$B:$B,'[1]Import Eletra'!$AY:$AY,,0,1))</f>
        <v/>
      </c>
      <c r="BM51" s="113">
        <f>$BK$4</f>
        <v>0</v>
      </c>
      <c r="BN51" s="113">
        <f ca="1">IF(BL51="",TODAY()-BK51,BL51-BK51)</f>
        <v>20</v>
      </c>
      <c r="BO51" s="184">
        <f ca="1">BN51-BM51</f>
        <v>20</v>
      </c>
      <c r="BP51" s="335">
        <f>BU51-$BU$5</f>
        <v>46191</v>
      </c>
      <c r="BQ51" s="332" t="str">
        <f>IF(_xlfn.XLOOKUP($E51,'[1]Import Eletra'!$B:$B,'[1]Import Eletra'!$AZ:$AZ,,0,1)=0,"",_xlfn.XLOOKUP($E51,'[1]Import Eletra'!$B:$B,'[1]Import Eletra'!$AZ:$AZ,,0,1))</f>
        <v/>
      </c>
      <c r="BR51" s="113">
        <f>$BP$4</f>
        <v>0</v>
      </c>
      <c r="BS51" s="113">
        <f ca="1">IF(BQ51="",TODAY()-BP51,BQ51-BP51)</f>
        <v>20</v>
      </c>
      <c r="BT51" s="184">
        <f ca="1">BS51-BR51</f>
        <v>20</v>
      </c>
      <c r="BU51" s="362">
        <f>BZ51-$BZ$4</f>
        <v>46193</v>
      </c>
      <c r="BV51" s="332">
        <f>IF(_xlfn.XLOOKUP($E51,'[1]Import Eletra'!$B:$B,'[1]Import Eletra'!$BA:$BA,,0,1)=0,"",_xlfn.XLOOKUP($E51,'[1]Import Eletra'!$B:$B,'[1]Import Eletra'!$BA:$BA,,0,1))</f>
        <v>46204</v>
      </c>
      <c r="BW51" s="113">
        <f>$BU$4</f>
        <v>2</v>
      </c>
      <c r="BX51" s="113">
        <f ca="1">IF(BV51="",TODAY()-BU51,BV51-BU51)</f>
        <v>11</v>
      </c>
      <c r="BY51" s="184">
        <f ca="1">BX51-BW51</f>
        <v>9</v>
      </c>
      <c r="BZ51" s="335">
        <f>CE51-$CE$5</f>
        <v>46193</v>
      </c>
      <c r="CA51" s="332">
        <f>IF(_xlfn.XLOOKUP($E51,'[1]Import Eletra'!$B:$B,'[1]Import Eletra'!$BB:$BB,,0,1)=0,"",_xlfn.XLOOKUP($E51,'[1]Import Eletra'!$B:$B,'[1]Import Eletra'!$BB:$BB,,0,1))</f>
        <v>46204</v>
      </c>
      <c r="CB51" s="113">
        <f>$BZ$4</f>
        <v>0</v>
      </c>
      <c r="CC51" s="113">
        <f ca="1">IF(CA51="",TODAY()-BZ51,CA51-BZ51)</f>
        <v>11</v>
      </c>
      <c r="CD51" s="184">
        <f ca="1">CC51-CB51</f>
        <v>11</v>
      </c>
      <c r="CE51" s="362">
        <f>CJ51-$CJ$4</f>
        <v>46193</v>
      </c>
      <c r="CF51" s="332">
        <f>IF(_xlfn.XLOOKUP($E51,'[1]Import Eletra'!$B:$B,'[1]Import Eletra'!$BC:$BC,,0,1)=0,"",_xlfn.XLOOKUP($E51,'[1]Import Eletra'!$B:$B,'[1]Import Eletra'!$BC:$BC,,0,1))</f>
        <v>46205</v>
      </c>
      <c r="CG51" s="113">
        <f>$CE$4</f>
        <v>0</v>
      </c>
      <c r="CH51" s="113">
        <f ca="1">IF(CF51="",TODAY()-CE51,CF51-CE51)</f>
        <v>12</v>
      </c>
      <c r="CI51" s="184">
        <f ca="1">CH51-CG51</f>
        <v>12</v>
      </c>
      <c r="CJ51" s="335">
        <f>CO51-$CO$4</f>
        <v>46193</v>
      </c>
      <c r="CK51" s="332">
        <f>IF(_xlfn.XLOOKUP($E51,'[1]Import Eletra'!$B:$B,'[1]Import Eletra'!$BD:$BD,,0,1)=0,"",_xlfn.XLOOKUP($E51,'[1]Import Eletra'!$B:$B,'[1]Import Eletra'!$BD:$BD,,0,1))</f>
        <v>46196</v>
      </c>
      <c r="CL51" s="113"/>
      <c r="CM51" s="113">
        <f ca="1">IF(CK51="",TODAY()-CJ51,CK51-CJ51)</f>
        <v>3</v>
      </c>
      <c r="CN51" s="184">
        <f ca="1">CM51-CL51</f>
        <v>3</v>
      </c>
      <c r="CO51" s="362">
        <f>CT51-$CT$4</f>
        <v>46193</v>
      </c>
      <c r="CP51" s="332">
        <f>IF(_xlfn.XLOOKUP($E51,'[1]Import Eletra'!$B:$B,'[1]Import Eletra'!$BE:$BE,,0,1)=0,"",_xlfn.XLOOKUP($E51,'[1]Import Eletra'!$B:$B,'[1]Import Eletra'!$BE:$BE,,0,1))</f>
        <v>46197</v>
      </c>
      <c r="CQ51" s="113">
        <f>$CO$4</f>
        <v>0</v>
      </c>
      <c r="CR51" s="113">
        <f ca="1">IF(CP51="",TODAY()-CO51,CP51-CO51)</f>
        <v>4</v>
      </c>
      <c r="CS51" s="184">
        <f ca="1">CR51-CQ51</f>
        <v>4</v>
      </c>
      <c r="CT51" s="335">
        <f>CY51-$CY$4</f>
        <v>46193</v>
      </c>
      <c r="CU51" s="332">
        <f>IF(_xlfn.XLOOKUP($E51,'[1]Import Eletra'!$B:$B,'[1]Import Eletra'!$BF:$BF,,0,1)=0,"",_xlfn.XLOOKUP($E51,'[1]Import Eletra'!$B:$B,'[1]Import Eletra'!$BF:$BF,,0,1))</f>
        <v>46197</v>
      </c>
      <c r="CV51" s="113">
        <f>$CT$4</f>
        <v>0</v>
      </c>
      <c r="CW51" s="113">
        <f ca="1">IF(CU51="",TODAY()-CT51,CU51-CT51)</f>
        <v>4</v>
      </c>
      <c r="CX51" s="184">
        <f ca="1">CW51-CV51</f>
        <v>4</v>
      </c>
      <c r="CY51" s="110">
        <f>DD51-$DD$4</f>
        <v>46193</v>
      </c>
      <c r="CZ51" s="247">
        <f>IF(_xlfn.XLOOKUP($E51,'[1]Import Eletra'!$B:$B,'[1]Import Eletra'!$BF:$BF,,0,1)=0,"",_xlfn.XLOOKUP($E51,'[1]Import Eletra'!$B:$B,'[1]Import Eletra'!$BF:$BF,,0,1))</f>
        <v>46197</v>
      </c>
      <c r="DA51" s="210">
        <f>$CY$4</f>
        <v>0</v>
      </c>
      <c r="DB51" s="113">
        <f ca="1">IF(CZ51="",TODAY()-CY51,CZ51-CY51)</f>
        <v>4</v>
      </c>
      <c r="DC51" s="184">
        <f ca="1">DB51-DA51</f>
        <v>4</v>
      </c>
      <c r="DD51" s="110">
        <f>DI51-$DI$4</f>
        <v>46195</v>
      </c>
      <c r="DE51" s="247">
        <f>IF(_xlfn.XLOOKUP($E51,'[1]Import Eletra'!$B:$B,'[1]Import Eletra'!$BG:$BG,,0,1)=0,"",_xlfn.XLOOKUP($E51,'[1]Import Eletra'!$B:$B,'[1]Import Eletra'!$BG:$BG,0,1))</f>
        <v>46204</v>
      </c>
      <c r="DF51" s="113">
        <f>$DD$4</f>
        <v>2</v>
      </c>
      <c r="DG51" s="113">
        <f ca="1">IF(DE51="",TODAY()-DD51,DE51-DD51)</f>
        <v>9</v>
      </c>
      <c r="DH51" s="184">
        <f ca="1">DG51-DF51</f>
        <v>7</v>
      </c>
      <c r="DI51" s="110">
        <f>DO51-$DN$4</f>
        <v>46196</v>
      </c>
      <c r="DJ51" s="247">
        <f>IF(_xlfn.XLOOKUP($E51,'[1]Import Eletra'!$B:$B,'[1]Import Eletra'!$BH:$BH,,0,1)=0,"",_xlfn.XLOOKUP($E51,'[1]Import Eletra'!$B:$B,'[1]Import Eletra'!$BH:$BH,0,1))</f>
        <v>46205</v>
      </c>
      <c r="DK51" s="112">
        <f>$DI$4</f>
        <v>1</v>
      </c>
      <c r="DL51" s="112">
        <f ca="1">IF(DJ51="",TODAY()-DI51,DJ51-DI51)</f>
        <v>9</v>
      </c>
      <c r="DM51" s="184">
        <f ca="1">DL51-DK51</f>
        <v>8</v>
      </c>
      <c r="DN51" s="64"/>
      <c r="DO51" s="202">
        <f>N51+DT51</f>
        <v>46197</v>
      </c>
      <c r="DP51" s="298">
        <f>IF(_xlfn.XLOOKUP($E51,'[1]Import Eletra'!$B:$B,'[1]Import Eletra'!$O:$O,,0,1)=0,"",_xlfn.XLOOKUP($E51,'[1]Import Eletra'!$B:$B,'[1]Import Eletra'!$O:$O,0,1))</f>
        <v>46205</v>
      </c>
      <c r="DQ51" s="112">
        <f>$DN$4</f>
        <v>1</v>
      </c>
      <c r="DR51" s="112">
        <f ca="1">IF(DP51="",TODAY()-DO51,DP51-DO51)</f>
        <v>8</v>
      </c>
      <c r="DS51" s="184">
        <f ca="1">DR51-DQ51</f>
        <v>7</v>
      </c>
      <c r="DT51" s="143">
        <v>10</v>
      </c>
      <c r="DU51" s="140">
        <f ca="1">IF(DP51="",TODAY()-N51,DP51-N51)</f>
        <v>18</v>
      </c>
      <c r="DV51" s="184">
        <f ca="1">DU51-DT51</f>
        <v>8</v>
      </c>
      <c r="DX51" s="422" t="s">
        <v>245</v>
      </c>
      <c r="DY51" s="120" t="str">
        <f>IF(_xlfn.XLOOKUP($E51,'[1]Import Eletra'!$B:$B,'[1]Import Eletra'!$DW:$DW,,0,1)=0,"",_xlfn.XLOOKUP($E51,'[1]Import Eletra'!$B:$B,'[1]Import Eletra'!$DW:$DW,0,1))</f>
        <v>SEFAZ HOMOLOGATION - NF/GLME</v>
      </c>
      <c r="EB51" s="287" t="s">
        <v>273</v>
      </c>
      <c r="ED51" s="409">
        <f>IF(_xlfn.XLOOKUP($E51,'[1]Import Eletra'!$B:$B,'[1]Import Eletra'!$BQ:$BQ,,0,1)=0,"",_xlfn.XLOOKUP($E51,'[1]Import Eletra'!$B:$B,'[1]Import Eletra'!$BQ:$BQ,0,1))</f>
        <v>409.15</v>
      </c>
      <c r="EE51" s="410">
        <f>IF(_xlfn.XLOOKUP($E51,'[1]Import Eletra'!$B:$B,'[1]Import Eletra'!$BR:$BR,,0,1)=0,"",_xlfn.XLOOKUP($E51,'[1]Import Eletra'!$B:$B,'[1]Import Eletra'!$BR:$BR,0,1))</f>
        <v>46198</v>
      </c>
      <c r="EF51" s="409" t="str">
        <f>IF(_xlfn.XLOOKUP($E51,'[1]Import Eletra'!$B:$B,'[1]Import Eletra'!$BS:$BS,,0,1)=0,"",_xlfn.XLOOKUP($E51,'[1]Import Eletra'!$B:$B,'[1]Import Eletra'!$BS:$BS,0,1))</f>
        <v/>
      </c>
      <c r="EG51" s="410" t="str">
        <f>IF(_xlfn.XLOOKUP($E51,'[1]Import Eletra'!$B:$B,'[1]Import Eletra'!$BT:$BT,,0,1)=0,"",_xlfn.XLOOKUP($E51,'[1]Import Eletra'!$B:$B,'[1]Import Eletra'!$BT:$BT,0,1))</f>
        <v/>
      </c>
      <c r="EH51" s="409" t="str">
        <f>IF(_xlfn.XLOOKUP($E51,'[1]Import Eletra'!$B:$B,'[1]Import Eletra'!$BU:$BU,,0,1)=0,"",_xlfn.XLOOKUP($E51,'[1]Import Eletra'!$B:$B,'[1]Import Eletra'!$BU:$BU,0,1))</f>
        <v/>
      </c>
      <c r="EI51" s="410" t="str">
        <f>IF(_xlfn.XLOOKUP($E51,'[1]Import Eletra'!$B:$B,'[1]Import Eletra'!$BV:$BV,,0,1)=0,"",_xlfn.XLOOKUP($E51,'[1]Import Eletra'!$B:$B,'[1]Import Eletra'!$BV:$BV,0,1))</f>
        <v/>
      </c>
      <c r="EJ51" s="410">
        <f>IF(_xlfn.XLOOKUP($E51,'[1]Import Eletra'!$B:$B,'[1]Import Eletra'!$CI:$CI,,0,1)=0,"",_xlfn.XLOOKUP($E51,'[1]Import Eletra'!$B:$B,'[1]Import Eletra'!$CI:$CI,0,1))</f>
        <v>46205</v>
      </c>
      <c r="EK51" s="410" t="str">
        <f>IF(_xlfn.XLOOKUP($E51,'[1]Import Eletra'!$B:$B,'[1]Import Eletra'!$CD:$CD,,0,1)=0,"",_xlfn.XLOOKUP($E51,'[1]Import Eletra'!$B:$B,'[1]Import Eletra'!$CD:$CD,0,1))</f>
        <v/>
      </c>
      <c r="EL51" s="410" t="str">
        <f>IF(_xlfn.XLOOKUP($E51,'[1]Import Eletra'!$B:$B,'[1]Import Eletra'!$CE:$CE,,0,1)=0,"",_xlfn.XLOOKUP($E51,'[1]Import Eletra'!$B:$B,'[1]Import Eletra'!$CE:$CE,0,1))</f>
        <v>NÃO</v>
      </c>
      <c r="EM51" s="411" t="str">
        <f>IF(_xlfn.XLOOKUP($E51,'[1]Import Eletra'!$B:$B,'[1]Import Eletra'!$E:$E,,0,1)=0,"",_xlfn.XLOOKUP($E51,'[1]Import Eletra'!$B:$B,'[1]Import Eletra'!$E:$E,0,1))</f>
        <v>LEISIANE</v>
      </c>
      <c r="EN51" s="408" t="str">
        <f>IF(_xlfn.XLOOKUP($E51,'[1]Import Eletra'!$B:$B,'[1]Import Eletra'!$R:$R,,0,1)=0,"",_xlfn.XLOOKUP($E51,'[1]Import Eletra'!$B:$B,'[1]Import Eletra'!$R:$R,0,1))</f>
        <v>PWBR260065-10F</v>
      </c>
      <c r="EO51" s="408" t="str">
        <f>IF(_xlfn.XLOOKUP($E51,'[1]Import Eletra'!$B:$B,'[1]Import Eletra'!$P:$P,,0,1)=0,"",_xlfn.XLOOKUP($E51,'[1]Import Eletra'!$B:$B,'[1]Import Eletra'!$P:$P,0,1))</f>
        <v>SDBLBS598573</v>
      </c>
      <c r="EP51" s="408" t="str">
        <f>IF(_xlfn.XLOOKUP($E51,'[1]Import Eletra'!$B:$B,'[1]Import Eletra'!$T:$T,,0,1)=0,"",_xlfn.XLOOKUP($E51,'[1]Import Eletra'!$B:$B,'[1]Import Eletra'!$T:$T,0,1))</f>
        <v>MSBU6573810</v>
      </c>
    </row>
    <row r="52" spans="2:146" ht="30" customHeight="1">
      <c r="B52" s="371"/>
      <c r="C52" s="369"/>
      <c r="D52" s="104" t="str">
        <f>IF(_xlfn.XLOOKUP($E52,'[1]Import Eletra'!$B:$B,'[1]Import Eletra'!$A:$A,,0,1)=0,"",_xlfn.XLOOKUP($E52,'[1]Import Eletra'!$B:$B,'[1]Import Eletra'!$A:$A,,0,1))</f>
        <v>JAN_2026</v>
      </c>
      <c r="E52" s="274" t="s">
        <v>302</v>
      </c>
      <c r="F52" s="106">
        <f>IF(_xlfn.XLOOKUP($E52,'[1]Import Eletra'!$B:$B,'[1]Import Eletra'!$U:$U,,0,1)=0,"",_xlfn.XLOOKUP($E52,'[1]Import Eletra'!$B:$B,'[1]Import Eletra'!$U:$U,,0,1))</f>
        <v>0.5</v>
      </c>
      <c r="G52" s="301" t="s">
        <v>244</v>
      </c>
      <c r="H52" s="2" t="str">
        <f>_xlfn.XLOOKUP($E52,'[1]Import Eletra'!$B:$B,'[1]Import Eletra'!$F:$F,,0,1)</f>
        <v>DELIVERED</v>
      </c>
      <c r="I52" s="108" t="str">
        <f>_xlfn.XLOOKUP($E52,'[1]Import Eletra'!$B:$B,'[1]Import Eletra'!$G:$G,,0,1)</f>
        <v>SEA</v>
      </c>
      <c r="J52" s="326">
        <v>45940</v>
      </c>
      <c r="K52" s="109">
        <v>30</v>
      </c>
      <c r="L52" s="109">
        <f>M52-J52</f>
        <v>207</v>
      </c>
      <c r="M52" s="326">
        <f>IF(_xlfn.XLOOKUP($E52,'[1]Import Eletra'!$B:$B,'[1]Import Eletra'!$J:$J,,0,1)=0,"",_xlfn.XLOOKUP($E52,'[1]Import Eletra'!$B:$B,'[1]Import Eletra'!$J:$J,,0,1))</f>
        <v>46147</v>
      </c>
      <c r="N52" s="366">
        <f>IF(_xlfn.XLOOKUP($E52,'[1]Import Eletra'!$B:$B,'[1]Import Eletra'!$L:$L,,0,1)=0,"",_xlfn.XLOOKUP($E52,'[1]Import Eletra'!$B:$B,'[1]Import Eletra'!$L:$L,,0,1))</f>
        <v>46187</v>
      </c>
      <c r="O52" s="374">
        <f>IF(_xlfn.XLOOKUP($E52,'[1]Import Eletra'!$B:$B,'[1]Import Eletra'!$AK:$AK,,0,1)=0,"",_xlfn.XLOOKUP($E52,'[1]Import Eletra'!$B:$B,'[1]Import Eletra'!$AK:$AK,,0,1))</f>
        <v>46175</v>
      </c>
      <c r="P52" s="326">
        <f>IF(_xlfn.XLOOKUP($E52,'[1]Import Eletra'!$B:$B,'[1]Import Eletra'!$AL:$AL,,0,1)=0,"",_xlfn.XLOOKUP($E52,'[1]Import Eletra'!$B:$B,'[1]Import Eletra'!$AL:$AL,,0,1))</f>
        <v>46175</v>
      </c>
      <c r="Q52" s="326">
        <f>IF(_xlfn.XLOOKUP($E52,'[1]Import Eletra'!$B:$B,'[1]Import Eletra'!$AM:$AM,,0,1)=0,"",_xlfn.XLOOKUP($E52,'[1]Import Eletra'!$B:$B,'[1]Import Eletra'!$AM:$AM,,0,1))</f>
        <v>46181</v>
      </c>
      <c r="R52" s="326">
        <f>IF(_xlfn.XLOOKUP($E52,'[1]Import Eletra'!$B:$B,'[1]Import Eletra'!$AN:$AN,,0,1)=0,"",_xlfn.XLOOKUP($E52,'[1]Import Eletra'!$B:$B,'[1]Import Eletra'!$AN:$AN,,0,1))</f>
        <v>46181</v>
      </c>
      <c r="S52" s="372">
        <f>IF(_xlfn.XLOOKUP($E52,'[1]Import Eletra'!$B:$B,'[1]Import Eletra'!$AO:$AO,,0,1)=0,"",_xlfn.XLOOKUP($E52,'[1]Import Eletra'!$B:$B,'[1]Import Eletra'!$AO:$AO,,0,1))</f>
        <v>46181</v>
      </c>
      <c r="T52" s="326">
        <f>IF(_xlfn.XLOOKUP($E52,'[1]Import Eletra'!$B:$B,'[1]Import Eletra'!$AP:$AP,,0,1)=0,"",_xlfn.XLOOKUP($E52,'[1]Import Eletra'!$B:$B,'[1]Import Eletra'!$AP:$AP,,0,1))</f>
        <v>46181</v>
      </c>
      <c r="U52" s="326">
        <f>IF(_xlfn.XLOOKUP($E52,'[1]Import Eletra'!$B:$B,'[1]Import Eletra'!$AQ:$AQ,,0,1)=0,"",_xlfn.XLOOKUP($E52,'[1]Import Eletra'!$B:$B,'[1]Import Eletra'!$AQ:$AQ,,0,1))</f>
        <v>46182</v>
      </c>
      <c r="V52" s="343">
        <f>IF(_xlfn.XLOOKUP($E52,'[1]Import Eletra'!$B:$B,'[1]Import Eletra'!$AR:$AR,,0,1)=0,"",_xlfn.XLOOKUP($E52,'[1]Import Eletra'!$B:$B,'[1]Import Eletra'!$AR:$AR,,0,1))</f>
        <v>46189</v>
      </c>
      <c r="W52" s="335">
        <f>AB52-$AB$5</f>
        <v>46188</v>
      </c>
      <c r="X52" s="332">
        <f>IF(_xlfn.XLOOKUP($E52,'[1]Import Eletra'!$B:$B,'[1]Import Eletra'!$AS:$AS,,0,1)=0,"",_xlfn.XLOOKUP($E52,'[1]Import Eletra'!$B:$B,'[1]Import Eletra'!$AS:$AS,,0,1))</f>
        <v>46189</v>
      </c>
      <c r="Y52" s="113">
        <f>$W$4</f>
        <v>0</v>
      </c>
      <c r="Z52" s="113">
        <f ca="1">IF(X52="",TODAY()-W52,X52-W52)</f>
        <v>1</v>
      </c>
      <c r="AA52" s="184">
        <f ca="1">Z52-Y52</f>
        <v>1</v>
      </c>
      <c r="AB52" s="348">
        <f>AG52-$AB$5</f>
        <v>46189</v>
      </c>
      <c r="AC52" s="332">
        <f>IF(_xlfn.XLOOKUP($E52,'[1]Import Eletra'!$B:$B,'[1]Import Eletra'!$AD:$AD,,0,1)=0,"",_xlfn.XLOOKUP($E52,'[1]Import Eletra'!$B:$B,'[1]Import Eletra'!$AD:$AD,,0,1))</f>
        <v>46189</v>
      </c>
      <c r="AD52" s="113">
        <f>$AB$4</f>
        <v>0</v>
      </c>
      <c r="AE52" s="113">
        <f ca="1">IF(AC52="",TODAY()-AB52,AC52-AB52)</f>
        <v>0</v>
      </c>
      <c r="AF52" s="184">
        <f ca="1">AE52-AD52</f>
        <v>0</v>
      </c>
      <c r="AG52" s="355">
        <f>AL52-$AL$5</f>
        <v>46190</v>
      </c>
      <c r="AH52" s="332">
        <f>IF(_xlfn.XLOOKUP($E52,'[1]Import Eletra'!$B:$B,'[1]Import Eletra'!$AE:$AE,,0,1)=0,"",_xlfn.XLOOKUP($E52,'[1]Import Eletra'!$B:$B,'[1]Import Eletra'!$AE:$AE,,0,1))</f>
        <v>46190</v>
      </c>
      <c r="AI52" s="113">
        <f>$AG$4</f>
        <v>0</v>
      </c>
      <c r="AJ52" s="113">
        <f ca="1">IF(AH52="",TODAY()-AG52,AH52-AG52)</f>
        <v>0</v>
      </c>
      <c r="AK52" s="184">
        <f ca="1">AJ52-AI52</f>
        <v>0</v>
      </c>
      <c r="AL52" s="355">
        <f>AQ52-$AQ$5</f>
        <v>46190</v>
      </c>
      <c r="AM52" s="332">
        <f>IF(_xlfn.XLOOKUP($E52,'[1]Import Eletra'!$B:$B,'[1]Import Eletra'!$AT:$AT,,0,1)=0,"",_xlfn.XLOOKUP($E52,'[1]Import Eletra'!$B:$B,'[1]Import Eletra'!$AT:$AT,,0,1))</f>
        <v>46189</v>
      </c>
      <c r="AN52" s="113">
        <f>$AL$4</f>
        <v>0</v>
      </c>
      <c r="AO52" s="113">
        <f ca="1">IF(AM52="",TODAY()-AL52,AM52-AL52)</f>
        <v>-1</v>
      </c>
      <c r="AP52" s="184">
        <f ca="1">AO52-AN52</f>
        <v>-1</v>
      </c>
      <c r="AQ52" s="357">
        <f>AV52-$AV$5</f>
        <v>46191</v>
      </c>
      <c r="AR52" s="332">
        <f>IF(_xlfn.XLOOKUP($E52,'[1]Import Eletra'!$B:$B,'[1]Import Eletra'!$AU:$AU,,0,1)=0,"",_xlfn.XLOOKUP($E52,'[1]Import Eletra'!$B:$B,'[1]Import Eletra'!$AU:$AU,,0,1))</f>
        <v>46190</v>
      </c>
      <c r="AS52" s="113">
        <f>$AQ$4</f>
        <v>1</v>
      </c>
      <c r="AT52" s="113">
        <f ca="1">IF(AR52="",TODAY()-AQ52,AR52-AQ52)</f>
        <v>-1</v>
      </c>
      <c r="AU52" s="184">
        <f ca="1">AT52-AS52</f>
        <v>-2</v>
      </c>
      <c r="AV52" s="355">
        <f>BA52-$BA$5</f>
        <v>46191</v>
      </c>
      <c r="AW52" s="332" t="str">
        <f>IF(_xlfn.XLOOKUP($E52,'[1]Import Eletra'!$B:$B,'[1]Import Eletra'!$AV:$AV,,0,1)=0,"",_xlfn.XLOOKUP($E52,'[1]Import Eletra'!$B:$B,'[1]Import Eletra'!$AV:$AV,,0,1))</f>
        <v/>
      </c>
      <c r="AX52" s="113">
        <f>$AV$4</f>
        <v>0</v>
      </c>
      <c r="AY52" s="113">
        <f ca="1">IF(AW52="",TODAY()-AV52,AW52-AV52)</f>
        <v>20</v>
      </c>
      <c r="AZ52" s="184">
        <f ca="1">AY52-AX52</f>
        <v>20</v>
      </c>
      <c r="BA52" s="357">
        <f>BF52-$BF$5</f>
        <v>46191</v>
      </c>
      <c r="BB52" s="332" t="str">
        <f>IF(_xlfn.XLOOKUP($E52,'[1]Import Eletra'!$B:$B,'[1]Import Eletra'!$AW:$AW,,0,1)=0,"",_xlfn.XLOOKUP($E52,'[1]Import Eletra'!$B:$B,'[1]Import Eletra'!$AW:$AW,,0,1))</f>
        <v/>
      </c>
      <c r="BC52" s="113">
        <f>$BA$4</f>
        <v>0</v>
      </c>
      <c r="BD52" s="113">
        <f ca="1">IF(BB52="",TODAY()-BA52,BB52-BA52)</f>
        <v>20</v>
      </c>
      <c r="BE52" s="184">
        <f ca="1">BD52-BC52</f>
        <v>20</v>
      </c>
      <c r="BF52" s="335">
        <f>BK52-$BK$5</f>
        <v>46191</v>
      </c>
      <c r="BG52" s="332" t="str">
        <f>IF(_xlfn.XLOOKUP($E52,'[1]Import Eletra'!$B:$B,'[1]Import Eletra'!$AX:$AX,,0,1)=0,"",_xlfn.XLOOKUP($E52,'[1]Import Eletra'!$B:$B,'[1]Import Eletra'!$AX:$AX,,0,1))</f>
        <v/>
      </c>
      <c r="BH52" s="113">
        <f>$BF$4</f>
        <v>0</v>
      </c>
      <c r="BI52" s="113">
        <f ca="1">IF(BG52="",TODAY()-BF52,BG52-BF52)</f>
        <v>20</v>
      </c>
      <c r="BJ52" s="184">
        <f ca="1">BI52-BH52</f>
        <v>20</v>
      </c>
      <c r="BK52" s="362">
        <f>BP52-$BP$5</f>
        <v>46191</v>
      </c>
      <c r="BL52" s="332" t="str">
        <f>IF(_xlfn.XLOOKUP($E52,'[1]Import Eletra'!$B:$B,'[1]Import Eletra'!$AY:$AY,,0,1)=0,"",_xlfn.XLOOKUP($E52,'[1]Import Eletra'!$B:$B,'[1]Import Eletra'!$AY:$AY,,0,1))</f>
        <v/>
      </c>
      <c r="BM52" s="113">
        <f>$BK$4</f>
        <v>0</v>
      </c>
      <c r="BN52" s="113">
        <f ca="1">IF(BL52="",TODAY()-BK52,BL52-BK52)</f>
        <v>20</v>
      </c>
      <c r="BO52" s="184">
        <f ca="1">BN52-BM52</f>
        <v>20</v>
      </c>
      <c r="BP52" s="335">
        <f>BU52-$BU$5</f>
        <v>46191</v>
      </c>
      <c r="BQ52" s="332" t="str">
        <f>IF(_xlfn.XLOOKUP($E52,'[1]Import Eletra'!$B:$B,'[1]Import Eletra'!$AZ:$AZ,,0,1)=0,"",_xlfn.XLOOKUP($E52,'[1]Import Eletra'!$B:$B,'[1]Import Eletra'!$AZ:$AZ,,0,1))</f>
        <v/>
      </c>
      <c r="BR52" s="113">
        <f>$BP$4</f>
        <v>0</v>
      </c>
      <c r="BS52" s="113">
        <f ca="1">IF(BQ52="",TODAY()-BP52,BQ52-BP52)</f>
        <v>20</v>
      </c>
      <c r="BT52" s="184">
        <f ca="1">BS52-BR52</f>
        <v>20</v>
      </c>
      <c r="BU52" s="362">
        <f>BZ52-$BZ$4</f>
        <v>46193</v>
      </c>
      <c r="BV52" s="332">
        <f>IF(_xlfn.XLOOKUP($E52,'[1]Import Eletra'!$B:$B,'[1]Import Eletra'!$BA:$BA,,0,1)=0,"",_xlfn.XLOOKUP($E52,'[1]Import Eletra'!$B:$B,'[1]Import Eletra'!$BA:$BA,,0,1))</f>
        <v>46196</v>
      </c>
      <c r="BW52" s="113">
        <f>$BU$4</f>
        <v>2</v>
      </c>
      <c r="BX52" s="113">
        <f ca="1">IF(BV52="",TODAY()-BU52,BV52-BU52)</f>
        <v>3</v>
      </c>
      <c r="BY52" s="184">
        <f ca="1">BX52-BW52</f>
        <v>1</v>
      </c>
      <c r="BZ52" s="335">
        <f>CE52-$CE$5</f>
        <v>46193</v>
      </c>
      <c r="CA52" s="332">
        <f>IF(_xlfn.XLOOKUP($E52,'[1]Import Eletra'!$B:$B,'[1]Import Eletra'!$BB:$BB,,0,1)=0,"",_xlfn.XLOOKUP($E52,'[1]Import Eletra'!$B:$B,'[1]Import Eletra'!$BB:$BB,,0,1))</f>
        <v>46196</v>
      </c>
      <c r="CB52" s="113">
        <f>$BZ$4</f>
        <v>0</v>
      </c>
      <c r="CC52" s="113">
        <f ca="1">IF(CA52="",TODAY()-BZ52,CA52-BZ52)</f>
        <v>3</v>
      </c>
      <c r="CD52" s="184">
        <f ca="1">CC52-CB52</f>
        <v>3</v>
      </c>
      <c r="CE52" s="362">
        <f>CJ52-$CJ$4</f>
        <v>46193</v>
      </c>
      <c r="CF52" s="332" t="str">
        <f>IF(_xlfn.XLOOKUP($E52,'[1]Import Eletra'!$B:$B,'[1]Import Eletra'!$BC:$BC,,0,1)=0,"",_xlfn.XLOOKUP($E52,'[1]Import Eletra'!$B:$B,'[1]Import Eletra'!$BC:$BC,,0,1))</f>
        <v/>
      </c>
      <c r="CG52" s="113">
        <f>$CE$4</f>
        <v>0</v>
      </c>
      <c r="CH52" s="113">
        <f ca="1">IF(CF52="",TODAY()-CE52,CF52-CE52)</f>
        <v>18</v>
      </c>
      <c r="CI52" s="184">
        <f ca="1">CH52-CG52</f>
        <v>18</v>
      </c>
      <c r="CJ52" s="335">
        <f>CO52-$CO$4</f>
        <v>46193</v>
      </c>
      <c r="CK52" s="332">
        <f>IF(_xlfn.XLOOKUP($E52,'[1]Import Eletra'!$B:$B,'[1]Import Eletra'!$BD:$BD,,0,1)=0,"",_xlfn.XLOOKUP($E52,'[1]Import Eletra'!$B:$B,'[1]Import Eletra'!$BD:$BD,,0,1))</f>
        <v>46190</v>
      </c>
      <c r="CL52" s="113"/>
      <c r="CM52" s="113">
        <f ca="1">IF(CK52="",TODAY()-CJ52,CK52-CJ52)</f>
        <v>-3</v>
      </c>
      <c r="CN52" s="184">
        <f ca="1">CM52-CL52</f>
        <v>-3</v>
      </c>
      <c r="CO52" s="362">
        <f>CT52-$CT$4</f>
        <v>46193</v>
      </c>
      <c r="CP52" s="332">
        <f>IF(_xlfn.XLOOKUP($E52,'[1]Import Eletra'!$B:$B,'[1]Import Eletra'!$BE:$BE,,0,1)=0,"",_xlfn.XLOOKUP($E52,'[1]Import Eletra'!$B:$B,'[1]Import Eletra'!$BE:$BE,,0,1))</f>
        <v>46191</v>
      </c>
      <c r="CQ52" s="113">
        <f>$CO$4</f>
        <v>0</v>
      </c>
      <c r="CR52" s="113">
        <f ca="1">IF(CP52="",TODAY()-CO52,CP52-CO52)</f>
        <v>-2</v>
      </c>
      <c r="CS52" s="184">
        <f ca="1">CR52-CQ52</f>
        <v>-2</v>
      </c>
      <c r="CT52" s="335">
        <f>CY52-$CY$4</f>
        <v>46193</v>
      </c>
      <c r="CU52" s="332">
        <f>IF(_xlfn.XLOOKUP($E52,'[1]Import Eletra'!$B:$B,'[1]Import Eletra'!$BF:$BF,,0,1)=0,"",_xlfn.XLOOKUP($E52,'[1]Import Eletra'!$B:$B,'[1]Import Eletra'!$BF:$BF,,0,1))</f>
        <v>46191</v>
      </c>
      <c r="CV52" s="113">
        <f>$CT$4</f>
        <v>0</v>
      </c>
      <c r="CW52" s="113">
        <f ca="1">IF(CU52="",TODAY()-CT52,CU52-CT52)</f>
        <v>-2</v>
      </c>
      <c r="CX52" s="184">
        <f ca="1">CW52-CV52</f>
        <v>-2</v>
      </c>
      <c r="CY52" s="110">
        <f>DD52-$DD$4</f>
        <v>46193</v>
      </c>
      <c r="CZ52" s="247">
        <f>IF(_xlfn.XLOOKUP($E52,'[1]Import Eletra'!$B:$B,'[1]Import Eletra'!$BF:$BF,,0,1)=0,"",_xlfn.XLOOKUP($E52,'[1]Import Eletra'!$B:$B,'[1]Import Eletra'!$BF:$BF,,0,1))</f>
        <v>46191</v>
      </c>
      <c r="DA52" s="210">
        <f>$CY$4</f>
        <v>0</v>
      </c>
      <c r="DB52" s="113">
        <f ca="1">IF(CZ52="",TODAY()-CY52,CZ52-CY52)</f>
        <v>-2</v>
      </c>
      <c r="DC52" s="184">
        <f ca="1">DB52-DA52</f>
        <v>-2</v>
      </c>
      <c r="DD52" s="110">
        <f>DI52-$DI$4</f>
        <v>46195</v>
      </c>
      <c r="DE52" s="247">
        <f>IF(_xlfn.XLOOKUP($E52,'[1]Import Eletra'!$B:$B,'[1]Import Eletra'!$BG:$BG,,0,1)=0,"",_xlfn.XLOOKUP($E52,'[1]Import Eletra'!$B:$B,'[1]Import Eletra'!$BG:$BG,0,1))</f>
        <v>46196</v>
      </c>
      <c r="DF52" s="113">
        <f>$DD$4</f>
        <v>2</v>
      </c>
      <c r="DG52" s="113">
        <f ca="1">IF(DE52="",TODAY()-DD52,DE52-DD52)</f>
        <v>1</v>
      </c>
      <c r="DH52" s="184">
        <f ca="1">DG52-DF52</f>
        <v>-1</v>
      </c>
      <c r="DI52" s="110">
        <f>DO52-$DN$4</f>
        <v>46196</v>
      </c>
      <c r="DJ52" s="247">
        <f>IF(_xlfn.XLOOKUP($E52,'[1]Import Eletra'!$B:$B,'[1]Import Eletra'!$BH:$BH,,0,1)=0,"",_xlfn.XLOOKUP($E52,'[1]Import Eletra'!$B:$B,'[1]Import Eletra'!$BH:$BH,0,1))</f>
        <v>46205</v>
      </c>
      <c r="DK52" s="112">
        <f>$DI$4</f>
        <v>1</v>
      </c>
      <c r="DL52" s="112">
        <f ca="1">IF(DJ52="",TODAY()-DI52,DJ52-DI52)</f>
        <v>9</v>
      </c>
      <c r="DM52" s="184">
        <f ca="1">DL52-DK52</f>
        <v>8</v>
      </c>
      <c r="DN52" s="64"/>
      <c r="DO52" s="202">
        <f>N52+DT52</f>
        <v>46197</v>
      </c>
      <c r="DP52" s="298">
        <f>IF(_xlfn.XLOOKUP($E52,'[1]Import Eletra'!$B:$B,'[1]Import Eletra'!$O:$O,,0,1)=0,"",_xlfn.XLOOKUP($E52,'[1]Import Eletra'!$B:$B,'[1]Import Eletra'!$O:$O,0,1))</f>
        <v>46205</v>
      </c>
      <c r="DQ52" s="112">
        <f>$DN$4</f>
        <v>1</v>
      </c>
      <c r="DR52" s="112">
        <f ca="1">IF(DP52="",TODAY()-DO52,DP52-DO52)</f>
        <v>8</v>
      </c>
      <c r="DS52" s="184">
        <f ca="1">DR52-DQ52</f>
        <v>7</v>
      </c>
      <c r="DT52" s="143">
        <v>10</v>
      </c>
      <c r="DU52" s="140">
        <f ca="1">IF(DP52="",TODAY()-N52,DP52-N52)</f>
        <v>18</v>
      </c>
      <c r="DV52" s="184">
        <f ca="1">DU52-DT52</f>
        <v>8</v>
      </c>
      <c r="DX52" s="422" t="s">
        <v>245</v>
      </c>
      <c r="DY52" s="120" t="str">
        <f>IF(_xlfn.XLOOKUP($E52,'[1]Import Eletra'!$B:$B,'[1]Import Eletra'!$DW:$DW,,0,1)=0,"",_xlfn.XLOOKUP($E52,'[1]Import Eletra'!$B:$B,'[1]Import Eletra'!$DW:$DW,0,1))</f>
        <v>SEFAZ HOMOLOGATION - NF/GLME</v>
      </c>
      <c r="EB52" s="287" t="s">
        <v>273</v>
      </c>
      <c r="ED52" s="409">
        <f>IF(_xlfn.XLOOKUP($E52,'[1]Import Eletra'!$B:$B,'[1]Import Eletra'!$BQ:$BQ,,0,1)=0,"",_xlfn.XLOOKUP($E52,'[1]Import Eletra'!$B:$B,'[1]Import Eletra'!$BQ:$BQ,0,1))</f>
        <v>409.14</v>
      </c>
      <c r="EE52" s="410">
        <f>IF(_xlfn.XLOOKUP($E52,'[1]Import Eletra'!$B:$B,'[1]Import Eletra'!$BR:$BR,,0,1)=0,"",_xlfn.XLOOKUP($E52,'[1]Import Eletra'!$B:$B,'[1]Import Eletra'!$BR:$BR,0,1))</f>
        <v>46198</v>
      </c>
      <c r="EF52" s="409" t="str">
        <f>IF(_xlfn.XLOOKUP($E52,'[1]Import Eletra'!$B:$B,'[1]Import Eletra'!$BS:$BS,,0,1)=0,"",_xlfn.XLOOKUP($E52,'[1]Import Eletra'!$B:$B,'[1]Import Eletra'!$BS:$BS,0,1))</f>
        <v/>
      </c>
      <c r="EG52" s="410" t="str">
        <f>IF(_xlfn.XLOOKUP($E52,'[1]Import Eletra'!$B:$B,'[1]Import Eletra'!$BT:$BT,,0,1)=0,"",_xlfn.XLOOKUP($E52,'[1]Import Eletra'!$B:$B,'[1]Import Eletra'!$BT:$BT,0,1))</f>
        <v/>
      </c>
      <c r="EH52" s="409" t="str">
        <f>IF(_xlfn.XLOOKUP($E52,'[1]Import Eletra'!$B:$B,'[1]Import Eletra'!$BU:$BU,,0,1)=0,"",_xlfn.XLOOKUP($E52,'[1]Import Eletra'!$B:$B,'[1]Import Eletra'!$BU:$BU,0,1))</f>
        <v/>
      </c>
      <c r="EI52" s="410" t="str">
        <f>IF(_xlfn.XLOOKUP($E52,'[1]Import Eletra'!$B:$B,'[1]Import Eletra'!$BV:$BV,,0,1)=0,"",_xlfn.XLOOKUP($E52,'[1]Import Eletra'!$B:$B,'[1]Import Eletra'!$BV:$BV,0,1))</f>
        <v/>
      </c>
      <c r="EJ52" s="410">
        <f>IF(_xlfn.XLOOKUP($E52,'[1]Import Eletra'!$B:$B,'[1]Import Eletra'!$CI:$CI,,0,1)=0,"",_xlfn.XLOOKUP($E52,'[1]Import Eletra'!$B:$B,'[1]Import Eletra'!$CI:$CI,0,1))</f>
        <v>46205</v>
      </c>
      <c r="EK52" s="410" t="str">
        <f>IF(_xlfn.XLOOKUP($E52,'[1]Import Eletra'!$B:$B,'[1]Import Eletra'!$CD:$CD,,0,1)=0,"",_xlfn.XLOOKUP($E52,'[1]Import Eletra'!$B:$B,'[1]Import Eletra'!$CD:$CD,0,1))</f>
        <v/>
      </c>
      <c r="EL52" s="410" t="str">
        <f>IF(_xlfn.XLOOKUP($E52,'[1]Import Eletra'!$B:$B,'[1]Import Eletra'!$CE:$CE,,0,1)=0,"",_xlfn.XLOOKUP($E52,'[1]Import Eletra'!$B:$B,'[1]Import Eletra'!$CE:$CE,0,1))</f>
        <v>NÃO</v>
      </c>
      <c r="EM52" s="411" t="str">
        <f>IF(_xlfn.XLOOKUP($E52,'[1]Import Eletra'!$B:$B,'[1]Import Eletra'!$E:$E,,0,1)=0,"",_xlfn.XLOOKUP($E52,'[1]Import Eletra'!$B:$B,'[1]Import Eletra'!$E:$E,0,1))</f>
        <v>LEISIANE</v>
      </c>
      <c r="EN52" s="408" t="str">
        <f>IF(_xlfn.XLOOKUP($E52,'[1]Import Eletra'!$B:$B,'[1]Import Eletra'!$R:$R,,0,1)=0,"",_xlfn.XLOOKUP($E52,'[1]Import Eletra'!$B:$B,'[1]Import Eletra'!$R:$R,0,1))</f>
        <v>PWBR260065-10G</v>
      </c>
      <c r="EO52" s="408" t="str">
        <f>IF(_xlfn.XLOOKUP($E52,'[1]Import Eletra'!$B:$B,'[1]Import Eletra'!$P:$P,,0,1)=0,"",_xlfn.XLOOKUP($E52,'[1]Import Eletra'!$B:$B,'[1]Import Eletra'!$P:$P,0,1))</f>
        <v>SDBLBS598574</v>
      </c>
      <c r="EP52" s="408" t="str">
        <f>IF(_xlfn.XLOOKUP($E52,'[1]Import Eletra'!$B:$B,'[1]Import Eletra'!$T:$T,,0,1)=0,"",_xlfn.XLOOKUP($E52,'[1]Import Eletra'!$B:$B,'[1]Import Eletra'!$T:$T,0,1))</f>
        <v>MSBU6573810</v>
      </c>
    </row>
    <row r="53" spans="2:146" ht="30" customHeight="1">
      <c r="B53" s="371"/>
      <c r="C53" s="369"/>
      <c r="D53" s="104" t="str">
        <f>IF(_xlfn.XLOOKUP($E53,'[1]Import Eletra'!$B:$B,'[1]Import Eletra'!$A:$A,,0,1)=0,"",_xlfn.XLOOKUP($E53,'[1]Import Eletra'!$B:$B,'[1]Import Eletra'!$A:$A,,0,1))</f>
        <v>JUL_2026</v>
      </c>
      <c r="E53" s="274" t="s">
        <v>288</v>
      </c>
      <c r="F53" s="106">
        <f>IF(_xlfn.XLOOKUP($E53,'[1]Import Eletra'!$B:$B,'[1]Import Eletra'!$U:$U,,0,1)=0,"",_xlfn.XLOOKUP($E53,'[1]Import Eletra'!$B:$B,'[1]Import Eletra'!$U:$U,,0,1))</f>
        <v>2</v>
      </c>
      <c r="G53" s="301" t="s">
        <v>244</v>
      </c>
      <c r="H53" s="2" t="str">
        <f>_xlfn.XLOOKUP($E53,'[1]Import Eletra'!$B:$B,'[1]Import Eletra'!$F:$F,,0,1)</f>
        <v>DELIVERED</v>
      </c>
      <c r="I53" s="108" t="str">
        <f>_xlfn.XLOOKUP($E53,'[1]Import Eletra'!$B:$B,'[1]Import Eletra'!$G:$G,,0,1)</f>
        <v>SEA</v>
      </c>
      <c r="J53" s="326">
        <v>46142</v>
      </c>
      <c r="K53" s="109">
        <v>30</v>
      </c>
      <c r="L53" s="109">
        <f>M53-J53</f>
        <v>-1</v>
      </c>
      <c r="M53" s="326">
        <f>IF(_xlfn.XLOOKUP($E53,'[1]Import Eletra'!$B:$B,'[1]Import Eletra'!$J:$J,,0,1)=0,"",_xlfn.XLOOKUP($E53,'[1]Import Eletra'!$B:$B,'[1]Import Eletra'!$J:$J,,0,1))</f>
        <v>46141</v>
      </c>
      <c r="N53" s="366">
        <f>IF(_xlfn.XLOOKUP($E53,'[1]Import Eletra'!$B:$B,'[1]Import Eletra'!$L:$L,,0,1)=0,"",_xlfn.XLOOKUP($E53,'[1]Import Eletra'!$B:$B,'[1]Import Eletra'!$L:$L,,0,1))</f>
        <v>46187</v>
      </c>
      <c r="O53" s="335">
        <f>IF(_xlfn.XLOOKUP($E53,'[1]Import Eletra'!$B:$B,'[1]Import Eletra'!$AK:$AK,,0,1)=0,"",_xlfn.XLOOKUP($E53,'[1]Import Eletra'!$B:$B,'[1]Import Eletra'!$AK:$AK,,0,1))</f>
        <v>46156</v>
      </c>
      <c r="P53" s="326">
        <f>IF(_xlfn.XLOOKUP($E53,'[1]Import Eletra'!$B:$B,'[1]Import Eletra'!$AL:$AL,,0,1)=0,"",_xlfn.XLOOKUP($E53,'[1]Import Eletra'!$B:$B,'[1]Import Eletra'!$AL:$AL,,0,1))</f>
        <v>46170</v>
      </c>
      <c r="Q53" s="326">
        <f>IF(_xlfn.XLOOKUP($E53,'[1]Import Eletra'!$B:$B,'[1]Import Eletra'!$AM:$AM,,0,1)=0,"",_xlfn.XLOOKUP($E53,'[1]Import Eletra'!$B:$B,'[1]Import Eletra'!$AM:$AM,,0,1))</f>
        <v>46171</v>
      </c>
      <c r="R53" s="326">
        <f>IF(_xlfn.XLOOKUP($E53,'[1]Import Eletra'!$B:$B,'[1]Import Eletra'!$AN:$AN,,0,1)=0,"",_xlfn.XLOOKUP($E53,'[1]Import Eletra'!$B:$B,'[1]Import Eletra'!$AN:$AN,,0,1))</f>
        <v>46171</v>
      </c>
      <c r="S53" s="372">
        <f>IF(_xlfn.XLOOKUP($E53,'[1]Import Eletra'!$B:$B,'[1]Import Eletra'!$AO:$AO,,0,1)=0,"",_xlfn.XLOOKUP($E53,'[1]Import Eletra'!$B:$B,'[1]Import Eletra'!$AO:$AO,,0,1))</f>
        <v>46176</v>
      </c>
      <c r="T53" s="326">
        <f>IF(_xlfn.XLOOKUP($E53,'[1]Import Eletra'!$B:$B,'[1]Import Eletra'!$AP:$AP,,0,1)=0,"",_xlfn.XLOOKUP($E53,'[1]Import Eletra'!$B:$B,'[1]Import Eletra'!$AP:$AP,,0,1))</f>
        <v>46176</v>
      </c>
      <c r="U53" s="372">
        <f>IF(_xlfn.XLOOKUP($E53,'[1]Import Eletra'!$B:$B,'[1]Import Eletra'!$AQ:$AQ,,0,1)=0,"",_xlfn.XLOOKUP($E53,'[1]Import Eletra'!$B:$B,'[1]Import Eletra'!$AQ:$AQ,,0,1))</f>
        <v>46176</v>
      </c>
      <c r="V53" s="343">
        <f>IF(_xlfn.XLOOKUP($E53,'[1]Import Eletra'!$B:$B,'[1]Import Eletra'!$AR:$AR,,0,1)=0,"",_xlfn.XLOOKUP($E53,'[1]Import Eletra'!$B:$B,'[1]Import Eletra'!$AR:$AR,,0,1))</f>
        <v>46189</v>
      </c>
      <c r="W53" s="335">
        <f>AB53-$AB$5</f>
        <v>46188</v>
      </c>
      <c r="X53" s="332">
        <f>IF(_xlfn.XLOOKUP($E53,'[1]Import Eletra'!$B:$B,'[1]Import Eletra'!$AS:$AS,,0,1)=0,"",_xlfn.XLOOKUP($E53,'[1]Import Eletra'!$B:$B,'[1]Import Eletra'!$AS:$AS,,0,1))</f>
        <v>46189</v>
      </c>
      <c r="Y53" s="113">
        <f>$W$4</f>
        <v>0</v>
      </c>
      <c r="Z53" s="113">
        <f ca="1">IF(X53="",TODAY()-W53,X53-W53)</f>
        <v>1</v>
      </c>
      <c r="AA53" s="184">
        <f ca="1">Z53-Y53</f>
        <v>1</v>
      </c>
      <c r="AB53" s="348">
        <f>AG53-$AB$5</f>
        <v>46189</v>
      </c>
      <c r="AC53" s="332">
        <f>IF(_xlfn.XLOOKUP($E53,'[1]Import Eletra'!$B:$B,'[1]Import Eletra'!$AD:$AD,,0,1)=0,"",_xlfn.XLOOKUP($E53,'[1]Import Eletra'!$B:$B,'[1]Import Eletra'!$AD:$AD,,0,1))</f>
        <v>46189</v>
      </c>
      <c r="AD53" s="113">
        <f>$AB$4</f>
        <v>0</v>
      </c>
      <c r="AE53" s="113">
        <f ca="1">IF(AC53="",TODAY()-AB53,AC53-AB53)</f>
        <v>0</v>
      </c>
      <c r="AF53" s="184">
        <f ca="1">AE53-AD53</f>
        <v>0</v>
      </c>
      <c r="AG53" s="355">
        <f>AL53-$AL$5</f>
        <v>46190</v>
      </c>
      <c r="AH53" s="332">
        <f>IF(_xlfn.XLOOKUP($E53,'[1]Import Eletra'!$B:$B,'[1]Import Eletra'!$AE:$AE,,0,1)=0,"",_xlfn.XLOOKUP($E53,'[1]Import Eletra'!$B:$B,'[1]Import Eletra'!$AE:$AE,,0,1))</f>
        <v>46190</v>
      </c>
      <c r="AI53" s="113">
        <f>$AG$4</f>
        <v>0</v>
      </c>
      <c r="AJ53" s="113">
        <f ca="1">IF(AH53="",TODAY()-AG53,AH53-AG53)</f>
        <v>0</v>
      </c>
      <c r="AK53" s="184">
        <f ca="1">AJ53-AI53</f>
        <v>0</v>
      </c>
      <c r="AL53" s="355">
        <f>AQ53-$AQ$5</f>
        <v>46190</v>
      </c>
      <c r="AM53" s="332">
        <f>IF(_xlfn.XLOOKUP($E53,'[1]Import Eletra'!$B:$B,'[1]Import Eletra'!$AT:$AT,,0,1)=0,"",_xlfn.XLOOKUP($E53,'[1]Import Eletra'!$B:$B,'[1]Import Eletra'!$AT:$AT,,0,1))</f>
        <v>46189</v>
      </c>
      <c r="AN53" s="113">
        <f>$AL$4</f>
        <v>0</v>
      </c>
      <c r="AO53" s="113">
        <f ca="1">IF(AM53="",TODAY()-AL53,AM53-AL53)</f>
        <v>-1</v>
      </c>
      <c r="AP53" s="184">
        <f ca="1">AO53-AN53</f>
        <v>-1</v>
      </c>
      <c r="AQ53" s="357">
        <f>AV53-$AV$5</f>
        <v>46191</v>
      </c>
      <c r="AR53" s="332">
        <f>IF(_xlfn.XLOOKUP($E53,'[1]Import Eletra'!$B:$B,'[1]Import Eletra'!$AU:$AU,,0,1)=0,"",_xlfn.XLOOKUP($E53,'[1]Import Eletra'!$B:$B,'[1]Import Eletra'!$AU:$AU,,0,1))</f>
        <v>46190</v>
      </c>
      <c r="AS53" s="113">
        <f>$AQ$4</f>
        <v>1</v>
      </c>
      <c r="AT53" s="113">
        <f ca="1">IF(AR53="",TODAY()-AQ53,AR53-AQ53)</f>
        <v>-1</v>
      </c>
      <c r="AU53" s="184">
        <f ca="1">AT53-AS53</f>
        <v>-2</v>
      </c>
      <c r="AV53" s="355">
        <f>BA53-$BA$5</f>
        <v>46191</v>
      </c>
      <c r="AW53" s="332" t="str">
        <f>IF(_xlfn.XLOOKUP($E53,'[1]Import Eletra'!$B:$B,'[1]Import Eletra'!$AV:$AV,,0,1)=0,"",_xlfn.XLOOKUP($E53,'[1]Import Eletra'!$B:$B,'[1]Import Eletra'!$AV:$AV,,0,1))</f>
        <v/>
      </c>
      <c r="AX53" s="113">
        <f>$AV$4</f>
        <v>0</v>
      </c>
      <c r="AY53" s="113">
        <f ca="1">IF(AW53="",TODAY()-AV53,AW53-AV53)</f>
        <v>20</v>
      </c>
      <c r="AZ53" s="184">
        <f ca="1">AY53-AX53</f>
        <v>20</v>
      </c>
      <c r="BA53" s="357">
        <f>BF53-$BF$5</f>
        <v>46191</v>
      </c>
      <c r="BB53" s="332" t="str">
        <f>IF(_xlfn.XLOOKUP($E53,'[1]Import Eletra'!$B:$B,'[1]Import Eletra'!$AW:$AW,,0,1)=0,"",_xlfn.XLOOKUP($E53,'[1]Import Eletra'!$B:$B,'[1]Import Eletra'!$AW:$AW,,0,1))</f>
        <v/>
      </c>
      <c r="BC53" s="113">
        <f>$BA$4</f>
        <v>0</v>
      </c>
      <c r="BD53" s="113">
        <f ca="1">IF(BB53="",TODAY()-BA53,BB53-BA53)</f>
        <v>20</v>
      </c>
      <c r="BE53" s="184">
        <f ca="1">BD53-BC53</f>
        <v>20</v>
      </c>
      <c r="BF53" s="335">
        <f>BK53-$BK$5</f>
        <v>46191</v>
      </c>
      <c r="BG53" s="332" t="str">
        <f>IF(_xlfn.XLOOKUP($E53,'[1]Import Eletra'!$B:$B,'[1]Import Eletra'!$AX:$AX,,0,1)=0,"",_xlfn.XLOOKUP($E53,'[1]Import Eletra'!$B:$B,'[1]Import Eletra'!$AX:$AX,,0,1))</f>
        <v/>
      </c>
      <c r="BH53" s="113">
        <f>$BF$4</f>
        <v>0</v>
      </c>
      <c r="BI53" s="113">
        <f ca="1">IF(BG53="",TODAY()-BF53,BG53-BF53)</f>
        <v>20</v>
      </c>
      <c r="BJ53" s="184">
        <f ca="1">BI53-BH53</f>
        <v>20</v>
      </c>
      <c r="BK53" s="362">
        <f>BP53-$BP$5</f>
        <v>46191</v>
      </c>
      <c r="BL53" s="332" t="str">
        <f>IF(_xlfn.XLOOKUP($E53,'[1]Import Eletra'!$B:$B,'[1]Import Eletra'!$AY:$AY,,0,1)=0,"",_xlfn.XLOOKUP($E53,'[1]Import Eletra'!$B:$B,'[1]Import Eletra'!$AY:$AY,,0,1))</f>
        <v/>
      </c>
      <c r="BM53" s="113">
        <f>$BK$4</f>
        <v>0</v>
      </c>
      <c r="BN53" s="113">
        <f ca="1">IF(BL53="",TODAY()-BK53,BL53-BK53)</f>
        <v>20</v>
      </c>
      <c r="BO53" s="184">
        <f ca="1">BN53-BM53</f>
        <v>20</v>
      </c>
      <c r="BP53" s="335">
        <f>BU53-$BU$5</f>
        <v>46191</v>
      </c>
      <c r="BQ53" s="332" t="str">
        <f>IF(_xlfn.XLOOKUP($E53,'[1]Import Eletra'!$B:$B,'[1]Import Eletra'!$AZ:$AZ,,0,1)=0,"",_xlfn.XLOOKUP($E53,'[1]Import Eletra'!$B:$B,'[1]Import Eletra'!$AZ:$AZ,,0,1))</f>
        <v/>
      </c>
      <c r="BR53" s="113">
        <f>$BP$4</f>
        <v>0</v>
      </c>
      <c r="BS53" s="113">
        <f ca="1">IF(BQ53="",TODAY()-BP53,BQ53-BP53)</f>
        <v>20</v>
      </c>
      <c r="BT53" s="184">
        <f ca="1">BS53-BR53</f>
        <v>20</v>
      </c>
      <c r="BU53" s="362">
        <f>BZ53-$BZ$4</f>
        <v>46193</v>
      </c>
      <c r="BV53" s="332">
        <f>IF(_xlfn.XLOOKUP($E53,'[1]Import Eletra'!$B:$B,'[1]Import Eletra'!$BA:$BA,,0,1)=0,"",_xlfn.XLOOKUP($E53,'[1]Import Eletra'!$B:$B,'[1]Import Eletra'!$BA:$BA,,0,1))</f>
        <v>46196</v>
      </c>
      <c r="BW53" s="113">
        <f>$BU$4</f>
        <v>2</v>
      </c>
      <c r="BX53" s="113">
        <f ca="1">IF(BV53="",TODAY()-BU53,BV53-BU53)</f>
        <v>3</v>
      </c>
      <c r="BY53" s="184">
        <f ca="1">BX53-BW53</f>
        <v>1</v>
      </c>
      <c r="BZ53" s="335">
        <f>CE53-$CE$5</f>
        <v>46193</v>
      </c>
      <c r="CA53" s="332">
        <f>IF(_xlfn.XLOOKUP($E53,'[1]Import Eletra'!$B:$B,'[1]Import Eletra'!$BB:$BB,,0,1)=0,"",_xlfn.XLOOKUP($E53,'[1]Import Eletra'!$B:$B,'[1]Import Eletra'!$BB:$BB,,0,1))</f>
        <v>46196</v>
      </c>
      <c r="CB53" s="113">
        <f>$BZ$4</f>
        <v>0</v>
      </c>
      <c r="CC53" s="113">
        <f ca="1">IF(CA53="",TODAY()-BZ53,CA53-BZ53)</f>
        <v>3</v>
      </c>
      <c r="CD53" s="184">
        <f ca="1">CC53-CB53</f>
        <v>3</v>
      </c>
      <c r="CE53" s="362">
        <f>CJ53-$CJ$4</f>
        <v>46193</v>
      </c>
      <c r="CF53" s="332">
        <f>IF(_xlfn.XLOOKUP($E53,'[1]Import Eletra'!$B:$B,'[1]Import Eletra'!$BC:$BC,,0,1)=0,"",_xlfn.XLOOKUP($E53,'[1]Import Eletra'!$B:$B,'[1]Import Eletra'!$BC:$BC,,0,1))</f>
        <v>46196</v>
      </c>
      <c r="CG53" s="113">
        <f>$CE$4</f>
        <v>0</v>
      </c>
      <c r="CH53" s="113">
        <f ca="1">IF(CF53="",TODAY()-CE53,CF53-CE53)</f>
        <v>3</v>
      </c>
      <c r="CI53" s="184">
        <f ca="1">CH53-CG53</f>
        <v>3</v>
      </c>
      <c r="CJ53" s="335">
        <f>CO53-$CO$4</f>
        <v>46193</v>
      </c>
      <c r="CK53" s="332">
        <f>IF(_xlfn.XLOOKUP($E53,'[1]Import Eletra'!$B:$B,'[1]Import Eletra'!$BD:$BD,,0,1)=0,"",_xlfn.XLOOKUP($E53,'[1]Import Eletra'!$B:$B,'[1]Import Eletra'!$BD:$BD,,0,1))</f>
        <v>46190</v>
      </c>
      <c r="CL53" s="113"/>
      <c r="CM53" s="113">
        <f ca="1">IF(CK53="",TODAY()-CJ53,CK53-CJ53)</f>
        <v>-3</v>
      </c>
      <c r="CN53" s="184">
        <f ca="1">CM53-CL53</f>
        <v>-3</v>
      </c>
      <c r="CO53" s="362">
        <f>CT53-$CT$4</f>
        <v>46193</v>
      </c>
      <c r="CP53" s="332">
        <f>IF(_xlfn.XLOOKUP($E53,'[1]Import Eletra'!$B:$B,'[1]Import Eletra'!$BE:$BE,,0,1)=0,"",_xlfn.XLOOKUP($E53,'[1]Import Eletra'!$B:$B,'[1]Import Eletra'!$BE:$BE,,0,1))</f>
        <v>46191</v>
      </c>
      <c r="CQ53" s="113">
        <f>$CO$4</f>
        <v>0</v>
      </c>
      <c r="CR53" s="113">
        <f ca="1">IF(CP53="",TODAY()-CO53,CP53-CO53)</f>
        <v>-2</v>
      </c>
      <c r="CS53" s="184">
        <f ca="1">CR53-CQ53</f>
        <v>-2</v>
      </c>
      <c r="CT53" s="335">
        <f>CY53-$CY$4</f>
        <v>46193</v>
      </c>
      <c r="CU53" s="332">
        <f>IF(_xlfn.XLOOKUP($E53,'[1]Import Eletra'!$B:$B,'[1]Import Eletra'!$BF:$BF,,0,1)=0,"",_xlfn.XLOOKUP($E53,'[1]Import Eletra'!$B:$B,'[1]Import Eletra'!$BF:$BF,,0,1))</f>
        <v>46191</v>
      </c>
      <c r="CV53" s="113">
        <f>$CT$4</f>
        <v>0</v>
      </c>
      <c r="CW53" s="113">
        <f ca="1">IF(CU53="",TODAY()-CT53,CU53-CT53)</f>
        <v>-2</v>
      </c>
      <c r="CX53" s="184">
        <f ca="1">CW53-CV53</f>
        <v>-2</v>
      </c>
      <c r="CY53" s="110">
        <f>DD53-$DD$4</f>
        <v>46193</v>
      </c>
      <c r="CZ53" s="247">
        <f>IF(_xlfn.XLOOKUP($E53,'[1]Import Eletra'!$B:$B,'[1]Import Eletra'!$BF:$BF,,0,1)=0,"",_xlfn.XLOOKUP($E53,'[1]Import Eletra'!$B:$B,'[1]Import Eletra'!$BF:$BF,,0,1))</f>
        <v>46191</v>
      </c>
      <c r="DA53" s="210">
        <f>$CY$4</f>
        <v>0</v>
      </c>
      <c r="DB53" s="113">
        <f ca="1">IF(CZ53="",TODAY()-CY53,CZ53-CY53)</f>
        <v>-2</v>
      </c>
      <c r="DC53" s="184">
        <f ca="1">DB53-DA53</f>
        <v>-2</v>
      </c>
      <c r="DD53" s="110">
        <f>DI53-$DI$4</f>
        <v>46195</v>
      </c>
      <c r="DE53" s="247">
        <f>IF(_xlfn.XLOOKUP($E53,'[1]Import Eletra'!$B:$B,'[1]Import Eletra'!$BG:$BG,,0,1)=0,"",_xlfn.XLOOKUP($E53,'[1]Import Eletra'!$B:$B,'[1]Import Eletra'!$BG:$BG,0,1))</f>
        <v>46196</v>
      </c>
      <c r="DF53" s="113">
        <f>$DD$4</f>
        <v>2</v>
      </c>
      <c r="DG53" s="113">
        <f ca="1">IF(DE53="",TODAY()-DD53,DE53-DD53)</f>
        <v>1</v>
      </c>
      <c r="DH53" s="184">
        <f ca="1">DG53-DF53</f>
        <v>-1</v>
      </c>
      <c r="DI53" s="110">
        <f>DO53-$DN$4</f>
        <v>46196</v>
      </c>
      <c r="DJ53" s="247">
        <f>IF(_xlfn.XLOOKUP($E53,'[1]Import Eletra'!$B:$B,'[1]Import Eletra'!$BH:$BH,,0,1)=0,"",_xlfn.XLOOKUP($E53,'[1]Import Eletra'!$B:$B,'[1]Import Eletra'!$BH:$BH,0,1))</f>
        <v>46197</v>
      </c>
      <c r="DK53" s="112">
        <f>$DI$4</f>
        <v>1</v>
      </c>
      <c r="DL53" s="112">
        <f ca="1">IF(DJ53="",TODAY()-DI53,DJ53-DI53)</f>
        <v>1</v>
      </c>
      <c r="DM53" s="184">
        <f ca="1">DL53-DK53</f>
        <v>0</v>
      </c>
      <c r="DN53" s="64"/>
      <c r="DO53" s="202">
        <f>N53+DT53</f>
        <v>46197</v>
      </c>
      <c r="DP53" s="298">
        <f>IF(_xlfn.XLOOKUP($E53,'[1]Import Eletra'!$B:$B,'[1]Import Eletra'!$O:$O,,0,1)=0,"",_xlfn.XLOOKUP($E53,'[1]Import Eletra'!$B:$B,'[1]Import Eletra'!$O:$O,0,1))</f>
        <v>46197</v>
      </c>
      <c r="DQ53" s="112">
        <f>$DN$4</f>
        <v>1</v>
      </c>
      <c r="DR53" s="112">
        <f ca="1">IF(DP53="",TODAY()-DO53,DP53-DO53)</f>
        <v>0</v>
      </c>
      <c r="DS53" s="184">
        <f ca="1">DR53-DQ53</f>
        <v>-1</v>
      </c>
      <c r="DT53" s="143">
        <v>10</v>
      </c>
      <c r="DU53" s="140">
        <f ca="1">IF(DP53="",TODAY()-N53,DP53-N53)</f>
        <v>10</v>
      </c>
      <c r="DV53" s="184">
        <f ca="1">DU53-DT53</f>
        <v>0</v>
      </c>
      <c r="DX53" s="422" t="s">
        <v>361</v>
      </c>
      <c r="DY53" s="120" t="str">
        <f>IF(_xlfn.XLOOKUP($E53,'[1]Import Eletra'!$B:$B,'[1]Import Eletra'!$DW:$DW,,0,1)=0,"",_xlfn.XLOOKUP($E53,'[1]Import Eletra'!$B:$B,'[1]Import Eletra'!$DW:$DW,0,1))</f>
        <v/>
      </c>
      <c r="EB53" s="287" t="s">
        <v>273</v>
      </c>
      <c r="ED53" s="409" t="str">
        <f>IF(_xlfn.XLOOKUP($E53,'[1]Import Eletra'!$B:$B,'[1]Import Eletra'!$BQ:$BQ,,0,1)=0,"",_xlfn.XLOOKUP($E53,'[1]Import Eletra'!$B:$B,'[1]Import Eletra'!$BQ:$BQ,0,1))</f>
        <v/>
      </c>
      <c r="EE53" s="410" t="str">
        <f>IF(_xlfn.XLOOKUP($E53,'[1]Import Eletra'!$B:$B,'[1]Import Eletra'!$BR:$BR,,0,1)=0,"",_xlfn.XLOOKUP($E53,'[1]Import Eletra'!$B:$B,'[1]Import Eletra'!$BR:$BR,0,1))</f>
        <v/>
      </c>
      <c r="EF53" s="409" t="str">
        <f>IF(_xlfn.XLOOKUP($E53,'[1]Import Eletra'!$B:$B,'[1]Import Eletra'!$BS:$BS,,0,1)=0,"",_xlfn.XLOOKUP($E53,'[1]Import Eletra'!$B:$B,'[1]Import Eletra'!$BS:$BS,0,1))</f>
        <v/>
      </c>
      <c r="EG53" s="410" t="str">
        <f>IF(_xlfn.XLOOKUP($E53,'[1]Import Eletra'!$B:$B,'[1]Import Eletra'!$BT:$BT,,0,1)=0,"",_xlfn.XLOOKUP($E53,'[1]Import Eletra'!$B:$B,'[1]Import Eletra'!$BT:$BT,0,1))</f>
        <v/>
      </c>
      <c r="EH53" s="409" t="str">
        <f>IF(_xlfn.XLOOKUP($E53,'[1]Import Eletra'!$B:$B,'[1]Import Eletra'!$BU:$BU,,0,1)=0,"",_xlfn.XLOOKUP($E53,'[1]Import Eletra'!$B:$B,'[1]Import Eletra'!$BU:$BU,0,1))</f>
        <v/>
      </c>
      <c r="EI53" s="410" t="str">
        <f>IF(_xlfn.XLOOKUP($E53,'[1]Import Eletra'!$B:$B,'[1]Import Eletra'!$BV:$BV,,0,1)=0,"",_xlfn.XLOOKUP($E53,'[1]Import Eletra'!$B:$B,'[1]Import Eletra'!$BV:$BV,0,1))</f>
        <v/>
      </c>
      <c r="EJ53" s="410">
        <f>IF(_xlfn.XLOOKUP($E53,'[1]Import Eletra'!$B:$B,'[1]Import Eletra'!$CI:$CI,,0,1)=0,"",_xlfn.XLOOKUP($E53,'[1]Import Eletra'!$B:$B,'[1]Import Eletra'!$CI:$CI,0,1))</f>
        <v>46205</v>
      </c>
      <c r="EK53" s="410" t="str">
        <f>IF(_xlfn.XLOOKUP($E53,'[1]Import Eletra'!$B:$B,'[1]Import Eletra'!$CD:$CD,,0,1)=0,"",_xlfn.XLOOKUP($E53,'[1]Import Eletra'!$B:$B,'[1]Import Eletra'!$CD:$CD,0,1))</f>
        <v/>
      </c>
      <c r="EL53" s="410" t="str">
        <f>IF(_xlfn.XLOOKUP($E53,'[1]Import Eletra'!$B:$B,'[1]Import Eletra'!$CE:$CE,,0,1)=0,"",_xlfn.XLOOKUP($E53,'[1]Import Eletra'!$B:$B,'[1]Import Eletra'!$CE:$CE,0,1))</f>
        <v>NÃO</v>
      </c>
      <c r="EM53" s="411" t="str">
        <f>IF(_xlfn.XLOOKUP($E53,'[1]Import Eletra'!$B:$B,'[1]Import Eletra'!$E:$E,,0,1)=0,"",_xlfn.XLOOKUP($E53,'[1]Import Eletra'!$B:$B,'[1]Import Eletra'!$E:$E,0,1))</f>
        <v>CATARINA</v>
      </c>
      <c r="EN53" s="408" t="str">
        <f>IF(_xlfn.XLOOKUP($E53,'[1]Import Eletra'!$B:$B,'[1]Import Eletra'!$R:$R,,0,1)=0,"",_xlfn.XLOOKUP($E53,'[1]Import Eletra'!$B:$B,'[1]Import Eletra'!$R:$R,0,1))</f>
        <v>PWBR260087</v>
      </c>
      <c r="EO53" s="408" t="str">
        <f>IF(_xlfn.XLOOKUP($E53,'[1]Import Eletra'!$B:$B,'[1]Import Eletra'!$P:$P,,0,1)=0,"",_xlfn.XLOOKUP($E53,'[1]Import Eletra'!$B:$B,'[1]Import Eletra'!$P:$P,0,1))</f>
        <v>SDBLBS598556</v>
      </c>
      <c r="EP53" s="408" t="str">
        <f>IF(_xlfn.XLOOKUP($E53,'[1]Import Eletra'!$B:$B,'[1]Import Eletra'!$T:$T,,0,1)=0,"",_xlfn.XLOOKUP($E53,'[1]Import Eletra'!$B:$B,'[1]Import Eletra'!$T:$T,0,1))</f>
        <v>MSMU7142024, TGHU9800803</v>
      </c>
    </row>
    <row r="54" spans="2:146" ht="30" customHeight="1">
      <c r="B54" s="371" t="s">
        <v>336</v>
      </c>
      <c r="C54" s="369">
        <v>13</v>
      </c>
      <c r="D54" s="104" t="str">
        <f>IF(_xlfn.XLOOKUP($E54,'[1]Import Eletra'!$B:$B,'[1]Import Eletra'!$A:$A,,0,1)=0,"",_xlfn.XLOOKUP($E54,'[1]Import Eletra'!$B:$B,'[1]Import Eletra'!$A:$A,,0,1))</f>
        <v>JUL_2026</v>
      </c>
      <c r="E54" s="322" t="s">
        <v>287</v>
      </c>
      <c r="F54" s="106">
        <f>IF(_xlfn.XLOOKUP($E54,'[1]Import Eletra'!$B:$B,'[1]Import Eletra'!$U:$U,,0,1)=0,"",_xlfn.XLOOKUP($E54,'[1]Import Eletra'!$B:$B,'[1]Import Eletra'!$U:$U,,0,1))</f>
        <v>3</v>
      </c>
      <c r="G54" s="301" t="s">
        <v>244</v>
      </c>
      <c r="H54" s="2" t="str">
        <f>_xlfn.XLOOKUP($E54,'[1]Import Eletra'!$B:$B,'[1]Import Eletra'!$F:$F,,0,1)</f>
        <v>DELIVERED</v>
      </c>
      <c r="I54" s="108" t="str">
        <f>_xlfn.XLOOKUP($E54,'[1]Import Eletra'!$B:$B,'[1]Import Eletra'!$G:$G,,0,1)</f>
        <v>SEA</v>
      </c>
      <c r="J54" s="326">
        <v>46130</v>
      </c>
      <c r="K54" s="109">
        <v>30</v>
      </c>
      <c r="L54" s="109">
        <f>M54-J54</f>
        <v>9</v>
      </c>
      <c r="M54" s="326">
        <f>IF(_xlfn.XLOOKUP($E54,'[1]Import Eletra'!$B:$B,'[1]Import Eletra'!$J:$J,,0,1)=0,"",_xlfn.XLOOKUP($E54,'[1]Import Eletra'!$B:$B,'[1]Import Eletra'!$J:$J,,0,1))</f>
        <v>46139</v>
      </c>
      <c r="N54" s="333">
        <f>IF(_xlfn.XLOOKUP($E54,'[1]Import Eletra'!$B:$B,'[1]Import Eletra'!$L:$L,,0,1)=0,"",_xlfn.XLOOKUP($E54,'[1]Import Eletra'!$B:$B,'[1]Import Eletra'!$L:$L,,0,1))</f>
        <v>46203</v>
      </c>
      <c r="O54" s="335">
        <f>IF(_xlfn.XLOOKUP($E54,'[1]Import Eletra'!$B:$B,'[1]Import Eletra'!$AK:$AK,,0,1)=0,"",_xlfn.XLOOKUP($E54,'[1]Import Eletra'!$B:$B,'[1]Import Eletra'!$AK:$AK,,0,1))</f>
        <v>46157</v>
      </c>
      <c r="P54" s="326">
        <f>IF(_xlfn.XLOOKUP($E54,'[1]Import Eletra'!$B:$B,'[1]Import Eletra'!$AL:$AL,,0,1)=0,"",_xlfn.XLOOKUP($E54,'[1]Import Eletra'!$B:$B,'[1]Import Eletra'!$AL:$AL,,0,1))</f>
        <v>46168</v>
      </c>
      <c r="Q54" s="372">
        <f>IF(_xlfn.XLOOKUP($E54,'[1]Import Eletra'!$B:$B,'[1]Import Eletra'!$AM:$AM,,0,1)=0,"",_xlfn.XLOOKUP($E54,'[1]Import Eletra'!$B:$B,'[1]Import Eletra'!$AM:$AM,,0,1))</f>
        <v>46176</v>
      </c>
      <c r="R54" s="326">
        <f>IF(_xlfn.XLOOKUP($E54,'[1]Import Eletra'!$B:$B,'[1]Import Eletra'!$AN:$AN,,0,1)=0,"",_xlfn.XLOOKUP($E54,'[1]Import Eletra'!$B:$B,'[1]Import Eletra'!$AN:$AN,,0,1))</f>
        <v>46176</v>
      </c>
      <c r="S54" s="326">
        <f>IF(_xlfn.XLOOKUP($E54,'[1]Import Eletra'!$B:$B,'[1]Import Eletra'!$AO:$AO,,0,1)=0,"",_xlfn.XLOOKUP($E54,'[1]Import Eletra'!$B:$B,'[1]Import Eletra'!$AO:$AO,,0,1))</f>
        <v>46176</v>
      </c>
      <c r="T54" s="326">
        <f>IF(_xlfn.XLOOKUP($E54,'[1]Import Eletra'!$B:$B,'[1]Import Eletra'!$AP:$AP,,0,1)=0,"",_xlfn.XLOOKUP($E54,'[1]Import Eletra'!$B:$B,'[1]Import Eletra'!$AP:$AP,,0,1))</f>
        <v>46178</v>
      </c>
      <c r="U54" s="326">
        <f>IF(_xlfn.XLOOKUP($E54,'[1]Import Eletra'!$B:$B,'[1]Import Eletra'!$AQ:$AQ,,0,1)=0,"",_xlfn.XLOOKUP($E54,'[1]Import Eletra'!$B:$B,'[1]Import Eletra'!$AQ:$AQ,,0,1))</f>
        <v>46178</v>
      </c>
      <c r="V54" s="343">
        <f>IF(_xlfn.XLOOKUP($E54,'[1]Import Eletra'!$B:$B,'[1]Import Eletra'!$AR:$AR,,0,1)=0,"",_xlfn.XLOOKUP($E54,'[1]Import Eletra'!$B:$B,'[1]Import Eletra'!$AR:$AR,,0,1))</f>
        <v>46204</v>
      </c>
      <c r="W54" s="335">
        <f>AB54-$AB$5</f>
        <v>46204</v>
      </c>
      <c r="X54" s="332">
        <f>IF(_xlfn.XLOOKUP($E54,'[1]Import Eletra'!$B:$B,'[1]Import Eletra'!$AS:$AS,,0,1)=0,"",_xlfn.XLOOKUP($E54,'[1]Import Eletra'!$B:$B,'[1]Import Eletra'!$AS:$AS,,0,1))</f>
        <v>46204</v>
      </c>
      <c r="Y54" s="113">
        <f>$W$4</f>
        <v>0</v>
      </c>
      <c r="Z54" s="113">
        <f ca="1">IF(X54="",TODAY()-W54,X54-W54)</f>
        <v>0</v>
      </c>
      <c r="AA54" s="184">
        <f ca="1">Z54-Y54</f>
        <v>0</v>
      </c>
      <c r="AB54" s="348">
        <f>AG54-$AB$5</f>
        <v>46205</v>
      </c>
      <c r="AC54" s="332">
        <f>IF(_xlfn.XLOOKUP($E54,'[1]Import Eletra'!$B:$B,'[1]Import Eletra'!$AD:$AD,,0,1)=0,"",_xlfn.XLOOKUP($E54,'[1]Import Eletra'!$B:$B,'[1]Import Eletra'!$AD:$AD,,0,1))</f>
        <v>46204</v>
      </c>
      <c r="AD54" s="113">
        <f>$AB$4</f>
        <v>0</v>
      </c>
      <c r="AE54" s="113">
        <f ca="1">IF(AC54="",TODAY()-AB54,AC54-AB54)</f>
        <v>-1</v>
      </c>
      <c r="AF54" s="184">
        <f ca="1">AE54-AD54</f>
        <v>-1</v>
      </c>
      <c r="AG54" s="355">
        <f>AL54-$AL$5</f>
        <v>46206</v>
      </c>
      <c r="AH54" s="332">
        <f>IF(_xlfn.XLOOKUP($E54,'[1]Import Eletra'!$B:$B,'[1]Import Eletra'!$AE:$AE,,0,1)=0,"",_xlfn.XLOOKUP($E54,'[1]Import Eletra'!$B:$B,'[1]Import Eletra'!$AE:$AE,,0,1))</f>
        <v>46204</v>
      </c>
      <c r="AI54" s="113">
        <f>$AG$4</f>
        <v>0</v>
      </c>
      <c r="AJ54" s="113">
        <f ca="1">IF(AH54="",TODAY()-AG54,AH54-AG54)</f>
        <v>-2</v>
      </c>
      <c r="AK54" s="184">
        <f ca="1">AJ54-AI54</f>
        <v>-2</v>
      </c>
      <c r="AL54" s="355">
        <f>AQ54-$AQ$5</f>
        <v>46206</v>
      </c>
      <c r="AM54" s="332">
        <f>IF(_xlfn.XLOOKUP($E54,'[1]Import Eletra'!$B:$B,'[1]Import Eletra'!$AT:$AT,,0,1)=0,"",_xlfn.XLOOKUP($E54,'[1]Import Eletra'!$B:$B,'[1]Import Eletra'!$AT:$AT,,0,1))</f>
        <v>46204</v>
      </c>
      <c r="AN54" s="113">
        <f>$AL$4</f>
        <v>0</v>
      </c>
      <c r="AO54" s="113">
        <f ca="1">IF(AM54="",TODAY()-AL54,AM54-AL54)</f>
        <v>-2</v>
      </c>
      <c r="AP54" s="184">
        <f ca="1">AO54-AN54</f>
        <v>-2</v>
      </c>
      <c r="AQ54" s="357">
        <f>AV54-$AV$5</f>
        <v>46207</v>
      </c>
      <c r="AR54" s="332">
        <f>IF(_xlfn.XLOOKUP($E54,'[1]Import Eletra'!$B:$B,'[1]Import Eletra'!$AU:$AU,,0,1)=0,"",_xlfn.XLOOKUP($E54,'[1]Import Eletra'!$B:$B,'[1]Import Eletra'!$AU:$AU,,0,1))</f>
        <v>46204</v>
      </c>
      <c r="AS54" s="113">
        <f>$AQ$4</f>
        <v>1</v>
      </c>
      <c r="AT54" s="113">
        <f ca="1">IF(AR54="",TODAY()-AQ54,AR54-AQ54)</f>
        <v>-3</v>
      </c>
      <c r="AU54" s="184">
        <f ca="1">AT54-AS54</f>
        <v>-4</v>
      </c>
      <c r="AV54" s="355">
        <f>BA54-$BA$5</f>
        <v>46207</v>
      </c>
      <c r="AW54" s="332" t="str">
        <f>IF(_xlfn.XLOOKUP($E54,'[1]Import Eletra'!$B:$B,'[1]Import Eletra'!$AV:$AV,,0,1)=0,"",_xlfn.XLOOKUP($E54,'[1]Import Eletra'!$B:$B,'[1]Import Eletra'!$AV:$AV,,0,1))</f>
        <v/>
      </c>
      <c r="AX54" s="113">
        <f>$AV$4</f>
        <v>0</v>
      </c>
      <c r="AY54" s="113">
        <f ca="1">IF(AW54="",TODAY()-AV54,AW54-AV54)</f>
        <v>4</v>
      </c>
      <c r="AZ54" s="184">
        <f ca="1">AY54-AX54</f>
        <v>4</v>
      </c>
      <c r="BA54" s="357">
        <f>BF54-$BF$5</f>
        <v>46207</v>
      </c>
      <c r="BB54" s="332" t="str">
        <f>IF(_xlfn.XLOOKUP($E54,'[1]Import Eletra'!$B:$B,'[1]Import Eletra'!$AW:$AW,,0,1)=0,"",_xlfn.XLOOKUP($E54,'[1]Import Eletra'!$B:$B,'[1]Import Eletra'!$AW:$AW,,0,1))</f>
        <v/>
      </c>
      <c r="BC54" s="113">
        <f>$BA$4</f>
        <v>0</v>
      </c>
      <c r="BD54" s="113">
        <f ca="1">IF(BB54="",TODAY()-BA54,BB54-BA54)</f>
        <v>4</v>
      </c>
      <c r="BE54" s="184">
        <f ca="1">BD54-BC54</f>
        <v>4</v>
      </c>
      <c r="BF54" s="335">
        <f>BK54-$BK$5</f>
        <v>46207</v>
      </c>
      <c r="BG54" s="332" t="str">
        <f>IF(_xlfn.XLOOKUP($E54,'[1]Import Eletra'!$B:$B,'[1]Import Eletra'!$AX:$AX,,0,1)=0,"",_xlfn.XLOOKUP($E54,'[1]Import Eletra'!$B:$B,'[1]Import Eletra'!$AX:$AX,,0,1))</f>
        <v/>
      </c>
      <c r="BH54" s="113">
        <f>$BF$4</f>
        <v>0</v>
      </c>
      <c r="BI54" s="113">
        <f ca="1">IF(BG54="",TODAY()-BF54,BG54-BF54)</f>
        <v>4</v>
      </c>
      <c r="BJ54" s="184">
        <f ca="1">BI54-BH54</f>
        <v>4</v>
      </c>
      <c r="BK54" s="362">
        <f>BP54-$BP$5</f>
        <v>46207</v>
      </c>
      <c r="BL54" s="332" t="str">
        <f>IF(_xlfn.XLOOKUP($E54,'[1]Import Eletra'!$B:$B,'[1]Import Eletra'!$AY:$AY,,0,1)=0,"",_xlfn.XLOOKUP($E54,'[1]Import Eletra'!$B:$B,'[1]Import Eletra'!$AY:$AY,,0,1))</f>
        <v/>
      </c>
      <c r="BM54" s="113">
        <f>$BK$4</f>
        <v>0</v>
      </c>
      <c r="BN54" s="113">
        <f ca="1">IF(BL54="",TODAY()-BK54,BL54-BK54)</f>
        <v>4</v>
      </c>
      <c r="BO54" s="184">
        <f ca="1">BN54-BM54</f>
        <v>4</v>
      </c>
      <c r="BP54" s="335">
        <f>BU54-$BU$5</f>
        <v>46207</v>
      </c>
      <c r="BQ54" s="332" t="str">
        <f>IF(_xlfn.XLOOKUP($E54,'[1]Import Eletra'!$B:$B,'[1]Import Eletra'!$AZ:$AZ,,0,1)=0,"",_xlfn.XLOOKUP($E54,'[1]Import Eletra'!$B:$B,'[1]Import Eletra'!$AZ:$AZ,,0,1))</f>
        <v/>
      </c>
      <c r="BR54" s="113">
        <f>$BP$4</f>
        <v>0</v>
      </c>
      <c r="BS54" s="113">
        <f ca="1">IF(BQ54="",TODAY()-BP54,BQ54-BP54)</f>
        <v>4</v>
      </c>
      <c r="BT54" s="184">
        <f ca="1">BS54-BR54</f>
        <v>4</v>
      </c>
      <c r="BU54" s="362">
        <f>BZ54-$BZ$4</f>
        <v>46209</v>
      </c>
      <c r="BV54" s="332">
        <f>IF(_xlfn.XLOOKUP($E54,'[1]Import Eletra'!$B:$B,'[1]Import Eletra'!$BA:$BA,,0,1)=0,"",_xlfn.XLOOKUP($E54,'[1]Import Eletra'!$B:$B,'[1]Import Eletra'!$BA:$BA,,0,1))</f>
        <v>46209</v>
      </c>
      <c r="BW54" s="113">
        <f>$BU$4</f>
        <v>2</v>
      </c>
      <c r="BX54" s="113">
        <f ca="1">IF(BV54="",TODAY()-BU54,BV54-BU54)</f>
        <v>0</v>
      </c>
      <c r="BY54" s="184">
        <f ca="1">BX54-BW54</f>
        <v>-2</v>
      </c>
      <c r="BZ54" s="335">
        <f>CE54-$CE$5</f>
        <v>46209</v>
      </c>
      <c r="CA54" s="332">
        <f>IF(_xlfn.XLOOKUP($E54,'[1]Import Eletra'!$B:$B,'[1]Import Eletra'!$BB:$BB,,0,1)=0,"",_xlfn.XLOOKUP($E54,'[1]Import Eletra'!$B:$B,'[1]Import Eletra'!$BB:$BB,,0,1))</f>
        <v>46209</v>
      </c>
      <c r="CB54" s="113">
        <f>$BZ$4</f>
        <v>0</v>
      </c>
      <c r="CC54" s="113">
        <f ca="1">IF(CA54="",TODAY()-BZ54,CA54-BZ54)</f>
        <v>0</v>
      </c>
      <c r="CD54" s="184">
        <f ca="1">CC54-CB54</f>
        <v>0</v>
      </c>
      <c r="CE54" s="362">
        <f>CJ54-$CJ$4</f>
        <v>46209</v>
      </c>
      <c r="CF54" s="332">
        <f>IF(_xlfn.XLOOKUP($E54,'[1]Import Eletra'!$B:$B,'[1]Import Eletra'!$BC:$BC,,0,1)=0,"",_xlfn.XLOOKUP($E54,'[1]Import Eletra'!$B:$B,'[1]Import Eletra'!$BC:$BC,,0,1))</f>
        <v>46210</v>
      </c>
      <c r="CG54" s="113">
        <f>$CE$4</f>
        <v>0</v>
      </c>
      <c r="CH54" s="113">
        <f ca="1">IF(CF54="",TODAY()-CE54,CF54-CE54)</f>
        <v>1</v>
      </c>
      <c r="CI54" s="184">
        <f ca="1">CH54-CG54</f>
        <v>1</v>
      </c>
      <c r="CJ54" s="335">
        <f>CO54-$CO$4</f>
        <v>46209</v>
      </c>
      <c r="CK54" s="332">
        <f>IF(_xlfn.XLOOKUP($E54,'[1]Import Eletra'!$B:$B,'[1]Import Eletra'!$BD:$BD,,0,1)=0,"",_xlfn.XLOOKUP($E54,'[1]Import Eletra'!$B:$B,'[1]Import Eletra'!$BD:$BD,,0,1))</f>
        <v>46204</v>
      </c>
      <c r="CL54" s="113"/>
      <c r="CM54" s="113">
        <f ca="1">IF(CK54="",TODAY()-CJ54,CK54-CJ54)</f>
        <v>-5</v>
      </c>
      <c r="CN54" s="184">
        <f ca="1">CM54-CL54</f>
        <v>-5</v>
      </c>
      <c r="CO54" s="362">
        <f>CT54-$CT$4</f>
        <v>46209</v>
      </c>
      <c r="CP54" s="332">
        <f>IF(_xlfn.XLOOKUP($E54,'[1]Import Eletra'!$B:$B,'[1]Import Eletra'!$BE:$BE,,0,1)=0,"",_xlfn.XLOOKUP($E54,'[1]Import Eletra'!$B:$B,'[1]Import Eletra'!$BE:$BE,,0,1))</f>
        <v>46205</v>
      </c>
      <c r="CQ54" s="113">
        <f>$CO$4</f>
        <v>0</v>
      </c>
      <c r="CR54" s="113">
        <f ca="1">IF(CP54="",TODAY()-CO54,CP54-CO54)</f>
        <v>-4</v>
      </c>
      <c r="CS54" s="184">
        <f ca="1">CR54-CQ54</f>
        <v>-4</v>
      </c>
      <c r="CT54" s="335">
        <f>CY54-$CY$4</f>
        <v>46209</v>
      </c>
      <c r="CU54" s="332">
        <f>IF(_xlfn.XLOOKUP($E54,'[1]Import Eletra'!$B:$B,'[1]Import Eletra'!$BF:$BF,,0,1)=0,"",_xlfn.XLOOKUP($E54,'[1]Import Eletra'!$B:$B,'[1]Import Eletra'!$BF:$BF,,0,1))</f>
        <v>46205</v>
      </c>
      <c r="CV54" s="113">
        <f>$CT$4</f>
        <v>0</v>
      </c>
      <c r="CW54" s="113">
        <f ca="1">IF(CU54="",TODAY()-CT54,CU54-CT54)</f>
        <v>-4</v>
      </c>
      <c r="CX54" s="184">
        <f ca="1">CW54-CV54</f>
        <v>-4</v>
      </c>
      <c r="CY54" s="110">
        <f>DD54-$DD$4</f>
        <v>46209</v>
      </c>
      <c r="CZ54" s="247">
        <f>IF(_xlfn.XLOOKUP($E54,'[1]Import Eletra'!$B:$B,'[1]Import Eletra'!$BF:$BF,,0,1)=0,"",_xlfn.XLOOKUP($E54,'[1]Import Eletra'!$B:$B,'[1]Import Eletra'!$BF:$BF,,0,1))</f>
        <v>46205</v>
      </c>
      <c r="DA54" s="210">
        <f>$CY$4</f>
        <v>0</v>
      </c>
      <c r="DB54" s="113">
        <f ca="1">IF(CZ54="",TODAY()-CY54,CZ54-CY54)</f>
        <v>-4</v>
      </c>
      <c r="DC54" s="184">
        <f ca="1">DB54-DA54</f>
        <v>-4</v>
      </c>
      <c r="DD54" s="110">
        <f>DI54-$DI$4</f>
        <v>46211</v>
      </c>
      <c r="DE54" s="247">
        <f>IF(_xlfn.XLOOKUP($E54,'[1]Import Eletra'!$B:$B,'[1]Import Eletra'!$BG:$BG,,0,1)=0,"",_xlfn.XLOOKUP($E54,'[1]Import Eletra'!$B:$B,'[1]Import Eletra'!$BG:$BG,0,1))</f>
        <v>46209</v>
      </c>
      <c r="DF54" s="113">
        <f>$DD$4</f>
        <v>2</v>
      </c>
      <c r="DG54" s="113">
        <f ca="1">IF(DE54="",TODAY()-DD54,DE54-DD54)</f>
        <v>-2</v>
      </c>
      <c r="DH54" s="184">
        <f ca="1">DG54-DF54</f>
        <v>-4</v>
      </c>
      <c r="DI54" s="110">
        <f>DO54-$DN$4</f>
        <v>46212</v>
      </c>
      <c r="DJ54" s="247">
        <f>IF(_xlfn.XLOOKUP($E54,'[1]Import Eletra'!$B:$B,'[1]Import Eletra'!$BH:$BH,,0,1)=0,"",_xlfn.XLOOKUP($E54,'[1]Import Eletra'!$B:$B,'[1]Import Eletra'!$BH:$BH,0,1))</f>
        <v>46210</v>
      </c>
      <c r="DK54" s="112">
        <f>$DI$4</f>
        <v>1</v>
      </c>
      <c r="DL54" s="112">
        <f ca="1">IF(DJ54="",TODAY()-DI54,DJ54-DI54)</f>
        <v>-2</v>
      </c>
      <c r="DM54" s="184">
        <f ca="1">DL54-DK54</f>
        <v>-3</v>
      </c>
      <c r="DN54" s="64"/>
      <c r="DO54" s="202">
        <f>N54+DT54</f>
        <v>46213</v>
      </c>
      <c r="DP54" s="298">
        <f>IF(_xlfn.XLOOKUP($E54,'[1]Import Eletra'!$B:$B,'[1]Import Eletra'!$O:$O,,0,1)=0,"",_xlfn.XLOOKUP($E54,'[1]Import Eletra'!$B:$B,'[1]Import Eletra'!$O:$O,0,1))</f>
        <v>46210</v>
      </c>
      <c r="DQ54" s="112">
        <f>$DN$4</f>
        <v>1</v>
      </c>
      <c r="DR54" s="112">
        <f ca="1">IF(DP54="",TODAY()-DO54,DP54-DO54)</f>
        <v>-3</v>
      </c>
      <c r="DS54" s="184">
        <f ca="1">DR54-DQ54</f>
        <v>-4</v>
      </c>
      <c r="DT54" s="143">
        <v>10</v>
      </c>
      <c r="DU54" s="140">
        <f ca="1">IF(DP54="",TODAY()-N54,DP54-N54)</f>
        <v>7</v>
      </c>
      <c r="DV54" s="184">
        <f ca="1">DU54-DT54</f>
        <v>-3</v>
      </c>
      <c r="DX54" s="422" t="s">
        <v>361</v>
      </c>
      <c r="DY54" s="108" t="str">
        <f>IF(_xlfn.XLOOKUP($E54,'[1]Import Eletra'!$B:$B,'[1]Import Eletra'!$DW:$DW,,0,1)=0,"",_xlfn.XLOOKUP($E54,'[1]Import Eletra'!$B:$B,'[1]Import Eletra'!$DW:$DW,0,1))</f>
        <v/>
      </c>
      <c r="EB54" s="287" t="s">
        <v>273</v>
      </c>
      <c r="ED54" s="409" t="str">
        <f>IF(_xlfn.XLOOKUP($E54,'[1]Import Eletra'!$B:$B,'[1]Import Eletra'!$BQ:$BQ,,0,1)=0,"",_xlfn.XLOOKUP($E54,'[1]Import Eletra'!$B:$B,'[1]Import Eletra'!$BQ:$BQ,0,1))</f>
        <v/>
      </c>
      <c r="EE54" s="410" t="str">
        <f>IF(_xlfn.XLOOKUP($E54,'[1]Import Eletra'!$B:$B,'[1]Import Eletra'!$BR:$BR,,0,1)=0,"",_xlfn.XLOOKUP($E54,'[1]Import Eletra'!$B:$B,'[1]Import Eletra'!$BR:$BR,0,1))</f>
        <v/>
      </c>
      <c r="EF54" s="409" t="str">
        <f>IF(_xlfn.XLOOKUP($E54,'[1]Import Eletra'!$B:$B,'[1]Import Eletra'!$BS:$BS,,0,1)=0,"",_xlfn.XLOOKUP($E54,'[1]Import Eletra'!$B:$B,'[1]Import Eletra'!$BS:$BS,0,1))</f>
        <v/>
      </c>
      <c r="EG54" s="410" t="str">
        <f>IF(_xlfn.XLOOKUP($E54,'[1]Import Eletra'!$B:$B,'[1]Import Eletra'!$BT:$BT,,0,1)=0,"",_xlfn.XLOOKUP($E54,'[1]Import Eletra'!$B:$B,'[1]Import Eletra'!$BT:$BT,0,1))</f>
        <v/>
      </c>
      <c r="EH54" s="409" t="str">
        <f>IF(_xlfn.XLOOKUP($E54,'[1]Import Eletra'!$B:$B,'[1]Import Eletra'!$BU:$BU,,0,1)=0,"",_xlfn.XLOOKUP($E54,'[1]Import Eletra'!$B:$B,'[1]Import Eletra'!$BU:$BU,0,1))</f>
        <v/>
      </c>
      <c r="EI54" s="410" t="str">
        <f>IF(_xlfn.XLOOKUP($E54,'[1]Import Eletra'!$B:$B,'[1]Import Eletra'!$BV:$BV,,0,1)=0,"",_xlfn.XLOOKUP($E54,'[1]Import Eletra'!$B:$B,'[1]Import Eletra'!$BV:$BV,0,1))</f>
        <v/>
      </c>
      <c r="EJ54" s="410">
        <f>IF(_xlfn.XLOOKUP($E54,'[1]Import Eletra'!$B:$B,'[1]Import Eletra'!$CI:$CI,,0,1)=0,"",_xlfn.XLOOKUP($E54,'[1]Import Eletra'!$B:$B,'[1]Import Eletra'!$CI:$CI,0,1))</f>
        <v>46221</v>
      </c>
      <c r="EK54" s="410" t="str">
        <f>IF(_xlfn.XLOOKUP($E54,'[1]Import Eletra'!$B:$B,'[1]Import Eletra'!$CD:$CD,,0,1)=0,"",_xlfn.XLOOKUP($E54,'[1]Import Eletra'!$B:$B,'[1]Import Eletra'!$CD:$CD,0,1))</f>
        <v/>
      </c>
      <c r="EL54" s="410" t="str">
        <f>IF(_xlfn.XLOOKUP($E54,'[1]Import Eletra'!$B:$B,'[1]Import Eletra'!$CE:$CE,,0,1)=0,"",_xlfn.XLOOKUP($E54,'[1]Import Eletra'!$B:$B,'[1]Import Eletra'!$CE:$CE,0,1))</f>
        <v>NÃO</v>
      </c>
      <c r="EM54" s="411" t="str">
        <f>IF(_xlfn.XLOOKUP($E54,'[1]Import Eletra'!$B:$B,'[1]Import Eletra'!$E:$E,,0,1)=0,"",_xlfn.XLOOKUP($E54,'[1]Import Eletra'!$B:$B,'[1]Import Eletra'!$E:$E,0,1))</f>
        <v>CATARINA</v>
      </c>
      <c r="EN54" s="408" t="str">
        <f>IF(_xlfn.XLOOKUP($E54,'[1]Import Eletra'!$B:$B,'[1]Import Eletra'!$R:$R,,0,1)=0,"",_xlfn.XLOOKUP($E54,'[1]Import Eletra'!$B:$B,'[1]Import Eletra'!$R:$R,0,1))</f>
        <v>PWBR260076-10</v>
      </c>
      <c r="EO54" s="408" t="str">
        <f>IF(_xlfn.XLOOKUP($E54,'[1]Import Eletra'!$B:$B,'[1]Import Eletra'!$P:$P,,0,1)=0,"",_xlfn.XLOOKUP($E54,'[1]Import Eletra'!$B:$B,'[1]Import Eletra'!$P:$P,0,1))</f>
        <v>SDBLBS597053</v>
      </c>
      <c r="EP54" s="408" t="str">
        <f>IF(_xlfn.XLOOKUP($E54,'[1]Import Eletra'!$B:$B,'[1]Import Eletra'!$T:$T,,0,1)=0,"",_xlfn.XLOOKUP($E54,'[1]Import Eletra'!$B:$B,'[1]Import Eletra'!$T:$T,0,1))</f>
        <v>CGMU540944, OTPU634300, TTNU822622</v>
      </c>
    </row>
    <row r="55" spans="2:146" ht="30" customHeight="1">
      <c r="B55" s="371"/>
      <c r="C55" s="369"/>
      <c r="D55" s="104" t="str">
        <f>IF(_xlfn.XLOOKUP($E55,'[1]Import Eletra'!$B:$B,'[1]Import Eletra'!$A:$A,,0,1)=0,"",_xlfn.XLOOKUP($E55,'[1]Import Eletra'!$B:$B,'[1]Import Eletra'!$A:$A,,0,1))</f>
        <v>AUG_2026</v>
      </c>
      <c r="E55" s="275" t="s">
        <v>362</v>
      </c>
      <c r="F55" s="106">
        <f>IF(_xlfn.XLOOKUP($E55,'[1]Import Eletra'!$B:$B,'[1]Import Eletra'!$U:$U,,0,1)=0,"",_xlfn.XLOOKUP($E55,'[1]Import Eletra'!$B:$B,'[1]Import Eletra'!$U:$U,,0,1))</f>
        <v>1</v>
      </c>
      <c r="G55" s="301" t="s">
        <v>244</v>
      </c>
      <c r="H55" s="2" t="str">
        <f>_xlfn.XLOOKUP($E55,'[1]Import Eletra'!$B:$B,'[1]Import Eletra'!$F:$F,,0,1)</f>
        <v>WAITING ARRIVAL</v>
      </c>
      <c r="I55" s="108" t="str">
        <f>_xlfn.XLOOKUP($E55,'[1]Import Eletra'!$B:$B,'[1]Import Eletra'!$G:$G,,0,1)</f>
        <v>SEA</v>
      </c>
      <c r="J55" s="326">
        <v>46143</v>
      </c>
      <c r="K55" s="109">
        <v>30</v>
      </c>
      <c r="L55" s="109">
        <f>M55-J55</f>
        <v>52</v>
      </c>
      <c r="M55" s="421">
        <f>IF(_xlfn.XLOOKUP($E55,'[1]Import Eletra'!$B:$B,'[1]Import Eletra'!$J:$J,,0,1)=0,"",_xlfn.XLOOKUP($E55,'[1]Import Eletra'!$B:$B,'[1]Import Eletra'!$J:$J,,0,1))</f>
        <v>46195</v>
      </c>
      <c r="N55" s="333">
        <f>IF(_xlfn.XLOOKUP($E55,'[1]Import Eletra'!$B:$B,'[1]Import Eletra'!$L:$L,,0,1)=0,"",_xlfn.XLOOKUP($E55,'[1]Import Eletra'!$B:$B,'[1]Import Eletra'!$L:$L,,0,1))</f>
        <v>46237</v>
      </c>
      <c r="O55" s="336"/>
      <c r="P55" s="326"/>
      <c r="Q55" s="326"/>
      <c r="R55" s="326"/>
      <c r="S55" s="326"/>
      <c r="T55" s="326"/>
      <c r="U55" s="326"/>
      <c r="V55" s="339"/>
      <c r="W55" s="335">
        <f>AB55-$AB$5</f>
        <v>46238</v>
      </c>
      <c r="X55" s="332" t="str">
        <f>IF(_xlfn.XLOOKUP($E55,'[1]Import Eletra'!$B:$B,'[1]Import Eletra'!$AS:$AS,,0,1)=0,"",_xlfn.XLOOKUP($E55,'[1]Import Eletra'!$B:$B,'[1]Import Eletra'!$AS:$AS,,0,1))</f>
        <v/>
      </c>
      <c r="Y55" s="113">
        <f>$W$4</f>
        <v>0</v>
      </c>
      <c r="Z55" s="113">
        <f ca="1">IF(X55="",TODAY()-W55,X55-W55)</f>
        <v>-27</v>
      </c>
      <c r="AA55" s="184">
        <f ca="1">Z55-Y55</f>
        <v>-27</v>
      </c>
      <c r="AB55" s="348">
        <f>AG55-$AB$5</f>
        <v>46239</v>
      </c>
      <c r="AC55" s="332" t="str">
        <f>IF(_xlfn.XLOOKUP($E55,'[1]Import Eletra'!$B:$B,'[1]Import Eletra'!$AD:$AD,,0,1)=0,"",_xlfn.XLOOKUP($E55,'[1]Import Eletra'!$B:$B,'[1]Import Eletra'!$AD:$AD,,0,1))</f>
        <v/>
      </c>
      <c r="AD55" s="113">
        <f>$AB$4</f>
        <v>0</v>
      </c>
      <c r="AE55" s="113">
        <f ca="1">IF(AC55="",TODAY()-AB55,AC55-AB55)</f>
        <v>-28</v>
      </c>
      <c r="AF55" s="184">
        <f ca="1">AE55-AD55</f>
        <v>-28</v>
      </c>
      <c r="AG55" s="355">
        <f>AL55-$AL$5</f>
        <v>46240</v>
      </c>
      <c r="AH55" s="332" t="str">
        <f>IF(_xlfn.XLOOKUP($E55,'[1]Import Eletra'!$B:$B,'[1]Import Eletra'!$AE:$AE,,0,1)=0,"",_xlfn.XLOOKUP($E55,'[1]Import Eletra'!$B:$B,'[1]Import Eletra'!$AE:$AE,,0,1))</f>
        <v/>
      </c>
      <c r="AI55" s="113">
        <f>$AG$4</f>
        <v>0</v>
      </c>
      <c r="AJ55" s="113">
        <f ca="1">IF(AH55="",TODAY()-AG55,AH55-AG55)</f>
        <v>-29</v>
      </c>
      <c r="AK55" s="184">
        <f ca="1">AJ55-AI55</f>
        <v>-29</v>
      </c>
      <c r="AL55" s="355">
        <f>AQ55-$AQ$5</f>
        <v>46240</v>
      </c>
      <c r="AM55" s="332" t="str">
        <f>IF(_xlfn.XLOOKUP($E55,'[1]Import Eletra'!$B:$B,'[1]Import Eletra'!$AT:$AT,,0,1)=0,"",_xlfn.XLOOKUP($E55,'[1]Import Eletra'!$B:$B,'[1]Import Eletra'!$AT:$AT,,0,1))</f>
        <v/>
      </c>
      <c r="AN55" s="113">
        <f>$AL$4</f>
        <v>0</v>
      </c>
      <c r="AO55" s="113">
        <f ca="1">IF(AM55="",TODAY()-AL55,AM55-AL55)</f>
        <v>-29</v>
      </c>
      <c r="AP55" s="184">
        <f ca="1">AO55-AN55</f>
        <v>-29</v>
      </c>
      <c r="AQ55" s="357">
        <f>AV55-$AV$5</f>
        <v>46241</v>
      </c>
      <c r="AR55" s="332" t="str">
        <f>IF(_xlfn.XLOOKUP($E55,'[1]Import Eletra'!$B:$B,'[1]Import Eletra'!$AU:$AU,,0,1)=0,"",_xlfn.XLOOKUP($E55,'[1]Import Eletra'!$B:$B,'[1]Import Eletra'!$AU:$AU,,0,1))</f>
        <v/>
      </c>
      <c r="AS55" s="113">
        <f>$AQ$4</f>
        <v>1</v>
      </c>
      <c r="AT55" s="113">
        <f ca="1">IF(AR55="",TODAY()-AQ55,AR55-AQ55)</f>
        <v>-30</v>
      </c>
      <c r="AU55" s="184">
        <f ca="1">AT55-AS55</f>
        <v>-31</v>
      </c>
      <c r="AV55" s="355">
        <f>BA55-$BA$5</f>
        <v>46241</v>
      </c>
      <c r="AW55" s="332" t="str">
        <f>IF(_xlfn.XLOOKUP($E55,'[1]Import Eletra'!$B:$B,'[1]Import Eletra'!$AV:$AV,,0,1)=0,"",_xlfn.XLOOKUP($E55,'[1]Import Eletra'!$B:$B,'[1]Import Eletra'!$AV:$AV,,0,1))</f>
        <v/>
      </c>
      <c r="AX55" s="113">
        <f>$AV$4</f>
        <v>0</v>
      </c>
      <c r="AY55" s="113">
        <f ca="1">IF(AW55="",TODAY()-AV55,AW55-AV55)</f>
        <v>-30</v>
      </c>
      <c r="AZ55" s="184">
        <f ca="1">AY55-AX55</f>
        <v>-30</v>
      </c>
      <c r="BA55" s="357">
        <f>BF55-$BF$5</f>
        <v>46241</v>
      </c>
      <c r="BB55" s="332" t="str">
        <f>IF(_xlfn.XLOOKUP($E55,'[1]Import Eletra'!$B:$B,'[1]Import Eletra'!$AW:$AW,,0,1)=0,"",_xlfn.XLOOKUP($E55,'[1]Import Eletra'!$B:$B,'[1]Import Eletra'!$AW:$AW,,0,1))</f>
        <v/>
      </c>
      <c r="BC55" s="113">
        <f>$BA$4</f>
        <v>0</v>
      </c>
      <c r="BD55" s="113">
        <f ca="1">IF(BB55="",TODAY()-BA55,BB55-BA55)</f>
        <v>-30</v>
      </c>
      <c r="BE55" s="184">
        <f ca="1">BD55-BC55</f>
        <v>-30</v>
      </c>
      <c r="BF55" s="335">
        <f>BK55-$BK$5</f>
        <v>46241</v>
      </c>
      <c r="BG55" s="332" t="str">
        <f>IF(_xlfn.XLOOKUP($E55,'[1]Import Eletra'!$B:$B,'[1]Import Eletra'!$AX:$AX,,0,1)=0,"",_xlfn.XLOOKUP($E55,'[1]Import Eletra'!$B:$B,'[1]Import Eletra'!$AX:$AX,,0,1))</f>
        <v/>
      </c>
      <c r="BH55" s="113">
        <f>$BF$4</f>
        <v>0</v>
      </c>
      <c r="BI55" s="113">
        <f ca="1">IF(BG55="",TODAY()-BF55,BG55-BF55)</f>
        <v>-30</v>
      </c>
      <c r="BJ55" s="184">
        <f ca="1">BI55-BH55</f>
        <v>-30</v>
      </c>
      <c r="BK55" s="362">
        <f>BP55-$BP$5</f>
        <v>46241</v>
      </c>
      <c r="BL55" s="332" t="str">
        <f>IF(_xlfn.XLOOKUP($E55,'[1]Import Eletra'!$B:$B,'[1]Import Eletra'!$AY:$AY,,0,1)=0,"",_xlfn.XLOOKUP($E55,'[1]Import Eletra'!$B:$B,'[1]Import Eletra'!$AY:$AY,,0,1))</f>
        <v/>
      </c>
      <c r="BM55" s="113">
        <f>$BK$4</f>
        <v>0</v>
      </c>
      <c r="BN55" s="113">
        <f ca="1">IF(BL55="",TODAY()-BK55,BL55-BK55)</f>
        <v>-30</v>
      </c>
      <c r="BO55" s="184">
        <f ca="1">BN55-BM55</f>
        <v>-30</v>
      </c>
      <c r="BP55" s="335">
        <f>BU55-$BU$5</f>
        <v>46241</v>
      </c>
      <c r="BQ55" s="332" t="str">
        <f>IF(_xlfn.XLOOKUP($E55,'[1]Import Eletra'!$B:$B,'[1]Import Eletra'!$AZ:$AZ,,0,1)=0,"",_xlfn.XLOOKUP($E55,'[1]Import Eletra'!$B:$B,'[1]Import Eletra'!$AZ:$AZ,,0,1))</f>
        <v/>
      </c>
      <c r="BR55" s="113">
        <f>$BP$4</f>
        <v>0</v>
      </c>
      <c r="BS55" s="113">
        <f ca="1">IF(BQ55="",TODAY()-BP55,BQ55-BP55)</f>
        <v>-30</v>
      </c>
      <c r="BT55" s="184">
        <f ca="1">BS55-BR55</f>
        <v>-30</v>
      </c>
      <c r="BU55" s="362">
        <f>BZ55-$BZ$4</f>
        <v>46243</v>
      </c>
      <c r="BV55" s="332" t="str">
        <f>IF(_xlfn.XLOOKUP($E55,'[1]Import Eletra'!$B:$B,'[1]Import Eletra'!$BA:$BA,,0,1)=0,"",_xlfn.XLOOKUP($E55,'[1]Import Eletra'!$B:$B,'[1]Import Eletra'!$BA:$BA,,0,1))</f>
        <v/>
      </c>
      <c r="BW55" s="113">
        <f>$BU$4</f>
        <v>2</v>
      </c>
      <c r="BX55" s="113">
        <f ca="1">IF(BV55="",TODAY()-BU55,BV55-BU55)</f>
        <v>-32</v>
      </c>
      <c r="BY55" s="184">
        <f ca="1">BX55-BW55</f>
        <v>-34</v>
      </c>
      <c r="BZ55" s="335">
        <f>CE55-$CE$5</f>
        <v>46243</v>
      </c>
      <c r="CA55" s="332" t="str">
        <f>IF(_xlfn.XLOOKUP($E55,'[1]Import Eletra'!$B:$B,'[1]Import Eletra'!$BB:$BB,,0,1)=0,"",_xlfn.XLOOKUP($E55,'[1]Import Eletra'!$B:$B,'[1]Import Eletra'!$BB:$BB,,0,1))</f>
        <v/>
      </c>
      <c r="CB55" s="113">
        <f>$BZ$4</f>
        <v>0</v>
      </c>
      <c r="CC55" s="113">
        <f ca="1">IF(CA55="",TODAY()-BZ55,CA55-BZ55)</f>
        <v>-32</v>
      </c>
      <c r="CD55" s="184">
        <f ca="1">CC55-CB55</f>
        <v>-32</v>
      </c>
      <c r="CE55" s="362">
        <f>CJ55-$CJ$4</f>
        <v>46243</v>
      </c>
      <c r="CF55" s="332" t="str">
        <f>IF(_xlfn.XLOOKUP($E55,'[1]Import Eletra'!$B:$B,'[1]Import Eletra'!$BC:$BC,,0,1)=0,"",_xlfn.XLOOKUP($E55,'[1]Import Eletra'!$B:$B,'[1]Import Eletra'!$BC:$BC,,0,1))</f>
        <v/>
      </c>
      <c r="CG55" s="113">
        <f>$CE$4</f>
        <v>0</v>
      </c>
      <c r="CH55" s="113">
        <f ca="1">IF(CF55="",TODAY()-CE55,CF55-CE55)</f>
        <v>-32</v>
      </c>
      <c r="CI55" s="184">
        <f ca="1">CH55-CG55</f>
        <v>-32</v>
      </c>
      <c r="CJ55" s="335">
        <f>CO55-$CO$4</f>
        <v>46243</v>
      </c>
      <c r="CK55" s="332" t="str">
        <f>IF(_xlfn.XLOOKUP($E55,'[1]Import Eletra'!$B:$B,'[1]Import Eletra'!$BD:$BD,,0,1)=0,"",_xlfn.XLOOKUP($E55,'[1]Import Eletra'!$B:$B,'[1]Import Eletra'!$BD:$BD,,0,1))</f>
        <v/>
      </c>
      <c r="CL55" s="113"/>
      <c r="CM55" s="113">
        <f ca="1">IF(CK55="",TODAY()-CJ55,CK55-CJ55)</f>
        <v>-32</v>
      </c>
      <c r="CN55" s="184">
        <f ca="1">CM55-CL55</f>
        <v>-32</v>
      </c>
      <c r="CO55" s="362">
        <f>CT55-$CT$4</f>
        <v>46243</v>
      </c>
      <c r="CP55" s="332" t="str">
        <f>IF(_xlfn.XLOOKUP($E55,'[1]Import Eletra'!$B:$B,'[1]Import Eletra'!$BE:$BE,,0,1)=0,"",_xlfn.XLOOKUP($E55,'[1]Import Eletra'!$B:$B,'[1]Import Eletra'!$BE:$BE,,0,1))</f>
        <v/>
      </c>
      <c r="CQ55" s="113">
        <f>$CO$4</f>
        <v>0</v>
      </c>
      <c r="CR55" s="113">
        <f ca="1">IF(CP55="",TODAY()-CO55,CP55-CO55)</f>
        <v>-32</v>
      </c>
      <c r="CS55" s="184">
        <f ca="1">CR55-CQ55</f>
        <v>-32</v>
      </c>
      <c r="CT55" s="335">
        <f>CY55-$CY$4</f>
        <v>46243</v>
      </c>
      <c r="CU55" s="332" t="str">
        <f>IF(_xlfn.XLOOKUP($E55,'[1]Import Eletra'!$B:$B,'[1]Import Eletra'!$BF:$BF,,0,1)=0,"",_xlfn.XLOOKUP($E55,'[1]Import Eletra'!$B:$B,'[1]Import Eletra'!$BF:$BF,,0,1))</f>
        <v/>
      </c>
      <c r="CV55" s="113">
        <f>$CT$4</f>
        <v>0</v>
      </c>
      <c r="CW55" s="113">
        <f ca="1">IF(CU55="",TODAY()-CT55,CU55-CT55)</f>
        <v>-32</v>
      </c>
      <c r="CX55" s="184">
        <f ca="1">CW55-CV55</f>
        <v>-32</v>
      </c>
      <c r="CY55" s="110">
        <f>DD55-$DD$4</f>
        <v>46243</v>
      </c>
      <c r="CZ55" s="247" t="str">
        <f>IF(_xlfn.XLOOKUP($E55,'[1]Import Eletra'!$B:$B,'[1]Import Eletra'!$BF:$BF,,0,1)=0,"",_xlfn.XLOOKUP($E55,'[1]Import Eletra'!$B:$B,'[1]Import Eletra'!$BF:$BF,,0,1))</f>
        <v/>
      </c>
      <c r="DA55" s="210">
        <f>$CY$4</f>
        <v>0</v>
      </c>
      <c r="DB55" s="113">
        <f ca="1">IF(CZ55="",TODAY()-CY55,CZ55-CY55)</f>
        <v>-32</v>
      </c>
      <c r="DC55" s="184">
        <f ca="1">DB55-DA55</f>
        <v>-32</v>
      </c>
      <c r="DD55" s="110">
        <f>DI55-$DI$4</f>
        <v>46245</v>
      </c>
      <c r="DE55" s="247" t="str">
        <f>IF(_xlfn.XLOOKUP($E55,'[1]Import Eletra'!$B:$B,'[1]Import Eletra'!$BG:$BG,,0,1)=0,"",_xlfn.XLOOKUP($E55,'[1]Import Eletra'!$B:$B,'[1]Import Eletra'!$BG:$BG,0,1))</f>
        <v/>
      </c>
      <c r="DF55" s="113">
        <f>$DD$4</f>
        <v>2</v>
      </c>
      <c r="DG55" s="113">
        <f ca="1">IF(DE55="",TODAY()-DD55,DE55-DD55)</f>
        <v>-34</v>
      </c>
      <c r="DH55" s="184">
        <f ca="1">DG55-DF55</f>
        <v>-36</v>
      </c>
      <c r="DI55" s="110">
        <f>DO55-$DN$4</f>
        <v>46246</v>
      </c>
      <c r="DJ55" s="247" t="str">
        <f>IF(_xlfn.XLOOKUP($E55,'[1]Import Eletra'!$B:$B,'[1]Import Eletra'!$BH:$BH,,0,1)=0,"",_xlfn.XLOOKUP($E55,'[1]Import Eletra'!$B:$B,'[1]Import Eletra'!$BH:$BH,0,1))</f>
        <v/>
      </c>
      <c r="DK55" s="112">
        <f>$DI$4</f>
        <v>1</v>
      </c>
      <c r="DL55" s="112">
        <f ca="1">IF(DJ55="",TODAY()-DI55,DJ55-DI55)</f>
        <v>-35</v>
      </c>
      <c r="DM55" s="184">
        <f ca="1">DL55-DK55</f>
        <v>-36</v>
      </c>
      <c r="DN55" s="64"/>
      <c r="DO55" s="202">
        <f>N55+DT55</f>
        <v>46247</v>
      </c>
      <c r="DP55" s="298" t="str">
        <f>IF(_xlfn.XLOOKUP($E55,'[1]Import Eletra'!$B:$B,'[1]Import Eletra'!$O:$O,,0,1)=0,"",_xlfn.XLOOKUP($E55,'[1]Import Eletra'!$B:$B,'[1]Import Eletra'!$O:$O,0,1))</f>
        <v/>
      </c>
      <c r="DQ55" s="112">
        <f>$DN$4</f>
        <v>1</v>
      </c>
      <c r="DR55" s="112">
        <f ca="1">IF(DP55="",TODAY()-DO55,DP55-DO55)</f>
        <v>-36</v>
      </c>
      <c r="DS55" s="184">
        <f ca="1">DR55-DQ55</f>
        <v>-37</v>
      </c>
      <c r="DT55" s="143">
        <v>10</v>
      </c>
      <c r="DU55" s="140">
        <f ca="1">IF(DP55="",TODAY()-N55,DP55-N55)</f>
        <v>-26</v>
      </c>
      <c r="DV55" s="184">
        <f ca="1">DU55-DT55</f>
        <v>-36</v>
      </c>
      <c r="DX55" s="142"/>
      <c r="DY55" s="108" t="str">
        <f>IF(_xlfn.XLOOKUP($E55,'[1]Import Eletra'!$B:$B,'[1]Import Eletra'!$DW:$DW,,0,1)=0,"",_xlfn.XLOOKUP($E55,'[1]Import Eletra'!$B:$B,'[1]Import Eletra'!$DW:$DW,0,1))</f>
        <v/>
      </c>
      <c r="EB55" s="287"/>
      <c r="ED55" s="409" t="str">
        <f>IF(_xlfn.XLOOKUP($E55,'[1]Import Eletra'!$B:$B,'[1]Import Eletra'!$BQ:$BQ,,0,1)=0,"",_xlfn.XLOOKUP($E55,'[1]Import Eletra'!$B:$B,'[1]Import Eletra'!$BQ:$BQ,0,1))</f>
        <v/>
      </c>
      <c r="EE55" s="410" t="str">
        <f>IF(_xlfn.XLOOKUP($E55,'[1]Import Eletra'!$B:$B,'[1]Import Eletra'!$BR:$BR,,0,1)=0,"",_xlfn.XLOOKUP($E55,'[1]Import Eletra'!$B:$B,'[1]Import Eletra'!$BR:$BR,0,1))</f>
        <v/>
      </c>
      <c r="EF55" s="409" t="str">
        <f>IF(_xlfn.XLOOKUP($E55,'[1]Import Eletra'!$B:$B,'[1]Import Eletra'!$BS:$BS,,0,1)=0,"",_xlfn.XLOOKUP($E55,'[1]Import Eletra'!$B:$B,'[1]Import Eletra'!$BS:$BS,0,1))</f>
        <v/>
      </c>
      <c r="EG55" s="410" t="str">
        <f>IF(_xlfn.XLOOKUP($E55,'[1]Import Eletra'!$B:$B,'[1]Import Eletra'!$BT:$BT,,0,1)=0,"",_xlfn.XLOOKUP($E55,'[1]Import Eletra'!$B:$B,'[1]Import Eletra'!$BT:$BT,0,1))</f>
        <v/>
      </c>
      <c r="EH55" s="409" t="str">
        <f>IF(_xlfn.XLOOKUP($E55,'[1]Import Eletra'!$B:$B,'[1]Import Eletra'!$BU:$BU,,0,1)=0,"",_xlfn.XLOOKUP($E55,'[1]Import Eletra'!$B:$B,'[1]Import Eletra'!$BU:$BU,0,1))</f>
        <v/>
      </c>
      <c r="EI55" s="410" t="str">
        <f>IF(_xlfn.XLOOKUP($E55,'[1]Import Eletra'!$B:$B,'[1]Import Eletra'!$BV:$BV,,0,1)=0,"",_xlfn.XLOOKUP($E55,'[1]Import Eletra'!$B:$B,'[1]Import Eletra'!$BV:$BV,0,1))</f>
        <v/>
      </c>
      <c r="EJ55" s="410" t="str">
        <f>IF(_xlfn.XLOOKUP($E55,'[1]Import Eletra'!$B:$B,'[1]Import Eletra'!$CI:$CI,,0,1)=0,"",_xlfn.XLOOKUP($E55,'[1]Import Eletra'!$B:$B,'[1]Import Eletra'!$CI:$CI,0,1))</f>
        <v/>
      </c>
      <c r="EK55" s="410" t="str">
        <f>IF(_xlfn.XLOOKUP($E55,'[1]Import Eletra'!$B:$B,'[1]Import Eletra'!$CD:$CD,,0,1)=0,"",_xlfn.XLOOKUP($E55,'[1]Import Eletra'!$B:$B,'[1]Import Eletra'!$CD:$CD,0,1))</f>
        <v/>
      </c>
      <c r="EL55" s="410" t="str">
        <f>IF(_xlfn.XLOOKUP($E55,'[1]Import Eletra'!$B:$B,'[1]Import Eletra'!$CE:$CE,,0,1)=0,"",_xlfn.XLOOKUP($E55,'[1]Import Eletra'!$B:$B,'[1]Import Eletra'!$CE:$CE,0,1))</f>
        <v/>
      </c>
      <c r="EM55" s="411" t="str">
        <f>IF(_xlfn.XLOOKUP($E55,'[1]Import Eletra'!$B:$B,'[1]Import Eletra'!$E:$E,,0,1)=0,"",_xlfn.XLOOKUP($E55,'[1]Import Eletra'!$B:$B,'[1]Import Eletra'!$E:$E,0,1))</f>
        <v>CATARINA</v>
      </c>
      <c r="EN55" s="408" t="str">
        <f>IF(_xlfn.XLOOKUP($E55,'[1]Import Eletra'!$B:$B,'[1]Import Eletra'!$R:$R,,0,1)=0,"",_xlfn.XLOOKUP($E55,'[1]Import Eletra'!$B:$B,'[1]Import Eletra'!$R:$R,0,1))</f>
        <v>PWBR260089-10D</v>
      </c>
      <c r="EO55" s="408" t="str">
        <f>IF(_xlfn.XLOOKUP($E55,'[1]Import Eletra'!$B:$B,'[1]Import Eletra'!$P:$P,,0,1)=0,"",_xlfn.XLOOKUP($E55,'[1]Import Eletra'!$B:$B,'[1]Import Eletra'!$P:$P,0,1))</f>
        <v>SDBLBS603286</v>
      </c>
      <c r="EP55" s="408" t="str">
        <f>IF(_xlfn.XLOOKUP($E55,'[1]Import Eletra'!$B:$B,'[1]Import Eletra'!$T:$T,,0,1)=0,"",_xlfn.XLOOKUP($E55,'[1]Import Eletra'!$B:$B,'[1]Import Eletra'!$T:$T,0,1))</f>
        <v>MSMU4126349</v>
      </c>
    </row>
    <row r="56" spans="2:146" ht="30" customHeight="1">
      <c r="B56" s="371" t="s">
        <v>336</v>
      </c>
      <c r="C56" s="369"/>
      <c r="D56" s="104" t="str">
        <f>IF(_xlfn.XLOOKUP($E56,'[1]Import Eletra'!$B:$B,'[1]Import Eletra'!$A:$A,,0,1)=0,"",_xlfn.XLOOKUP($E56,'[1]Import Eletra'!$B:$B,'[1]Import Eletra'!$A:$A,,0,1))</f>
        <v>AUG_2026</v>
      </c>
      <c r="E56" s="322" t="s">
        <v>363</v>
      </c>
      <c r="F56" s="106">
        <f>IF(_xlfn.XLOOKUP($E56,'[1]Import Eletra'!$B:$B,'[1]Import Eletra'!$U:$U,,0,1)=0,"",_xlfn.XLOOKUP($E56,'[1]Import Eletra'!$B:$B,'[1]Import Eletra'!$U:$U,,0,1))</f>
        <v>3</v>
      </c>
      <c r="G56" s="301" t="s">
        <v>244</v>
      </c>
      <c r="H56" s="2" t="str">
        <f>_xlfn.XLOOKUP($E56,'[1]Import Eletra'!$B:$B,'[1]Import Eletra'!$F:$F,,0,1)</f>
        <v>WAITING ARRIVAL</v>
      </c>
      <c r="I56" s="108" t="str">
        <f>_xlfn.XLOOKUP($E56,'[1]Import Eletra'!$B:$B,'[1]Import Eletra'!$G:$G,,0,1)</f>
        <v>SEA</v>
      </c>
      <c r="J56" s="326">
        <f>IF(_xlfn.XLOOKUP($E56,'[1]Import Eletra'!$B:$B,'[1]Import Eletra'!$DX:$DX,,0,1)=0,"",_xlfn.XLOOKUP($E56,'[1]Import Eletra'!$B:$B,'[1]Import Eletra'!$DX:$DX,,0,1))</f>
        <v>46144</v>
      </c>
      <c r="K56" s="109">
        <v>30</v>
      </c>
      <c r="L56" s="109">
        <f>M56-J56</f>
        <v>32</v>
      </c>
      <c r="M56" s="326">
        <f>IF(_xlfn.XLOOKUP($E56,'[1]Import Eletra'!$B:$B,'[1]Import Eletra'!$J:$J,,0,1)=0,"",_xlfn.XLOOKUP($E56,'[1]Import Eletra'!$B:$B,'[1]Import Eletra'!$J:$J,,0,1))</f>
        <v>46176</v>
      </c>
      <c r="N56" s="333">
        <f>IF(_xlfn.XLOOKUP($E56,'[1]Import Eletra'!$B:$B,'[1]Import Eletra'!$L:$L,,0,1)=0,"",_xlfn.XLOOKUP($E56,'[1]Import Eletra'!$B:$B,'[1]Import Eletra'!$L:$L,,0,1))</f>
        <v>46231</v>
      </c>
      <c r="O56" s="336">
        <f>IF(_xlfn.XLOOKUP($E56,'[1]Import Eletra'!$B:$B,'[1]Import Eletra'!$AK:$AK,,0,1)=0,"",_xlfn.XLOOKUP($E56,'[1]Import Eletra'!$B:$B,'[1]Import Eletra'!$AK:$AK,,0,1))</f>
        <v>46190</v>
      </c>
      <c r="P56" s="326">
        <f>IF(_xlfn.XLOOKUP($E56,'[1]Import Eletra'!$B:$B,'[1]Import Eletra'!$AL:$AL,,0,1)=0,"",_xlfn.XLOOKUP($E56,'[1]Import Eletra'!$B:$B,'[1]Import Eletra'!$AL:$AL,,0,1))</f>
        <v>46192</v>
      </c>
      <c r="Q56" s="326">
        <f>IF(_xlfn.XLOOKUP($E56,'[1]Import Eletra'!$B:$B,'[1]Import Eletra'!$AM:$AM,,0,1)=0,"",_xlfn.XLOOKUP($E56,'[1]Import Eletra'!$B:$B,'[1]Import Eletra'!$AM:$AM,,0,1))</f>
        <v>46198</v>
      </c>
      <c r="R56" s="326">
        <f>IF(_xlfn.XLOOKUP($E56,'[1]Import Eletra'!$B:$B,'[1]Import Eletra'!$AN:$AN,,0,1)=0,"",_xlfn.XLOOKUP($E56,'[1]Import Eletra'!$B:$B,'[1]Import Eletra'!$AN:$AN,,0,1))</f>
        <v>46198</v>
      </c>
      <c r="S56" s="326">
        <f>IF(_xlfn.XLOOKUP($E56,'[1]Import Eletra'!$B:$B,'[1]Import Eletra'!$AO:$AO,,0,1)=0,"",_xlfn.XLOOKUP($E56,'[1]Import Eletra'!$B:$B,'[1]Import Eletra'!$AO:$AO,,0,1))</f>
        <v>46199</v>
      </c>
      <c r="T56" s="326">
        <f>IF(_xlfn.XLOOKUP($E56,'[1]Import Eletra'!$B:$B,'[1]Import Eletra'!$AP:$AP,,0,1)=0,"",_xlfn.XLOOKUP($E56,'[1]Import Eletra'!$B:$B,'[1]Import Eletra'!$AP:$AP,,0,1))</f>
        <v>46199</v>
      </c>
      <c r="U56" s="326">
        <f>IF(_xlfn.XLOOKUP($E56,'[1]Import Eletra'!$B:$B,'[1]Import Eletra'!$AQ:$AQ,,0,1)=0,"",_xlfn.XLOOKUP($E56,'[1]Import Eletra'!$B:$B,'[1]Import Eletra'!$AQ:$AQ,,0,1))</f>
        <v>46202</v>
      </c>
      <c r="V56" s="339" t="str">
        <f>IF(_xlfn.XLOOKUP($E56,'[1]Import Eletra'!$B:$B,'[1]Import Eletra'!$AR:$AR,,0,1)=0,"",_xlfn.XLOOKUP($E56,'[1]Import Eletra'!$B:$B,'[1]Import Eletra'!$AR:$AR,,0,1))</f>
        <v/>
      </c>
      <c r="W56" s="335">
        <f>AB56-$AB$5</f>
        <v>46232</v>
      </c>
      <c r="X56" s="332" t="str">
        <f>IF(_xlfn.XLOOKUP($E56,'[1]Import Eletra'!$B:$B,'[1]Import Eletra'!$AS:$AS,,0,1)=0,"",_xlfn.XLOOKUP($E56,'[1]Import Eletra'!$B:$B,'[1]Import Eletra'!$AS:$AS,,0,1))</f>
        <v/>
      </c>
      <c r="Y56" s="113">
        <f>$W$4</f>
        <v>0</v>
      </c>
      <c r="Z56" s="113">
        <f ca="1">IF(X56="",TODAY()-W56,X56-W56)</f>
        <v>-21</v>
      </c>
      <c r="AA56" s="184">
        <f ca="1">Z56-Y56</f>
        <v>-21</v>
      </c>
      <c r="AB56" s="348">
        <f>AG56-$AB$5</f>
        <v>46233</v>
      </c>
      <c r="AC56" s="332" t="str">
        <f>IF(_xlfn.XLOOKUP($E56,'[1]Import Eletra'!$B:$B,'[1]Import Eletra'!$AD:$AD,,0,1)=0,"",_xlfn.XLOOKUP($E56,'[1]Import Eletra'!$B:$B,'[1]Import Eletra'!$AD:$AD,,0,1))</f>
        <v/>
      </c>
      <c r="AD56" s="113">
        <f>$AB$4</f>
        <v>0</v>
      </c>
      <c r="AE56" s="113">
        <f ca="1">IF(AC56="",TODAY()-AB56,AC56-AB56)</f>
        <v>-22</v>
      </c>
      <c r="AF56" s="184">
        <f ca="1">AE56-AD56</f>
        <v>-22</v>
      </c>
      <c r="AG56" s="355">
        <f>AL56-$AL$5</f>
        <v>46234</v>
      </c>
      <c r="AH56" s="332" t="str">
        <f>IF(_xlfn.XLOOKUP($E56,'[1]Import Eletra'!$B:$B,'[1]Import Eletra'!$AE:$AE,,0,1)=0,"",_xlfn.XLOOKUP($E56,'[1]Import Eletra'!$B:$B,'[1]Import Eletra'!$AE:$AE,,0,1))</f>
        <v/>
      </c>
      <c r="AI56" s="113">
        <f>$AG$4</f>
        <v>0</v>
      </c>
      <c r="AJ56" s="113">
        <f ca="1">IF(AH56="",TODAY()-AG56,AH56-AG56)</f>
        <v>-23</v>
      </c>
      <c r="AK56" s="184">
        <f ca="1">AJ56-AI56</f>
        <v>-23</v>
      </c>
      <c r="AL56" s="355">
        <f>AQ56-$AQ$5</f>
        <v>46234</v>
      </c>
      <c r="AM56" s="332" t="str">
        <f>IF(_xlfn.XLOOKUP($E56,'[1]Import Eletra'!$B:$B,'[1]Import Eletra'!$AT:$AT,,0,1)=0,"",_xlfn.XLOOKUP($E56,'[1]Import Eletra'!$B:$B,'[1]Import Eletra'!$AT:$AT,,0,1))</f>
        <v/>
      </c>
      <c r="AN56" s="113">
        <f>$AL$4</f>
        <v>0</v>
      </c>
      <c r="AO56" s="113">
        <f ca="1">IF(AM56="",TODAY()-AL56,AM56-AL56)</f>
        <v>-23</v>
      </c>
      <c r="AP56" s="184">
        <f ca="1">AO56-AN56</f>
        <v>-23</v>
      </c>
      <c r="AQ56" s="357">
        <f>AV56-$AV$5</f>
        <v>46235</v>
      </c>
      <c r="AR56" s="332" t="str">
        <f>IF(_xlfn.XLOOKUP($E56,'[1]Import Eletra'!$B:$B,'[1]Import Eletra'!$AU:$AU,,0,1)=0,"",_xlfn.XLOOKUP($E56,'[1]Import Eletra'!$B:$B,'[1]Import Eletra'!$AU:$AU,,0,1))</f>
        <v/>
      </c>
      <c r="AS56" s="113">
        <f>$AQ$4</f>
        <v>1</v>
      </c>
      <c r="AT56" s="113">
        <f ca="1">IF(AR56="",TODAY()-AQ56,AR56-AQ56)</f>
        <v>-24</v>
      </c>
      <c r="AU56" s="184">
        <f ca="1">AT56-AS56</f>
        <v>-25</v>
      </c>
      <c r="AV56" s="355">
        <f>BA56-$BA$5</f>
        <v>46235</v>
      </c>
      <c r="AW56" s="332" t="str">
        <f>IF(_xlfn.XLOOKUP($E56,'[1]Import Eletra'!$B:$B,'[1]Import Eletra'!$AV:$AV,,0,1)=0,"",_xlfn.XLOOKUP($E56,'[1]Import Eletra'!$B:$B,'[1]Import Eletra'!$AV:$AV,,0,1))</f>
        <v/>
      </c>
      <c r="AX56" s="113">
        <f>$AV$4</f>
        <v>0</v>
      </c>
      <c r="AY56" s="113">
        <f ca="1">IF(AW56="",TODAY()-AV56,AW56-AV56)</f>
        <v>-24</v>
      </c>
      <c r="AZ56" s="184">
        <f ca="1">AY56-AX56</f>
        <v>-24</v>
      </c>
      <c r="BA56" s="357">
        <f>BF56-$BF$5</f>
        <v>46235</v>
      </c>
      <c r="BB56" s="332" t="str">
        <f>IF(_xlfn.XLOOKUP($E56,'[1]Import Eletra'!$B:$B,'[1]Import Eletra'!$AW:$AW,,0,1)=0,"",_xlfn.XLOOKUP($E56,'[1]Import Eletra'!$B:$B,'[1]Import Eletra'!$AW:$AW,,0,1))</f>
        <v/>
      </c>
      <c r="BC56" s="113">
        <f>$BA$4</f>
        <v>0</v>
      </c>
      <c r="BD56" s="113">
        <f ca="1">IF(BB56="",TODAY()-BA56,BB56-BA56)</f>
        <v>-24</v>
      </c>
      <c r="BE56" s="184">
        <f ca="1">BD56-BC56</f>
        <v>-24</v>
      </c>
      <c r="BF56" s="335">
        <f>BK56-$BK$5</f>
        <v>46235</v>
      </c>
      <c r="BG56" s="332" t="str">
        <f>IF(_xlfn.XLOOKUP($E56,'[1]Import Eletra'!$B:$B,'[1]Import Eletra'!$AX:$AX,,0,1)=0,"",_xlfn.XLOOKUP($E56,'[1]Import Eletra'!$B:$B,'[1]Import Eletra'!$AX:$AX,,0,1))</f>
        <v/>
      </c>
      <c r="BH56" s="113">
        <f>$BF$4</f>
        <v>0</v>
      </c>
      <c r="BI56" s="113">
        <f ca="1">IF(BG56="",TODAY()-BF56,BG56-BF56)</f>
        <v>-24</v>
      </c>
      <c r="BJ56" s="184">
        <f ca="1">BI56-BH56</f>
        <v>-24</v>
      </c>
      <c r="BK56" s="362">
        <f>BP56-$BP$5</f>
        <v>46235</v>
      </c>
      <c r="BL56" s="332" t="str">
        <f>IF(_xlfn.XLOOKUP($E56,'[1]Import Eletra'!$B:$B,'[1]Import Eletra'!$AY:$AY,,0,1)=0,"",_xlfn.XLOOKUP($E56,'[1]Import Eletra'!$B:$B,'[1]Import Eletra'!$AY:$AY,,0,1))</f>
        <v/>
      </c>
      <c r="BM56" s="113">
        <f>$BK$4</f>
        <v>0</v>
      </c>
      <c r="BN56" s="113">
        <f ca="1">IF(BL56="",TODAY()-BK56,BL56-BK56)</f>
        <v>-24</v>
      </c>
      <c r="BO56" s="184">
        <f ca="1">BN56-BM56</f>
        <v>-24</v>
      </c>
      <c r="BP56" s="335">
        <f>BU56-$BU$5</f>
        <v>46235</v>
      </c>
      <c r="BQ56" s="332" t="str">
        <f>IF(_xlfn.XLOOKUP($E56,'[1]Import Eletra'!$B:$B,'[1]Import Eletra'!$AZ:$AZ,,0,1)=0,"",_xlfn.XLOOKUP($E56,'[1]Import Eletra'!$B:$B,'[1]Import Eletra'!$AZ:$AZ,,0,1))</f>
        <v/>
      </c>
      <c r="BR56" s="113">
        <f>$BP$4</f>
        <v>0</v>
      </c>
      <c r="BS56" s="113">
        <f ca="1">IF(BQ56="",TODAY()-BP56,BQ56-BP56)</f>
        <v>-24</v>
      </c>
      <c r="BT56" s="184">
        <f ca="1">BS56-BR56</f>
        <v>-24</v>
      </c>
      <c r="BU56" s="362">
        <f>BZ56-$BZ$4</f>
        <v>46237</v>
      </c>
      <c r="BV56" s="332" t="str">
        <f>IF(_xlfn.XLOOKUP($E56,'[1]Import Eletra'!$B:$B,'[1]Import Eletra'!$BA:$BA,,0,1)=0,"",_xlfn.XLOOKUP($E56,'[1]Import Eletra'!$B:$B,'[1]Import Eletra'!$BA:$BA,,0,1))</f>
        <v/>
      </c>
      <c r="BW56" s="113">
        <f>$BU$4</f>
        <v>2</v>
      </c>
      <c r="BX56" s="113">
        <f ca="1">IF(BV56="",TODAY()-BU56,BV56-BU56)</f>
        <v>-26</v>
      </c>
      <c r="BY56" s="184">
        <f ca="1">BX56-BW56</f>
        <v>-28</v>
      </c>
      <c r="BZ56" s="335">
        <f>CE56-$CE$5</f>
        <v>46237</v>
      </c>
      <c r="CA56" s="332" t="str">
        <f>IF(_xlfn.XLOOKUP($E56,'[1]Import Eletra'!$B:$B,'[1]Import Eletra'!$BB:$BB,,0,1)=0,"",_xlfn.XLOOKUP($E56,'[1]Import Eletra'!$B:$B,'[1]Import Eletra'!$BB:$BB,,0,1))</f>
        <v/>
      </c>
      <c r="CB56" s="113">
        <f>$BZ$4</f>
        <v>0</v>
      </c>
      <c r="CC56" s="113">
        <f ca="1">IF(CA56="",TODAY()-BZ56,CA56-BZ56)</f>
        <v>-26</v>
      </c>
      <c r="CD56" s="184">
        <f ca="1">CC56-CB56</f>
        <v>-26</v>
      </c>
      <c r="CE56" s="362">
        <f>CJ56-$CJ$4</f>
        <v>46237</v>
      </c>
      <c r="CF56" s="332" t="str">
        <f>IF(_xlfn.XLOOKUP($E56,'[1]Import Eletra'!$B:$B,'[1]Import Eletra'!$BC:$BC,,0,1)=0,"",_xlfn.XLOOKUP($E56,'[1]Import Eletra'!$B:$B,'[1]Import Eletra'!$BC:$BC,,0,1))</f>
        <v/>
      </c>
      <c r="CG56" s="113">
        <f>$CE$4</f>
        <v>0</v>
      </c>
      <c r="CH56" s="113">
        <f ca="1">IF(CF56="",TODAY()-CE56,CF56-CE56)</f>
        <v>-26</v>
      </c>
      <c r="CI56" s="184">
        <f ca="1">CH56-CG56</f>
        <v>-26</v>
      </c>
      <c r="CJ56" s="335">
        <f>CO56-$CO$4</f>
        <v>46237</v>
      </c>
      <c r="CK56" s="332" t="str">
        <f>IF(_xlfn.XLOOKUP($E56,'[1]Import Eletra'!$B:$B,'[1]Import Eletra'!$BD:$BD,,0,1)=0,"",_xlfn.XLOOKUP($E56,'[1]Import Eletra'!$B:$B,'[1]Import Eletra'!$BD:$BD,,0,1))</f>
        <v/>
      </c>
      <c r="CL56" s="113"/>
      <c r="CM56" s="113">
        <f ca="1">IF(CK56="",TODAY()-CJ56,CK56-CJ56)</f>
        <v>-26</v>
      </c>
      <c r="CN56" s="184">
        <f ca="1">CM56-CL56</f>
        <v>-26</v>
      </c>
      <c r="CO56" s="362">
        <f>CT56-$CT$4</f>
        <v>46237</v>
      </c>
      <c r="CP56" s="332" t="str">
        <f>IF(_xlfn.XLOOKUP($E56,'[1]Import Eletra'!$B:$B,'[1]Import Eletra'!$BE:$BE,,0,1)=0,"",_xlfn.XLOOKUP($E56,'[1]Import Eletra'!$B:$B,'[1]Import Eletra'!$BE:$BE,,0,1))</f>
        <v/>
      </c>
      <c r="CQ56" s="113">
        <f>$CO$4</f>
        <v>0</v>
      </c>
      <c r="CR56" s="113">
        <f ca="1">IF(CP56="",TODAY()-CO56,CP56-CO56)</f>
        <v>-26</v>
      </c>
      <c r="CS56" s="184">
        <f ca="1">CR56-CQ56</f>
        <v>-26</v>
      </c>
      <c r="CT56" s="335">
        <f>CY56-$CY$4</f>
        <v>46237</v>
      </c>
      <c r="CU56" s="332" t="str">
        <f>IF(_xlfn.XLOOKUP($E56,'[1]Import Eletra'!$B:$B,'[1]Import Eletra'!$BF:$BF,,0,1)=0,"",_xlfn.XLOOKUP($E56,'[1]Import Eletra'!$B:$B,'[1]Import Eletra'!$BF:$BF,,0,1))</f>
        <v/>
      </c>
      <c r="CV56" s="113">
        <f>$CT$4</f>
        <v>0</v>
      </c>
      <c r="CW56" s="113">
        <f ca="1">IF(CU56="",TODAY()-CT56,CU56-CT56)</f>
        <v>-26</v>
      </c>
      <c r="CX56" s="184">
        <f ca="1">CW56-CV56</f>
        <v>-26</v>
      </c>
      <c r="CY56" s="110">
        <f>DD56-$DD$4</f>
        <v>46237</v>
      </c>
      <c r="CZ56" s="247" t="str">
        <f>IF(_xlfn.XLOOKUP($E56,'[1]Import Eletra'!$B:$B,'[1]Import Eletra'!$BF:$BF,,0,1)=0,"",_xlfn.XLOOKUP($E56,'[1]Import Eletra'!$B:$B,'[1]Import Eletra'!$BF:$BF,,0,1))</f>
        <v/>
      </c>
      <c r="DA56" s="210">
        <f>$CY$4</f>
        <v>0</v>
      </c>
      <c r="DB56" s="113">
        <f ca="1">IF(CZ56="",TODAY()-CY56,CZ56-CY56)</f>
        <v>-26</v>
      </c>
      <c r="DC56" s="184">
        <f ca="1">DB56-DA56</f>
        <v>-26</v>
      </c>
      <c r="DD56" s="110">
        <f>DI56-$DI$4</f>
        <v>46239</v>
      </c>
      <c r="DE56" s="247" t="str">
        <f>IF(_xlfn.XLOOKUP($E56,'[1]Import Eletra'!$B:$B,'[1]Import Eletra'!$BG:$BG,,0,1)=0,"",_xlfn.XLOOKUP($E56,'[1]Import Eletra'!$B:$B,'[1]Import Eletra'!$BG:$BG,0,1))</f>
        <v/>
      </c>
      <c r="DF56" s="113">
        <f>$DD$4</f>
        <v>2</v>
      </c>
      <c r="DG56" s="113">
        <f ca="1">IF(DE56="",TODAY()-DD56,DE56-DD56)</f>
        <v>-28</v>
      </c>
      <c r="DH56" s="184">
        <f ca="1">DG56-DF56</f>
        <v>-30</v>
      </c>
      <c r="DI56" s="110">
        <f>DO56-$DN$4</f>
        <v>46240</v>
      </c>
      <c r="DJ56" s="247" t="str">
        <f>IF(_xlfn.XLOOKUP($E56,'[1]Import Eletra'!$B:$B,'[1]Import Eletra'!$BH:$BH,,0,1)=0,"",_xlfn.XLOOKUP($E56,'[1]Import Eletra'!$B:$B,'[1]Import Eletra'!$BH:$BH,0,1))</f>
        <v/>
      </c>
      <c r="DK56" s="112">
        <f>$DI$4</f>
        <v>1</v>
      </c>
      <c r="DL56" s="112">
        <f ca="1">IF(DJ56="",TODAY()-DI56,DJ56-DI56)</f>
        <v>-29</v>
      </c>
      <c r="DM56" s="184">
        <f ca="1">DL56-DK56</f>
        <v>-30</v>
      </c>
      <c r="DN56" s="64"/>
      <c r="DO56" s="202">
        <f>N56+DT56</f>
        <v>46241</v>
      </c>
      <c r="DP56" s="298" t="str">
        <f>IF(_xlfn.XLOOKUP($E56,'[1]Import Eletra'!$B:$B,'[1]Import Eletra'!$O:$O,,0,1)=0,"",_xlfn.XLOOKUP($E56,'[1]Import Eletra'!$B:$B,'[1]Import Eletra'!$O:$O,0,1))</f>
        <v/>
      </c>
      <c r="DQ56" s="112">
        <f>$DN$4</f>
        <v>1</v>
      </c>
      <c r="DR56" s="112">
        <f ca="1">IF(DP56="",TODAY()-DO56,DP56-DO56)</f>
        <v>-30</v>
      </c>
      <c r="DS56" s="184">
        <f ca="1">DR56-DQ56</f>
        <v>-31</v>
      </c>
      <c r="DT56" s="143">
        <v>10</v>
      </c>
      <c r="DU56" s="140">
        <f ca="1">IF(DP56="",TODAY()-N56,DP56-N56)</f>
        <v>-20</v>
      </c>
      <c r="DV56" s="184">
        <f ca="1">DU56-DT56</f>
        <v>-30</v>
      </c>
      <c r="DX56" s="142" t="s">
        <v>257</v>
      </c>
      <c r="DY56" s="108" t="str">
        <f>IF(_xlfn.XLOOKUP($E56,'[1]Import Eletra'!$B:$B,'[1]Import Eletra'!$DW:$DW,,0,1)=0,"",_xlfn.XLOOKUP($E56,'[1]Import Eletra'!$B:$B,'[1]Import Eletra'!$DW:$DW,0,1))</f>
        <v/>
      </c>
      <c r="EB56" s="287" t="s">
        <v>273</v>
      </c>
      <c r="ED56" s="409" t="str">
        <f>IF(_xlfn.XLOOKUP($E56,'[1]Import Eletra'!$B:$B,'[1]Import Eletra'!$BQ:$BQ,,0,1)=0,"",_xlfn.XLOOKUP($E56,'[1]Import Eletra'!$B:$B,'[1]Import Eletra'!$BQ:$BQ,0,1))</f>
        <v/>
      </c>
      <c r="EE56" s="410" t="str">
        <f>IF(_xlfn.XLOOKUP($E56,'[1]Import Eletra'!$B:$B,'[1]Import Eletra'!$BR:$BR,,0,1)=0,"",_xlfn.XLOOKUP($E56,'[1]Import Eletra'!$B:$B,'[1]Import Eletra'!$BR:$BR,0,1))</f>
        <v/>
      </c>
      <c r="EF56" s="409" t="str">
        <f>IF(_xlfn.XLOOKUP($E56,'[1]Import Eletra'!$B:$B,'[1]Import Eletra'!$BS:$BS,,0,1)=0,"",_xlfn.XLOOKUP($E56,'[1]Import Eletra'!$B:$B,'[1]Import Eletra'!$BS:$BS,0,1))</f>
        <v/>
      </c>
      <c r="EG56" s="410" t="str">
        <f>IF(_xlfn.XLOOKUP($E56,'[1]Import Eletra'!$B:$B,'[1]Import Eletra'!$BT:$BT,,0,1)=0,"",_xlfn.XLOOKUP($E56,'[1]Import Eletra'!$B:$B,'[1]Import Eletra'!$BT:$BT,0,1))</f>
        <v/>
      </c>
      <c r="EH56" s="409" t="str">
        <f>IF(_xlfn.XLOOKUP($E56,'[1]Import Eletra'!$B:$B,'[1]Import Eletra'!$BU:$BU,,0,1)=0,"",_xlfn.XLOOKUP($E56,'[1]Import Eletra'!$B:$B,'[1]Import Eletra'!$BU:$BU,0,1))</f>
        <v/>
      </c>
      <c r="EI56" s="410" t="str">
        <f>IF(_xlfn.XLOOKUP($E56,'[1]Import Eletra'!$B:$B,'[1]Import Eletra'!$BV:$BV,,0,1)=0,"",_xlfn.XLOOKUP($E56,'[1]Import Eletra'!$B:$B,'[1]Import Eletra'!$BV:$BV,0,1))</f>
        <v/>
      </c>
      <c r="EJ56" s="410">
        <f>IF(_xlfn.XLOOKUP($E56,'[1]Import Eletra'!$B:$B,'[1]Import Eletra'!$CI:$CI,,0,1)=0,"",_xlfn.XLOOKUP($E56,'[1]Import Eletra'!$B:$B,'[1]Import Eletra'!$CI:$CI,0,1))</f>
        <v>46249</v>
      </c>
      <c r="EK56" s="410" t="str">
        <f>IF(_xlfn.XLOOKUP($E56,'[1]Import Eletra'!$B:$B,'[1]Import Eletra'!$CD:$CD,,0,1)=0,"",_xlfn.XLOOKUP($E56,'[1]Import Eletra'!$B:$B,'[1]Import Eletra'!$CD:$CD,0,1))</f>
        <v/>
      </c>
      <c r="EL56" s="410" t="str">
        <f>IF(_xlfn.XLOOKUP($E56,'[1]Import Eletra'!$B:$B,'[1]Import Eletra'!$CE:$CE,,0,1)=0,"",_xlfn.XLOOKUP($E56,'[1]Import Eletra'!$B:$B,'[1]Import Eletra'!$CE:$CE,0,1))</f>
        <v>NÃO</v>
      </c>
      <c r="EM56" s="411" t="str">
        <f>IF(_xlfn.XLOOKUP($E56,'[1]Import Eletra'!$B:$B,'[1]Import Eletra'!$E:$E,,0,1)=0,"",_xlfn.XLOOKUP($E56,'[1]Import Eletra'!$B:$B,'[1]Import Eletra'!$E:$E,0,1))</f>
        <v>LEISIANE</v>
      </c>
      <c r="EN56" s="408" t="str">
        <f>IF(_xlfn.XLOOKUP($E56,'[1]Import Eletra'!$B:$B,'[1]Import Eletra'!$R:$R,,0,1)=0,"",_xlfn.XLOOKUP($E56,'[1]Import Eletra'!$B:$B,'[1]Import Eletra'!$R:$R,0,1))</f>
        <v>PWBR260096-10A</v>
      </c>
      <c r="EO56" s="408" t="str">
        <f>IF(_xlfn.XLOOKUP($E56,'[1]Import Eletra'!$B:$B,'[1]Import Eletra'!$P:$P,,0,1)=0,"",_xlfn.XLOOKUP($E56,'[1]Import Eletra'!$B:$B,'[1]Import Eletra'!$P:$P,0,1))</f>
        <v>SDBLBS601395</v>
      </c>
      <c r="EP56" s="408" t="str">
        <f>IF(_xlfn.XLOOKUP($E56,'[1]Import Eletra'!$B:$B,'[1]Import Eletra'!$T:$T,,0,1)=0,"",_xlfn.XLOOKUP($E56,'[1]Import Eletra'!$B:$B,'[1]Import Eletra'!$T:$T,0,1))</f>
        <v>CMAU929705/0; ECMU513651/1 ;TLLU435106/2</v>
      </c>
    </row>
    <row r="57" spans="2:146" ht="30" customHeight="1">
      <c r="B57" s="371"/>
      <c r="C57" s="369"/>
      <c r="D57" s="104" t="str">
        <f>IF(_xlfn.XLOOKUP($E57,'[1]Import Eletra'!$B:$B,'[1]Import Eletra'!$A:$A,,0,1)=0,"",_xlfn.XLOOKUP($E57,'[1]Import Eletra'!$B:$B,'[1]Import Eletra'!$A:$A,,0,1))</f>
        <v>AUG_2026</v>
      </c>
      <c r="E57" s="275" t="s">
        <v>364</v>
      </c>
      <c r="F57" s="106">
        <f>IF(_xlfn.XLOOKUP($E57,'[1]Import Eletra'!$B:$B,'[1]Import Eletra'!$U:$U,,0,1)=0,"",_xlfn.XLOOKUP($E57,'[1]Import Eletra'!$B:$B,'[1]Import Eletra'!$U:$U,,0,1))</f>
        <v>3</v>
      </c>
      <c r="G57" s="301" t="s">
        <v>244</v>
      </c>
      <c r="H57" s="2" t="str">
        <f>_xlfn.XLOOKUP($E57,'[1]Import Eletra'!$B:$B,'[1]Import Eletra'!$F:$F,,0,1)</f>
        <v>WAITING ARRIVAL</v>
      </c>
      <c r="I57" s="108" t="str">
        <f>_xlfn.XLOOKUP($E57,'[1]Import Eletra'!$B:$B,'[1]Import Eletra'!$G:$G,,0,1)</f>
        <v>SEA</v>
      </c>
      <c r="J57" s="326">
        <v>46144</v>
      </c>
      <c r="K57" s="109">
        <v>30</v>
      </c>
      <c r="L57" s="109">
        <f>M57-J57</f>
        <v>32</v>
      </c>
      <c r="M57" s="326">
        <f>IF(_xlfn.XLOOKUP($E57,'[1]Import Eletra'!$B:$B,'[1]Import Eletra'!$J:$J,,0,1)=0,"",_xlfn.XLOOKUP($E57,'[1]Import Eletra'!$B:$B,'[1]Import Eletra'!$J:$J,,0,1))</f>
        <v>46176</v>
      </c>
      <c r="N57" s="333">
        <f>IF(_xlfn.XLOOKUP($E57,'[1]Import Eletra'!$B:$B,'[1]Import Eletra'!$L:$L,,0,1)=0,"",_xlfn.XLOOKUP($E57,'[1]Import Eletra'!$B:$B,'[1]Import Eletra'!$L:$L,,0,1))</f>
        <v>46231</v>
      </c>
      <c r="O57" s="336">
        <f>IF(_xlfn.XLOOKUP($E57,'[1]Import Eletra'!$B:$B,'[1]Import Eletra'!$AK:$AK,,0,1)=0,"",_xlfn.XLOOKUP($E57,'[1]Import Eletra'!$B:$B,'[1]Import Eletra'!$AK:$AK,,0,1))</f>
        <v>46190</v>
      </c>
      <c r="P57" s="326">
        <f>IF(_xlfn.XLOOKUP($E57,'[1]Import Eletra'!$B:$B,'[1]Import Eletra'!$AL:$AL,,0,1)=0,"",_xlfn.XLOOKUP($E57,'[1]Import Eletra'!$B:$B,'[1]Import Eletra'!$AL:$AL,,0,1))</f>
        <v>46195</v>
      </c>
      <c r="Q57" s="326">
        <f>IF(_xlfn.XLOOKUP($E57,'[1]Import Eletra'!$B:$B,'[1]Import Eletra'!$AM:$AM,,0,1)=0,"",_xlfn.XLOOKUP($E57,'[1]Import Eletra'!$B:$B,'[1]Import Eletra'!$AM:$AM,,0,1))</f>
        <v>46198</v>
      </c>
      <c r="R57" s="326">
        <f>IF(_xlfn.XLOOKUP($E57,'[1]Import Eletra'!$B:$B,'[1]Import Eletra'!$AN:$AN,,0,1)=0,"",_xlfn.XLOOKUP($E57,'[1]Import Eletra'!$B:$B,'[1]Import Eletra'!$AN:$AN,,0,1))</f>
        <v>46198</v>
      </c>
      <c r="S57" s="326">
        <f>IF(_xlfn.XLOOKUP($E57,'[1]Import Eletra'!$B:$B,'[1]Import Eletra'!$AO:$AO,,0,1)=0,"",_xlfn.XLOOKUP($E57,'[1]Import Eletra'!$B:$B,'[1]Import Eletra'!$AO:$AO,,0,1))</f>
        <v>46198</v>
      </c>
      <c r="T57" s="326">
        <f>IF(_xlfn.XLOOKUP($E57,'[1]Import Eletra'!$B:$B,'[1]Import Eletra'!$AP:$AP,,0,1)=0,"",_xlfn.XLOOKUP($E57,'[1]Import Eletra'!$B:$B,'[1]Import Eletra'!$AP:$AP,,0,1))</f>
        <v>46199</v>
      </c>
      <c r="U57" s="326">
        <f>IF(_xlfn.XLOOKUP($E57,'[1]Import Eletra'!$B:$B,'[1]Import Eletra'!$AQ:$AQ,,0,1)=0,"",_xlfn.XLOOKUP($E57,'[1]Import Eletra'!$B:$B,'[1]Import Eletra'!$AQ:$AQ,,0,1))</f>
        <v>46202</v>
      </c>
      <c r="V57" s="339" t="str">
        <f>IF(_xlfn.XLOOKUP($E57,'[1]Import Eletra'!$B:$B,'[1]Import Eletra'!$AR:$AR,,0,1)=0,"",_xlfn.XLOOKUP($E57,'[1]Import Eletra'!$B:$B,'[1]Import Eletra'!$AR:$AR,,0,1))</f>
        <v/>
      </c>
      <c r="W57" s="335">
        <f>AB57-$AB$5</f>
        <v>46232</v>
      </c>
      <c r="X57" s="332" t="str">
        <f>IF(_xlfn.XLOOKUP($E57,'[1]Import Eletra'!$B:$B,'[1]Import Eletra'!$AS:$AS,,0,1)=0,"",_xlfn.XLOOKUP($E57,'[1]Import Eletra'!$B:$B,'[1]Import Eletra'!$AS:$AS,,0,1))</f>
        <v/>
      </c>
      <c r="Y57" s="113">
        <f>$W$4</f>
        <v>0</v>
      </c>
      <c r="Z57" s="113">
        <f ca="1">IF(X57="",TODAY()-W57,X57-W57)</f>
        <v>-21</v>
      </c>
      <c r="AA57" s="184">
        <f ca="1">Z57-Y57</f>
        <v>-21</v>
      </c>
      <c r="AB57" s="348">
        <f>AG57-$AB$5</f>
        <v>46233</v>
      </c>
      <c r="AC57" s="332" t="str">
        <f>IF(_xlfn.XLOOKUP($E57,'[1]Import Eletra'!$B:$B,'[1]Import Eletra'!$AD:$AD,,0,1)=0,"",_xlfn.XLOOKUP($E57,'[1]Import Eletra'!$B:$B,'[1]Import Eletra'!$AD:$AD,,0,1))</f>
        <v/>
      </c>
      <c r="AD57" s="113">
        <f>$AB$4</f>
        <v>0</v>
      </c>
      <c r="AE57" s="113">
        <f ca="1">IF(AC57="",TODAY()-AB57,AC57-AB57)</f>
        <v>-22</v>
      </c>
      <c r="AF57" s="184">
        <f ca="1">AE57-AD57</f>
        <v>-22</v>
      </c>
      <c r="AG57" s="355">
        <f>AL57-$AL$5</f>
        <v>46234</v>
      </c>
      <c r="AH57" s="332" t="str">
        <f>IF(_xlfn.XLOOKUP($E57,'[1]Import Eletra'!$B:$B,'[1]Import Eletra'!$AE:$AE,,0,1)=0,"",_xlfn.XLOOKUP($E57,'[1]Import Eletra'!$B:$B,'[1]Import Eletra'!$AE:$AE,,0,1))</f>
        <v/>
      </c>
      <c r="AI57" s="113">
        <f>$AG$4</f>
        <v>0</v>
      </c>
      <c r="AJ57" s="113">
        <f ca="1">IF(AH57="",TODAY()-AG57,AH57-AG57)</f>
        <v>-23</v>
      </c>
      <c r="AK57" s="184">
        <f ca="1">AJ57-AI57</f>
        <v>-23</v>
      </c>
      <c r="AL57" s="355">
        <f>AQ57-$AQ$5</f>
        <v>46234</v>
      </c>
      <c r="AM57" s="332" t="str">
        <f>IF(_xlfn.XLOOKUP($E57,'[1]Import Eletra'!$B:$B,'[1]Import Eletra'!$AT:$AT,,0,1)=0,"",_xlfn.XLOOKUP($E57,'[1]Import Eletra'!$B:$B,'[1]Import Eletra'!$AT:$AT,,0,1))</f>
        <v/>
      </c>
      <c r="AN57" s="113">
        <f>$AL$4</f>
        <v>0</v>
      </c>
      <c r="AO57" s="113">
        <f ca="1">IF(AM57="",TODAY()-AL57,AM57-AL57)</f>
        <v>-23</v>
      </c>
      <c r="AP57" s="184">
        <f ca="1">AO57-AN57</f>
        <v>-23</v>
      </c>
      <c r="AQ57" s="357">
        <f>AV57-$AV$5</f>
        <v>46235</v>
      </c>
      <c r="AR57" s="332" t="str">
        <f>IF(_xlfn.XLOOKUP($E57,'[1]Import Eletra'!$B:$B,'[1]Import Eletra'!$AU:$AU,,0,1)=0,"",_xlfn.XLOOKUP($E57,'[1]Import Eletra'!$B:$B,'[1]Import Eletra'!$AU:$AU,,0,1))</f>
        <v/>
      </c>
      <c r="AS57" s="113">
        <f>$AQ$4</f>
        <v>1</v>
      </c>
      <c r="AT57" s="113">
        <f ca="1">IF(AR57="",TODAY()-AQ57,AR57-AQ57)</f>
        <v>-24</v>
      </c>
      <c r="AU57" s="184">
        <f ca="1">AT57-AS57</f>
        <v>-25</v>
      </c>
      <c r="AV57" s="355">
        <f>BA57-$BA$5</f>
        <v>46235</v>
      </c>
      <c r="AW57" s="332" t="str">
        <f>IF(_xlfn.XLOOKUP($E57,'[1]Import Eletra'!$B:$B,'[1]Import Eletra'!$AV:$AV,,0,1)=0,"",_xlfn.XLOOKUP($E57,'[1]Import Eletra'!$B:$B,'[1]Import Eletra'!$AV:$AV,,0,1))</f>
        <v/>
      </c>
      <c r="AX57" s="113">
        <f>$AV$4</f>
        <v>0</v>
      </c>
      <c r="AY57" s="113">
        <f ca="1">IF(AW57="",TODAY()-AV57,AW57-AV57)</f>
        <v>-24</v>
      </c>
      <c r="AZ57" s="184">
        <f ca="1">AY57-AX57</f>
        <v>-24</v>
      </c>
      <c r="BA57" s="357">
        <f>BF57-$BF$5</f>
        <v>46235</v>
      </c>
      <c r="BB57" s="332" t="str">
        <f>IF(_xlfn.XLOOKUP($E57,'[1]Import Eletra'!$B:$B,'[1]Import Eletra'!$AW:$AW,,0,1)=0,"",_xlfn.XLOOKUP($E57,'[1]Import Eletra'!$B:$B,'[1]Import Eletra'!$AW:$AW,,0,1))</f>
        <v/>
      </c>
      <c r="BC57" s="113">
        <f>$BA$4</f>
        <v>0</v>
      </c>
      <c r="BD57" s="113">
        <f ca="1">IF(BB57="",TODAY()-BA57,BB57-BA57)</f>
        <v>-24</v>
      </c>
      <c r="BE57" s="184">
        <f ca="1">BD57-BC57</f>
        <v>-24</v>
      </c>
      <c r="BF57" s="335">
        <f>BK57-$BK$5</f>
        <v>46235</v>
      </c>
      <c r="BG57" s="332" t="str">
        <f>IF(_xlfn.XLOOKUP($E57,'[1]Import Eletra'!$B:$B,'[1]Import Eletra'!$AX:$AX,,0,1)=0,"",_xlfn.XLOOKUP($E57,'[1]Import Eletra'!$B:$B,'[1]Import Eletra'!$AX:$AX,,0,1))</f>
        <v/>
      </c>
      <c r="BH57" s="113">
        <f>$BF$4</f>
        <v>0</v>
      </c>
      <c r="BI57" s="113">
        <f ca="1">IF(BG57="",TODAY()-BF57,BG57-BF57)</f>
        <v>-24</v>
      </c>
      <c r="BJ57" s="184">
        <f ca="1">BI57-BH57</f>
        <v>-24</v>
      </c>
      <c r="BK57" s="362">
        <f>BP57-$BP$5</f>
        <v>46235</v>
      </c>
      <c r="BL57" s="332" t="str">
        <f>IF(_xlfn.XLOOKUP($E57,'[1]Import Eletra'!$B:$B,'[1]Import Eletra'!$AY:$AY,,0,1)=0,"",_xlfn.XLOOKUP($E57,'[1]Import Eletra'!$B:$B,'[1]Import Eletra'!$AY:$AY,,0,1))</f>
        <v/>
      </c>
      <c r="BM57" s="113">
        <f>$BK$4</f>
        <v>0</v>
      </c>
      <c r="BN57" s="113">
        <f ca="1">IF(BL57="",TODAY()-BK57,BL57-BK57)</f>
        <v>-24</v>
      </c>
      <c r="BO57" s="184">
        <f ca="1">BN57-BM57</f>
        <v>-24</v>
      </c>
      <c r="BP57" s="335">
        <f>BU57-$BU$5</f>
        <v>46235</v>
      </c>
      <c r="BQ57" s="332" t="str">
        <f>IF(_xlfn.XLOOKUP($E57,'[1]Import Eletra'!$B:$B,'[1]Import Eletra'!$AZ:$AZ,,0,1)=0,"",_xlfn.XLOOKUP($E57,'[1]Import Eletra'!$B:$B,'[1]Import Eletra'!$AZ:$AZ,,0,1))</f>
        <v/>
      </c>
      <c r="BR57" s="113">
        <f>$BP$4</f>
        <v>0</v>
      </c>
      <c r="BS57" s="113">
        <f ca="1">IF(BQ57="",TODAY()-BP57,BQ57-BP57)</f>
        <v>-24</v>
      </c>
      <c r="BT57" s="184">
        <f ca="1">BS57-BR57</f>
        <v>-24</v>
      </c>
      <c r="BU57" s="362">
        <f>BZ57-$BZ$4</f>
        <v>46237</v>
      </c>
      <c r="BV57" s="332" t="str">
        <f>IF(_xlfn.XLOOKUP($E57,'[1]Import Eletra'!$B:$B,'[1]Import Eletra'!$BA:$BA,,0,1)=0,"",_xlfn.XLOOKUP($E57,'[1]Import Eletra'!$B:$B,'[1]Import Eletra'!$BA:$BA,,0,1))</f>
        <v/>
      </c>
      <c r="BW57" s="113">
        <f>$BU$4</f>
        <v>2</v>
      </c>
      <c r="BX57" s="113">
        <f ca="1">IF(BV57="",TODAY()-BU57,BV57-BU57)</f>
        <v>-26</v>
      </c>
      <c r="BY57" s="184">
        <f ca="1">BX57-BW57</f>
        <v>-28</v>
      </c>
      <c r="BZ57" s="335">
        <f>CE57-$CE$5</f>
        <v>46237</v>
      </c>
      <c r="CA57" s="332" t="str">
        <f>IF(_xlfn.XLOOKUP($E57,'[1]Import Eletra'!$B:$B,'[1]Import Eletra'!$BB:$BB,,0,1)=0,"",_xlfn.XLOOKUP($E57,'[1]Import Eletra'!$B:$B,'[1]Import Eletra'!$BB:$BB,,0,1))</f>
        <v/>
      </c>
      <c r="CB57" s="113">
        <f>$BZ$4</f>
        <v>0</v>
      </c>
      <c r="CC57" s="113">
        <f ca="1">IF(CA57="",TODAY()-BZ57,CA57-BZ57)</f>
        <v>-26</v>
      </c>
      <c r="CD57" s="184">
        <f ca="1">CC57-CB57</f>
        <v>-26</v>
      </c>
      <c r="CE57" s="362">
        <f>CJ57-$CJ$4</f>
        <v>46237</v>
      </c>
      <c r="CF57" s="332" t="str">
        <f>IF(_xlfn.XLOOKUP($E57,'[1]Import Eletra'!$B:$B,'[1]Import Eletra'!$BC:$BC,,0,1)=0,"",_xlfn.XLOOKUP($E57,'[1]Import Eletra'!$B:$B,'[1]Import Eletra'!$BC:$BC,,0,1))</f>
        <v/>
      </c>
      <c r="CG57" s="113">
        <f>$CE$4</f>
        <v>0</v>
      </c>
      <c r="CH57" s="113">
        <f ca="1">IF(CF57="",TODAY()-CE57,CF57-CE57)</f>
        <v>-26</v>
      </c>
      <c r="CI57" s="184">
        <f ca="1">CH57-CG57</f>
        <v>-26</v>
      </c>
      <c r="CJ57" s="335">
        <f>CO57-$CO$4</f>
        <v>46237</v>
      </c>
      <c r="CK57" s="332" t="str">
        <f>IF(_xlfn.XLOOKUP($E57,'[1]Import Eletra'!$B:$B,'[1]Import Eletra'!$BD:$BD,,0,1)=0,"",_xlfn.XLOOKUP($E57,'[1]Import Eletra'!$B:$B,'[1]Import Eletra'!$BD:$BD,,0,1))</f>
        <v/>
      </c>
      <c r="CL57" s="113"/>
      <c r="CM57" s="113">
        <f ca="1">IF(CK57="",TODAY()-CJ57,CK57-CJ57)</f>
        <v>-26</v>
      </c>
      <c r="CN57" s="184">
        <f ca="1">CM57-CL57</f>
        <v>-26</v>
      </c>
      <c r="CO57" s="362">
        <f>CT57-$CT$4</f>
        <v>46237</v>
      </c>
      <c r="CP57" s="332" t="str">
        <f>IF(_xlfn.XLOOKUP($E57,'[1]Import Eletra'!$B:$B,'[1]Import Eletra'!$BE:$BE,,0,1)=0,"",_xlfn.XLOOKUP($E57,'[1]Import Eletra'!$B:$B,'[1]Import Eletra'!$BE:$BE,,0,1))</f>
        <v/>
      </c>
      <c r="CQ57" s="113">
        <f>$CO$4</f>
        <v>0</v>
      </c>
      <c r="CR57" s="113">
        <f ca="1">IF(CP57="",TODAY()-CO57,CP57-CO57)</f>
        <v>-26</v>
      </c>
      <c r="CS57" s="184">
        <f ca="1">CR57-CQ57</f>
        <v>-26</v>
      </c>
      <c r="CT57" s="335">
        <f>CY57-$CY$4</f>
        <v>46237</v>
      </c>
      <c r="CU57" s="332" t="str">
        <f>IF(_xlfn.XLOOKUP($E57,'[1]Import Eletra'!$B:$B,'[1]Import Eletra'!$BF:$BF,,0,1)=0,"",_xlfn.XLOOKUP($E57,'[1]Import Eletra'!$B:$B,'[1]Import Eletra'!$BF:$BF,,0,1))</f>
        <v/>
      </c>
      <c r="CV57" s="113">
        <f>$CT$4</f>
        <v>0</v>
      </c>
      <c r="CW57" s="113">
        <f ca="1">IF(CU57="",TODAY()-CT57,CU57-CT57)</f>
        <v>-26</v>
      </c>
      <c r="CX57" s="184">
        <f ca="1">CW57-CV57</f>
        <v>-26</v>
      </c>
      <c r="CY57" s="110">
        <f>DD57-$DD$4</f>
        <v>46237</v>
      </c>
      <c r="CZ57" s="247" t="str">
        <f>IF(_xlfn.XLOOKUP($E57,'[1]Import Eletra'!$B:$B,'[1]Import Eletra'!$BF:$BF,,0,1)=0,"",_xlfn.XLOOKUP($E57,'[1]Import Eletra'!$B:$B,'[1]Import Eletra'!$BF:$BF,,0,1))</f>
        <v/>
      </c>
      <c r="DA57" s="210">
        <f>$CY$4</f>
        <v>0</v>
      </c>
      <c r="DB57" s="113">
        <f ca="1">IF(CZ57="",TODAY()-CY57,CZ57-CY57)</f>
        <v>-26</v>
      </c>
      <c r="DC57" s="184">
        <f ca="1">DB57-DA57</f>
        <v>-26</v>
      </c>
      <c r="DD57" s="110">
        <f>DI57-$DI$4</f>
        <v>46239</v>
      </c>
      <c r="DE57" s="247" t="str">
        <f>IF(_xlfn.XLOOKUP($E57,'[1]Import Eletra'!$B:$B,'[1]Import Eletra'!$BG:$BG,,0,1)=0,"",_xlfn.XLOOKUP($E57,'[1]Import Eletra'!$B:$B,'[1]Import Eletra'!$BG:$BG,0,1))</f>
        <v/>
      </c>
      <c r="DF57" s="113">
        <f>$DD$4</f>
        <v>2</v>
      </c>
      <c r="DG57" s="113">
        <f ca="1">IF(DE57="",TODAY()-DD57,DE57-DD57)</f>
        <v>-28</v>
      </c>
      <c r="DH57" s="184">
        <f ca="1">DG57-DF57</f>
        <v>-30</v>
      </c>
      <c r="DI57" s="110">
        <f>DO57-$DN$4</f>
        <v>46240</v>
      </c>
      <c r="DJ57" s="247" t="str">
        <f>IF(_xlfn.XLOOKUP($E57,'[1]Import Eletra'!$B:$B,'[1]Import Eletra'!$BH:$BH,,0,1)=0,"",_xlfn.XLOOKUP($E57,'[1]Import Eletra'!$B:$B,'[1]Import Eletra'!$BH:$BH,0,1))</f>
        <v/>
      </c>
      <c r="DK57" s="112">
        <f>$DI$4</f>
        <v>1</v>
      </c>
      <c r="DL57" s="112">
        <f ca="1">IF(DJ57="",TODAY()-DI57,DJ57-DI57)</f>
        <v>-29</v>
      </c>
      <c r="DM57" s="184">
        <f ca="1">DL57-DK57</f>
        <v>-30</v>
      </c>
      <c r="DN57" s="64"/>
      <c r="DO57" s="202">
        <f>N57+DT57</f>
        <v>46241</v>
      </c>
      <c r="DP57" s="298" t="str">
        <f>IF(_xlfn.XLOOKUP($E57,'[1]Import Eletra'!$B:$B,'[1]Import Eletra'!$O:$O,,0,1)=0,"",_xlfn.XLOOKUP($E57,'[1]Import Eletra'!$B:$B,'[1]Import Eletra'!$O:$O,0,1))</f>
        <v/>
      </c>
      <c r="DQ57" s="112">
        <f>$DN$4</f>
        <v>1</v>
      </c>
      <c r="DR57" s="112">
        <f ca="1">IF(DP57="",TODAY()-DO57,DP57-DO57)</f>
        <v>-30</v>
      </c>
      <c r="DS57" s="184">
        <f ca="1">DR57-DQ57</f>
        <v>-31</v>
      </c>
      <c r="DT57" s="143">
        <v>10</v>
      </c>
      <c r="DU57" s="140">
        <f ca="1">IF(DP57="",TODAY()-N57,DP57-N57)</f>
        <v>-20</v>
      </c>
      <c r="DV57" s="184">
        <f ca="1">DU57-DT57</f>
        <v>-30</v>
      </c>
      <c r="DX57" s="142" t="s">
        <v>257</v>
      </c>
      <c r="DY57" s="108" t="str">
        <f>IF(_xlfn.XLOOKUP($E57,'[1]Import Eletra'!$B:$B,'[1]Import Eletra'!$DW:$DW,,0,1)=0,"",_xlfn.XLOOKUP($E57,'[1]Import Eletra'!$B:$B,'[1]Import Eletra'!$DW:$DW,0,1))</f>
        <v/>
      </c>
      <c r="EB57" s="287" t="s">
        <v>273</v>
      </c>
      <c r="ED57" s="409" t="str">
        <f>IF(_xlfn.XLOOKUP($E57,'[1]Import Eletra'!$B:$B,'[1]Import Eletra'!$BQ:$BQ,,0,1)=0,"",_xlfn.XLOOKUP($E57,'[1]Import Eletra'!$B:$B,'[1]Import Eletra'!$BQ:$BQ,0,1))</f>
        <v/>
      </c>
      <c r="EE57" s="410" t="str">
        <f>IF(_xlfn.XLOOKUP($E57,'[1]Import Eletra'!$B:$B,'[1]Import Eletra'!$BR:$BR,,0,1)=0,"",_xlfn.XLOOKUP($E57,'[1]Import Eletra'!$B:$B,'[1]Import Eletra'!$BR:$BR,0,1))</f>
        <v/>
      </c>
      <c r="EF57" s="409" t="str">
        <f>IF(_xlfn.XLOOKUP($E57,'[1]Import Eletra'!$B:$B,'[1]Import Eletra'!$BS:$BS,,0,1)=0,"",_xlfn.XLOOKUP($E57,'[1]Import Eletra'!$B:$B,'[1]Import Eletra'!$BS:$BS,0,1))</f>
        <v/>
      </c>
      <c r="EG57" s="410" t="str">
        <f>IF(_xlfn.XLOOKUP($E57,'[1]Import Eletra'!$B:$B,'[1]Import Eletra'!$BT:$BT,,0,1)=0,"",_xlfn.XLOOKUP($E57,'[1]Import Eletra'!$B:$B,'[1]Import Eletra'!$BT:$BT,0,1))</f>
        <v/>
      </c>
      <c r="EH57" s="409" t="str">
        <f>IF(_xlfn.XLOOKUP($E57,'[1]Import Eletra'!$B:$B,'[1]Import Eletra'!$BU:$BU,,0,1)=0,"",_xlfn.XLOOKUP($E57,'[1]Import Eletra'!$B:$B,'[1]Import Eletra'!$BU:$BU,0,1))</f>
        <v/>
      </c>
      <c r="EI57" s="410" t="str">
        <f>IF(_xlfn.XLOOKUP($E57,'[1]Import Eletra'!$B:$B,'[1]Import Eletra'!$BV:$BV,,0,1)=0,"",_xlfn.XLOOKUP($E57,'[1]Import Eletra'!$B:$B,'[1]Import Eletra'!$BV:$BV,0,1))</f>
        <v/>
      </c>
      <c r="EJ57" s="410">
        <f>IF(_xlfn.XLOOKUP($E57,'[1]Import Eletra'!$B:$B,'[1]Import Eletra'!$CI:$CI,,0,1)=0,"",_xlfn.XLOOKUP($E57,'[1]Import Eletra'!$B:$B,'[1]Import Eletra'!$CI:$CI,0,1))</f>
        <v>46249</v>
      </c>
      <c r="EK57" s="410" t="str">
        <f>IF(_xlfn.XLOOKUP($E57,'[1]Import Eletra'!$B:$B,'[1]Import Eletra'!$CD:$CD,,0,1)=0,"",_xlfn.XLOOKUP($E57,'[1]Import Eletra'!$B:$B,'[1]Import Eletra'!$CD:$CD,0,1))</f>
        <v/>
      </c>
      <c r="EL57" s="410" t="str">
        <f>IF(_xlfn.XLOOKUP($E57,'[1]Import Eletra'!$B:$B,'[1]Import Eletra'!$CE:$CE,,0,1)=0,"",_xlfn.XLOOKUP($E57,'[1]Import Eletra'!$B:$B,'[1]Import Eletra'!$CE:$CE,0,1))</f>
        <v>NÃO</v>
      </c>
      <c r="EM57" s="411" t="str">
        <f>IF(_xlfn.XLOOKUP($E57,'[1]Import Eletra'!$B:$B,'[1]Import Eletra'!$E:$E,,0,1)=0,"",_xlfn.XLOOKUP($E57,'[1]Import Eletra'!$B:$B,'[1]Import Eletra'!$E:$E,0,1))</f>
        <v>LEISIANE</v>
      </c>
      <c r="EN57" s="408" t="str">
        <f>IF(_xlfn.XLOOKUP($E57,'[1]Import Eletra'!$B:$B,'[1]Import Eletra'!$R:$R,,0,1)=0,"",_xlfn.XLOOKUP($E57,'[1]Import Eletra'!$B:$B,'[1]Import Eletra'!$R:$R,0,1))</f>
        <v>PWBR260096-10B</v>
      </c>
      <c r="EO57" s="408" t="str">
        <f>IF(_xlfn.XLOOKUP($E57,'[1]Import Eletra'!$B:$B,'[1]Import Eletra'!$P:$P,,0,1)=0,"",_xlfn.XLOOKUP($E57,'[1]Import Eletra'!$B:$B,'[1]Import Eletra'!$P:$P,0,1))</f>
        <v>SDBLBS601399</v>
      </c>
      <c r="EP57" s="408" t="str">
        <f>IF(_xlfn.XLOOKUP($E57,'[1]Import Eletra'!$B:$B,'[1]Import Eletra'!$T:$T,,0,1)=0,"",_xlfn.XLOOKUP($E57,'[1]Import Eletra'!$B:$B,'[1]Import Eletra'!$T:$T,0,1))</f>
        <v>CMAU947192/1 ;GAOU760645/4 ;TCNU269949/0</v>
      </c>
    </row>
    <row r="58" spans="2:146" ht="30" customHeight="1">
      <c r="B58" s="371"/>
      <c r="C58" s="369"/>
      <c r="D58" s="104" t="str">
        <f>IF(_xlfn.XLOOKUP($E58,'[1]Import Eletra'!$B:$B,'[1]Import Eletra'!$A:$A,,0,1)=0,"",_xlfn.XLOOKUP($E58,'[1]Import Eletra'!$B:$B,'[1]Import Eletra'!$A:$A,,0,1))</f>
        <v>MAY_2026</v>
      </c>
      <c r="E58" s="275" t="s">
        <v>365</v>
      </c>
      <c r="F58" s="106" t="str">
        <f>IF(_xlfn.XLOOKUP($E58,'[1]Import Eletra'!$B:$B,'[1]Import Eletra'!$U:$U,,0,1)=0,"",_xlfn.XLOOKUP($E58,'[1]Import Eletra'!$B:$B,'[1]Import Eletra'!$U:$U,,0,1))</f>
        <v/>
      </c>
      <c r="G58" s="301" t="s">
        <v>244</v>
      </c>
      <c r="H58" s="2" t="str">
        <f>_xlfn.XLOOKUP($E58,'[1]Import Eletra'!$B:$B,'[1]Import Eletra'!$F:$F,,0,1)</f>
        <v>DELIVERED</v>
      </c>
      <c r="I58" s="108" t="str">
        <f>_xlfn.XLOOKUP($E58,'[1]Import Eletra'!$B:$B,'[1]Import Eletra'!$G:$G,,0,1)</f>
        <v>COURIER</v>
      </c>
      <c r="J58" s="326">
        <v>46121</v>
      </c>
      <c r="K58" s="109">
        <v>30</v>
      </c>
      <c r="L58" s="109">
        <f>M58-J58</f>
        <v>21</v>
      </c>
      <c r="M58" s="326">
        <f>IF(_xlfn.XLOOKUP($E58,'[1]Import Eletra'!$B:$B,'[1]Import Eletra'!$J:$J,,0,1)=0,"",_xlfn.XLOOKUP($E58,'[1]Import Eletra'!$B:$B,'[1]Import Eletra'!$J:$J,,0,1))</f>
        <v>46142</v>
      </c>
      <c r="N58" s="333">
        <f>IF(_xlfn.XLOOKUP($E58,'[1]Import Eletra'!$B:$B,'[1]Import Eletra'!$L:$L,,0,1)=0,"",_xlfn.XLOOKUP($E58,'[1]Import Eletra'!$B:$B,'[1]Import Eletra'!$L:$L,,0,1))</f>
        <v>46149</v>
      </c>
      <c r="O58" s="336"/>
      <c r="P58" s="326"/>
      <c r="Q58" s="326"/>
      <c r="R58" s="326"/>
      <c r="S58" s="326"/>
      <c r="T58" s="326"/>
      <c r="U58" s="326"/>
      <c r="V58" s="339"/>
      <c r="W58" s="335">
        <f>AB58-$AB$5</f>
        <v>46150</v>
      </c>
      <c r="X58" s="332" t="str">
        <f>IF(_xlfn.XLOOKUP($E58,'[1]Import Eletra'!$B:$B,'[1]Import Eletra'!$AS:$AS,,0,1)=0,"",_xlfn.XLOOKUP($E58,'[1]Import Eletra'!$B:$B,'[1]Import Eletra'!$AS:$AS,,0,1))</f>
        <v/>
      </c>
      <c r="Y58" s="113">
        <f>$W$4</f>
        <v>0</v>
      </c>
      <c r="Z58" s="113">
        <f ca="1">IF(X58="",TODAY()-W58,X58-W58)</f>
        <v>61</v>
      </c>
      <c r="AA58" s="184">
        <f ca="1">Z58-Y58</f>
        <v>61</v>
      </c>
      <c r="AB58" s="348">
        <f>AG58-$AB$5</f>
        <v>46151</v>
      </c>
      <c r="AC58" s="332" t="str">
        <f>IF(_xlfn.XLOOKUP($E58,'[1]Import Eletra'!$B:$B,'[1]Import Eletra'!$AD:$AD,,0,1)=0,"",_xlfn.XLOOKUP($E58,'[1]Import Eletra'!$B:$B,'[1]Import Eletra'!$AD:$AD,,0,1))</f>
        <v/>
      </c>
      <c r="AD58" s="113">
        <f>$AB$4</f>
        <v>0</v>
      </c>
      <c r="AE58" s="113">
        <f ca="1">IF(AC58="",TODAY()-AB58,AC58-AB58)</f>
        <v>60</v>
      </c>
      <c r="AF58" s="184">
        <f ca="1">AE58-AD58</f>
        <v>60</v>
      </c>
      <c r="AG58" s="355">
        <f>AL58-$AL$5</f>
        <v>46152</v>
      </c>
      <c r="AH58" s="332" t="str">
        <f>IF(_xlfn.XLOOKUP($E58,'[1]Import Eletra'!$B:$B,'[1]Import Eletra'!$AE:$AE,,0,1)=0,"",_xlfn.XLOOKUP($E58,'[1]Import Eletra'!$B:$B,'[1]Import Eletra'!$AE:$AE,,0,1))</f>
        <v/>
      </c>
      <c r="AI58" s="113">
        <f>$AG$4</f>
        <v>0</v>
      </c>
      <c r="AJ58" s="113">
        <f ca="1">IF(AH58="",TODAY()-AG58,AH58-AG58)</f>
        <v>59</v>
      </c>
      <c r="AK58" s="184">
        <f ca="1">AJ58-AI58</f>
        <v>59</v>
      </c>
      <c r="AL58" s="355">
        <f>AQ58-$AQ$5</f>
        <v>46152</v>
      </c>
      <c r="AM58" s="332" t="str">
        <f>IF(_xlfn.XLOOKUP($E58,'[1]Import Eletra'!$B:$B,'[1]Import Eletra'!$AT:$AT,,0,1)=0,"",_xlfn.XLOOKUP($E58,'[1]Import Eletra'!$B:$B,'[1]Import Eletra'!$AT:$AT,,0,1))</f>
        <v/>
      </c>
      <c r="AN58" s="113">
        <f>$AL$4</f>
        <v>0</v>
      </c>
      <c r="AO58" s="113">
        <f ca="1">IF(AM58="",TODAY()-AL58,AM58-AL58)</f>
        <v>59</v>
      </c>
      <c r="AP58" s="184">
        <f ca="1">AO58-AN58</f>
        <v>59</v>
      </c>
      <c r="AQ58" s="357">
        <f>AV58-$AV$5</f>
        <v>46153</v>
      </c>
      <c r="AR58" s="332" t="str">
        <f>IF(_xlfn.XLOOKUP($E58,'[1]Import Eletra'!$B:$B,'[1]Import Eletra'!$AU:$AU,,0,1)=0,"",_xlfn.XLOOKUP($E58,'[1]Import Eletra'!$B:$B,'[1]Import Eletra'!$AU:$AU,,0,1))</f>
        <v/>
      </c>
      <c r="AS58" s="113">
        <f>$AQ$4</f>
        <v>1</v>
      </c>
      <c r="AT58" s="113">
        <f ca="1">IF(AR58="",TODAY()-AQ58,AR58-AQ58)</f>
        <v>58</v>
      </c>
      <c r="AU58" s="184">
        <f ca="1">AT58-AS58</f>
        <v>57</v>
      </c>
      <c r="AV58" s="355">
        <f>BA58-$BA$5</f>
        <v>46153</v>
      </c>
      <c r="AW58" s="332" t="str">
        <f>IF(_xlfn.XLOOKUP($E58,'[1]Import Eletra'!$B:$B,'[1]Import Eletra'!$AV:$AV,,0,1)=0,"",_xlfn.XLOOKUP($E58,'[1]Import Eletra'!$B:$B,'[1]Import Eletra'!$AV:$AV,,0,1))</f>
        <v/>
      </c>
      <c r="AX58" s="113">
        <f>$AV$4</f>
        <v>0</v>
      </c>
      <c r="AY58" s="113">
        <f ca="1">IF(AW58="",TODAY()-AV58,AW58-AV58)</f>
        <v>58</v>
      </c>
      <c r="AZ58" s="184">
        <f ca="1">AY58-AX58</f>
        <v>58</v>
      </c>
      <c r="BA58" s="357">
        <f>BF58-$BF$5</f>
        <v>46153</v>
      </c>
      <c r="BB58" s="332" t="str">
        <f>IF(_xlfn.XLOOKUP($E58,'[1]Import Eletra'!$B:$B,'[1]Import Eletra'!$AW:$AW,,0,1)=0,"",_xlfn.XLOOKUP($E58,'[1]Import Eletra'!$B:$B,'[1]Import Eletra'!$AW:$AW,,0,1))</f>
        <v/>
      </c>
      <c r="BC58" s="113">
        <f>$BA$4</f>
        <v>0</v>
      </c>
      <c r="BD58" s="113">
        <f ca="1">IF(BB58="",TODAY()-BA58,BB58-BA58)</f>
        <v>58</v>
      </c>
      <c r="BE58" s="184">
        <f ca="1">BD58-BC58</f>
        <v>58</v>
      </c>
      <c r="BF58" s="335">
        <f>BK58-$BK$5</f>
        <v>46153</v>
      </c>
      <c r="BG58" s="332" t="str">
        <f>IF(_xlfn.XLOOKUP($E58,'[1]Import Eletra'!$B:$B,'[1]Import Eletra'!$AX:$AX,,0,1)=0,"",_xlfn.XLOOKUP($E58,'[1]Import Eletra'!$B:$B,'[1]Import Eletra'!$AX:$AX,,0,1))</f>
        <v/>
      </c>
      <c r="BH58" s="113">
        <f>$BF$4</f>
        <v>0</v>
      </c>
      <c r="BI58" s="113">
        <f ca="1">IF(BG58="",TODAY()-BF58,BG58-BF58)</f>
        <v>58</v>
      </c>
      <c r="BJ58" s="184">
        <f ca="1">BI58-BH58</f>
        <v>58</v>
      </c>
      <c r="BK58" s="362">
        <f>BP58-$BP$5</f>
        <v>46153</v>
      </c>
      <c r="BL58" s="332" t="str">
        <f>IF(_xlfn.XLOOKUP($E58,'[1]Import Eletra'!$B:$B,'[1]Import Eletra'!$AY:$AY,,0,1)=0,"",_xlfn.XLOOKUP($E58,'[1]Import Eletra'!$B:$B,'[1]Import Eletra'!$AY:$AY,,0,1))</f>
        <v/>
      </c>
      <c r="BM58" s="113">
        <f>$BK$4</f>
        <v>0</v>
      </c>
      <c r="BN58" s="113">
        <f ca="1">IF(BL58="",TODAY()-BK58,BL58-BK58)</f>
        <v>58</v>
      </c>
      <c r="BO58" s="184">
        <f ca="1">BN58-BM58</f>
        <v>58</v>
      </c>
      <c r="BP58" s="335">
        <f>BU58-$BU$5</f>
        <v>46153</v>
      </c>
      <c r="BQ58" s="332" t="str">
        <f>IF(_xlfn.XLOOKUP($E58,'[1]Import Eletra'!$B:$B,'[1]Import Eletra'!$AZ:$AZ,,0,1)=0,"",_xlfn.XLOOKUP($E58,'[1]Import Eletra'!$B:$B,'[1]Import Eletra'!$AZ:$AZ,,0,1))</f>
        <v/>
      </c>
      <c r="BR58" s="113">
        <f>$BP$4</f>
        <v>0</v>
      </c>
      <c r="BS58" s="113">
        <f ca="1">IF(BQ58="",TODAY()-BP58,BQ58-BP58)</f>
        <v>58</v>
      </c>
      <c r="BT58" s="184">
        <f ca="1">BS58-BR58</f>
        <v>58</v>
      </c>
      <c r="BU58" s="362">
        <f>BZ58-$BZ$4</f>
        <v>46155</v>
      </c>
      <c r="BV58" s="332" t="str">
        <f>IF(_xlfn.XLOOKUP($E58,'[1]Import Eletra'!$B:$B,'[1]Import Eletra'!$BA:$BA,,0,1)=0,"",_xlfn.XLOOKUP($E58,'[1]Import Eletra'!$B:$B,'[1]Import Eletra'!$BA:$BA,,0,1))</f>
        <v/>
      </c>
      <c r="BW58" s="113">
        <f>$BU$4</f>
        <v>2</v>
      </c>
      <c r="BX58" s="113">
        <f ca="1">IF(BV58="",TODAY()-BU58,BV58-BU58)</f>
        <v>56</v>
      </c>
      <c r="BY58" s="184">
        <f ca="1">BX58-BW58</f>
        <v>54</v>
      </c>
      <c r="BZ58" s="335">
        <f>CE58-$CE$5</f>
        <v>46155</v>
      </c>
      <c r="CA58" s="332" t="str">
        <f>IF(_xlfn.XLOOKUP($E58,'[1]Import Eletra'!$B:$B,'[1]Import Eletra'!$BB:$BB,,0,1)=0,"",_xlfn.XLOOKUP($E58,'[1]Import Eletra'!$B:$B,'[1]Import Eletra'!$BB:$BB,,0,1))</f>
        <v/>
      </c>
      <c r="CB58" s="113">
        <f>$BZ$4</f>
        <v>0</v>
      </c>
      <c r="CC58" s="113">
        <f ca="1">IF(CA58="",TODAY()-BZ58,CA58-BZ58)</f>
        <v>56</v>
      </c>
      <c r="CD58" s="184">
        <f ca="1">CC58-CB58</f>
        <v>56</v>
      </c>
      <c r="CE58" s="362">
        <f>CJ58-$CJ$4</f>
        <v>46155</v>
      </c>
      <c r="CF58" s="332" t="str">
        <f>IF(_xlfn.XLOOKUP($E58,'[1]Import Eletra'!$B:$B,'[1]Import Eletra'!$BC:$BC,,0,1)=0,"",_xlfn.XLOOKUP($E58,'[1]Import Eletra'!$B:$B,'[1]Import Eletra'!$BC:$BC,,0,1))</f>
        <v/>
      </c>
      <c r="CG58" s="113">
        <f>$CE$4</f>
        <v>0</v>
      </c>
      <c r="CH58" s="113">
        <f ca="1">IF(CF58="",TODAY()-CE58,CF58-CE58)</f>
        <v>56</v>
      </c>
      <c r="CI58" s="184">
        <f ca="1">CH58-CG58</f>
        <v>56</v>
      </c>
      <c r="CJ58" s="335">
        <f>CO58-$CO$4</f>
        <v>46155</v>
      </c>
      <c r="CK58" s="332" t="str">
        <f>IF(_xlfn.XLOOKUP($E58,'[1]Import Eletra'!$B:$B,'[1]Import Eletra'!$BD:$BD,,0,1)=0,"",_xlfn.XLOOKUP($E58,'[1]Import Eletra'!$B:$B,'[1]Import Eletra'!$BD:$BD,,0,1))</f>
        <v/>
      </c>
      <c r="CL58" s="113"/>
      <c r="CM58" s="113">
        <f ca="1">IF(CK58="",TODAY()-CJ58,CK58-CJ58)</f>
        <v>56</v>
      </c>
      <c r="CN58" s="184">
        <f ca="1">CM58-CL58</f>
        <v>56</v>
      </c>
      <c r="CO58" s="362">
        <f>CT58-$CT$4</f>
        <v>46155</v>
      </c>
      <c r="CP58" s="332" t="str">
        <f>IF(_xlfn.XLOOKUP($E58,'[1]Import Eletra'!$B:$B,'[1]Import Eletra'!$BE:$BE,,0,1)=0,"",_xlfn.XLOOKUP($E58,'[1]Import Eletra'!$B:$B,'[1]Import Eletra'!$BE:$BE,,0,1))</f>
        <v/>
      </c>
      <c r="CQ58" s="113">
        <f>$CO$4</f>
        <v>0</v>
      </c>
      <c r="CR58" s="113">
        <f ca="1">IF(CP58="",TODAY()-CO58,CP58-CO58)</f>
        <v>56</v>
      </c>
      <c r="CS58" s="184">
        <f ca="1">CR58-CQ58</f>
        <v>56</v>
      </c>
      <c r="CT58" s="335">
        <f>CY58-$CY$4</f>
        <v>46155</v>
      </c>
      <c r="CU58" s="332" t="str">
        <f>IF(_xlfn.XLOOKUP($E58,'[1]Import Eletra'!$B:$B,'[1]Import Eletra'!$BF:$BF,,0,1)=0,"",_xlfn.XLOOKUP($E58,'[1]Import Eletra'!$B:$B,'[1]Import Eletra'!$BF:$BF,,0,1))</f>
        <v/>
      </c>
      <c r="CV58" s="113">
        <f>$CT$4</f>
        <v>0</v>
      </c>
      <c r="CW58" s="113">
        <f ca="1">IF(CU58="",TODAY()-CT58,CU58-CT58)</f>
        <v>56</v>
      </c>
      <c r="CX58" s="184">
        <f ca="1">CW58-CV58</f>
        <v>56</v>
      </c>
      <c r="CY58" s="110">
        <f>DD58-$DD$4</f>
        <v>46155</v>
      </c>
      <c r="CZ58" s="247" t="str">
        <f>IF(_xlfn.XLOOKUP($E58,'[1]Import Eletra'!$B:$B,'[1]Import Eletra'!$BF:$BF,,0,1)=0,"",_xlfn.XLOOKUP($E58,'[1]Import Eletra'!$B:$B,'[1]Import Eletra'!$BF:$BF,,0,1))</f>
        <v/>
      </c>
      <c r="DA58" s="210">
        <f>$CY$4</f>
        <v>0</v>
      </c>
      <c r="DB58" s="113">
        <f ca="1">IF(CZ58="",TODAY()-CY58,CZ58-CY58)</f>
        <v>56</v>
      </c>
      <c r="DC58" s="184">
        <f ca="1">DB58-DA58</f>
        <v>56</v>
      </c>
      <c r="DD58" s="110">
        <f>DI58-$DI$4</f>
        <v>46157</v>
      </c>
      <c r="DE58" s="247" t="str">
        <f>IF(_xlfn.XLOOKUP($E58,'[1]Import Eletra'!$B:$B,'[1]Import Eletra'!$BG:$BG,,0,1)=0,"",_xlfn.XLOOKUP($E58,'[1]Import Eletra'!$B:$B,'[1]Import Eletra'!$BG:$BG,0,1))</f>
        <v/>
      </c>
      <c r="DF58" s="113">
        <f>$DD$4</f>
        <v>2</v>
      </c>
      <c r="DG58" s="113">
        <f ca="1">IF(DE58="",TODAY()-DD58,DE58-DD58)</f>
        <v>54</v>
      </c>
      <c r="DH58" s="184">
        <f ca="1">DG58-DF58</f>
        <v>52</v>
      </c>
      <c r="DI58" s="110">
        <f>DO58-$DN$4</f>
        <v>46158</v>
      </c>
      <c r="DJ58" s="247" t="str">
        <f>IF(_xlfn.XLOOKUP($E58,'[1]Import Eletra'!$B:$B,'[1]Import Eletra'!$BH:$BH,,0,1)=0,"",_xlfn.XLOOKUP($E58,'[1]Import Eletra'!$B:$B,'[1]Import Eletra'!$BH:$BH,0,1))</f>
        <v/>
      </c>
      <c r="DK58" s="112">
        <f>$DI$4</f>
        <v>1</v>
      </c>
      <c r="DL58" s="112">
        <f ca="1">IF(DJ58="",TODAY()-DI58,DJ58-DI58)</f>
        <v>53</v>
      </c>
      <c r="DM58" s="184">
        <f ca="1">DL58-DK58</f>
        <v>52</v>
      </c>
      <c r="DN58" s="64"/>
      <c r="DO58" s="202">
        <f>N58+DT58</f>
        <v>46159</v>
      </c>
      <c r="DP58" s="298">
        <f>IF(_xlfn.XLOOKUP($E58,'[1]Import Eletra'!$B:$B,'[1]Import Eletra'!$O:$O,,0,1)=0,"",_xlfn.XLOOKUP($E58,'[1]Import Eletra'!$B:$B,'[1]Import Eletra'!$O:$O,0,1))</f>
        <v>46157</v>
      </c>
      <c r="DQ58" s="112">
        <f>$DN$4</f>
        <v>1</v>
      </c>
      <c r="DR58" s="112">
        <f ca="1">IF(DP58="",TODAY()-DO58,DP58-DO58)</f>
        <v>-2</v>
      </c>
      <c r="DS58" s="184">
        <f ca="1">DR58-DQ58</f>
        <v>-3</v>
      </c>
      <c r="DT58" s="143">
        <v>10</v>
      </c>
      <c r="DU58" s="140">
        <f ca="1">IF(DP58="",TODAY()-N58,DP58-N58)</f>
        <v>8</v>
      </c>
      <c r="DV58" s="184">
        <f ca="1">DU58-DT58</f>
        <v>-2</v>
      </c>
      <c r="DX58" s="142"/>
      <c r="DY58" s="108" t="str">
        <f>IF(_xlfn.XLOOKUP($E58,'[1]Import Eletra'!$B:$B,'[1]Import Eletra'!$DW:$DW,,0,1)=0,"",_xlfn.XLOOKUP($E58,'[1]Import Eletra'!$B:$B,'[1]Import Eletra'!$DW:$DW,0,1))</f>
        <v/>
      </c>
      <c r="EB58" s="287"/>
      <c r="ED58" s="409" t="str">
        <f>IF(_xlfn.XLOOKUP($E58,'[1]Import Eletra'!$B:$B,'[1]Import Eletra'!$BQ:$BQ,,0,1)=0,"",_xlfn.XLOOKUP($E58,'[1]Import Eletra'!$B:$B,'[1]Import Eletra'!$BQ:$BQ,0,1))</f>
        <v/>
      </c>
      <c r="EE58" s="410" t="str">
        <f>IF(_xlfn.XLOOKUP($E58,'[1]Import Eletra'!$B:$B,'[1]Import Eletra'!$BR:$BR,,0,1)=0,"",_xlfn.XLOOKUP($E58,'[1]Import Eletra'!$B:$B,'[1]Import Eletra'!$BR:$BR,0,1))</f>
        <v/>
      </c>
      <c r="EF58" s="409" t="str">
        <f>IF(_xlfn.XLOOKUP($E58,'[1]Import Eletra'!$B:$B,'[1]Import Eletra'!$BS:$BS,,0,1)=0,"",_xlfn.XLOOKUP($E58,'[1]Import Eletra'!$B:$B,'[1]Import Eletra'!$BS:$BS,0,1))</f>
        <v/>
      </c>
      <c r="EG58" s="410" t="str">
        <f>IF(_xlfn.XLOOKUP($E58,'[1]Import Eletra'!$B:$B,'[1]Import Eletra'!$BT:$BT,,0,1)=0,"",_xlfn.XLOOKUP($E58,'[1]Import Eletra'!$B:$B,'[1]Import Eletra'!$BT:$BT,0,1))</f>
        <v/>
      </c>
      <c r="EH58" s="409" t="str">
        <f>IF(_xlfn.XLOOKUP($E58,'[1]Import Eletra'!$B:$B,'[1]Import Eletra'!$BU:$BU,,0,1)=0,"",_xlfn.XLOOKUP($E58,'[1]Import Eletra'!$B:$B,'[1]Import Eletra'!$BU:$BU,0,1))</f>
        <v/>
      </c>
      <c r="EI58" s="410" t="str">
        <f>IF(_xlfn.XLOOKUP($E58,'[1]Import Eletra'!$B:$B,'[1]Import Eletra'!$BV:$BV,,0,1)=0,"",_xlfn.XLOOKUP($E58,'[1]Import Eletra'!$B:$B,'[1]Import Eletra'!$BV:$BV,0,1))</f>
        <v/>
      </c>
      <c r="EJ58" s="410" t="str">
        <f>IF(_xlfn.XLOOKUP($E58,'[1]Import Eletra'!$B:$B,'[1]Import Eletra'!$CI:$CI,,0,1)=0,"",_xlfn.XLOOKUP($E58,'[1]Import Eletra'!$B:$B,'[1]Import Eletra'!$CI:$CI,0,1))</f>
        <v/>
      </c>
      <c r="EK58" s="410" t="str">
        <f>IF(_xlfn.XLOOKUP($E58,'[1]Import Eletra'!$B:$B,'[1]Import Eletra'!$CD:$CD,,0,1)=0,"",_xlfn.XLOOKUP($E58,'[1]Import Eletra'!$B:$B,'[1]Import Eletra'!$CD:$CD,0,1))</f>
        <v/>
      </c>
      <c r="EL58" s="410" t="str">
        <f>IF(_xlfn.XLOOKUP($E58,'[1]Import Eletra'!$B:$B,'[1]Import Eletra'!$CE:$CE,,0,1)=0,"",_xlfn.XLOOKUP($E58,'[1]Import Eletra'!$B:$B,'[1]Import Eletra'!$CE:$CE,0,1))</f>
        <v/>
      </c>
      <c r="EM58" s="411" t="str">
        <f>IF(_xlfn.XLOOKUP($E58,'[1]Import Eletra'!$B:$B,'[1]Import Eletra'!$E:$E,,0,1)=0,"",_xlfn.XLOOKUP($E58,'[1]Import Eletra'!$B:$B,'[1]Import Eletra'!$E:$E,0,1))</f>
        <v>LEISIANE</v>
      </c>
      <c r="EN58" s="408" t="str">
        <f>IF(_xlfn.XLOOKUP($E58,'[1]Import Eletra'!$B:$B,'[1]Import Eletra'!$R:$R,,0,1)=0,"",_xlfn.XLOOKUP($E58,'[1]Import Eletra'!$B:$B,'[1]Import Eletra'!$R:$R,0,1))</f>
        <v>SBR2600017</v>
      </c>
      <c r="EO58" s="408">
        <f>IF(_xlfn.XLOOKUP($E58,'[1]Import Eletra'!$B:$B,'[1]Import Eletra'!$P:$P,,0,1)=0,"",_xlfn.XLOOKUP($E58,'[1]Import Eletra'!$B:$B,'[1]Import Eletra'!$P:$P,0,1))</f>
        <v>9655625873</v>
      </c>
      <c r="EP58" s="408" t="str">
        <f>IF(_xlfn.XLOOKUP($E58,'[1]Import Eletra'!$B:$B,'[1]Import Eletra'!$T:$T,,0,1)=0,"",_xlfn.XLOOKUP($E58,'[1]Import Eletra'!$B:$B,'[1]Import Eletra'!$T:$T,0,1))</f>
        <v/>
      </c>
    </row>
    <row r="59" spans="2:146" ht="30" customHeight="1">
      <c r="B59" s="371" t="s">
        <v>336</v>
      </c>
      <c r="C59" s="369">
        <v>7</v>
      </c>
      <c r="D59" s="104" t="str">
        <f>IF(_xlfn.XLOOKUP($E59,'[1]Import Eletra'!$B:$B,'[1]Import Eletra'!$A:$A,,0,1)=0,"",_xlfn.XLOOKUP($E59,'[1]Import Eletra'!$B:$B,'[1]Import Eletra'!$A:$A,,0,1))</f>
        <v>AUG_2026</v>
      </c>
      <c r="E59" s="322" t="s">
        <v>366</v>
      </c>
      <c r="F59" s="106">
        <f>IF(_xlfn.XLOOKUP($E59,'[1]Import Eletra'!$B:$B,'[1]Import Eletra'!$U:$U,,0,1)=0,"",_xlfn.XLOOKUP($E59,'[1]Import Eletra'!$B:$B,'[1]Import Eletra'!$U:$U,,0,1))</f>
        <v>3</v>
      </c>
      <c r="G59" s="301" t="s">
        <v>244</v>
      </c>
      <c r="H59" s="2" t="str">
        <f>_xlfn.XLOOKUP($E59,'[1]Import Eletra'!$B:$B,'[1]Import Eletra'!$F:$F,,0,1)</f>
        <v>WAITING ARRIVAL</v>
      </c>
      <c r="I59" s="108" t="str">
        <f>_xlfn.XLOOKUP($E59,'[1]Import Eletra'!$B:$B,'[1]Import Eletra'!$G:$G,,0,1)</f>
        <v>SEA</v>
      </c>
      <c r="J59" s="326">
        <v>46142</v>
      </c>
      <c r="K59" s="109">
        <v>30</v>
      </c>
      <c r="L59" s="109">
        <f>M59-J59</f>
        <v>34</v>
      </c>
      <c r="M59" s="326">
        <f>IF(_xlfn.XLOOKUP($E59,'[1]Import Eletra'!$B:$B,'[1]Import Eletra'!$J:$J,,0,1)=0,"",_xlfn.XLOOKUP($E59,'[1]Import Eletra'!$B:$B,'[1]Import Eletra'!$J:$J,,0,1))</f>
        <v>46176</v>
      </c>
      <c r="N59" s="333">
        <f>IF(_xlfn.XLOOKUP($E59,'[1]Import Eletra'!$B:$B,'[1]Import Eletra'!$L:$L,,0,1)=0,"",_xlfn.XLOOKUP($E59,'[1]Import Eletra'!$B:$B,'[1]Import Eletra'!$L:$L,,0,1))</f>
        <v>46231</v>
      </c>
      <c r="O59" s="336">
        <f>IF(_xlfn.XLOOKUP($E59,'[1]Import Eletra'!$B:$B,'[1]Import Eletra'!$AK:$AK,,0,1)=0,"",_xlfn.XLOOKUP($E59,'[1]Import Eletra'!$B:$B,'[1]Import Eletra'!$AK:$AK,,0,1))</f>
        <v>46197</v>
      </c>
      <c r="P59" s="326">
        <f>IF(_xlfn.XLOOKUP($E59,'[1]Import Eletra'!$B:$B,'[1]Import Eletra'!$AL:$AL,,0,1)=0,"",_xlfn.XLOOKUP($E59,'[1]Import Eletra'!$B:$B,'[1]Import Eletra'!$AL:$AL,,0,1))</f>
        <v>46198</v>
      </c>
      <c r="Q59" s="326" t="str">
        <f>IF(_xlfn.XLOOKUP($E59,'[1]Import Eletra'!$B:$B,'[1]Import Eletra'!$AM:$AM,,0,1)=0,"",_xlfn.XLOOKUP($E59,'[1]Import Eletra'!$B:$B,'[1]Import Eletra'!$AM:$AM,,0,1))</f>
        <v/>
      </c>
      <c r="R59" s="326" t="str">
        <f>IF(_xlfn.XLOOKUP($E59,'[1]Import Eletra'!$B:$B,'[1]Import Eletra'!$AN:$AN,,0,1)=0,"",_xlfn.XLOOKUP($E59,'[1]Import Eletra'!$B:$B,'[1]Import Eletra'!$AN:$AN,,0,1))</f>
        <v/>
      </c>
      <c r="S59" s="326" t="str">
        <f>IF(_xlfn.XLOOKUP($E59,'[1]Import Eletra'!$B:$B,'[1]Import Eletra'!$AO:$AO,,0,1)=0,"",_xlfn.XLOOKUP($E59,'[1]Import Eletra'!$B:$B,'[1]Import Eletra'!$AO:$AO,,0,1))</f>
        <v/>
      </c>
      <c r="T59" s="326" t="str">
        <f>IF(_xlfn.XLOOKUP($E59,'[1]Import Eletra'!$B:$B,'[1]Import Eletra'!$AP:$AP,,0,1)=0,"",_xlfn.XLOOKUP($E59,'[1]Import Eletra'!$B:$B,'[1]Import Eletra'!$AP:$AP,,0,1))</f>
        <v/>
      </c>
      <c r="U59" s="326" t="str">
        <f>IF(_xlfn.XLOOKUP($E59,'[1]Import Eletra'!$B:$B,'[1]Import Eletra'!$AQ:$AQ,,0,1)=0,"",_xlfn.XLOOKUP($E59,'[1]Import Eletra'!$B:$B,'[1]Import Eletra'!$AQ:$AQ,,0,1))</f>
        <v/>
      </c>
      <c r="V59" s="339" t="str">
        <f>IF(_xlfn.XLOOKUP($E59,'[1]Import Eletra'!$B:$B,'[1]Import Eletra'!$AR:$AR,,0,1)=0,"",_xlfn.XLOOKUP($E59,'[1]Import Eletra'!$B:$B,'[1]Import Eletra'!$AR:$AR,,0,1))</f>
        <v/>
      </c>
      <c r="W59" s="335">
        <f>AB59-$AB$5</f>
        <v>46232</v>
      </c>
      <c r="X59" s="332" t="str">
        <f>IF(_xlfn.XLOOKUP($E59,'[1]Import Eletra'!$B:$B,'[1]Import Eletra'!$AS:$AS,,0,1)=0,"",_xlfn.XLOOKUP($E59,'[1]Import Eletra'!$B:$B,'[1]Import Eletra'!$AS:$AS,,0,1))</f>
        <v/>
      </c>
      <c r="Y59" s="113">
        <f>$W$4</f>
        <v>0</v>
      </c>
      <c r="Z59" s="113">
        <f ca="1">IF(X59="",TODAY()-W59,X59-W59)</f>
        <v>-21</v>
      </c>
      <c r="AA59" s="184">
        <f ca="1">Z59-Y59</f>
        <v>-21</v>
      </c>
      <c r="AB59" s="348">
        <f>AG59-$AB$5</f>
        <v>46233</v>
      </c>
      <c r="AC59" s="332" t="str">
        <f>IF(_xlfn.XLOOKUP($E59,'[1]Import Eletra'!$B:$B,'[1]Import Eletra'!$AD:$AD,,0,1)=0,"",_xlfn.XLOOKUP($E59,'[1]Import Eletra'!$B:$B,'[1]Import Eletra'!$AD:$AD,,0,1))</f>
        <v/>
      </c>
      <c r="AD59" s="113">
        <f>$AB$4</f>
        <v>0</v>
      </c>
      <c r="AE59" s="113">
        <f ca="1">IF(AC59="",TODAY()-AB59,AC59-AB59)</f>
        <v>-22</v>
      </c>
      <c r="AF59" s="184">
        <f ca="1">AE59-AD59</f>
        <v>-22</v>
      </c>
      <c r="AG59" s="355">
        <f>AL59-$AL$5</f>
        <v>46234</v>
      </c>
      <c r="AH59" s="332" t="str">
        <f>IF(_xlfn.XLOOKUP($E59,'[1]Import Eletra'!$B:$B,'[1]Import Eletra'!$AE:$AE,,0,1)=0,"",_xlfn.XLOOKUP($E59,'[1]Import Eletra'!$B:$B,'[1]Import Eletra'!$AE:$AE,,0,1))</f>
        <v/>
      </c>
      <c r="AI59" s="113">
        <f>$AG$4</f>
        <v>0</v>
      </c>
      <c r="AJ59" s="113">
        <f ca="1">IF(AH59="",TODAY()-AG59,AH59-AG59)</f>
        <v>-23</v>
      </c>
      <c r="AK59" s="184">
        <f ca="1">AJ59-AI59</f>
        <v>-23</v>
      </c>
      <c r="AL59" s="355">
        <f>AQ59-$AQ$5</f>
        <v>46234</v>
      </c>
      <c r="AM59" s="332" t="str">
        <f>IF(_xlfn.XLOOKUP($E59,'[1]Import Eletra'!$B:$B,'[1]Import Eletra'!$AT:$AT,,0,1)=0,"",_xlfn.XLOOKUP($E59,'[1]Import Eletra'!$B:$B,'[1]Import Eletra'!$AT:$AT,,0,1))</f>
        <v/>
      </c>
      <c r="AN59" s="113">
        <f>$AL$4</f>
        <v>0</v>
      </c>
      <c r="AO59" s="113">
        <f ca="1">IF(AM59="",TODAY()-AL59,AM59-AL59)</f>
        <v>-23</v>
      </c>
      <c r="AP59" s="184">
        <f ca="1">AO59-AN59</f>
        <v>-23</v>
      </c>
      <c r="AQ59" s="357">
        <f>AV59-$AV$5</f>
        <v>46235</v>
      </c>
      <c r="AR59" s="332" t="str">
        <f>IF(_xlfn.XLOOKUP($E59,'[1]Import Eletra'!$B:$B,'[1]Import Eletra'!$AU:$AU,,0,1)=0,"",_xlfn.XLOOKUP($E59,'[1]Import Eletra'!$B:$B,'[1]Import Eletra'!$AU:$AU,,0,1))</f>
        <v/>
      </c>
      <c r="AS59" s="113">
        <f>$AQ$4</f>
        <v>1</v>
      </c>
      <c r="AT59" s="113">
        <f ca="1">IF(AR59="",TODAY()-AQ59,AR59-AQ59)</f>
        <v>-24</v>
      </c>
      <c r="AU59" s="184">
        <f ca="1">AT59-AS59</f>
        <v>-25</v>
      </c>
      <c r="AV59" s="355">
        <f>BA59-$BA$5</f>
        <v>46235</v>
      </c>
      <c r="AW59" s="332" t="str">
        <f>IF(_xlfn.XLOOKUP($E59,'[1]Import Eletra'!$B:$B,'[1]Import Eletra'!$AV:$AV,,0,1)=0,"",_xlfn.XLOOKUP($E59,'[1]Import Eletra'!$B:$B,'[1]Import Eletra'!$AV:$AV,,0,1))</f>
        <v/>
      </c>
      <c r="AX59" s="113">
        <f>$AV$4</f>
        <v>0</v>
      </c>
      <c r="AY59" s="113">
        <f ca="1">IF(AW59="",TODAY()-AV59,AW59-AV59)</f>
        <v>-24</v>
      </c>
      <c r="AZ59" s="184">
        <f ca="1">AY59-AX59</f>
        <v>-24</v>
      </c>
      <c r="BA59" s="357">
        <f>BF59-$BF$5</f>
        <v>46235</v>
      </c>
      <c r="BB59" s="332" t="str">
        <f>IF(_xlfn.XLOOKUP($E59,'[1]Import Eletra'!$B:$B,'[1]Import Eletra'!$AW:$AW,,0,1)=0,"",_xlfn.XLOOKUP($E59,'[1]Import Eletra'!$B:$B,'[1]Import Eletra'!$AW:$AW,,0,1))</f>
        <v/>
      </c>
      <c r="BC59" s="113">
        <f>$BA$4</f>
        <v>0</v>
      </c>
      <c r="BD59" s="113">
        <f ca="1">IF(BB59="",TODAY()-BA59,BB59-BA59)</f>
        <v>-24</v>
      </c>
      <c r="BE59" s="184">
        <f ca="1">BD59-BC59</f>
        <v>-24</v>
      </c>
      <c r="BF59" s="335">
        <f>BK59-$BK$5</f>
        <v>46235</v>
      </c>
      <c r="BG59" s="332" t="str">
        <f>IF(_xlfn.XLOOKUP($E59,'[1]Import Eletra'!$B:$B,'[1]Import Eletra'!$AX:$AX,,0,1)=0,"",_xlfn.XLOOKUP($E59,'[1]Import Eletra'!$B:$B,'[1]Import Eletra'!$AX:$AX,,0,1))</f>
        <v/>
      </c>
      <c r="BH59" s="113">
        <f>$BF$4</f>
        <v>0</v>
      </c>
      <c r="BI59" s="113">
        <f ca="1">IF(BG59="",TODAY()-BF59,BG59-BF59)</f>
        <v>-24</v>
      </c>
      <c r="BJ59" s="184">
        <f ca="1">BI59-BH59</f>
        <v>-24</v>
      </c>
      <c r="BK59" s="362">
        <f>BP59-$BP$5</f>
        <v>46235</v>
      </c>
      <c r="BL59" s="332" t="str">
        <f>IF(_xlfn.XLOOKUP($E59,'[1]Import Eletra'!$B:$B,'[1]Import Eletra'!$AY:$AY,,0,1)=0,"",_xlfn.XLOOKUP($E59,'[1]Import Eletra'!$B:$B,'[1]Import Eletra'!$AY:$AY,,0,1))</f>
        <v/>
      </c>
      <c r="BM59" s="113">
        <f>$BK$4</f>
        <v>0</v>
      </c>
      <c r="BN59" s="113">
        <f ca="1">IF(BL59="",TODAY()-BK59,BL59-BK59)</f>
        <v>-24</v>
      </c>
      <c r="BO59" s="184">
        <f ca="1">BN59-BM59</f>
        <v>-24</v>
      </c>
      <c r="BP59" s="335">
        <f>BU59-$BU$5</f>
        <v>46235</v>
      </c>
      <c r="BQ59" s="332" t="str">
        <f>IF(_xlfn.XLOOKUP($E59,'[1]Import Eletra'!$B:$B,'[1]Import Eletra'!$AZ:$AZ,,0,1)=0,"",_xlfn.XLOOKUP($E59,'[1]Import Eletra'!$B:$B,'[1]Import Eletra'!$AZ:$AZ,,0,1))</f>
        <v/>
      </c>
      <c r="BR59" s="113">
        <f>$BP$4</f>
        <v>0</v>
      </c>
      <c r="BS59" s="113">
        <f ca="1">IF(BQ59="",TODAY()-BP59,BQ59-BP59)</f>
        <v>-24</v>
      </c>
      <c r="BT59" s="184">
        <f ca="1">BS59-BR59</f>
        <v>-24</v>
      </c>
      <c r="BU59" s="362">
        <f>BZ59-$BZ$4</f>
        <v>46237</v>
      </c>
      <c r="BV59" s="332" t="str">
        <f>IF(_xlfn.XLOOKUP($E59,'[1]Import Eletra'!$B:$B,'[1]Import Eletra'!$BA:$BA,,0,1)=0,"",_xlfn.XLOOKUP($E59,'[1]Import Eletra'!$B:$B,'[1]Import Eletra'!$BA:$BA,,0,1))</f>
        <v/>
      </c>
      <c r="BW59" s="113">
        <f>$BU$4</f>
        <v>2</v>
      </c>
      <c r="BX59" s="113">
        <f ca="1">IF(BV59="",TODAY()-BU59,BV59-BU59)</f>
        <v>-26</v>
      </c>
      <c r="BY59" s="184">
        <f ca="1">BX59-BW59</f>
        <v>-28</v>
      </c>
      <c r="BZ59" s="335">
        <f>CE59-$CE$5</f>
        <v>46237</v>
      </c>
      <c r="CA59" s="332" t="str">
        <f>IF(_xlfn.XLOOKUP($E59,'[1]Import Eletra'!$B:$B,'[1]Import Eletra'!$BB:$BB,,0,1)=0,"",_xlfn.XLOOKUP($E59,'[1]Import Eletra'!$B:$B,'[1]Import Eletra'!$BB:$BB,,0,1))</f>
        <v/>
      </c>
      <c r="CB59" s="113">
        <f>$BZ$4</f>
        <v>0</v>
      </c>
      <c r="CC59" s="113">
        <f ca="1">IF(CA59="",TODAY()-BZ59,CA59-BZ59)</f>
        <v>-26</v>
      </c>
      <c r="CD59" s="184">
        <f ca="1">CC59-CB59</f>
        <v>-26</v>
      </c>
      <c r="CE59" s="362">
        <f>CJ59-$CJ$4</f>
        <v>46237</v>
      </c>
      <c r="CF59" s="332" t="str">
        <f>IF(_xlfn.XLOOKUP($E59,'[1]Import Eletra'!$B:$B,'[1]Import Eletra'!$BC:$BC,,0,1)=0,"",_xlfn.XLOOKUP($E59,'[1]Import Eletra'!$B:$B,'[1]Import Eletra'!$BC:$BC,,0,1))</f>
        <v/>
      </c>
      <c r="CG59" s="113">
        <f>$CE$4</f>
        <v>0</v>
      </c>
      <c r="CH59" s="113">
        <f ca="1">IF(CF59="",TODAY()-CE59,CF59-CE59)</f>
        <v>-26</v>
      </c>
      <c r="CI59" s="184">
        <f ca="1">CH59-CG59</f>
        <v>-26</v>
      </c>
      <c r="CJ59" s="335">
        <f>CO59-$CO$4</f>
        <v>46237</v>
      </c>
      <c r="CK59" s="332" t="str">
        <f>IF(_xlfn.XLOOKUP($E59,'[1]Import Eletra'!$B:$B,'[1]Import Eletra'!$BD:$BD,,0,1)=0,"",_xlfn.XLOOKUP($E59,'[1]Import Eletra'!$B:$B,'[1]Import Eletra'!$BD:$BD,,0,1))</f>
        <v/>
      </c>
      <c r="CL59" s="113"/>
      <c r="CM59" s="113">
        <f ca="1">IF(CK59="",TODAY()-CJ59,CK59-CJ59)</f>
        <v>-26</v>
      </c>
      <c r="CN59" s="184">
        <f ca="1">CM59-CL59</f>
        <v>-26</v>
      </c>
      <c r="CO59" s="362">
        <f>CT59-$CT$4</f>
        <v>46237</v>
      </c>
      <c r="CP59" s="332" t="str">
        <f>IF(_xlfn.XLOOKUP($E59,'[1]Import Eletra'!$B:$B,'[1]Import Eletra'!$BE:$BE,,0,1)=0,"",_xlfn.XLOOKUP($E59,'[1]Import Eletra'!$B:$B,'[1]Import Eletra'!$BE:$BE,,0,1))</f>
        <v/>
      </c>
      <c r="CQ59" s="113">
        <f>$CO$4</f>
        <v>0</v>
      </c>
      <c r="CR59" s="113">
        <f ca="1">IF(CP59="",TODAY()-CO59,CP59-CO59)</f>
        <v>-26</v>
      </c>
      <c r="CS59" s="184">
        <f ca="1">CR59-CQ59</f>
        <v>-26</v>
      </c>
      <c r="CT59" s="335">
        <f>CY59-$CY$4</f>
        <v>46237</v>
      </c>
      <c r="CU59" s="332" t="str">
        <f>IF(_xlfn.XLOOKUP($E59,'[1]Import Eletra'!$B:$B,'[1]Import Eletra'!$BF:$BF,,0,1)=0,"",_xlfn.XLOOKUP($E59,'[1]Import Eletra'!$B:$B,'[1]Import Eletra'!$BF:$BF,,0,1))</f>
        <v/>
      </c>
      <c r="CV59" s="113">
        <f>$CT$4</f>
        <v>0</v>
      </c>
      <c r="CW59" s="113">
        <f ca="1">IF(CU59="",TODAY()-CT59,CU59-CT59)</f>
        <v>-26</v>
      </c>
      <c r="CX59" s="184">
        <f ca="1">CW59-CV59</f>
        <v>-26</v>
      </c>
      <c r="CY59" s="110">
        <f>DD59-$DD$4</f>
        <v>46237</v>
      </c>
      <c r="CZ59" s="247" t="str">
        <f>IF(_xlfn.XLOOKUP($E59,'[1]Import Eletra'!$B:$B,'[1]Import Eletra'!$BF:$BF,,0,1)=0,"",_xlfn.XLOOKUP($E59,'[1]Import Eletra'!$B:$B,'[1]Import Eletra'!$BF:$BF,,0,1))</f>
        <v/>
      </c>
      <c r="DA59" s="210">
        <f>$CY$4</f>
        <v>0</v>
      </c>
      <c r="DB59" s="113">
        <f ca="1">IF(CZ59="",TODAY()-CY59,CZ59-CY59)</f>
        <v>-26</v>
      </c>
      <c r="DC59" s="184">
        <f ca="1">DB59-DA59</f>
        <v>-26</v>
      </c>
      <c r="DD59" s="110">
        <f>DI59-$DI$4</f>
        <v>46239</v>
      </c>
      <c r="DE59" s="247" t="str">
        <f>IF(_xlfn.XLOOKUP($E59,'[1]Import Eletra'!$B:$B,'[1]Import Eletra'!$BG:$BG,,0,1)=0,"",_xlfn.XLOOKUP($E59,'[1]Import Eletra'!$B:$B,'[1]Import Eletra'!$BG:$BG,0,1))</f>
        <v/>
      </c>
      <c r="DF59" s="113">
        <f>$DD$4</f>
        <v>2</v>
      </c>
      <c r="DG59" s="113">
        <f ca="1">IF(DE59="",TODAY()-DD59,DE59-DD59)</f>
        <v>-28</v>
      </c>
      <c r="DH59" s="184">
        <f ca="1">DG59-DF59</f>
        <v>-30</v>
      </c>
      <c r="DI59" s="110">
        <f>DO59-$DN$4</f>
        <v>46240</v>
      </c>
      <c r="DJ59" s="247" t="str">
        <f>IF(_xlfn.XLOOKUP($E59,'[1]Import Eletra'!$B:$B,'[1]Import Eletra'!$BH:$BH,,0,1)=0,"",_xlfn.XLOOKUP($E59,'[1]Import Eletra'!$B:$B,'[1]Import Eletra'!$BH:$BH,0,1))</f>
        <v/>
      </c>
      <c r="DK59" s="112">
        <f>$DI$4</f>
        <v>1</v>
      </c>
      <c r="DL59" s="112">
        <f ca="1">IF(DJ59="",TODAY()-DI59,DJ59-DI59)</f>
        <v>-29</v>
      </c>
      <c r="DM59" s="184">
        <f ca="1">DL59-DK59</f>
        <v>-30</v>
      </c>
      <c r="DN59" s="64"/>
      <c r="DO59" s="202">
        <f>N59+DT59</f>
        <v>46241</v>
      </c>
      <c r="DP59" s="298" t="str">
        <f>IF(_xlfn.XLOOKUP($E59,'[1]Import Eletra'!$B:$B,'[1]Import Eletra'!$O:$O,,0,1)=0,"",_xlfn.XLOOKUP($E59,'[1]Import Eletra'!$B:$B,'[1]Import Eletra'!$O:$O,0,1))</f>
        <v/>
      </c>
      <c r="DQ59" s="112">
        <f>$DN$4</f>
        <v>1</v>
      </c>
      <c r="DR59" s="112">
        <f ca="1">IF(DP59="",TODAY()-DO59,DP59-DO59)</f>
        <v>-30</v>
      </c>
      <c r="DS59" s="184">
        <f ca="1">DR59-DQ59</f>
        <v>-31</v>
      </c>
      <c r="DT59" s="143">
        <v>10</v>
      </c>
      <c r="DU59" s="140">
        <f ca="1">IF(DP59="",TODAY()-N59,DP59-N59)</f>
        <v>-20</v>
      </c>
      <c r="DV59" s="184">
        <f ca="1">DU59-DT59</f>
        <v>-30</v>
      </c>
      <c r="DX59" s="142" t="s">
        <v>367</v>
      </c>
      <c r="DY59" s="108" t="str">
        <f>IF(_xlfn.XLOOKUP($E59,'[1]Import Eletra'!$B:$B,'[1]Import Eletra'!$DW:$DW,,0,1)=0,"",_xlfn.XLOOKUP($E59,'[1]Import Eletra'!$B:$B,'[1]Import Eletra'!$DW:$DW,0,1))</f>
        <v/>
      </c>
      <c r="EB59" s="287"/>
      <c r="ED59" s="409" t="str">
        <f>IF(_xlfn.XLOOKUP($E59,'[1]Import Eletra'!$B:$B,'[1]Import Eletra'!$BQ:$BQ,,0,1)=0,"",_xlfn.XLOOKUP($E59,'[1]Import Eletra'!$B:$B,'[1]Import Eletra'!$BQ:$BQ,0,1))</f>
        <v/>
      </c>
      <c r="EE59" s="410" t="str">
        <f>IF(_xlfn.XLOOKUP($E59,'[1]Import Eletra'!$B:$B,'[1]Import Eletra'!$BR:$BR,,0,1)=0,"",_xlfn.XLOOKUP($E59,'[1]Import Eletra'!$B:$B,'[1]Import Eletra'!$BR:$BR,0,1))</f>
        <v/>
      </c>
      <c r="EF59" s="409" t="str">
        <f>IF(_xlfn.XLOOKUP($E59,'[1]Import Eletra'!$B:$B,'[1]Import Eletra'!$BS:$BS,,0,1)=0,"",_xlfn.XLOOKUP($E59,'[1]Import Eletra'!$B:$B,'[1]Import Eletra'!$BS:$BS,0,1))</f>
        <v/>
      </c>
      <c r="EG59" s="410" t="str">
        <f>IF(_xlfn.XLOOKUP($E59,'[1]Import Eletra'!$B:$B,'[1]Import Eletra'!$BT:$BT,,0,1)=0,"",_xlfn.XLOOKUP($E59,'[1]Import Eletra'!$B:$B,'[1]Import Eletra'!$BT:$BT,0,1))</f>
        <v/>
      </c>
      <c r="EH59" s="409" t="str">
        <f>IF(_xlfn.XLOOKUP($E59,'[1]Import Eletra'!$B:$B,'[1]Import Eletra'!$BU:$BU,,0,1)=0,"",_xlfn.XLOOKUP($E59,'[1]Import Eletra'!$B:$B,'[1]Import Eletra'!$BU:$BU,0,1))</f>
        <v/>
      </c>
      <c r="EI59" s="410" t="str">
        <f>IF(_xlfn.XLOOKUP($E59,'[1]Import Eletra'!$B:$B,'[1]Import Eletra'!$BV:$BV,,0,1)=0,"",_xlfn.XLOOKUP($E59,'[1]Import Eletra'!$B:$B,'[1]Import Eletra'!$BV:$BV,0,1))</f>
        <v/>
      </c>
      <c r="EJ59" s="410" t="str">
        <f>IF(_xlfn.XLOOKUP($E59,'[1]Import Eletra'!$B:$B,'[1]Import Eletra'!$CI:$CI,,0,1)=0,"",_xlfn.XLOOKUP($E59,'[1]Import Eletra'!$B:$B,'[1]Import Eletra'!$CI:$CI,0,1))</f>
        <v/>
      </c>
      <c r="EK59" s="410" t="str">
        <f>IF(_xlfn.XLOOKUP($E59,'[1]Import Eletra'!$B:$B,'[1]Import Eletra'!$CD:$CD,,0,1)=0,"",_xlfn.XLOOKUP($E59,'[1]Import Eletra'!$B:$B,'[1]Import Eletra'!$CD:$CD,0,1))</f>
        <v/>
      </c>
      <c r="EL59" s="410" t="str">
        <f>IF(_xlfn.XLOOKUP($E59,'[1]Import Eletra'!$B:$B,'[1]Import Eletra'!$CE:$CE,,0,1)=0,"",_xlfn.XLOOKUP($E59,'[1]Import Eletra'!$B:$B,'[1]Import Eletra'!$CE:$CE,0,1))</f>
        <v/>
      </c>
      <c r="EM59" s="411" t="str">
        <f>IF(_xlfn.XLOOKUP($E59,'[1]Import Eletra'!$B:$B,'[1]Import Eletra'!$E:$E,,0,1)=0,"",_xlfn.XLOOKUP($E59,'[1]Import Eletra'!$B:$B,'[1]Import Eletra'!$E:$E,0,1))</f>
        <v>LEISIANE</v>
      </c>
      <c r="EN59" s="408" t="str">
        <f>IF(_xlfn.XLOOKUP($E59,'[1]Import Eletra'!$B:$B,'[1]Import Eletra'!$R:$R,,0,1)=0,"",_xlfn.XLOOKUP($E59,'[1]Import Eletra'!$B:$B,'[1]Import Eletra'!$R:$R,0,1))</f>
        <v>PWBR260096-10C</v>
      </c>
      <c r="EO59" s="408" t="str">
        <f>IF(_xlfn.XLOOKUP($E59,'[1]Import Eletra'!$B:$B,'[1]Import Eletra'!$P:$P,,0,1)=0,"",_xlfn.XLOOKUP($E59,'[1]Import Eletra'!$B:$B,'[1]Import Eletra'!$P:$P,0,1))</f>
        <v>SDBLBS601400</v>
      </c>
      <c r="EP59" s="408" t="str">
        <f>IF(_xlfn.XLOOKUP($E59,'[1]Import Eletra'!$B:$B,'[1]Import Eletra'!$T:$T,,0,1)=0,"",_xlfn.XLOOKUP($E59,'[1]Import Eletra'!$B:$B,'[1]Import Eletra'!$T:$T,0,1))</f>
        <v>BEAU409345, SEGU508903, TCKU640114</v>
      </c>
    </row>
    <row r="60" spans="2:146" ht="30" customHeight="1">
      <c r="B60" s="371" t="s">
        <v>336</v>
      </c>
      <c r="C60" s="369">
        <v>8</v>
      </c>
      <c r="D60" s="104" t="str">
        <f>IF(_xlfn.XLOOKUP($E60,'[1]Import Eletra'!$B:$B,'[1]Import Eletra'!$A:$A,,0,1)=0,"",_xlfn.XLOOKUP($E60,'[1]Import Eletra'!$B:$B,'[1]Import Eletra'!$A:$A,,0,1))</f>
        <v>JUL_2026</v>
      </c>
      <c r="E60" s="322" t="s">
        <v>368</v>
      </c>
      <c r="F60" s="106">
        <f>IF(_xlfn.XLOOKUP($E60,'[1]Import Eletra'!$B:$B,'[1]Import Eletra'!$U:$U,,0,1)=0,"",_xlfn.XLOOKUP($E60,'[1]Import Eletra'!$B:$B,'[1]Import Eletra'!$U:$U,,0,1))</f>
        <v>0.5</v>
      </c>
      <c r="G60" s="301" t="s">
        <v>244</v>
      </c>
      <c r="H60" s="2" t="str">
        <f>_xlfn.XLOOKUP($E60,'[1]Import Eletra'!$B:$B,'[1]Import Eletra'!$F:$F,,0,1)</f>
        <v>WAITING ARRIVAL</v>
      </c>
      <c r="I60" s="108" t="str">
        <f>_xlfn.XLOOKUP($E60,'[1]Import Eletra'!$B:$B,'[1]Import Eletra'!$G:$G,,0,1)</f>
        <v>SEA</v>
      </c>
      <c r="J60" s="326">
        <v>46142</v>
      </c>
      <c r="K60" s="109">
        <v>30</v>
      </c>
      <c r="L60" s="109">
        <f>M60-J60</f>
        <v>34</v>
      </c>
      <c r="M60" s="326">
        <f>IF(_xlfn.XLOOKUP($E60,'[1]Import Eletra'!$B:$B,'[1]Import Eletra'!$J:$J,,0,1)=0,"",_xlfn.XLOOKUP($E60,'[1]Import Eletra'!$B:$B,'[1]Import Eletra'!$J:$J,,0,1))</f>
        <v>46176</v>
      </c>
      <c r="N60" s="333">
        <f>IF(_xlfn.XLOOKUP($E60,'[1]Import Eletra'!$B:$B,'[1]Import Eletra'!$L:$L,,0,1)=0,"",_xlfn.XLOOKUP($E60,'[1]Import Eletra'!$B:$B,'[1]Import Eletra'!$L:$L,,0,1))</f>
        <v>46231</v>
      </c>
      <c r="O60" s="336">
        <f>IF(_xlfn.XLOOKUP($E60,'[1]Import Eletra'!$B:$B,'[1]Import Eletra'!$AK:$AK,,0,1)=0,"",_xlfn.XLOOKUP($E60,'[1]Import Eletra'!$B:$B,'[1]Import Eletra'!$AK:$AK,,0,1))</f>
        <v>46185</v>
      </c>
      <c r="P60" s="326">
        <f>IF(_xlfn.XLOOKUP($E60,'[1]Import Eletra'!$B:$B,'[1]Import Eletra'!$AL:$AL,,0,1)=0,"",_xlfn.XLOOKUP($E60,'[1]Import Eletra'!$B:$B,'[1]Import Eletra'!$AL:$AL,,0,1))</f>
        <v>46189</v>
      </c>
      <c r="Q60" s="326">
        <f>IF(_xlfn.XLOOKUP($E60,'[1]Import Eletra'!$B:$B,'[1]Import Eletra'!$AM:$AM,,0,1)=0,"",_xlfn.XLOOKUP($E60,'[1]Import Eletra'!$B:$B,'[1]Import Eletra'!$AM:$AM,,0,1))</f>
        <v>46191</v>
      </c>
      <c r="R60" s="326">
        <f>IF(_xlfn.XLOOKUP($E60,'[1]Import Eletra'!$B:$B,'[1]Import Eletra'!$AN:$AN,,0,1)=0,"",_xlfn.XLOOKUP($E60,'[1]Import Eletra'!$B:$B,'[1]Import Eletra'!$AN:$AN,,0,1))</f>
        <v>46191</v>
      </c>
      <c r="S60" s="326">
        <f>IF(_xlfn.XLOOKUP($E60,'[1]Import Eletra'!$B:$B,'[1]Import Eletra'!$AO:$AO,,0,1)=0,"",_xlfn.XLOOKUP($E60,'[1]Import Eletra'!$B:$B,'[1]Import Eletra'!$AO:$AO,,0,1))</f>
        <v>46192</v>
      </c>
      <c r="T60" s="326">
        <f>IF(_xlfn.XLOOKUP($E60,'[1]Import Eletra'!$B:$B,'[1]Import Eletra'!$AP:$AP,,0,1)=0,"",_xlfn.XLOOKUP($E60,'[1]Import Eletra'!$B:$B,'[1]Import Eletra'!$AP:$AP,,0,1))</f>
        <v>46192</v>
      </c>
      <c r="U60" s="326">
        <f>IF(_xlfn.XLOOKUP($E60,'[1]Import Eletra'!$B:$B,'[1]Import Eletra'!$AQ:$AQ,,0,1)=0,"",_xlfn.XLOOKUP($E60,'[1]Import Eletra'!$B:$B,'[1]Import Eletra'!$AQ:$AQ,,0,1))</f>
        <v>46192</v>
      </c>
      <c r="V60" s="339" t="str">
        <f>IF(_xlfn.XLOOKUP($E60,'[1]Import Eletra'!$B:$B,'[1]Import Eletra'!$AR:$AR,,0,1)=0,"",_xlfn.XLOOKUP($E60,'[1]Import Eletra'!$B:$B,'[1]Import Eletra'!$AR:$AR,,0,1))</f>
        <v/>
      </c>
      <c r="W60" s="335">
        <f>AB60-$AB$5</f>
        <v>46232</v>
      </c>
      <c r="X60" s="332" t="str">
        <f>IF(_xlfn.XLOOKUP($E60,'[1]Import Eletra'!$B:$B,'[1]Import Eletra'!$AS:$AS,,0,1)=0,"",_xlfn.XLOOKUP($E60,'[1]Import Eletra'!$B:$B,'[1]Import Eletra'!$AS:$AS,,0,1))</f>
        <v/>
      </c>
      <c r="Y60" s="113">
        <f>$W$4</f>
        <v>0</v>
      </c>
      <c r="Z60" s="113">
        <f ca="1">IF(X60="",TODAY()-W60,X60-W60)</f>
        <v>-21</v>
      </c>
      <c r="AA60" s="184">
        <f ca="1">Z60-Y60</f>
        <v>-21</v>
      </c>
      <c r="AB60" s="348">
        <f>AG60-$AB$5</f>
        <v>46233</v>
      </c>
      <c r="AC60" s="332" t="str">
        <f>IF(_xlfn.XLOOKUP($E60,'[1]Import Eletra'!$B:$B,'[1]Import Eletra'!$AD:$AD,,0,1)=0,"",_xlfn.XLOOKUP($E60,'[1]Import Eletra'!$B:$B,'[1]Import Eletra'!$AD:$AD,,0,1))</f>
        <v/>
      </c>
      <c r="AD60" s="113">
        <f>$AB$4</f>
        <v>0</v>
      </c>
      <c r="AE60" s="113">
        <f ca="1">IF(AC60="",TODAY()-AB60,AC60-AB60)</f>
        <v>-22</v>
      </c>
      <c r="AF60" s="184">
        <f ca="1">AE60-AD60</f>
        <v>-22</v>
      </c>
      <c r="AG60" s="355">
        <f>AL60-$AL$5</f>
        <v>46234</v>
      </c>
      <c r="AH60" s="332" t="str">
        <f>IF(_xlfn.XLOOKUP($E60,'[1]Import Eletra'!$B:$B,'[1]Import Eletra'!$AE:$AE,,0,1)=0,"",_xlfn.XLOOKUP($E60,'[1]Import Eletra'!$B:$B,'[1]Import Eletra'!$AE:$AE,,0,1))</f>
        <v/>
      </c>
      <c r="AI60" s="113">
        <f>$AG$4</f>
        <v>0</v>
      </c>
      <c r="AJ60" s="113">
        <f ca="1">IF(AH60="",TODAY()-AG60,AH60-AG60)</f>
        <v>-23</v>
      </c>
      <c r="AK60" s="184">
        <f ca="1">AJ60-AI60</f>
        <v>-23</v>
      </c>
      <c r="AL60" s="355">
        <f>AQ60-$AQ$5</f>
        <v>46234</v>
      </c>
      <c r="AM60" s="332" t="str">
        <f>IF(_xlfn.XLOOKUP($E60,'[1]Import Eletra'!$B:$B,'[1]Import Eletra'!$AT:$AT,,0,1)=0,"",_xlfn.XLOOKUP($E60,'[1]Import Eletra'!$B:$B,'[1]Import Eletra'!$AT:$AT,,0,1))</f>
        <v/>
      </c>
      <c r="AN60" s="113">
        <f>$AL$4</f>
        <v>0</v>
      </c>
      <c r="AO60" s="113">
        <f ca="1">IF(AM60="",TODAY()-AL60,AM60-AL60)</f>
        <v>-23</v>
      </c>
      <c r="AP60" s="184">
        <f ca="1">AO60-AN60</f>
        <v>-23</v>
      </c>
      <c r="AQ60" s="357">
        <f>AV60-$AV$5</f>
        <v>46235</v>
      </c>
      <c r="AR60" s="332" t="str">
        <f>IF(_xlfn.XLOOKUP($E60,'[1]Import Eletra'!$B:$B,'[1]Import Eletra'!$AU:$AU,,0,1)=0,"",_xlfn.XLOOKUP($E60,'[1]Import Eletra'!$B:$B,'[1]Import Eletra'!$AU:$AU,,0,1))</f>
        <v/>
      </c>
      <c r="AS60" s="113">
        <f>$AQ$4</f>
        <v>1</v>
      </c>
      <c r="AT60" s="113">
        <f ca="1">IF(AR60="",TODAY()-AQ60,AR60-AQ60)</f>
        <v>-24</v>
      </c>
      <c r="AU60" s="184">
        <f ca="1">AT60-AS60</f>
        <v>-25</v>
      </c>
      <c r="AV60" s="355">
        <f>BA60-$BA$5</f>
        <v>46235</v>
      </c>
      <c r="AW60" s="332" t="str">
        <f>IF(_xlfn.XLOOKUP($E60,'[1]Import Eletra'!$B:$B,'[1]Import Eletra'!$AV:$AV,,0,1)=0,"",_xlfn.XLOOKUP($E60,'[1]Import Eletra'!$B:$B,'[1]Import Eletra'!$AV:$AV,,0,1))</f>
        <v/>
      </c>
      <c r="AX60" s="113">
        <f>$AV$4</f>
        <v>0</v>
      </c>
      <c r="AY60" s="113">
        <f ca="1">IF(AW60="",TODAY()-AV60,AW60-AV60)</f>
        <v>-24</v>
      </c>
      <c r="AZ60" s="184">
        <f ca="1">AY60-AX60</f>
        <v>-24</v>
      </c>
      <c r="BA60" s="357">
        <f>BF60-$BF$5</f>
        <v>46235</v>
      </c>
      <c r="BB60" s="332" t="str">
        <f>IF(_xlfn.XLOOKUP($E60,'[1]Import Eletra'!$B:$B,'[1]Import Eletra'!$AW:$AW,,0,1)=0,"",_xlfn.XLOOKUP($E60,'[1]Import Eletra'!$B:$B,'[1]Import Eletra'!$AW:$AW,,0,1))</f>
        <v/>
      </c>
      <c r="BC60" s="113">
        <f>$BA$4</f>
        <v>0</v>
      </c>
      <c r="BD60" s="113">
        <f ca="1">IF(BB60="",TODAY()-BA60,BB60-BA60)</f>
        <v>-24</v>
      </c>
      <c r="BE60" s="184">
        <f ca="1">BD60-BC60</f>
        <v>-24</v>
      </c>
      <c r="BF60" s="335">
        <f>BK60-$BK$5</f>
        <v>46235</v>
      </c>
      <c r="BG60" s="332" t="str">
        <f>IF(_xlfn.XLOOKUP($E60,'[1]Import Eletra'!$B:$B,'[1]Import Eletra'!$AX:$AX,,0,1)=0,"",_xlfn.XLOOKUP($E60,'[1]Import Eletra'!$B:$B,'[1]Import Eletra'!$AX:$AX,,0,1))</f>
        <v/>
      </c>
      <c r="BH60" s="113">
        <f>$BF$4</f>
        <v>0</v>
      </c>
      <c r="BI60" s="113">
        <f ca="1">IF(BG60="",TODAY()-BF60,BG60-BF60)</f>
        <v>-24</v>
      </c>
      <c r="BJ60" s="184">
        <f ca="1">BI60-BH60</f>
        <v>-24</v>
      </c>
      <c r="BK60" s="362">
        <f>BP60-$BP$5</f>
        <v>46235</v>
      </c>
      <c r="BL60" s="332" t="str">
        <f>IF(_xlfn.XLOOKUP($E60,'[1]Import Eletra'!$B:$B,'[1]Import Eletra'!$AY:$AY,,0,1)=0,"",_xlfn.XLOOKUP($E60,'[1]Import Eletra'!$B:$B,'[1]Import Eletra'!$AY:$AY,,0,1))</f>
        <v/>
      </c>
      <c r="BM60" s="113">
        <f>$BK$4</f>
        <v>0</v>
      </c>
      <c r="BN60" s="113">
        <f ca="1">IF(BL60="",TODAY()-BK60,BL60-BK60)</f>
        <v>-24</v>
      </c>
      <c r="BO60" s="184">
        <f ca="1">BN60-BM60</f>
        <v>-24</v>
      </c>
      <c r="BP60" s="335">
        <f>BU60-$BU$5</f>
        <v>46235</v>
      </c>
      <c r="BQ60" s="332" t="str">
        <f>IF(_xlfn.XLOOKUP($E60,'[1]Import Eletra'!$B:$B,'[1]Import Eletra'!$AZ:$AZ,,0,1)=0,"",_xlfn.XLOOKUP($E60,'[1]Import Eletra'!$B:$B,'[1]Import Eletra'!$AZ:$AZ,,0,1))</f>
        <v/>
      </c>
      <c r="BR60" s="113">
        <f>$BP$4</f>
        <v>0</v>
      </c>
      <c r="BS60" s="113">
        <f ca="1">IF(BQ60="",TODAY()-BP60,BQ60-BP60)</f>
        <v>-24</v>
      </c>
      <c r="BT60" s="184">
        <f ca="1">BS60-BR60</f>
        <v>-24</v>
      </c>
      <c r="BU60" s="362">
        <f>BZ60-$BZ$4</f>
        <v>46237</v>
      </c>
      <c r="BV60" s="332" t="str">
        <f>IF(_xlfn.XLOOKUP($E60,'[1]Import Eletra'!$B:$B,'[1]Import Eletra'!$BA:$BA,,0,1)=0,"",_xlfn.XLOOKUP($E60,'[1]Import Eletra'!$B:$B,'[1]Import Eletra'!$BA:$BA,,0,1))</f>
        <v/>
      </c>
      <c r="BW60" s="113">
        <f>$BU$4</f>
        <v>2</v>
      </c>
      <c r="BX60" s="113">
        <f ca="1">IF(BV60="",TODAY()-BU60,BV60-BU60)</f>
        <v>-26</v>
      </c>
      <c r="BY60" s="184">
        <f ca="1">BX60-BW60</f>
        <v>-28</v>
      </c>
      <c r="BZ60" s="335">
        <f>CE60-$CE$5</f>
        <v>46237</v>
      </c>
      <c r="CA60" s="332" t="str">
        <f>IF(_xlfn.XLOOKUP($E60,'[1]Import Eletra'!$B:$B,'[1]Import Eletra'!$BB:$BB,,0,1)=0,"",_xlfn.XLOOKUP($E60,'[1]Import Eletra'!$B:$B,'[1]Import Eletra'!$BB:$BB,,0,1))</f>
        <v/>
      </c>
      <c r="CB60" s="113">
        <f>$BZ$4</f>
        <v>0</v>
      </c>
      <c r="CC60" s="113">
        <f ca="1">IF(CA60="",TODAY()-BZ60,CA60-BZ60)</f>
        <v>-26</v>
      </c>
      <c r="CD60" s="184">
        <f ca="1">CC60-CB60</f>
        <v>-26</v>
      </c>
      <c r="CE60" s="362">
        <f>CJ60-$CJ$4</f>
        <v>46237</v>
      </c>
      <c r="CF60" s="332" t="str">
        <f>IF(_xlfn.XLOOKUP($E60,'[1]Import Eletra'!$B:$B,'[1]Import Eletra'!$BC:$BC,,0,1)=0,"",_xlfn.XLOOKUP($E60,'[1]Import Eletra'!$B:$B,'[1]Import Eletra'!$BC:$BC,,0,1))</f>
        <v/>
      </c>
      <c r="CG60" s="113">
        <f>$CE$4</f>
        <v>0</v>
      </c>
      <c r="CH60" s="113">
        <f ca="1">IF(CF60="",TODAY()-CE60,CF60-CE60)</f>
        <v>-26</v>
      </c>
      <c r="CI60" s="184">
        <f ca="1">CH60-CG60</f>
        <v>-26</v>
      </c>
      <c r="CJ60" s="335">
        <f>CO60-$CO$4</f>
        <v>46237</v>
      </c>
      <c r="CK60" s="332" t="str">
        <f>IF(_xlfn.XLOOKUP($E60,'[1]Import Eletra'!$B:$B,'[1]Import Eletra'!$BD:$BD,,0,1)=0,"",_xlfn.XLOOKUP($E60,'[1]Import Eletra'!$B:$B,'[1]Import Eletra'!$BD:$BD,,0,1))</f>
        <v/>
      </c>
      <c r="CL60" s="113"/>
      <c r="CM60" s="113">
        <f ca="1">IF(CK60="",TODAY()-CJ60,CK60-CJ60)</f>
        <v>-26</v>
      </c>
      <c r="CN60" s="184">
        <f ca="1">CM60-CL60</f>
        <v>-26</v>
      </c>
      <c r="CO60" s="362">
        <f>CT60-$CT$4</f>
        <v>46237</v>
      </c>
      <c r="CP60" s="332" t="str">
        <f>IF(_xlfn.XLOOKUP($E60,'[1]Import Eletra'!$B:$B,'[1]Import Eletra'!$BE:$BE,,0,1)=0,"",_xlfn.XLOOKUP($E60,'[1]Import Eletra'!$B:$B,'[1]Import Eletra'!$BE:$BE,,0,1))</f>
        <v/>
      </c>
      <c r="CQ60" s="113">
        <f>$CO$4</f>
        <v>0</v>
      </c>
      <c r="CR60" s="113">
        <f ca="1">IF(CP60="",TODAY()-CO60,CP60-CO60)</f>
        <v>-26</v>
      </c>
      <c r="CS60" s="184">
        <f ca="1">CR60-CQ60</f>
        <v>-26</v>
      </c>
      <c r="CT60" s="335">
        <f>CY60-$CY$4</f>
        <v>46237</v>
      </c>
      <c r="CU60" s="332" t="str">
        <f>IF(_xlfn.XLOOKUP($E60,'[1]Import Eletra'!$B:$B,'[1]Import Eletra'!$BF:$BF,,0,1)=0,"",_xlfn.XLOOKUP($E60,'[1]Import Eletra'!$B:$B,'[1]Import Eletra'!$BF:$BF,,0,1))</f>
        <v/>
      </c>
      <c r="CV60" s="113">
        <f>$CT$4</f>
        <v>0</v>
      </c>
      <c r="CW60" s="113">
        <f ca="1">IF(CU60="",TODAY()-CT60,CU60-CT60)</f>
        <v>-26</v>
      </c>
      <c r="CX60" s="184">
        <f ca="1">CW60-CV60</f>
        <v>-26</v>
      </c>
      <c r="CY60" s="110">
        <f>DD60-$DD$4</f>
        <v>46237</v>
      </c>
      <c r="CZ60" s="247" t="str">
        <f>IF(_xlfn.XLOOKUP($E60,'[1]Import Eletra'!$B:$B,'[1]Import Eletra'!$BF:$BF,,0,1)=0,"",_xlfn.XLOOKUP($E60,'[1]Import Eletra'!$B:$B,'[1]Import Eletra'!$BF:$BF,,0,1))</f>
        <v/>
      </c>
      <c r="DA60" s="210">
        <f>$CY$4</f>
        <v>0</v>
      </c>
      <c r="DB60" s="113">
        <f ca="1">IF(CZ60="",TODAY()-CY60,CZ60-CY60)</f>
        <v>-26</v>
      </c>
      <c r="DC60" s="184">
        <f ca="1">DB60-DA60</f>
        <v>-26</v>
      </c>
      <c r="DD60" s="110">
        <f>DI60-$DI$4</f>
        <v>46239</v>
      </c>
      <c r="DE60" s="247" t="str">
        <f>IF(_xlfn.XLOOKUP($E60,'[1]Import Eletra'!$B:$B,'[1]Import Eletra'!$BG:$BG,,0,1)=0,"",_xlfn.XLOOKUP($E60,'[1]Import Eletra'!$B:$B,'[1]Import Eletra'!$BG:$BG,0,1))</f>
        <v/>
      </c>
      <c r="DF60" s="113">
        <f>$DD$4</f>
        <v>2</v>
      </c>
      <c r="DG60" s="113">
        <f ca="1">IF(DE60="",TODAY()-DD60,DE60-DD60)</f>
        <v>-28</v>
      </c>
      <c r="DH60" s="184">
        <f ca="1">DG60-DF60</f>
        <v>-30</v>
      </c>
      <c r="DI60" s="110">
        <f>DO60-$DN$4</f>
        <v>46240</v>
      </c>
      <c r="DJ60" s="247" t="str">
        <f>IF(_xlfn.XLOOKUP($E60,'[1]Import Eletra'!$B:$B,'[1]Import Eletra'!$BH:$BH,,0,1)=0,"",_xlfn.XLOOKUP($E60,'[1]Import Eletra'!$B:$B,'[1]Import Eletra'!$BH:$BH,0,1))</f>
        <v/>
      </c>
      <c r="DK60" s="112">
        <f>$DI$4</f>
        <v>1</v>
      </c>
      <c r="DL60" s="112">
        <f ca="1">IF(DJ60="",TODAY()-DI60,DJ60-DI60)</f>
        <v>-29</v>
      </c>
      <c r="DM60" s="184">
        <f ca="1">DL60-DK60</f>
        <v>-30</v>
      </c>
      <c r="DN60" s="64"/>
      <c r="DO60" s="202">
        <f>N60+DT60</f>
        <v>46241</v>
      </c>
      <c r="DP60" s="298" t="str">
        <f>IF(_xlfn.XLOOKUP($E60,'[1]Import Eletra'!$B:$B,'[1]Import Eletra'!$O:$O,,0,1)=0,"",_xlfn.XLOOKUP($E60,'[1]Import Eletra'!$B:$B,'[1]Import Eletra'!$O:$O,0,1))</f>
        <v/>
      </c>
      <c r="DQ60" s="112">
        <f>$DN$4</f>
        <v>1</v>
      </c>
      <c r="DR60" s="112">
        <f ca="1">IF(DP60="",TODAY()-DO60,DP60-DO60)</f>
        <v>-30</v>
      </c>
      <c r="DS60" s="184">
        <f ca="1">DR60-DQ60</f>
        <v>-31</v>
      </c>
      <c r="DT60" s="143">
        <v>10</v>
      </c>
      <c r="DU60" s="140">
        <f ca="1">IF(DP60="",TODAY()-N60,DP60-N60)</f>
        <v>-20</v>
      </c>
      <c r="DV60" s="184">
        <f ca="1">DU60-DT60</f>
        <v>-30</v>
      </c>
      <c r="DX60" s="142" t="s">
        <v>367</v>
      </c>
      <c r="DY60" s="108" t="str">
        <f>IF(_xlfn.XLOOKUP($E60,'[1]Import Eletra'!$B:$B,'[1]Import Eletra'!$DW:$DW,,0,1)=0,"",_xlfn.XLOOKUP($E60,'[1]Import Eletra'!$B:$B,'[1]Import Eletra'!$DW:$DW,0,1))</f>
        <v/>
      </c>
      <c r="EB60" s="287"/>
      <c r="ED60" s="409" t="str">
        <f>IF(_xlfn.XLOOKUP($E60,'[1]Import Eletra'!$B:$B,'[1]Import Eletra'!$BQ:$BQ,,0,1)=0,"",_xlfn.XLOOKUP($E60,'[1]Import Eletra'!$B:$B,'[1]Import Eletra'!$BQ:$BQ,0,1))</f>
        <v/>
      </c>
      <c r="EE60" s="410" t="str">
        <f>IF(_xlfn.XLOOKUP($E60,'[1]Import Eletra'!$B:$B,'[1]Import Eletra'!$BR:$BR,,0,1)=0,"",_xlfn.XLOOKUP($E60,'[1]Import Eletra'!$B:$B,'[1]Import Eletra'!$BR:$BR,0,1))</f>
        <v/>
      </c>
      <c r="EF60" s="409" t="str">
        <f>IF(_xlfn.XLOOKUP($E60,'[1]Import Eletra'!$B:$B,'[1]Import Eletra'!$BS:$BS,,0,1)=0,"",_xlfn.XLOOKUP($E60,'[1]Import Eletra'!$B:$B,'[1]Import Eletra'!$BS:$BS,0,1))</f>
        <v/>
      </c>
      <c r="EG60" s="410" t="str">
        <f>IF(_xlfn.XLOOKUP($E60,'[1]Import Eletra'!$B:$B,'[1]Import Eletra'!$BT:$BT,,0,1)=0,"",_xlfn.XLOOKUP($E60,'[1]Import Eletra'!$B:$B,'[1]Import Eletra'!$BT:$BT,0,1))</f>
        <v/>
      </c>
      <c r="EH60" s="409" t="str">
        <f>IF(_xlfn.XLOOKUP($E60,'[1]Import Eletra'!$B:$B,'[1]Import Eletra'!$BU:$BU,,0,1)=0,"",_xlfn.XLOOKUP($E60,'[1]Import Eletra'!$B:$B,'[1]Import Eletra'!$BU:$BU,0,1))</f>
        <v/>
      </c>
      <c r="EI60" s="410" t="str">
        <f>IF(_xlfn.XLOOKUP($E60,'[1]Import Eletra'!$B:$B,'[1]Import Eletra'!$BV:$BV,,0,1)=0,"",_xlfn.XLOOKUP($E60,'[1]Import Eletra'!$B:$B,'[1]Import Eletra'!$BV:$BV,0,1))</f>
        <v/>
      </c>
      <c r="EJ60" s="410" t="str">
        <f>IF(_xlfn.XLOOKUP($E60,'[1]Import Eletra'!$B:$B,'[1]Import Eletra'!$CI:$CI,,0,1)=0,"",_xlfn.XLOOKUP($E60,'[1]Import Eletra'!$B:$B,'[1]Import Eletra'!$CI:$CI,0,1))</f>
        <v/>
      </c>
      <c r="EK60" s="410" t="str">
        <f>IF(_xlfn.XLOOKUP($E60,'[1]Import Eletra'!$B:$B,'[1]Import Eletra'!$CD:$CD,,0,1)=0,"",_xlfn.XLOOKUP($E60,'[1]Import Eletra'!$B:$B,'[1]Import Eletra'!$CD:$CD,0,1))</f>
        <v/>
      </c>
      <c r="EL60" s="410" t="str">
        <f>IF(_xlfn.XLOOKUP($E60,'[1]Import Eletra'!$B:$B,'[1]Import Eletra'!$CE:$CE,,0,1)=0,"",_xlfn.XLOOKUP($E60,'[1]Import Eletra'!$B:$B,'[1]Import Eletra'!$CE:$CE,0,1))</f>
        <v/>
      </c>
      <c r="EM60" s="411" t="str">
        <f>IF(_xlfn.XLOOKUP($E60,'[1]Import Eletra'!$B:$B,'[1]Import Eletra'!$E:$E,,0,1)=0,"",_xlfn.XLOOKUP($E60,'[1]Import Eletra'!$B:$B,'[1]Import Eletra'!$E:$E,0,1))</f>
        <v>LEISIANE</v>
      </c>
      <c r="EN60" s="408" t="str">
        <f>IF(_xlfn.XLOOKUP($E60,'[1]Import Eletra'!$B:$B,'[1]Import Eletra'!$R:$R,,0,1)=0,"",_xlfn.XLOOKUP($E60,'[1]Import Eletra'!$B:$B,'[1]Import Eletra'!$R:$R,0,1))</f>
        <v>PWBR260096-10F</v>
      </c>
      <c r="EO60" s="408" t="str">
        <f>IF(_xlfn.XLOOKUP($E60,'[1]Import Eletra'!$B:$B,'[1]Import Eletra'!$P:$P,,0,1)=0,"",_xlfn.XLOOKUP($E60,'[1]Import Eletra'!$B:$B,'[1]Import Eletra'!$P:$P,0,1))</f>
        <v>SDBLBS601413</v>
      </c>
      <c r="EP60" s="408" t="str">
        <f>IF(_xlfn.XLOOKUP($E60,'[1]Import Eletra'!$B:$B,'[1]Import Eletra'!$T:$T,,0,1)=0,"",_xlfn.XLOOKUP($E60,'[1]Import Eletra'!$B:$B,'[1]Import Eletra'!$T:$T,0,1))</f>
        <v>TCNU313037</v>
      </c>
    </row>
    <row r="61" spans="2:146" ht="30" customHeight="1">
      <c r="B61" s="371" t="s">
        <v>352</v>
      </c>
      <c r="C61" s="369">
        <v>5</v>
      </c>
      <c r="D61" s="104" t="str">
        <f>IF(_xlfn.XLOOKUP($E61,'[1]Import Eletra'!$B:$B,'[1]Import Eletra'!$A:$A,,0,1)=0,"",_xlfn.XLOOKUP($E61,'[1]Import Eletra'!$B:$B,'[1]Import Eletra'!$A:$A,,0,1))</f>
        <v>AUG_2026</v>
      </c>
      <c r="E61" s="322" t="s">
        <v>369</v>
      </c>
      <c r="F61" s="106">
        <f>IF(_xlfn.XLOOKUP($E61,'[1]Import Eletra'!$B:$B,'[1]Import Eletra'!$U:$U,,0,1)=0,"",_xlfn.XLOOKUP($E61,'[1]Import Eletra'!$B:$B,'[1]Import Eletra'!$U:$U,,0,1))</f>
        <v>3</v>
      </c>
      <c r="G61" s="301" t="s">
        <v>244</v>
      </c>
      <c r="H61" s="2" t="str">
        <f>_xlfn.XLOOKUP($E61,'[1]Import Eletra'!$B:$B,'[1]Import Eletra'!$F:$F,,0,1)</f>
        <v>WAITING ARRIVAL</v>
      </c>
      <c r="I61" s="108" t="str">
        <f>_xlfn.XLOOKUP($E61,'[1]Import Eletra'!$B:$B,'[1]Import Eletra'!$G:$G,,0,1)</f>
        <v>SEA</v>
      </c>
      <c r="J61" s="326">
        <v>46151</v>
      </c>
      <c r="K61" s="109">
        <v>30</v>
      </c>
      <c r="L61" s="109">
        <f>M61-J61</f>
        <v>21</v>
      </c>
      <c r="M61" s="326">
        <f>IF(_xlfn.XLOOKUP($E61,'[1]Import Eletra'!$B:$B,'[1]Import Eletra'!$J:$J,,0,1)=0,"",_xlfn.XLOOKUP($E61,'[1]Import Eletra'!$B:$B,'[1]Import Eletra'!$J:$J,,0,1))</f>
        <v>46172</v>
      </c>
      <c r="N61" s="333">
        <f>IF(_xlfn.XLOOKUP($E61,'[1]Import Eletra'!$B:$B,'[1]Import Eletra'!$L:$L,,0,1)=0,"",_xlfn.XLOOKUP($E61,'[1]Import Eletra'!$B:$B,'[1]Import Eletra'!$L:$L,,0,1))</f>
        <v>46222</v>
      </c>
      <c r="O61" s="335">
        <f>IF(_xlfn.XLOOKUP($E61,'[1]Import Eletra'!$B:$B,'[1]Import Eletra'!$AK:$AK,,0,1)=0,"",_xlfn.XLOOKUP($E61,'[1]Import Eletra'!$B:$B,'[1]Import Eletra'!$AK:$AK,,0,1))</f>
        <v>46183</v>
      </c>
      <c r="P61" s="326">
        <f>IF(_xlfn.XLOOKUP($E61,'[1]Import Eletra'!$B:$B,'[1]Import Eletra'!$AL:$AL,,0,1)=0,"",_xlfn.XLOOKUP($E61,'[1]Import Eletra'!$B:$B,'[1]Import Eletra'!$AL:$AL,,0,1))</f>
        <v>46184</v>
      </c>
      <c r="Q61" s="331">
        <f>IF(_xlfn.XLOOKUP($E61,'[1]Import Eletra'!$B:$B,'[1]Import Eletra'!$AM:$AM,,0,1)=0,"",_xlfn.XLOOKUP($E61,'[1]Import Eletra'!$B:$B,'[1]Import Eletra'!$AM:$AM,,0,1))</f>
        <v>46192</v>
      </c>
      <c r="R61" s="326">
        <f>IF(_xlfn.XLOOKUP($E61,'[1]Import Eletra'!$B:$B,'[1]Import Eletra'!$AN:$AN,,0,1)=0,"",_xlfn.XLOOKUP($E61,'[1]Import Eletra'!$B:$B,'[1]Import Eletra'!$AN:$AN,,0,1))</f>
        <v>46192</v>
      </c>
      <c r="S61" s="326">
        <f>IF(_xlfn.XLOOKUP($E61,'[1]Import Eletra'!$B:$B,'[1]Import Eletra'!$AO:$AO,,0,1)=0,"",_xlfn.XLOOKUP($E61,'[1]Import Eletra'!$B:$B,'[1]Import Eletra'!$AO:$AO,,0,1))</f>
        <v>46195</v>
      </c>
      <c r="T61" s="326">
        <f>IF(_xlfn.XLOOKUP($E61,'[1]Import Eletra'!$B:$B,'[1]Import Eletra'!$AP:$AP,,0,1)=0,"",_xlfn.XLOOKUP($E61,'[1]Import Eletra'!$B:$B,'[1]Import Eletra'!$AP:$AP,,0,1))</f>
        <v>46195</v>
      </c>
      <c r="U61" s="326">
        <f>IF(_xlfn.XLOOKUP($E61,'[1]Import Eletra'!$B:$B,'[1]Import Eletra'!$AQ:$AQ,,0,1)=0,"",_xlfn.XLOOKUP($E61,'[1]Import Eletra'!$B:$B,'[1]Import Eletra'!$AQ:$AQ,,0,1))</f>
        <v>46196</v>
      </c>
      <c r="V61" s="339" t="str">
        <f>IF(_xlfn.XLOOKUP($E61,'[1]Import Eletra'!$B:$B,'[1]Import Eletra'!$AR:$AR,,0,1)=0,"",_xlfn.XLOOKUP($E61,'[1]Import Eletra'!$B:$B,'[1]Import Eletra'!$AR:$AR,,0,1))</f>
        <v/>
      </c>
      <c r="W61" s="335">
        <f>AB61-$AB$5</f>
        <v>46223</v>
      </c>
      <c r="X61" s="332" t="str">
        <f>IF(_xlfn.XLOOKUP($E61,'[1]Import Eletra'!$B:$B,'[1]Import Eletra'!$AS:$AS,,0,1)=0,"",_xlfn.XLOOKUP($E61,'[1]Import Eletra'!$B:$B,'[1]Import Eletra'!$AS:$AS,,0,1))</f>
        <v/>
      </c>
      <c r="Y61" s="113">
        <f>$W$4</f>
        <v>0</v>
      </c>
      <c r="Z61" s="113">
        <f ca="1">IF(X61="",TODAY()-W61,X61-W61)</f>
        <v>-12</v>
      </c>
      <c r="AA61" s="184">
        <f ca="1">Z61-Y61</f>
        <v>-12</v>
      </c>
      <c r="AB61" s="348">
        <f>AG61-$AB$5</f>
        <v>46224</v>
      </c>
      <c r="AC61" s="332" t="str">
        <f>IF(_xlfn.XLOOKUP($E61,'[1]Import Eletra'!$B:$B,'[1]Import Eletra'!$AD:$AD,,0,1)=0,"",_xlfn.XLOOKUP($E61,'[1]Import Eletra'!$B:$B,'[1]Import Eletra'!$AD:$AD,,0,1))</f>
        <v/>
      </c>
      <c r="AD61" s="113">
        <f>$AB$4</f>
        <v>0</v>
      </c>
      <c r="AE61" s="113">
        <f ca="1">IF(AC61="",TODAY()-AB61,AC61-AB61)</f>
        <v>-13</v>
      </c>
      <c r="AF61" s="184">
        <f ca="1">AE61-AD61</f>
        <v>-13</v>
      </c>
      <c r="AG61" s="355">
        <f>AL61-$AL$5</f>
        <v>46225</v>
      </c>
      <c r="AH61" s="332" t="str">
        <f>IF(_xlfn.XLOOKUP($E61,'[1]Import Eletra'!$B:$B,'[1]Import Eletra'!$AE:$AE,,0,1)=0,"",_xlfn.XLOOKUP($E61,'[1]Import Eletra'!$B:$B,'[1]Import Eletra'!$AE:$AE,,0,1))</f>
        <v/>
      </c>
      <c r="AI61" s="113">
        <f>$AG$4</f>
        <v>0</v>
      </c>
      <c r="AJ61" s="113">
        <f ca="1">IF(AH61="",TODAY()-AG61,AH61-AG61)</f>
        <v>-14</v>
      </c>
      <c r="AK61" s="184">
        <f ca="1">AJ61-AI61</f>
        <v>-14</v>
      </c>
      <c r="AL61" s="355">
        <f>AQ61-$AQ$5</f>
        <v>46225</v>
      </c>
      <c r="AM61" s="332" t="str">
        <f>IF(_xlfn.XLOOKUP($E61,'[1]Import Eletra'!$B:$B,'[1]Import Eletra'!$AT:$AT,,0,1)=0,"",_xlfn.XLOOKUP($E61,'[1]Import Eletra'!$B:$B,'[1]Import Eletra'!$AT:$AT,,0,1))</f>
        <v/>
      </c>
      <c r="AN61" s="113">
        <f>$AL$4</f>
        <v>0</v>
      </c>
      <c r="AO61" s="113">
        <f ca="1">IF(AM61="",TODAY()-AL61,AM61-AL61)</f>
        <v>-14</v>
      </c>
      <c r="AP61" s="184">
        <f ca="1">AO61-AN61</f>
        <v>-14</v>
      </c>
      <c r="AQ61" s="357">
        <f>AV61-$AV$5</f>
        <v>46226</v>
      </c>
      <c r="AR61" s="332" t="str">
        <f>IF(_xlfn.XLOOKUP($E61,'[1]Import Eletra'!$B:$B,'[1]Import Eletra'!$AU:$AU,,0,1)=0,"",_xlfn.XLOOKUP($E61,'[1]Import Eletra'!$B:$B,'[1]Import Eletra'!$AU:$AU,,0,1))</f>
        <v/>
      </c>
      <c r="AS61" s="113">
        <f>$AQ$4</f>
        <v>1</v>
      </c>
      <c r="AT61" s="113">
        <f ca="1">IF(AR61="",TODAY()-AQ61,AR61-AQ61)</f>
        <v>-15</v>
      </c>
      <c r="AU61" s="184">
        <f ca="1">AT61-AS61</f>
        <v>-16</v>
      </c>
      <c r="AV61" s="355">
        <f>BA61-$BA$5</f>
        <v>46226</v>
      </c>
      <c r="AW61" s="332" t="str">
        <f>IF(_xlfn.XLOOKUP($E61,'[1]Import Eletra'!$B:$B,'[1]Import Eletra'!$AV:$AV,,0,1)=0,"",_xlfn.XLOOKUP($E61,'[1]Import Eletra'!$B:$B,'[1]Import Eletra'!$AV:$AV,,0,1))</f>
        <v/>
      </c>
      <c r="AX61" s="113">
        <f>$AV$4</f>
        <v>0</v>
      </c>
      <c r="AY61" s="113">
        <f ca="1">IF(AW61="",TODAY()-AV61,AW61-AV61)</f>
        <v>-15</v>
      </c>
      <c r="AZ61" s="184">
        <f ca="1">AY61-AX61</f>
        <v>-15</v>
      </c>
      <c r="BA61" s="357">
        <f>BF61-$BF$5</f>
        <v>46226</v>
      </c>
      <c r="BB61" s="332" t="str">
        <f>IF(_xlfn.XLOOKUP($E61,'[1]Import Eletra'!$B:$B,'[1]Import Eletra'!$AW:$AW,,0,1)=0,"",_xlfn.XLOOKUP($E61,'[1]Import Eletra'!$B:$B,'[1]Import Eletra'!$AW:$AW,,0,1))</f>
        <v/>
      </c>
      <c r="BC61" s="113">
        <f>$BA$4</f>
        <v>0</v>
      </c>
      <c r="BD61" s="113">
        <f ca="1">IF(BB61="",TODAY()-BA61,BB61-BA61)</f>
        <v>-15</v>
      </c>
      <c r="BE61" s="184">
        <f ca="1">BD61-BC61</f>
        <v>-15</v>
      </c>
      <c r="BF61" s="335">
        <f>BK61-$BK$5</f>
        <v>46226</v>
      </c>
      <c r="BG61" s="332" t="str">
        <f>IF(_xlfn.XLOOKUP($E61,'[1]Import Eletra'!$B:$B,'[1]Import Eletra'!$AX:$AX,,0,1)=0,"",_xlfn.XLOOKUP($E61,'[1]Import Eletra'!$B:$B,'[1]Import Eletra'!$AX:$AX,,0,1))</f>
        <v/>
      </c>
      <c r="BH61" s="113">
        <f>$BF$4</f>
        <v>0</v>
      </c>
      <c r="BI61" s="113">
        <f ca="1">IF(BG61="",TODAY()-BF61,BG61-BF61)</f>
        <v>-15</v>
      </c>
      <c r="BJ61" s="184">
        <f ca="1">BI61-BH61</f>
        <v>-15</v>
      </c>
      <c r="BK61" s="362">
        <f>BP61-$BP$5</f>
        <v>46226</v>
      </c>
      <c r="BL61" s="332" t="str">
        <f>IF(_xlfn.XLOOKUP($E61,'[1]Import Eletra'!$B:$B,'[1]Import Eletra'!$AY:$AY,,0,1)=0,"",_xlfn.XLOOKUP($E61,'[1]Import Eletra'!$B:$B,'[1]Import Eletra'!$AY:$AY,,0,1))</f>
        <v/>
      </c>
      <c r="BM61" s="113">
        <f>$BK$4</f>
        <v>0</v>
      </c>
      <c r="BN61" s="113">
        <f ca="1">IF(BL61="",TODAY()-BK61,BL61-BK61)</f>
        <v>-15</v>
      </c>
      <c r="BO61" s="184">
        <f ca="1">BN61-BM61</f>
        <v>-15</v>
      </c>
      <c r="BP61" s="335">
        <f>BU61-$BU$5</f>
        <v>46226</v>
      </c>
      <c r="BQ61" s="332" t="str">
        <f>IF(_xlfn.XLOOKUP($E61,'[1]Import Eletra'!$B:$B,'[1]Import Eletra'!$AZ:$AZ,,0,1)=0,"",_xlfn.XLOOKUP($E61,'[1]Import Eletra'!$B:$B,'[1]Import Eletra'!$AZ:$AZ,,0,1))</f>
        <v/>
      </c>
      <c r="BR61" s="113">
        <f>$BP$4</f>
        <v>0</v>
      </c>
      <c r="BS61" s="113">
        <f ca="1">IF(BQ61="",TODAY()-BP61,BQ61-BP61)</f>
        <v>-15</v>
      </c>
      <c r="BT61" s="184">
        <f ca="1">BS61-BR61</f>
        <v>-15</v>
      </c>
      <c r="BU61" s="362">
        <f>BZ61-$BZ$4</f>
        <v>46228</v>
      </c>
      <c r="BV61" s="332" t="str">
        <f>IF(_xlfn.XLOOKUP($E61,'[1]Import Eletra'!$B:$B,'[1]Import Eletra'!$BA:$BA,,0,1)=0,"",_xlfn.XLOOKUP($E61,'[1]Import Eletra'!$B:$B,'[1]Import Eletra'!$BA:$BA,,0,1))</f>
        <v/>
      </c>
      <c r="BW61" s="113">
        <f>$BU$4</f>
        <v>2</v>
      </c>
      <c r="BX61" s="113">
        <f ca="1">IF(BV61="",TODAY()-BU61,BV61-BU61)</f>
        <v>-17</v>
      </c>
      <c r="BY61" s="184">
        <f ca="1">BX61-BW61</f>
        <v>-19</v>
      </c>
      <c r="BZ61" s="335">
        <f>CE61-$CE$5</f>
        <v>46228</v>
      </c>
      <c r="CA61" s="332" t="str">
        <f>IF(_xlfn.XLOOKUP($E61,'[1]Import Eletra'!$B:$B,'[1]Import Eletra'!$BB:$BB,,0,1)=0,"",_xlfn.XLOOKUP($E61,'[1]Import Eletra'!$B:$B,'[1]Import Eletra'!$BB:$BB,,0,1))</f>
        <v/>
      </c>
      <c r="CB61" s="113">
        <f>$BZ$4</f>
        <v>0</v>
      </c>
      <c r="CC61" s="113">
        <f ca="1">IF(CA61="",TODAY()-BZ61,CA61-BZ61)</f>
        <v>-17</v>
      </c>
      <c r="CD61" s="184">
        <f ca="1">CC61-CB61</f>
        <v>-17</v>
      </c>
      <c r="CE61" s="362">
        <f>CJ61-$CJ$4</f>
        <v>46228</v>
      </c>
      <c r="CF61" s="332" t="str">
        <f>IF(_xlfn.XLOOKUP($E61,'[1]Import Eletra'!$B:$B,'[1]Import Eletra'!$BC:$BC,,0,1)=0,"",_xlfn.XLOOKUP($E61,'[1]Import Eletra'!$B:$B,'[1]Import Eletra'!$BC:$BC,,0,1))</f>
        <v/>
      </c>
      <c r="CG61" s="113">
        <f>$CE$4</f>
        <v>0</v>
      </c>
      <c r="CH61" s="113">
        <f ca="1">IF(CF61="",TODAY()-CE61,CF61-CE61)</f>
        <v>-17</v>
      </c>
      <c r="CI61" s="184">
        <f ca="1">CH61-CG61</f>
        <v>-17</v>
      </c>
      <c r="CJ61" s="335">
        <f>CO61-$CO$4</f>
        <v>46228</v>
      </c>
      <c r="CK61" s="332" t="str">
        <f>IF(_xlfn.XLOOKUP($E61,'[1]Import Eletra'!$B:$B,'[1]Import Eletra'!$BD:$BD,,0,1)=0,"",_xlfn.XLOOKUP($E61,'[1]Import Eletra'!$B:$B,'[1]Import Eletra'!$BD:$BD,,0,1))</f>
        <v/>
      </c>
      <c r="CL61" s="113"/>
      <c r="CM61" s="113">
        <f ca="1">IF(CK61="",TODAY()-CJ61,CK61-CJ61)</f>
        <v>-17</v>
      </c>
      <c r="CN61" s="184">
        <f ca="1">CM61-CL61</f>
        <v>-17</v>
      </c>
      <c r="CO61" s="362">
        <f>CT61-$CT$4</f>
        <v>46228</v>
      </c>
      <c r="CP61" s="332" t="str">
        <f>IF(_xlfn.XLOOKUP($E61,'[1]Import Eletra'!$B:$B,'[1]Import Eletra'!$BE:$BE,,0,1)=0,"",_xlfn.XLOOKUP($E61,'[1]Import Eletra'!$B:$B,'[1]Import Eletra'!$BE:$BE,,0,1))</f>
        <v/>
      </c>
      <c r="CQ61" s="113">
        <f>$CO$4</f>
        <v>0</v>
      </c>
      <c r="CR61" s="113">
        <f ca="1">IF(CP61="",TODAY()-CO61,CP61-CO61)</f>
        <v>-17</v>
      </c>
      <c r="CS61" s="184">
        <f ca="1">CR61-CQ61</f>
        <v>-17</v>
      </c>
      <c r="CT61" s="335">
        <f>CY61-$CY$4</f>
        <v>46228</v>
      </c>
      <c r="CU61" s="332" t="str">
        <f>IF(_xlfn.XLOOKUP($E61,'[1]Import Eletra'!$B:$B,'[1]Import Eletra'!$BF:$BF,,0,1)=0,"",_xlfn.XLOOKUP($E61,'[1]Import Eletra'!$B:$B,'[1]Import Eletra'!$BF:$BF,,0,1))</f>
        <v/>
      </c>
      <c r="CV61" s="113">
        <f>$CT$4</f>
        <v>0</v>
      </c>
      <c r="CW61" s="113">
        <f ca="1">IF(CU61="",TODAY()-CT61,CU61-CT61)</f>
        <v>-17</v>
      </c>
      <c r="CX61" s="184">
        <f ca="1">CW61-CV61</f>
        <v>-17</v>
      </c>
      <c r="CY61" s="110">
        <f>DD61-$DD$4</f>
        <v>46228</v>
      </c>
      <c r="CZ61" s="247" t="str">
        <f>IF(_xlfn.XLOOKUP($E61,'[1]Import Eletra'!$B:$B,'[1]Import Eletra'!$BF:$BF,,0,1)=0,"",_xlfn.XLOOKUP($E61,'[1]Import Eletra'!$B:$B,'[1]Import Eletra'!$BF:$BF,,0,1))</f>
        <v/>
      </c>
      <c r="DA61" s="210">
        <f>$CY$4</f>
        <v>0</v>
      </c>
      <c r="DB61" s="113">
        <f ca="1">IF(CZ61="",TODAY()-CY61,CZ61-CY61)</f>
        <v>-17</v>
      </c>
      <c r="DC61" s="184">
        <f ca="1">DB61-DA61</f>
        <v>-17</v>
      </c>
      <c r="DD61" s="110">
        <f>DI61-$DI$4</f>
        <v>46230</v>
      </c>
      <c r="DE61" s="247" t="str">
        <f>IF(_xlfn.XLOOKUP($E61,'[1]Import Eletra'!$B:$B,'[1]Import Eletra'!$BG:$BG,,0,1)=0,"",_xlfn.XLOOKUP($E61,'[1]Import Eletra'!$B:$B,'[1]Import Eletra'!$BG:$BG,0,1))</f>
        <v/>
      </c>
      <c r="DF61" s="113">
        <f>$DD$4</f>
        <v>2</v>
      </c>
      <c r="DG61" s="113">
        <f ca="1">IF(DE61="",TODAY()-DD61,DE61-DD61)</f>
        <v>-19</v>
      </c>
      <c r="DH61" s="184">
        <f ca="1">DG61-DF61</f>
        <v>-21</v>
      </c>
      <c r="DI61" s="110">
        <f>DO61-$DN$4</f>
        <v>46231</v>
      </c>
      <c r="DJ61" s="247" t="str">
        <f>IF(_xlfn.XLOOKUP($E61,'[1]Import Eletra'!$B:$B,'[1]Import Eletra'!$BH:$BH,,0,1)=0,"",_xlfn.XLOOKUP($E61,'[1]Import Eletra'!$B:$B,'[1]Import Eletra'!$BH:$BH,0,1))</f>
        <v/>
      </c>
      <c r="DK61" s="112">
        <f>$DI$4</f>
        <v>1</v>
      </c>
      <c r="DL61" s="112">
        <f ca="1">IF(DJ61="",TODAY()-DI61,DJ61-DI61)</f>
        <v>-20</v>
      </c>
      <c r="DM61" s="184">
        <f ca="1">DL61-DK61</f>
        <v>-21</v>
      </c>
      <c r="DN61" s="64"/>
      <c r="DO61" s="202">
        <f>N61+DT61</f>
        <v>46232</v>
      </c>
      <c r="DP61" s="298" t="str">
        <f>IF(_xlfn.XLOOKUP($E61,'[1]Import Eletra'!$B:$B,'[1]Import Eletra'!$O:$O,,0,1)=0,"",_xlfn.XLOOKUP($E61,'[1]Import Eletra'!$B:$B,'[1]Import Eletra'!$O:$O,0,1))</f>
        <v/>
      </c>
      <c r="DQ61" s="112">
        <f>$DN$4</f>
        <v>1</v>
      </c>
      <c r="DR61" s="112">
        <f ca="1">IF(DP61="",TODAY()-DO61,DP61-DO61)</f>
        <v>-21</v>
      </c>
      <c r="DS61" s="184">
        <f ca="1">DR61-DQ61</f>
        <v>-22</v>
      </c>
      <c r="DT61" s="143">
        <v>10</v>
      </c>
      <c r="DU61" s="140">
        <f ca="1">IF(DP61="",TODAY()-N61,DP61-N61)</f>
        <v>-11</v>
      </c>
      <c r="DV61" s="184">
        <f ca="1">DU61-DT61</f>
        <v>-21</v>
      </c>
      <c r="DX61" s="142" t="s">
        <v>257</v>
      </c>
      <c r="DY61" s="108" t="str">
        <f>IF(_xlfn.XLOOKUP($E61,'[1]Import Eletra'!$B:$B,'[1]Import Eletra'!$DW:$DW,,0,1)=0,"",_xlfn.XLOOKUP($E61,'[1]Import Eletra'!$B:$B,'[1]Import Eletra'!$DW:$DW,0,1))</f>
        <v/>
      </c>
      <c r="EB61" s="287"/>
      <c r="ED61" s="409" t="str">
        <f>IF(_xlfn.XLOOKUP($E61,'[1]Import Eletra'!$B:$B,'[1]Import Eletra'!$BQ:$BQ,,0,1)=0,"",_xlfn.XLOOKUP($E61,'[1]Import Eletra'!$B:$B,'[1]Import Eletra'!$BQ:$BQ,0,1))</f>
        <v/>
      </c>
      <c r="EE61" s="410" t="str">
        <f>IF(_xlfn.XLOOKUP($E61,'[1]Import Eletra'!$B:$B,'[1]Import Eletra'!$BR:$BR,,0,1)=0,"",_xlfn.XLOOKUP($E61,'[1]Import Eletra'!$B:$B,'[1]Import Eletra'!$BR:$BR,0,1))</f>
        <v/>
      </c>
      <c r="EF61" s="409" t="str">
        <f>IF(_xlfn.XLOOKUP($E61,'[1]Import Eletra'!$B:$B,'[1]Import Eletra'!$BS:$BS,,0,1)=0,"",_xlfn.XLOOKUP($E61,'[1]Import Eletra'!$B:$B,'[1]Import Eletra'!$BS:$BS,0,1))</f>
        <v/>
      </c>
      <c r="EG61" s="410" t="str">
        <f>IF(_xlfn.XLOOKUP($E61,'[1]Import Eletra'!$B:$B,'[1]Import Eletra'!$BT:$BT,,0,1)=0,"",_xlfn.XLOOKUP($E61,'[1]Import Eletra'!$B:$B,'[1]Import Eletra'!$BT:$BT,0,1))</f>
        <v/>
      </c>
      <c r="EH61" s="409" t="str">
        <f>IF(_xlfn.XLOOKUP($E61,'[1]Import Eletra'!$B:$B,'[1]Import Eletra'!$BU:$BU,,0,1)=0,"",_xlfn.XLOOKUP($E61,'[1]Import Eletra'!$B:$B,'[1]Import Eletra'!$BU:$BU,0,1))</f>
        <v/>
      </c>
      <c r="EI61" s="410" t="str">
        <f>IF(_xlfn.XLOOKUP($E61,'[1]Import Eletra'!$B:$B,'[1]Import Eletra'!$BV:$BV,,0,1)=0,"",_xlfn.XLOOKUP($E61,'[1]Import Eletra'!$B:$B,'[1]Import Eletra'!$BV:$BV,0,1))</f>
        <v/>
      </c>
      <c r="EJ61" s="410" t="str">
        <f>IF(_xlfn.XLOOKUP($E61,'[1]Import Eletra'!$B:$B,'[1]Import Eletra'!$CI:$CI,,0,1)=0,"",_xlfn.XLOOKUP($E61,'[1]Import Eletra'!$B:$B,'[1]Import Eletra'!$CI:$CI,0,1))</f>
        <v/>
      </c>
      <c r="EK61" s="410" t="str">
        <f>IF(_xlfn.XLOOKUP($E61,'[1]Import Eletra'!$B:$B,'[1]Import Eletra'!$CD:$CD,,0,1)=0,"",_xlfn.XLOOKUP($E61,'[1]Import Eletra'!$B:$B,'[1]Import Eletra'!$CD:$CD,0,1))</f>
        <v/>
      </c>
      <c r="EL61" s="410" t="str">
        <f>IF(_xlfn.XLOOKUP($E61,'[1]Import Eletra'!$B:$B,'[1]Import Eletra'!$CE:$CE,,0,1)=0,"",_xlfn.XLOOKUP($E61,'[1]Import Eletra'!$B:$B,'[1]Import Eletra'!$CE:$CE,0,1))</f>
        <v/>
      </c>
      <c r="EM61" s="411" t="str">
        <f>IF(_xlfn.XLOOKUP($E61,'[1]Import Eletra'!$B:$B,'[1]Import Eletra'!$E:$E,,0,1)=0,"",_xlfn.XLOOKUP($E61,'[1]Import Eletra'!$B:$B,'[1]Import Eletra'!$E:$E,0,1))</f>
        <v>CATARINA</v>
      </c>
      <c r="EN61" s="408" t="str">
        <f>IF(_xlfn.XLOOKUP($E61,'[1]Import Eletra'!$B:$B,'[1]Import Eletra'!$R:$R,,0,1)=0,"",_xlfn.XLOOKUP($E61,'[1]Import Eletra'!$B:$B,'[1]Import Eletra'!$R:$R,0,1))</f>
        <v>PWBR260089-10A</v>
      </c>
      <c r="EO61" s="408" t="str">
        <f>IF(_xlfn.XLOOKUP($E61,'[1]Import Eletra'!$B:$B,'[1]Import Eletra'!$P:$P,,0,1)=0,"",_xlfn.XLOOKUP($E61,'[1]Import Eletra'!$B:$B,'[1]Import Eletra'!$P:$P,0,1))</f>
        <v>SDBLBS601813</v>
      </c>
      <c r="EP61" s="408" t="str">
        <f>IF(_xlfn.XLOOKUP($E61,'[1]Import Eletra'!$B:$B,'[1]Import Eletra'!$T:$T,,0,1)=0,"",_xlfn.XLOOKUP($E61,'[1]Import Eletra'!$B:$B,'[1]Import Eletra'!$T:$T,0,1))</f>
        <v>MSCU524446/0, MSMU625580/7, TGBU481580/9</v>
      </c>
    </row>
    <row r="62" spans="2:146" ht="30" customHeight="1">
      <c r="B62" s="371"/>
      <c r="C62" s="369"/>
      <c r="D62" s="104" t="str">
        <f>IF(_xlfn.XLOOKUP($E62,'[1]Import Eletra'!$B:$B,'[1]Import Eletra'!$A:$A,,0,1)=0,"",_xlfn.XLOOKUP($E62,'[1]Import Eletra'!$B:$B,'[1]Import Eletra'!$A:$A,,0,1))</f>
        <v>AUG_2026</v>
      </c>
      <c r="E62" s="275" t="s">
        <v>370</v>
      </c>
      <c r="F62" s="106">
        <f>IF(_xlfn.XLOOKUP($E62,'[1]Import Eletra'!$B:$B,'[1]Import Eletra'!$U:$U,,0,1)=0,"",_xlfn.XLOOKUP($E62,'[1]Import Eletra'!$B:$B,'[1]Import Eletra'!$U:$U,,0,1))</f>
        <v>3</v>
      </c>
      <c r="G62" s="301" t="s">
        <v>244</v>
      </c>
      <c r="H62" s="2" t="str">
        <f>_xlfn.XLOOKUP($E62,'[1]Import Eletra'!$B:$B,'[1]Import Eletra'!$F:$F,,0,1)</f>
        <v>WAITING ARRIVAL</v>
      </c>
      <c r="I62" s="108" t="str">
        <f>_xlfn.XLOOKUP($E62,'[1]Import Eletra'!$B:$B,'[1]Import Eletra'!$G:$G,,0,1)</f>
        <v>SEA</v>
      </c>
      <c r="J62" s="326">
        <v>46144</v>
      </c>
      <c r="K62" s="109">
        <v>30</v>
      </c>
      <c r="L62" s="109">
        <f>M62-J62</f>
        <v>32</v>
      </c>
      <c r="M62" s="326">
        <f>IF(_xlfn.XLOOKUP($E62,'[1]Import Eletra'!$B:$B,'[1]Import Eletra'!$J:$J,,0,1)=0,"",_xlfn.XLOOKUP($E62,'[1]Import Eletra'!$B:$B,'[1]Import Eletra'!$J:$J,,0,1))</f>
        <v>46176</v>
      </c>
      <c r="N62" s="333">
        <f>IF(_xlfn.XLOOKUP($E62,'[1]Import Eletra'!$B:$B,'[1]Import Eletra'!$L:$L,,0,1)=0,"",_xlfn.XLOOKUP($E62,'[1]Import Eletra'!$B:$B,'[1]Import Eletra'!$L:$L,,0,1))</f>
        <v>46231</v>
      </c>
      <c r="O62" s="336">
        <f>IF(_xlfn.XLOOKUP($E62,'[1]Import Eletra'!$B:$B,'[1]Import Eletra'!$AK:$AK,,0,1)=0,"",_xlfn.XLOOKUP($E62,'[1]Import Eletra'!$B:$B,'[1]Import Eletra'!$AK:$AK,,0,1))</f>
        <v>46185</v>
      </c>
      <c r="P62" s="326">
        <f>IF(_xlfn.XLOOKUP($E62,'[1]Import Eletra'!$B:$B,'[1]Import Eletra'!$AL:$AL,,0,1)=0,"",_xlfn.XLOOKUP($E62,'[1]Import Eletra'!$B:$B,'[1]Import Eletra'!$AL:$AL,,0,1))</f>
        <v>46189</v>
      </c>
      <c r="Q62" s="326">
        <f>IF(_xlfn.XLOOKUP($E62,'[1]Import Eletra'!$B:$B,'[1]Import Eletra'!$AM:$AM,,0,1)=0,"",_xlfn.XLOOKUP($E62,'[1]Import Eletra'!$B:$B,'[1]Import Eletra'!$AM:$AM,,0,1))</f>
        <v>46189</v>
      </c>
      <c r="R62" s="326">
        <f>IF(_xlfn.XLOOKUP($E62,'[1]Import Eletra'!$B:$B,'[1]Import Eletra'!$AN:$AN,,0,1)=0,"",_xlfn.XLOOKUP($E62,'[1]Import Eletra'!$B:$B,'[1]Import Eletra'!$AN:$AN,,0,1))</f>
        <v>46190</v>
      </c>
      <c r="S62" s="326">
        <f>IF(_xlfn.XLOOKUP($E62,'[1]Import Eletra'!$B:$B,'[1]Import Eletra'!$AO:$AO,,0,1)=0,"",_xlfn.XLOOKUP($E62,'[1]Import Eletra'!$B:$B,'[1]Import Eletra'!$AO:$AO,,0,1))</f>
        <v>46191</v>
      </c>
      <c r="T62" s="326">
        <f>IF(_xlfn.XLOOKUP($E62,'[1]Import Eletra'!$B:$B,'[1]Import Eletra'!$AP:$AP,,0,1)=0,"",_xlfn.XLOOKUP($E62,'[1]Import Eletra'!$B:$B,'[1]Import Eletra'!$AP:$AP,,0,1))</f>
        <v>46191</v>
      </c>
      <c r="U62" s="326">
        <f>IF(_xlfn.XLOOKUP($E62,'[1]Import Eletra'!$B:$B,'[1]Import Eletra'!$AQ:$AQ,,0,1)=0,"",_xlfn.XLOOKUP($E62,'[1]Import Eletra'!$B:$B,'[1]Import Eletra'!$AQ:$AQ,,0,1))</f>
        <v>46192</v>
      </c>
      <c r="V62" s="339" t="str">
        <f>IF(_xlfn.XLOOKUP($E62,'[1]Import Eletra'!$B:$B,'[1]Import Eletra'!$AR:$AR,,0,1)=0,"",_xlfn.XLOOKUP($E62,'[1]Import Eletra'!$B:$B,'[1]Import Eletra'!$AR:$AR,,0,1))</f>
        <v/>
      </c>
      <c r="W62" s="335">
        <f>AB62-$AB$5</f>
        <v>46232</v>
      </c>
      <c r="X62" s="332" t="str">
        <f>IF(_xlfn.XLOOKUP($E62,'[1]Import Eletra'!$B:$B,'[1]Import Eletra'!$AS:$AS,,0,1)=0,"",_xlfn.XLOOKUP($E62,'[1]Import Eletra'!$B:$B,'[1]Import Eletra'!$AS:$AS,,0,1))</f>
        <v/>
      </c>
      <c r="Y62" s="113">
        <f>$W$4</f>
        <v>0</v>
      </c>
      <c r="Z62" s="113">
        <f ca="1">IF(X62="",TODAY()-W62,X62-W62)</f>
        <v>-21</v>
      </c>
      <c r="AA62" s="184">
        <f ca="1">Z62-Y62</f>
        <v>-21</v>
      </c>
      <c r="AB62" s="348">
        <f>AG62-$AB$5</f>
        <v>46233</v>
      </c>
      <c r="AC62" s="332" t="str">
        <f>IF(_xlfn.XLOOKUP($E62,'[1]Import Eletra'!$B:$B,'[1]Import Eletra'!$AD:$AD,,0,1)=0,"",_xlfn.XLOOKUP($E62,'[1]Import Eletra'!$B:$B,'[1]Import Eletra'!$AD:$AD,,0,1))</f>
        <v/>
      </c>
      <c r="AD62" s="113">
        <f>$AB$4</f>
        <v>0</v>
      </c>
      <c r="AE62" s="113">
        <f ca="1">IF(AC62="",TODAY()-AB62,AC62-AB62)</f>
        <v>-22</v>
      </c>
      <c r="AF62" s="184">
        <f ca="1">AE62-AD62</f>
        <v>-22</v>
      </c>
      <c r="AG62" s="355">
        <f>AL62-$AL$5</f>
        <v>46234</v>
      </c>
      <c r="AH62" s="332" t="str">
        <f>IF(_xlfn.XLOOKUP($E62,'[1]Import Eletra'!$B:$B,'[1]Import Eletra'!$AE:$AE,,0,1)=0,"",_xlfn.XLOOKUP($E62,'[1]Import Eletra'!$B:$B,'[1]Import Eletra'!$AE:$AE,,0,1))</f>
        <v/>
      </c>
      <c r="AI62" s="113">
        <f>$AG$4</f>
        <v>0</v>
      </c>
      <c r="AJ62" s="113">
        <f ca="1">IF(AH62="",TODAY()-AG62,AH62-AG62)</f>
        <v>-23</v>
      </c>
      <c r="AK62" s="184">
        <f ca="1">AJ62-AI62</f>
        <v>-23</v>
      </c>
      <c r="AL62" s="355">
        <f>AQ62-$AQ$5</f>
        <v>46234</v>
      </c>
      <c r="AM62" s="332" t="str">
        <f>IF(_xlfn.XLOOKUP($E62,'[1]Import Eletra'!$B:$B,'[1]Import Eletra'!$AT:$AT,,0,1)=0,"",_xlfn.XLOOKUP($E62,'[1]Import Eletra'!$B:$B,'[1]Import Eletra'!$AT:$AT,,0,1))</f>
        <v/>
      </c>
      <c r="AN62" s="113">
        <f>$AL$4</f>
        <v>0</v>
      </c>
      <c r="AO62" s="113">
        <f ca="1">IF(AM62="",TODAY()-AL62,AM62-AL62)</f>
        <v>-23</v>
      </c>
      <c r="AP62" s="184">
        <f ca="1">AO62-AN62</f>
        <v>-23</v>
      </c>
      <c r="AQ62" s="357">
        <f>AV62-$AV$5</f>
        <v>46235</v>
      </c>
      <c r="AR62" s="332" t="str">
        <f>IF(_xlfn.XLOOKUP($E62,'[1]Import Eletra'!$B:$B,'[1]Import Eletra'!$AU:$AU,,0,1)=0,"",_xlfn.XLOOKUP($E62,'[1]Import Eletra'!$B:$B,'[1]Import Eletra'!$AU:$AU,,0,1))</f>
        <v/>
      </c>
      <c r="AS62" s="113">
        <f>$AQ$4</f>
        <v>1</v>
      </c>
      <c r="AT62" s="113">
        <f ca="1">IF(AR62="",TODAY()-AQ62,AR62-AQ62)</f>
        <v>-24</v>
      </c>
      <c r="AU62" s="184">
        <f ca="1">AT62-AS62</f>
        <v>-25</v>
      </c>
      <c r="AV62" s="355">
        <f>BA62-$BA$5</f>
        <v>46235</v>
      </c>
      <c r="AW62" s="332" t="str">
        <f>IF(_xlfn.XLOOKUP($E62,'[1]Import Eletra'!$B:$B,'[1]Import Eletra'!$AV:$AV,,0,1)=0,"",_xlfn.XLOOKUP($E62,'[1]Import Eletra'!$B:$B,'[1]Import Eletra'!$AV:$AV,,0,1))</f>
        <v/>
      </c>
      <c r="AX62" s="113">
        <f>$AV$4</f>
        <v>0</v>
      </c>
      <c r="AY62" s="113">
        <f ca="1">IF(AW62="",TODAY()-AV62,AW62-AV62)</f>
        <v>-24</v>
      </c>
      <c r="AZ62" s="184">
        <f ca="1">AY62-AX62</f>
        <v>-24</v>
      </c>
      <c r="BA62" s="357">
        <f>BF62-$BF$5</f>
        <v>46235</v>
      </c>
      <c r="BB62" s="332" t="str">
        <f>IF(_xlfn.XLOOKUP($E62,'[1]Import Eletra'!$B:$B,'[1]Import Eletra'!$AW:$AW,,0,1)=0,"",_xlfn.XLOOKUP($E62,'[1]Import Eletra'!$B:$B,'[1]Import Eletra'!$AW:$AW,,0,1))</f>
        <v/>
      </c>
      <c r="BC62" s="113">
        <f>$BA$4</f>
        <v>0</v>
      </c>
      <c r="BD62" s="113">
        <f ca="1">IF(BB62="",TODAY()-BA62,BB62-BA62)</f>
        <v>-24</v>
      </c>
      <c r="BE62" s="184">
        <f ca="1">BD62-BC62</f>
        <v>-24</v>
      </c>
      <c r="BF62" s="335">
        <f>BK62-$BK$5</f>
        <v>46235</v>
      </c>
      <c r="BG62" s="332" t="str">
        <f>IF(_xlfn.XLOOKUP($E62,'[1]Import Eletra'!$B:$B,'[1]Import Eletra'!$AX:$AX,,0,1)=0,"",_xlfn.XLOOKUP($E62,'[1]Import Eletra'!$B:$B,'[1]Import Eletra'!$AX:$AX,,0,1))</f>
        <v/>
      </c>
      <c r="BH62" s="113">
        <f>$BF$4</f>
        <v>0</v>
      </c>
      <c r="BI62" s="113">
        <f ca="1">IF(BG62="",TODAY()-BF62,BG62-BF62)</f>
        <v>-24</v>
      </c>
      <c r="BJ62" s="184">
        <f ca="1">BI62-BH62</f>
        <v>-24</v>
      </c>
      <c r="BK62" s="362">
        <f>BP62-$BP$5</f>
        <v>46235</v>
      </c>
      <c r="BL62" s="332" t="str">
        <f>IF(_xlfn.XLOOKUP($E62,'[1]Import Eletra'!$B:$B,'[1]Import Eletra'!$AY:$AY,,0,1)=0,"",_xlfn.XLOOKUP($E62,'[1]Import Eletra'!$B:$B,'[1]Import Eletra'!$AY:$AY,,0,1))</f>
        <v/>
      </c>
      <c r="BM62" s="113">
        <f>$BK$4</f>
        <v>0</v>
      </c>
      <c r="BN62" s="113">
        <f ca="1">IF(BL62="",TODAY()-BK62,BL62-BK62)</f>
        <v>-24</v>
      </c>
      <c r="BO62" s="184">
        <f ca="1">BN62-BM62</f>
        <v>-24</v>
      </c>
      <c r="BP62" s="335">
        <f>BU62-$BU$5</f>
        <v>46235</v>
      </c>
      <c r="BQ62" s="332" t="str">
        <f>IF(_xlfn.XLOOKUP($E62,'[1]Import Eletra'!$B:$B,'[1]Import Eletra'!$AZ:$AZ,,0,1)=0,"",_xlfn.XLOOKUP($E62,'[1]Import Eletra'!$B:$B,'[1]Import Eletra'!$AZ:$AZ,,0,1))</f>
        <v/>
      </c>
      <c r="BR62" s="113">
        <f>$BP$4</f>
        <v>0</v>
      </c>
      <c r="BS62" s="113">
        <f ca="1">IF(BQ62="",TODAY()-BP62,BQ62-BP62)</f>
        <v>-24</v>
      </c>
      <c r="BT62" s="184">
        <f ca="1">BS62-BR62</f>
        <v>-24</v>
      </c>
      <c r="BU62" s="362">
        <f>BZ62-$BZ$4</f>
        <v>46237</v>
      </c>
      <c r="BV62" s="332" t="str">
        <f>IF(_xlfn.XLOOKUP($E62,'[1]Import Eletra'!$B:$B,'[1]Import Eletra'!$BA:$BA,,0,1)=0,"",_xlfn.XLOOKUP($E62,'[1]Import Eletra'!$B:$B,'[1]Import Eletra'!$BA:$BA,,0,1))</f>
        <v/>
      </c>
      <c r="BW62" s="113">
        <f>$BU$4</f>
        <v>2</v>
      </c>
      <c r="BX62" s="113">
        <f ca="1">IF(BV62="",TODAY()-BU62,BV62-BU62)</f>
        <v>-26</v>
      </c>
      <c r="BY62" s="184">
        <f ca="1">BX62-BW62</f>
        <v>-28</v>
      </c>
      <c r="BZ62" s="335">
        <f>CE62-$CE$5</f>
        <v>46237</v>
      </c>
      <c r="CA62" s="332" t="str">
        <f>IF(_xlfn.XLOOKUP($E62,'[1]Import Eletra'!$B:$B,'[1]Import Eletra'!$BB:$BB,,0,1)=0,"",_xlfn.XLOOKUP($E62,'[1]Import Eletra'!$B:$B,'[1]Import Eletra'!$BB:$BB,,0,1))</f>
        <v/>
      </c>
      <c r="CB62" s="113">
        <f>$BZ$4</f>
        <v>0</v>
      </c>
      <c r="CC62" s="113">
        <f ca="1">IF(CA62="",TODAY()-BZ62,CA62-BZ62)</f>
        <v>-26</v>
      </c>
      <c r="CD62" s="184">
        <f ca="1">CC62-CB62</f>
        <v>-26</v>
      </c>
      <c r="CE62" s="362">
        <f>CJ62-$CJ$4</f>
        <v>46237</v>
      </c>
      <c r="CF62" s="332" t="str">
        <f>IF(_xlfn.XLOOKUP($E62,'[1]Import Eletra'!$B:$B,'[1]Import Eletra'!$BC:$BC,,0,1)=0,"",_xlfn.XLOOKUP($E62,'[1]Import Eletra'!$B:$B,'[1]Import Eletra'!$BC:$BC,,0,1))</f>
        <v/>
      </c>
      <c r="CG62" s="113">
        <f>$CE$4</f>
        <v>0</v>
      </c>
      <c r="CH62" s="113">
        <f ca="1">IF(CF62="",TODAY()-CE62,CF62-CE62)</f>
        <v>-26</v>
      </c>
      <c r="CI62" s="184">
        <f ca="1">CH62-CG62</f>
        <v>-26</v>
      </c>
      <c r="CJ62" s="335">
        <f>CO62-$CO$4</f>
        <v>46237</v>
      </c>
      <c r="CK62" s="332" t="str">
        <f>IF(_xlfn.XLOOKUP($E62,'[1]Import Eletra'!$B:$B,'[1]Import Eletra'!$BD:$BD,,0,1)=0,"",_xlfn.XLOOKUP($E62,'[1]Import Eletra'!$B:$B,'[1]Import Eletra'!$BD:$BD,,0,1))</f>
        <v/>
      </c>
      <c r="CL62" s="113"/>
      <c r="CM62" s="113">
        <f ca="1">IF(CK62="",TODAY()-CJ62,CK62-CJ62)</f>
        <v>-26</v>
      </c>
      <c r="CN62" s="184">
        <f ca="1">CM62-CL62</f>
        <v>-26</v>
      </c>
      <c r="CO62" s="362">
        <f>CT62-$CT$4</f>
        <v>46237</v>
      </c>
      <c r="CP62" s="332" t="str">
        <f>IF(_xlfn.XLOOKUP($E62,'[1]Import Eletra'!$B:$B,'[1]Import Eletra'!$BE:$BE,,0,1)=0,"",_xlfn.XLOOKUP($E62,'[1]Import Eletra'!$B:$B,'[1]Import Eletra'!$BE:$BE,,0,1))</f>
        <v/>
      </c>
      <c r="CQ62" s="113">
        <f>$CO$4</f>
        <v>0</v>
      </c>
      <c r="CR62" s="113">
        <f ca="1">IF(CP62="",TODAY()-CO62,CP62-CO62)</f>
        <v>-26</v>
      </c>
      <c r="CS62" s="184">
        <f ca="1">CR62-CQ62</f>
        <v>-26</v>
      </c>
      <c r="CT62" s="335">
        <f>CY62-$CY$4</f>
        <v>46237</v>
      </c>
      <c r="CU62" s="332" t="str">
        <f>IF(_xlfn.XLOOKUP($E62,'[1]Import Eletra'!$B:$B,'[1]Import Eletra'!$BF:$BF,,0,1)=0,"",_xlfn.XLOOKUP($E62,'[1]Import Eletra'!$B:$B,'[1]Import Eletra'!$BF:$BF,,0,1))</f>
        <v/>
      </c>
      <c r="CV62" s="113">
        <f>$CT$4</f>
        <v>0</v>
      </c>
      <c r="CW62" s="113">
        <f ca="1">IF(CU62="",TODAY()-CT62,CU62-CT62)</f>
        <v>-26</v>
      </c>
      <c r="CX62" s="184">
        <f ca="1">CW62-CV62</f>
        <v>-26</v>
      </c>
      <c r="CY62" s="110">
        <f>DD62-$DD$4</f>
        <v>46237</v>
      </c>
      <c r="CZ62" s="247" t="str">
        <f>IF(_xlfn.XLOOKUP($E62,'[1]Import Eletra'!$B:$B,'[1]Import Eletra'!$BF:$BF,,0,1)=0,"",_xlfn.XLOOKUP($E62,'[1]Import Eletra'!$B:$B,'[1]Import Eletra'!$BF:$BF,,0,1))</f>
        <v/>
      </c>
      <c r="DA62" s="210">
        <f>$CY$4</f>
        <v>0</v>
      </c>
      <c r="DB62" s="113">
        <f ca="1">IF(CZ62="",TODAY()-CY62,CZ62-CY62)</f>
        <v>-26</v>
      </c>
      <c r="DC62" s="184">
        <f ca="1">DB62-DA62</f>
        <v>-26</v>
      </c>
      <c r="DD62" s="110">
        <f>DI62-$DI$4</f>
        <v>46239</v>
      </c>
      <c r="DE62" s="247" t="str">
        <f>IF(_xlfn.XLOOKUP($E62,'[1]Import Eletra'!$B:$B,'[1]Import Eletra'!$BG:$BG,,0,1)=0,"",_xlfn.XLOOKUP($E62,'[1]Import Eletra'!$B:$B,'[1]Import Eletra'!$BG:$BG,0,1))</f>
        <v/>
      </c>
      <c r="DF62" s="113">
        <f>$DD$4</f>
        <v>2</v>
      </c>
      <c r="DG62" s="113">
        <f ca="1">IF(DE62="",TODAY()-DD62,DE62-DD62)</f>
        <v>-28</v>
      </c>
      <c r="DH62" s="184">
        <f ca="1">DG62-DF62</f>
        <v>-30</v>
      </c>
      <c r="DI62" s="110">
        <f>DO62-$DN$4</f>
        <v>46240</v>
      </c>
      <c r="DJ62" s="247" t="str">
        <f>IF(_xlfn.XLOOKUP($E62,'[1]Import Eletra'!$B:$B,'[1]Import Eletra'!$BH:$BH,,0,1)=0,"",_xlfn.XLOOKUP($E62,'[1]Import Eletra'!$B:$B,'[1]Import Eletra'!$BH:$BH,0,1))</f>
        <v/>
      </c>
      <c r="DK62" s="112">
        <f>$DI$4</f>
        <v>1</v>
      </c>
      <c r="DL62" s="112">
        <f ca="1">IF(DJ62="",TODAY()-DI62,DJ62-DI62)</f>
        <v>-29</v>
      </c>
      <c r="DM62" s="184">
        <f ca="1">DL62-DK62</f>
        <v>-30</v>
      </c>
      <c r="DN62" s="64"/>
      <c r="DO62" s="202">
        <f>N62+DT62</f>
        <v>46241</v>
      </c>
      <c r="DP62" s="298" t="str">
        <f>IF(_xlfn.XLOOKUP($E62,'[1]Import Eletra'!$B:$B,'[1]Import Eletra'!$O:$O,,0,1)=0,"",_xlfn.XLOOKUP($E62,'[1]Import Eletra'!$B:$B,'[1]Import Eletra'!$O:$O,0,1))</f>
        <v/>
      </c>
      <c r="DQ62" s="112">
        <f>$DN$4</f>
        <v>1</v>
      </c>
      <c r="DR62" s="112">
        <f ca="1">IF(DP62="",TODAY()-DO62,DP62-DO62)</f>
        <v>-30</v>
      </c>
      <c r="DS62" s="184">
        <f ca="1">DR62-DQ62</f>
        <v>-31</v>
      </c>
      <c r="DT62" s="143">
        <v>10</v>
      </c>
      <c r="DU62" s="140">
        <f ca="1">IF(DP62="",TODAY()-N62,DP62-N62)</f>
        <v>-20</v>
      </c>
      <c r="DV62" s="184">
        <f ca="1">DU62-DT62</f>
        <v>-30</v>
      </c>
      <c r="DX62" s="142"/>
      <c r="DY62" s="108" t="str">
        <f>IF(_xlfn.XLOOKUP($E62,'[1]Import Eletra'!$B:$B,'[1]Import Eletra'!$DW:$DW,,0,1)=0,"",_xlfn.XLOOKUP($E62,'[1]Import Eletra'!$B:$B,'[1]Import Eletra'!$DW:$DW,0,1))</f>
        <v/>
      </c>
      <c r="EB62" s="287"/>
      <c r="ED62" s="409" t="str">
        <f>IF(_xlfn.XLOOKUP($E62,'[1]Import Eletra'!$B:$B,'[1]Import Eletra'!$BQ:$BQ,,0,1)=0,"",_xlfn.XLOOKUP($E62,'[1]Import Eletra'!$B:$B,'[1]Import Eletra'!$BQ:$BQ,0,1))</f>
        <v/>
      </c>
      <c r="EE62" s="410" t="str">
        <f>IF(_xlfn.XLOOKUP($E62,'[1]Import Eletra'!$B:$B,'[1]Import Eletra'!$BR:$BR,,0,1)=0,"",_xlfn.XLOOKUP($E62,'[1]Import Eletra'!$B:$B,'[1]Import Eletra'!$BR:$BR,0,1))</f>
        <v/>
      </c>
      <c r="EF62" s="409" t="str">
        <f>IF(_xlfn.XLOOKUP($E62,'[1]Import Eletra'!$B:$B,'[1]Import Eletra'!$BS:$BS,,0,1)=0,"",_xlfn.XLOOKUP($E62,'[1]Import Eletra'!$B:$B,'[1]Import Eletra'!$BS:$BS,0,1))</f>
        <v/>
      </c>
      <c r="EG62" s="410" t="str">
        <f>IF(_xlfn.XLOOKUP($E62,'[1]Import Eletra'!$B:$B,'[1]Import Eletra'!$BT:$BT,,0,1)=0,"",_xlfn.XLOOKUP($E62,'[1]Import Eletra'!$B:$B,'[1]Import Eletra'!$BT:$BT,0,1))</f>
        <v/>
      </c>
      <c r="EH62" s="409" t="str">
        <f>IF(_xlfn.XLOOKUP($E62,'[1]Import Eletra'!$B:$B,'[1]Import Eletra'!$BU:$BU,,0,1)=0,"",_xlfn.XLOOKUP($E62,'[1]Import Eletra'!$B:$B,'[1]Import Eletra'!$BU:$BU,0,1))</f>
        <v/>
      </c>
      <c r="EI62" s="410" t="str">
        <f>IF(_xlfn.XLOOKUP($E62,'[1]Import Eletra'!$B:$B,'[1]Import Eletra'!$BV:$BV,,0,1)=0,"",_xlfn.XLOOKUP($E62,'[1]Import Eletra'!$B:$B,'[1]Import Eletra'!$BV:$BV,0,1))</f>
        <v/>
      </c>
      <c r="EJ62" s="410" t="str">
        <f>IF(_xlfn.XLOOKUP($E62,'[1]Import Eletra'!$B:$B,'[1]Import Eletra'!$CI:$CI,,0,1)=0,"",_xlfn.XLOOKUP($E62,'[1]Import Eletra'!$B:$B,'[1]Import Eletra'!$CI:$CI,0,1))</f>
        <v/>
      </c>
      <c r="EK62" s="410" t="str">
        <f>IF(_xlfn.XLOOKUP($E62,'[1]Import Eletra'!$B:$B,'[1]Import Eletra'!$CD:$CD,,0,1)=0,"",_xlfn.XLOOKUP($E62,'[1]Import Eletra'!$B:$B,'[1]Import Eletra'!$CD:$CD,0,1))</f>
        <v/>
      </c>
      <c r="EL62" s="410" t="str">
        <f>IF(_xlfn.XLOOKUP($E62,'[1]Import Eletra'!$B:$B,'[1]Import Eletra'!$CE:$CE,,0,1)=0,"",_xlfn.XLOOKUP($E62,'[1]Import Eletra'!$B:$B,'[1]Import Eletra'!$CE:$CE,0,1))</f>
        <v/>
      </c>
      <c r="EM62" s="411" t="str">
        <f>IF(_xlfn.XLOOKUP($E62,'[1]Import Eletra'!$B:$B,'[1]Import Eletra'!$E:$E,,0,1)=0,"",_xlfn.XLOOKUP($E62,'[1]Import Eletra'!$B:$B,'[1]Import Eletra'!$E:$E,0,1))</f>
        <v>LEISIANE</v>
      </c>
      <c r="EN62" s="408" t="str">
        <f>IF(_xlfn.XLOOKUP($E62,'[1]Import Eletra'!$B:$B,'[1]Import Eletra'!$R:$R,,0,1)=0,"",_xlfn.XLOOKUP($E62,'[1]Import Eletra'!$B:$B,'[1]Import Eletra'!$R:$R,0,1))</f>
        <v>PWBR260096-10D</v>
      </c>
      <c r="EO62" s="408" t="str">
        <f>IF(_xlfn.XLOOKUP($E62,'[1]Import Eletra'!$B:$B,'[1]Import Eletra'!$P:$P,,0,1)=0,"",_xlfn.XLOOKUP($E62,'[1]Import Eletra'!$B:$B,'[1]Import Eletra'!$P:$P,0,1))</f>
        <v>SDBLBS601402</v>
      </c>
      <c r="EP62" s="408" t="str">
        <f>IF(_xlfn.XLOOKUP($E62,'[1]Import Eletra'!$B:$B,'[1]Import Eletra'!$T:$T,,0,1)=0,"",_xlfn.XLOOKUP($E62,'[1]Import Eletra'!$B:$B,'[1]Import Eletra'!$T:$T,0,1))</f>
        <v>BEAU609544, CMAU345990, CMAU417020</v>
      </c>
    </row>
    <row r="63" spans="2:146" ht="30" customHeight="1">
      <c r="B63" s="371"/>
      <c r="C63" s="369"/>
      <c r="D63" s="104" t="str">
        <f>IF(_xlfn.XLOOKUP($E63,'[1]Import Eletra'!$B:$B,'[1]Import Eletra'!$A:$A,,0,1)=0,"",_xlfn.XLOOKUP($E63,'[1]Import Eletra'!$B:$B,'[1]Import Eletra'!$A:$A,,0,1))</f>
        <v>AUG_2026</v>
      </c>
      <c r="E63" s="275" t="s">
        <v>371</v>
      </c>
      <c r="F63" s="106">
        <f>IF(_xlfn.XLOOKUP($E63,'[1]Import Eletra'!$B:$B,'[1]Import Eletra'!$U:$U,,0,1)=0,"",_xlfn.XLOOKUP($E63,'[1]Import Eletra'!$B:$B,'[1]Import Eletra'!$U:$U,,0,1))</f>
        <v>3</v>
      </c>
      <c r="G63" s="301" t="s">
        <v>244</v>
      </c>
      <c r="H63" s="2" t="str">
        <f>_xlfn.XLOOKUP($E63,'[1]Import Eletra'!$B:$B,'[1]Import Eletra'!$F:$F,,0,1)</f>
        <v>WAITING ARRIVAL</v>
      </c>
      <c r="I63" s="108" t="str">
        <f>_xlfn.XLOOKUP($E63,'[1]Import Eletra'!$B:$B,'[1]Import Eletra'!$G:$G,,0,1)</f>
        <v>SEA</v>
      </c>
      <c r="J63" s="326">
        <v>46121</v>
      </c>
      <c r="K63" s="109">
        <v>30</v>
      </c>
      <c r="L63" s="109">
        <f>M63-J63</f>
        <v>55</v>
      </c>
      <c r="M63" s="326">
        <f>IF(_xlfn.XLOOKUP($E63,'[1]Import Eletra'!$B:$B,'[1]Import Eletra'!$J:$J,,0,1)=0,"",_xlfn.XLOOKUP($E63,'[1]Import Eletra'!$B:$B,'[1]Import Eletra'!$J:$J,,0,1))</f>
        <v>46176</v>
      </c>
      <c r="N63" s="333">
        <f>IF(_xlfn.XLOOKUP($E63,'[1]Import Eletra'!$B:$B,'[1]Import Eletra'!$L:$L,,0,1)=0,"",_xlfn.XLOOKUP($E63,'[1]Import Eletra'!$B:$B,'[1]Import Eletra'!$L:$L,,0,1))</f>
        <v>46231</v>
      </c>
      <c r="O63" s="336">
        <f>IF(_xlfn.XLOOKUP($E63,'[1]Import Eletra'!$B:$B,'[1]Import Eletra'!$AK:$AK,,0,1)=0,"",_xlfn.XLOOKUP($E63,'[1]Import Eletra'!$B:$B,'[1]Import Eletra'!$AK:$AK,,0,1))</f>
        <v>46185</v>
      </c>
      <c r="P63" s="326">
        <f>IF(_xlfn.XLOOKUP($E63,'[1]Import Eletra'!$B:$B,'[1]Import Eletra'!$AL:$AL,,0,1)=0,"",_xlfn.XLOOKUP($E63,'[1]Import Eletra'!$B:$B,'[1]Import Eletra'!$AL:$AL,,0,1))</f>
        <v>46189</v>
      </c>
      <c r="Q63" s="326">
        <f>IF(_xlfn.XLOOKUP($E63,'[1]Import Eletra'!$B:$B,'[1]Import Eletra'!$AM:$AM,,0,1)=0,"",_xlfn.XLOOKUP($E63,'[1]Import Eletra'!$B:$B,'[1]Import Eletra'!$AM:$AM,,0,1))</f>
        <v>46196</v>
      </c>
      <c r="R63" s="326">
        <f>IF(_xlfn.XLOOKUP($E63,'[1]Import Eletra'!$B:$B,'[1]Import Eletra'!$AN:$AN,,0,1)=0,"",_xlfn.XLOOKUP($E63,'[1]Import Eletra'!$B:$B,'[1]Import Eletra'!$AN:$AN,,0,1))</f>
        <v>46197</v>
      </c>
      <c r="S63" s="326">
        <f>IF(_xlfn.XLOOKUP($E63,'[1]Import Eletra'!$B:$B,'[1]Import Eletra'!$AO:$AO,,0,1)=0,"",_xlfn.XLOOKUP($E63,'[1]Import Eletra'!$B:$B,'[1]Import Eletra'!$AO:$AO,,0,1))</f>
        <v>46198</v>
      </c>
      <c r="T63" s="326">
        <f>IF(_xlfn.XLOOKUP($E63,'[1]Import Eletra'!$B:$B,'[1]Import Eletra'!$AP:$AP,,0,1)=0,"",_xlfn.XLOOKUP($E63,'[1]Import Eletra'!$B:$B,'[1]Import Eletra'!$AP:$AP,,0,1))</f>
        <v>46198</v>
      </c>
      <c r="U63" s="326">
        <f>IF(_xlfn.XLOOKUP($E63,'[1]Import Eletra'!$B:$B,'[1]Import Eletra'!$AQ:$AQ,,0,1)=0,"",_xlfn.XLOOKUP($E63,'[1]Import Eletra'!$B:$B,'[1]Import Eletra'!$AQ:$AQ,,0,1))</f>
        <v>46198</v>
      </c>
      <c r="V63" s="339" t="str">
        <f>IF(_xlfn.XLOOKUP($E63,'[1]Import Eletra'!$B:$B,'[1]Import Eletra'!$AR:$AR,,0,1)=0,"",_xlfn.XLOOKUP($E63,'[1]Import Eletra'!$B:$B,'[1]Import Eletra'!$AR:$AR,,0,1))</f>
        <v/>
      </c>
      <c r="W63" s="335">
        <f>AB63-$AB$5</f>
        <v>46232</v>
      </c>
      <c r="X63" s="332" t="str">
        <f>IF(_xlfn.XLOOKUP($E63,'[1]Import Eletra'!$B:$B,'[1]Import Eletra'!$AS:$AS,,0,1)=0,"",_xlfn.XLOOKUP($E63,'[1]Import Eletra'!$B:$B,'[1]Import Eletra'!$AS:$AS,,0,1))</f>
        <v/>
      </c>
      <c r="Y63" s="113">
        <f>$W$4</f>
        <v>0</v>
      </c>
      <c r="Z63" s="113">
        <f ca="1">IF(X63="",TODAY()-W63,X63-W63)</f>
        <v>-21</v>
      </c>
      <c r="AA63" s="184">
        <f ca="1">Z63-Y63</f>
        <v>-21</v>
      </c>
      <c r="AB63" s="348">
        <f>AG63-$AB$5</f>
        <v>46233</v>
      </c>
      <c r="AC63" s="332" t="str">
        <f>IF(_xlfn.XLOOKUP($E63,'[1]Import Eletra'!$B:$B,'[1]Import Eletra'!$AD:$AD,,0,1)=0,"",_xlfn.XLOOKUP($E63,'[1]Import Eletra'!$B:$B,'[1]Import Eletra'!$AD:$AD,,0,1))</f>
        <v/>
      </c>
      <c r="AD63" s="113">
        <f>$AB$4</f>
        <v>0</v>
      </c>
      <c r="AE63" s="113">
        <f ca="1">IF(AC63="",TODAY()-AB63,AC63-AB63)</f>
        <v>-22</v>
      </c>
      <c r="AF63" s="184">
        <f ca="1">AE63-AD63</f>
        <v>-22</v>
      </c>
      <c r="AG63" s="355">
        <f>AL63-$AL$5</f>
        <v>46234</v>
      </c>
      <c r="AH63" s="332" t="str">
        <f>IF(_xlfn.XLOOKUP($E63,'[1]Import Eletra'!$B:$B,'[1]Import Eletra'!$AE:$AE,,0,1)=0,"",_xlfn.XLOOKUP($E63,'[1]Import Eletra'!$B:$B,'[1]Import Eletra'!$AE:$AE,,0,1))</f>
        <v/>
      </c>
      <c r="AI63" s="113">
        <f>$AG$4</f>
        <v>0</v>
      </c>
      <c r="AJ63" s="113">
        <f ca="1">IF(AH63="",TODAY()-AG63,AH63-AG63)</f>
        <v>-23</v>
      </c>
      <c r="AK63" s="184">
        <f ca="1">AJ63-AI63</f>
        <v>-23</v>
      </c>
      <c r="AL63" s="355">
        <f>AQ63-$AQ$5</f>
        <v>46234</v>
      </c>
      <c r="AM63" s="332" t="str">
        <f>IF(_xlfn.XLOOKUP($E63,'[1]Import Eletra'!$B:$B,'[1]Import Eletra'!$AT:$AT,,0,1)=0,"",_xlfn.XLOOKUP($E63,'[1]Import Eletra'!$B:$B,'[1]Import Eletra'!$AT:$AT,,0,1))</f>
        <v/>
      </c>
      <c r="AN63" s="113">
        <f>$AL$4</f>
        <v>0</v>
      </c>
      <c r="AO63" s="113">
        <f ca="1">IF(AM63="",TODAY()-AL63,AM63-AL63)</f>
        <v>-23</v>
      </c>
      <c r="AP63" s="184">
        <f ca="1">AO63-AN63</f>
        <v>-23</v>
      </c>
      <c r="AQ63" s="357">
        <f>AV63-$AV$5</f>
        <v>46235</v>
      </c>
      <c r="AR63" s="332" t="str">
        <f>IF(_xlfn.XLOOKUP($E63,'[1]Import Eletra'!$B:$B,'[1]Import Eletra'!$AU:$AU,,0,1)=0,"",_xlfn.XLOOKUP($E63,'[1]Import Eletra'!$B:$B,'[1]Import Eletra'!$AU:$AU,,0,1))</f>
        <v/>
      </c>
      <c r="AS63" s="113">
        <f>$AQ$4</f>
        <v>1</v>
      </c>
      <c r="AT63" s="113">
        <f ca="1">IF(AR63="",TODAY()-AQ63,AR63-AQ63)</f>
        <v>-24</v>
      </c>
      <c r="AU63" s="184">
        <f ca="1">AT63-AS63</f>
        <v>-25</v>
      </c>
      <c r="AV63" s="355">
        <f>BA63-$BA$5</f>
        <v>46235</v>
      </c>
      <c r="AW63" s="332" t="str">
        <f>IF(_xlfn.XLOOKUP($E63,'[1]Import Eletra'!$B:$B,'[1]Import Eletra'!$AV:$AV,,0,1)=0,"",_xlfn.XLOOKUP($E63,'[1]Import Eletra'!$B:$B,'[1]Import Eletra'!$AV:$AV,,0,1))</f>
        <v/>
      </c>
      <c r="AX63" s="113">
        <f>$AV$4</f>
        <v>0</v>
      </c>
      <c r="AY63" s="113">
        <f ca="1">IF(AW63="",TODAY()-AV63,AW63-AV63)</f>
        <v>-24</v>
      </c>
      <c r="AZ63" s="184">
        <f ca="1">AY63-AX63</f>
        <v>-24</v>
      </c>
      <c r="BA63" s="357">
        <f>BF63-$BF$5</f>
        <v>46235</v>
      </c>
      <c r="BB63" s="332" t="str">
        <f>IF(_xlfn.XLOOKUP($E63,'[1]Import Eletra'!$B:$B,'[1]Import Eletra'!$AW:$AW,,0,1)=0,"",_xlfn.XLOOKUP($E63,'[1]Import Eletra'!$B:$B,'[1]Import Eletra'!$AW:$AW,,0,1))</f>
        <v/>
      </c>
      <c r="BC63" s="113">
        <f>$BA$4</f>
        <v>0</v>
      </c>
      <c r="BD63" s="113">
        <f ca="1">IF(BB63="",TODAY()-BA63,BB63-BA63)</f>
        <v>-24</v>
      </c>
      <c r="BE63" s="184">
        <f ca="1">BD63-BC63</f>
        <v>-24</v>
      </c>
      <c r="BF63" s="335">
        <f>BK63-$BK$5</f>
        <v>46235</v>
      </c>
      <c r="BG63" s="332" t="str">
        <f>IF(_xlfn.XLOOKUP($E63,'[1]Import Eletra'!$B:$B,'[1]Import Eletra'!$AX:$AX,,0,1)=0,"",_xlfn.XLOOKUP($E63,'[1]Import Eletra'!$B:$B,'[1]Import Eletra'!$AX:$AX,,0,1))</f>
        <v/>
      </c>
      <c r="BH63" s="113">
        <f>$BF$4</f>
        <v>0</v>
      </c>
      <c r="BI63" s="113">
        <f ca="1">IF(BG63="",TODAY()-BF63,BG63-BF63)</f>
        <v>-24</v>
      </c>
      <c r="BJ63" s="184">
        <f ca="1">BI63-BH63</f>
        <v>-24</v>
      </c>
      <c r="BK63" s="362">
        <f>BP63-$BP$5</f>
        <v>46235</v>
      </c>
      <c r="BL63" s="332" t="str">
        <f>IF(_xlfn.XLOOKUP($E63,'[1]Import Eletra'!$B:$B,'[1]Import Eletra'!$AY:$AY,,0,1)=0,"",_xlfn.XLOOKUP($E63,'[1]Import Eletra'!$B:$B,'[1]Import Eletra'!$AY:$AY,,0,1))</f>
        <v/>
      </c>
      <c r="BM63" s="113">
        <f>$BK$4</f>
        <v>0</v>
      </c>
      <c r="BN63" s="113">
        <f ca="1">IF(BL63="",TODAY()-BK63,BL63-BK63)</f>
        <v>-24</v>
      </c>
      <c r="BO63" s="184">
        <f ca="1">BN63-BM63</f>
        <v>-24</v>
      </c>
      <c r="BP63" s="335">
        <f>BU63-$BU$5</f>
        <v>46235</v>
      </c>
      <c r="BQ63" s="332" t="str">
        <f>IF(_xlfn.XLOOKUP($E63,'[1]Import Eletra'!$B:$B,'[1]Import Eletra'!$AZ:$AZ,,0,1)=0,"",_xlfn.XLOOKUP($E63,'[1]Import Eletra'!$B:$B,'[1]Import Eletra'!$AZ:$AZ,,0,1))</f>
        <v/>
      </c>
      <c r="BR63" s="113">
        <f>$BP$4</f>
        <v>0</v>
      </c>
      <c r="BS63" s="113">
        <f ca="1">IF(BQ63="",TODAY()-BP63,BQ63-BP63)</f>
        <v>-24</v>
      </c>
      <c r="BT63" s="184">
        <f ca="1">BS63-BR63</f>
        <v>-24</v>
      </c>
      <c r="BU63" s="362">
        <f>BZ63-$BZ$4</f>
        <v>46237</v>
      </c>
      <c r="BV63" s="332" t="str">
        <f>IF(_xlfn.XLOOKUP($E63,'[1]Import Eletra'!$B:$B,'[1]Import Eletra'!$BA:$BA,,0,1)=0,"",_xlfn.XLOOKUP($E63,'[1]Import Eletra'!$B:$B,'[1]Import Eletra'!$BA:$BA,,0,1))</f>
        <v/>
      </c>
      <c r="BW63" s="113">
        <f>$BU$4</f>
        <v>2</v>
      </c>
      <c r="BX63" s="113">
        <f ca="1">IF(BV63="",TODAY()-BU63,BV63-BU63)</f>
        <v>-26</v>
      </c>
      <c r="BY63" s="184">
        <f ca="1">BX63-BW63</f>
        <v>-28</v>
      </c>
      <c r="BZ63" s="335">
        <f>CE63-$CE$5</f>
        <v>46237</v>
      </c>
      <c r="CA63" s="332" t="str">
        <f>IF(_xlfn.XLOOKUP($E63,'[1]Import Eletra'!$B:$B,'[1]Import Eletra'!$BB:$BB,,0,1)=0,"",_xlfn.XLOOKUP($E63,'[1]Import Eletra'!$B:$B,'[1]Import Eletra'!$BB:$BB,,0,1))</f>
        <v/>
      </c>
      <c r="CB63" s="113">
        <f>$BZ$4</f>
        <v>0</v>
      </c>
      <c r="CC63" s="113">
        <f ca="1">IF(CA63="",TODAY()-BZ63,CA63-BZ63)</f>
        <v>-26</v>
      </c>
      <c r="CD63" s="184">
        <f ca="1">CC63-CB63</f>
        <v>-26</v>
      </c>
      <c r="CE63" s="362">
        <f>CJ63-$CJ$4</f>
        <v>46237</v>
      </c>
      <c r="CF63" s="332" t="str">
        <f>IF(_xlfn.XLOOKUP($E63,'[1]Import Eletra'!$B:$B,'[1]Import Eletra'!$BC:$BC,,0,1)=0,"",_xlfn.XLOOKUP($E63,'[1]Import Eletra'!$B:$B,'[1]Import Eletra'!$BC:$BC,,0,1))</f>
        <v/>
      </c>
      <c r="CG63" s="113">
        <f>$CE$4</f>
        <v>0</v>
      </c>
      <c r="CH63" s="113">
        <f ca="1">IF(CF63="",TODAY()-CE63,CF63-CE63)</f>
        <v>-26</v>
      </c>
      <c r="CI63" s="184">
        <f ca="1">CH63-CG63</f>
        <v>-26</v>
      </c>
      <c r="CJ63" s="335">
        <f>CO63-$CO$4</f>
        <v>46237</v>
      </c>
      <c r="CK63" s="332" t="str">
        <f>IF(_xlfn.XLOOKUP($E63,'[1]Import Eletra'!$B:$B,'[1]Import Eletra'!$BD:$BD,,0,1)=0,"",_xlfn.XLOOKUP($E63,'[1]Import Eletra'!$B:$B,'[1]Import Eletra'!$BD:$BD,,0,1))</f>
        <v/>
      </c>
      <c r="CL63" s="113"/>
      <c r="CM63" s="113">
        <f ca="1">IF(CK63="",TODAY()-CJ63,CK63-CJ63)</f>
        <v>-26</v>
      </c>
      <c r="CN63" s="184">
        <f ca="1">CM63-CL63</f>
        <v>-26</v>
      </c>
      <c r="CO63" s="362">
        <f>CT63-$CT$4</f>
        <v>46237</v>
      </c>
      <c r="CP63" s="332" t="str">
        <f>IF(_xlfn.XLOOKUP($E63,'[1]Import Eletra'!$B:$B,'[1]Import Eletra'!$BE:$BE,,0,1)=0,"",_xlfn.XLOOKUP($E63,'[1]Import Eletra'!$B:$B,'[1]Import Eletra'!$BE:$BE,,0,1))</f>
        <v/>
      </c>
      <c r="CQ63" s="113">
        <f>$CO$4</f>
        <v>0</v>
      </c>
      <c r="CR63" s="113">
        <f ca="1">IF(CP63="",TODAY()-CO63,CP63-CO63)</f>
        <v>-26</v>
      </c>
      <c r="CS63" s="184">
        <f ca="1">CR63-CQ63</f>
        <v>-26</v>
      </c>
      <c r="CT63" s="335">
        <f>CY63-$CY$4</f>
        <v>46237</v>
      </c>
      <c r="CU63" s="332" t="str">
        <f>IF(_xlfn.XLOOKUP($E63,'[1]Import Eletra'!$B:$B,'[1]Import Eletra'!$BF:$BF,,0,1)=0,"",_xlfn.XLOOKUP($E63,'[1]Import Eletra'!$B:$B,'[1]Import Eletra'!$BF:$BF,,0,1))</f>
        <v/>
      </c>
      <c r="CV63" s="113">
        <f>$CT$4</f>
        <v>0</v>
      </c>
      <c r="CW63" s="113">
        <f ca="1">IF(CU63="",TODAY()-CT63,CU63-CT63)</f>
        <v>-26</v>
      </c>
      <c r="CX63" s="184">
        <f ca="1">CW63-CV63</f>
        <v>-26</v>
      </c>
      <c r="CY63" s="110">
        <f>DD63-$DD$4</f>
        <v>46237</v>
      </c>
      <c r="CZ63" s="247" t="str">
        <f>IF(_xlfn.XLOOKUP($E63,'[1]Import Eletra'!$B:$B,'[1]Import Eletra'!$BF:$BF,,0,1)=0,"",_xlfn.XLOOKUP($E63,'[1]Import Eletra'!$B:$B,'[1]Import Eletra'!$BF:$BF,,0,1))</f>
        <v/>
      </c>
      <c r="DA63" s="210">
        <f>$CY$4</f>
        <v>0</v>
      </c>
      <c r="DB63" s="113">
        <f ca="1">IF(CZ63="",TODAY()-CY63,CZ63-CY63)</f>
        <v>-26</v>
      </c>
      <c r="DC63" s="184">
        <f ca="1">DB63-DA63</f>
        <v>-26</v>
      </c>
      <c r="DD63" s="110">
        <f>DI63-$DI$4</f>
        <v>46239</v>
      </c>
      <c r="DE63" s="247" t="str">
        <f>IF(_xlfn.XLOOKUP($E63,'[1]Import Eletra'!$B:$B,'[1]Import Eletra'!$BG:$BG,,0,1)=0,"",_xlfn.XLOOKUP($E63,'[1]Import Eletra'!$B:$B,'[1]Import Eletra'!$BG:$BG,0,1))</f>
        <v/>
      </c>
      <c r="DF63" s="113">
        <f>$DD$4</f>
        <v>2</v>
      </c>
      <c r="DG63" s="113">
        <f ca="1">IF(DE63="",TODAY()-DD63,DE63-DD63)</f>
        <v>-28</v>
      </c>
      <c r="DH63" s="184">
        <f ca="1">DG63-DF63</f>
        <v>-30</v>
      </c>
      <c r="DI63" s="110">
        <f>DO63-$DN$4</f>
        <v>46240</v>
      </c>
      <c r="DJ63" s="247" t="str">
        <f>IF(_xlfn.XLOOKUP($E63,'[1]Import Eletra'!$B:$B,'[1]Import Eletra'!$BH:$BH,,0,1)=0,"",_xlfn.XLOOKUP($E63,'[1]Import Eletra'!$B:$B,'[1]Import Eletra'!$BH:$BH,0,1))</f>
        <v/>
      </c>
      <c r="DK63" s="112">
        <f>$DI$4</f>
        <v>1</v>
      </c>
      <c r="DL63" s="112">
        <f ca="1">IF(DJ63="",TODAY()-DI63,DJ63-DI63)</f>
        <v>-29</v>
      </c>
      <c r="DM63" s="184">
        <f ca="1">DL63-DK63</f>
        <v>-30</v>
      </c>
      <c r="DN63" s="64"/>
      <c r="DO63" s="202">
        <f>N63+DT63</f>
        <v>46241</v>
      </c>
      <c r="DP63" s="298" t="str">
        <f>IF(_xlfn.XLOOKUP($E63,'[1]Import Eletra'!$B:$B,'[1]Import Eletra'!$O:$O,,0,1)=0,"",_xlfn.XLOOKUP($E63,'[1]Import Eletra'!$B:$B,'[1]Import Eletra'!$O:$O,0,1))</f>
        <v/>
      </c>
      <c r="DQ63" s="112">
        <f>$DN$4</f>
        <v>1</v>
      </c>
      <c r="DR63" s="112">
        <f ca="1">IF(DP63="",TODAY()-DO63,DP63-DO63)</f>
        <v>-30</v>
      </c>
      <c r="DS63" s="184">
        <f ca="1">DR63-DQ63</f>
        <v>-31</v>
      </c>
      <c r="DT63" s="143">
        <v>10</v>
      </c>
      <c r="DU63" s="140">
        <f ca="1">IF(DP63="",TODAY()-N63,DP63-N63)</f>
        <v>-20</v>
      </c>
      <c r="DV63" s="184">
        <f ca="1">DU63-DT63</f>
        <v>-30</v>
      </c>
      <c r="DX63" s="142"/>
      <c r="DY63" s="108" t="str">
        <f>IF(_xlfn.XLOOKUP($E63,'[1]Import Eletra'!$B:$B,'[1]Import Eletra'!$DW:$DW,,0,1)=0,"",_xlfn.XLOOKUP($E63,'[1]Import Eletra'!$B:$B,'[1]Import Eletra'!$DW:$DW,0,1))</f>
        <v/>
      </c>
      <c r="EB63" s="287"/>
      <c r="ED63" s="409" t="str">
        <f>IF(_xlfn.XLOOKUP($E63,'[1]Import Eletra'!$B:$B,'[1]Import Eletra'!$BQ:$BQ,,0,1)=0,"",_xlfn.XLOOKUP($E63,'[1]Import Eletra'!$B:$B,'[1]Import Eletra'!$BQ:$BQ,0,1))</f>
        <v/>
      </c>
      <c r="EE63" s="410" t="str">
        <f>IF(_xlfn.XLOOKUP($E63,'[1]Import Eletra'!$B:$B,'[1]Import Eletra'!$BR:$BR,,0,1)=0,"",_xlfn.XLOOKUP($E63,'[1]Import Eletra'!$B:$B,'[1]Import Eletra'!$BR:$BR,0,1))</f>
        <v/>
      </c>
      <c r="EF63" s="409" t="str">
        <f>IF(_xlfn.XLOOKUP($E63,'[1]Import Eletra'!$B:$B,'[1]Import Eletra'!$BS:$BS,,0,1)=0,"",_xlfn.XLOOKUP($E63,'[1]Import Eletra'!$B:$B,'[1]Import Eletra'!$BS:$BS,0,1))</f>
        <v/>
      </c>
      <c r="EG63" s="410" t="str">
        <f>IF(_xlfn.XLOOKUP($E63,'[1]Import Eletra'!$B:$B,'[1]Import Eletra'!$BT:$BT,,0,1)=0,"",_xlfn.XLOOKUP($E63,'[1]Import Eletra'!$B:$B,'[1]Import Eletra'!$BT:$BT,0,1))</f>
        <v/>
      </c>
      <c r="EH63" s="409" t="str">
        <f>IF(_xlfn.XLOOKUP($E63,'[1]Import Eletra'!$B:$B,'[1]Import Eletra'!$BU:$BU,,0,1)=0,"",_xlfn.XLOOKUP($E63,'[1]Import Eletra'!$B:$B,'[1]Import Eletra'!$BU:$BU,0,1))</f>
        <v/>
      </c>
      <c r="EI63" s="410" t="str">
        <f>IF(_xlfn.XLOOKUP($E63,'[1]Import Eletra'!$B:$B,'[1]Import Eletra'!$BV:$BV,,0,1)=0,"",_xlfn.XLOOKUP($E63,'[1]Import Eletra'!$B:$B,'[1]Import Eletra'!$BV:$BV,0,1))</f>
        <v/>
      </c>
      <c r="EJ63" s="410" t="str">
        <f>IF(_xlfn.XLOOKUP($E63,'[1]Import Eletra'!$B:$B,'[1]Import Eletra'!$CI:$CI,,0,1)=0,"",_xlfn.XLOOKUP($E63,'[1]Import Eletra'!$B:$B,'[1]Import Eletra'!$CI:$CI,0,1))</f>
        <v/>
      </c>
      <c r="EK63" s="410" t="str">
        <f>IF(_xlfn.XLOOKUP($E63,'[1]Import Eletra'!$B:$B,'[1]Import Eletra'!$CD:$CD,,0,1)=0,"",_xlfn.XLOOKUP($E63,'[1]Import Eletra'!$B:$B,'[1]Import Eletra'!$CD:$CD,0,1))</f>
        <v/>
      </c>
      <c r="EL63" s="410" t="str">
        <f>IF(_xlfn.XLOOKUP($E63,'[1]Import Eletra'!$B:$B,'[1]Import Eletra'!$CE:$CE,,0,1)=0,"",_xlfn.XLOOKUP($E63,'[1]Import Eletra'!$B:$B,'[1]Import Eletra'!$CE:$CE,0,1))</f>
        <v/>
      </c>
      <c r="EM63" s="411" t="str">
        <f>IF(_xlfn.XLOOKUP($E63,'[1]Import Eletra'!$B:$B,'[1]Import Eletra'!$E:$E,,0,1)=0,"",_xlfn.XLOOKUP($E63,'[1]Import Eletra'!$B:$B,'[1]Import Eletra'!$E:$E,0,1))</f>
        <v>LEISIANE</v>
      </c>
      <c r="EN63" s="408" t="str">
        <f>IF(_xlfn.XLOOKUP($E63,'[1]Import Eletra'!$B:$B,'[1]Import Eletra'!$R:$R,,0,1)=0,"",_xlfn.XLOOKUP($E63,'[1]Import Eletra'!$B:$B,'[1]Import Eletra'!$R:$R,0,1))</f>
        <v>PWBR260096-10E</v>
      </c>
      <c r="EO63" s="408" t="str">
        <f>IF(_xlfn.XLOOKUP($E63,'[1]Import Eletra'!$B:$B,'[1]Import Eletra'!$P:$P,,0,1)=0,"",_xlfn.XLOOKUP($E63,'[1]Import Eletra'!$B:$B,'[1]Import Eletra'!$P:$P,0,1))</f>
        <v>SDBLBS601407</v>
      </c>
      <c r="EP63" s="408" t="str">
        <f>IF(_xlfn.XLOOKUP($E63,'[1]Import Eletra'!$B:$B,'[1]Import Eletra'!$T:$T,,0,1)=0,"",_xlfn.XLOOKUP($E63,'[1]Import Eletra'!$B:$B,'[1]Import Eletra'!$T:$T,0,1))</f>
        <v>FFAU442597, GESU656653, TCLU876705</v>
      </c>
    </row>
    <row r="64" spans="2:146" ht="30" customHeight="1">
      <c r="B64" s="371"/>
      <c r="C64" s="369"/>
      <c r="D64" s="104" t="str">
        <f>IF(_xlfn.XLOOKUP($E64,'[1]Import Eletra'!$B:$B,'[1]Import Eletra'!$A:$A,,0,1)=0,"",_xlfn.XLOOKUP($E64,'[1]Import Eletra'!$B:$B,'[1]Import Eletra'!$A:$A,,0,1))</f>
        <v>AUG_2026</v>
      </c>
      <c r="E64" s="275" t="s">
        <v>372</v>
      </c>
      <c r="F64" s="106">
        <f>IF(_xlfn.XLOOKUP($E64,'[1]Import Eletra'!$B:$B,'[1]Import Eletra'!$U:$U,,0,1)=0,"",_xlfn.XLOOKUP($E64,'[1]Import Eletra'!$B:$B,'[1]Import Eletra'!$U:$U,,0,1))</f>
        <v>0.5</v>
      </c>
      <c r="G64" s="301" t="s">
        <v>244</v>
      </c>
      <c r="H64" s="2" t="str">
        <f>_xlfn.XLOOKUP($E64,'[1]Import Eletra'!$B:$B,'[1]Import Eletra'!$F:$F,,0,1)</f>
        <v>WAITING ARRIVAL</v>
      </c>
      <c r="I64" s="108" t="str">
        <f>_xlfn.XLOOKUP($E64,'[1]Import Eletra'!$B:$B,'[1]Import Eletra'!$G:$G,,0,1)</f>
        <v>SEA</v>
      </c>
      <c r="J64" s="326">
        <v>46142</v>
      </c>
      <c r="K64" s="109">
        <v>30</v>
      </c>
      <c r="L64" s="321">
        <f>M64-J64</f>
        <v>34</v>
      </c>
      <c r="M64" s="326">
        <f>IF(_xlfn.XLOOKUP($E64,'[1]Import Eletra'!$B:$B,'[1]Import Eletra'!$J:$J,,0,1)=0,"",_xlfn.XLOOKUP($E64,'[1]Import Eletra'!$B:$B,'[1]Import Eletra'!$J:$J,,0,1))</f>
        <v>46176</v>
      </c>
      <c r="N64" s="333">
        <f>IF(_xlfn.XLOOKUP($E64,'[1]Import Eletra'!$B:$B,'[1]Import Eletra'!$L:$L,,0,1)=0,"",_xlfn.XLOOKUP($E64,'[1]Import Eletra'!$B:$B,'[1]Import Eletra'!$L:$L,,0,1))</f>
        <v>46231</v>
      </c>
      <c r="O64" s="336">
        <f>IF(_xlfn.XLOOKUP($E64,'[1]Import Eletra'!$B:$B,'[1]Import Eletra'!$AK:$AK,,0,1)=0,"",_xlfn.XLOOKUP($E64,'[1]Import Eletra'!$B:$B,'[1]Import Eletra'!$AK:$AK,,0,1))</f>
        <v>46191</v>
      </c>
      <c r="P64" s="326">
        <f>IF(_xlfn.XLOOKUP($E64,'[1]Import Eletra'!$B:$B,'[1]Import Eletra'!$AL:$AL,,0,1)=0,"",_xlfn.XLOOKUP($E64,'[1]Import Eletra'!$B:$B,'[1]Import Eletra'!$AL:$AL,,0,1))</f>
        <v>46195</v>
      </c>
      <c r="Q64" s="326">
        <f>IF(_xlfn.XLOOKUP($E64,'[1]Import Eletra'!$B:$B,'[1]Import Eletra'!$AM:$AM,,0,1)=0,"",_xlfn.XLOOKUP($E64,'[1]Import Eletra'!$B:$B,'[1]Import Eletra'!$AM:$AM,,0,1))</f>
        <v>46196</v>
      </c>
      <c r="R64" s="326">
        <f>IF(_xlfn.XLOOKUP($E64,'[1]Import Eletra'!$B:$B,'[1]Import Eletra'!$AN:$AN,,0,1)=0,"",_xlfn.XLOOKUP($E64,'[1]Import Eletra'!$B:$B,'[1]Import Eletra'!$AN:$AN,,0,1))</f>
        <v>46196</v>
      </c>
      <c r="S64" s="326">
        <f>IF(_xlfn.XLOOKUP($E64,'[1]Import Eletra'!$B:$B,'[1]Import Eletra'!$AO:$AO,,0,1)=0,"",_xlfn.XLOOKUP($E64,'[1]Import Eletra'!$B:$B,'[1]Import Eletra'!$AO:$AO,,0,1))</f>
        <v>46196</v>
      </c>
      <c r="T64" s="326">
        <f>IF(_xlfn.XLOOKUP($E64,'[1]Import Eletra'!$B:$B,'[1]Import Eletra'!$AP:$AP,,0,1)=0,"",_xlfn.XLOOKUP($E64,'[1]Import Eletra'!$B:$B,'[1]Import Eletra'!$AP:$AP,,0,1))</f>
        <v>46196</v>
      </c>
      <c r="U64" s="326">
        <f>IF(_xlfn.XLOOKUP($E64,'[1]Import Eletra'!$B:$B,'[1]Import Eletra'!$AQ:$AQ,,0,1)=0,"",_xlfn.XLOOKUP($E64,'[1]Import Eletra'!$B:$B,'[1]Import Eletra'!$AQ:$AQ,,0,1))</f>
        <v>46198</v>
      </c>
      <c r="V64" s="339" t="str">
        <f>IF(_xlfn.XLOOKUP($E64,'[1]Import Eletra'!$B:$B,'[1]Import Eletra'!$AR:$AR,,0,1)=0,"",_xlfn.XLOOKUP($E64,'[1]Import Eletra'!$B:$B,'[1]Import Eletra'!$AR:$AR,,0,1))</f>
        <v/>
      </c>
      <c r="W64" s="335">
        <f>AB64-$AB$5</f>
        <v>46232</v>
      </c>
      <c r="X64" s="332" t="str">
        <f>IF(_xlfn.XLOOKUP($E64,'[1]Import Eletra'!$B:$B,'[1]Import Eletra'!$AS:$AS,,0,1)=0,"",_xlfn.XLOOKUP($E64,'[1]Import Eletra'!$B:$B,'[1]Import Eletra'!$AS:$AS,,0,1))</f>
        <v/>
      </c>
      <c r="Y64" s="113">
        <f>$W$4</f>
        <v>0</v>
      </c>
      <c r="Z64" s="113">
        <f ca="1">IF(X64="",TODAY()-W64,X64-W64)</f>
        <v>-21</v>
      </c>
      <c r="AA64" s="184">
        <f ca="1">Z64-Y64</f>
        <v>-21</v>
      </c>
      <c r="AB64" s="348">
        <f>AG64-$AB$5</f>
        <v>46233</v>
      </c>
      <c r="AC64" s="332" t="str">
        <f>IF(_xlfn.XLOOKUP($E64,'[1]Import Eletra'!$B:$B,'[1]Import Eletra'!$AD:$AD,,0,1)=0,"",_xlfn.XLOOKUP($E64,'[1]Import Eletra'!$B:$B,'[1]Import Eletra'!$AD:$AD,,0,1))</f>
        <v/>
      </c>
      <c r="AD64" s="113">
        <f>$AB$4</f>
        <v>0</v>
      </c>
      <c r="AE64" s="113">
        <f ca="1">IF(AC64="",TODAY()-AB64,AC64-AB64)</f>
        <v>-22</v>
      </c>
      <c r="AF64" s="184">
        <f ca="1">AE64-AD64</f>
        <v>-22</v>
      </c>
      <c r="AG64" s="355">
        <f>AL64-$AL$5</f>
        <v>46234</v>
      </c>
      <c r="AH64" s="332" t="str">
        <f>IF(_xlfn.XLOOKUP($E64,'[1]Import Eletra'!$B:$B,'[1]Import Eletra'!$AE:$AE,,0,1)=0,"",_xlfn.XLOOKUP($E64,'[1]Import Eletra'!$B:$B,'[1]Import Eletra'!$AE:$AE,,0,1))</f>
        <v/>
      </c>
      <c r="AI64" s="113">
        <f>$AG$4</f>
        <v>0</v>
      </c>
      <c r="AJ64" s="113">
        <f ca="1">IF(AH64="",TODAY()-AG64,AH64-AG64)</f>
        <v>-23</v>
      </c>
      <c r="AK64" s="184">
        <f ca="1">AJ64-AI64</f>
        <v>-23</v>
      </c>
      <c r="AL64" s="355">
        <f>AQ64-$AQ$5</f>
        <v>46234</v>
      </c>
      <c r="AM64" s="332" t="str">
        <f>IF(_xlfn.XLOOKUP($E64,'[1]Import Eletra'!$B:$B,'[1]Import Eletra'!$AT:$AT,,0,1)=0,"",_xlfn.XLOOKUP($E64,'[1]Import Eletra'!$B:$B,'[1]Import Eletra'!$AT:$AT,,0,1))</f>
        <v/>
      </c>
      <c r="AN64" s="113">
        <f>$AL$4</f>
        <v>0</v>
      </c>
      <c r="AO64" s="113">
        <f ca="1">IF(AM64="",TODAY()-AL64,AM64-AL64)</f>
        <v>-23</v>
      </c>
      <c r="AP64" s="184">
        <f ca="1">AO64-AN64</f>
        <v>-23</v>
      </c>
      <c r="AQ64" s="357">
        <f>AV64-$AV$5</f>
        <v>46235</v>
      </c>
      <c r="AR64" s="332" t="str">
        <f>IF(_xlfn.XLOOKUP($E64,'[1]Import Eletra'!$B:$B,'[1]Import Eletra'!$AU:$AU,,0,1)=0,"",_xlfn.XLOOKUP($E64,'[1]Import Eletra'!$B:$B,'[1]Import Eletra'!$AU:$AU,,0,1))</f>
        <v/>
      </c>
      <c r="AS64" s="113">
        <f>$AQ$4</f>
        <v>1</v>
      </c>
      <c r="AT64" s="113">
        <f ca="1">IF(AR64="",TODAY()-AQ64,AR64-AQ64)</f>
        <v>-24</v>
      </c>
      <c r="AU64" s="184">
        <f ca="1">AT64-AS64</f>
        <v>-25</v>
      </c>
      <c r="AV64" s="355">
        <f>BA64-$BA$5</f>
        <v>46235</v>
      </c>
      <c r="AW64" s="332" t="str">
        <f>IF(_xlfn.XLOOKUP($E64,'[1]Import Eletra'!$B:$B,'[1]Import Eletra'!$AV:$AV,,0,1)=0,"",_xlfn.XLOOKUP($E64,'[1]Import Eletra'!$B:$B,'[1]Import Eletra'!$AV:$AV,,0,1))</f>
        <v/>
      </c>
      <c r="AX64" s="113">
        <f>$AV$4</f>
        <v>0</v>
      </c>
      <c r="AY64" s="113">
        <f ca="1">IF(AW64="",TODAY()-AV64,AW64-AV64)</f>
        <v>-24</v>
      </c>
      <c r="AZ64" s="184">
        <f ca="1">AY64-AX64</f>
        <v>-24</v>
      </c>
      <c r="BA64" s="357">
        <f>BF64-$BF$5</f>
        <v>46235</v>
      </c>
      <c r="BB64" s="332" t="str">
        <f>IF(_xlfn.XLOOKUP($E64,'[1]Import Eletra'!$B:$B,'[1]Import Eletra'!$AW:$AW,,0,1)=0,"",_xlfn.XLOOKUP($E64,'[1]Import Eletra'!$B:$B,'[1]Import Eletra'!$AW:$AW,,0,1))</f>
        <v/>
      </c>
      <c r="BC64" s="113">
        <f>$BA$4</f>
        <v>0</v>
      </c>
      <c r="BD64" s="113">
        <f ca="1">IF(BB64="",TODAY()-BA64,BB64-BA64)</f>
        <v>-24</v>
      </c>
      <c r="BE64" s="184">
        <f ca="1">BD64-BC64</f>
        <v>-24</v>
      </c>
      <c r="BF64" s="335">
        <f>BK64-$BK$5</f>
        <v>46235</v>
      </c>
      <c r="BG64" s="332" t="str">
        <f>IF(_xlfn.XLOOKUP($E64,'[1]Import Eletra'!$B:$B,'[1]Import Eletra'!$AX:$AX,,0,1)=0,"",_xlfn.XLOOKUP($E64,'[1]Import Eletra'!$B:$B,'[1]Import Eletra'!$AX:$AX,,0,1))</f>
        <v/>
      </c>
      <c r="BH64" s="113">
        <f>$BF$4</f>
        <v>0</v>
      </c>
      <c r="BI64" s="113">
        <f ca="1">IF(BG64="",TODAY()-BF64,BG64-BF64)</f>
        <v>-24</v>
      </c>
      <c r="BJ64" s="184">
        <f ca="1">BI64-BH64</f>
        <v>-24</v>
      </c>
      <c r="BK64" s="362">
        <f>BP64-$BP$5</f>
        <v>46235</v>
      </c>
      <c r="BL64" s="332" t="str">
        <f>IF(_xlfn.XLOOKUP($E64,'[1]Import Eletra'!$B:$B,'[1]Import Eletra'!$AY:$AY,,0,1)=0,"",_xlfn.XLOOKUP($E64,'[1]Import Eletra'!$B:$B,'[1]Import Eletra'!$AY:$AY,,0,1))</f>
        <v/>
      </c>
      <c r="BM64" s="113">
        <f>$BK$4</f>
        <v>0</v>
      </c>
      <c r="BN64" s="113">
        <f ca="1">IF(BL64="",TODAY()-BK64,BL64-BK64)</f>
        <v>-24</v>
      </c>
      <c r="BO64" s="184">
        <f ca="1">BN64-BM64</f>
        <v>-24</v>
      </c>
      <c r="BP64" s="335">
        <f>BU64-$BU$5</f>
        <v>46235</v>
      </c>
      <c r="BQ64" s="332" t="str">
        <f>IF(_xlfn.XLOOKUP($E64,'[1]Import Eletra'!$B:$B,'[1]Import Eletra'!$AZ:$AZ,,0,1)=0,"",_xlfn.XLOOKUP($E64,'[1]Import Eletra'!$B:$B,'[1]Import Eletra'!$AZ:$AZ,,0,1))</f>
        <v/>
      </c>
      <c r="BR64" s="113">
        <f>$BP$4</f>
        <v>0</v>
      </c>
      <c r="BS64" s="113">
        <f ca="1">IF(BQ64="",TODAY()-BP64,BQ64-BP64)</f>
        <v>-24</v>
      </c>
      <c r="BT64" s="184">
        <f ca="1">BS64-BR64</f>
        <v>-24</v>
      </c>
      <c r="BU64" s="362">
        <f>BZ64-$BZ$4</f>
        <v>46237</v>
      </c>
      <c r="BV64" s="332" t="str">
        <f>IF(_xlfn.XLOOKUP($E64,'[1]Import Eletra'!$B:$B,'[1]Import Eletra'!$BA:$BA,,0,1)=0,"",_xlfn.XLOOKUP($E64,'[1]Import Eletra'!$B:$B,'[1]Import Eletra'!$BA:$BA,,0,1))</f>
        <v/>
      </c>
      <c r="BW64" s="113">
        <f>$BU$4</f>
        <v>2</v>
      </c>
      <c r="BX64" s="113">
        <f ca="1">IF(BV64="",TODAY()-BU64,BV64-BU64)</f>
        <v>-26</v>
      </c>
      <c r="BY64" s="184">
        <f ca="1">BX64-BW64</f>
        <v>-28</v>
      </c>
      <c r="BZ64" s="335">
        <f>CE64-$CE$5</f>
        <v>46237</v>
      </c>
      <c r="CA64" s="332" t="str">
        <f>IF(_xlfn.XLOOKUP($E64,'[1]Import Eletra'!$B:$B,'[1]Import Eletra'!$BB:$BB,,0,1)=0,"",_xlfn.XLOOKUP($E64,'[1]Import Eletra'!$B:$B,'[1]Import Eletra'!$BB:$BB,,0,1))</f>
        <v/>
      </c>
      <c r="CB64" s="113">
        <f>$BZ$4</f>
        <v>0</v>
      </c>
      <c r="CC64" s="113">
        <f ca="1">IF(CA64="",TODAY()-BZ64,CA64-BZ64)</f>
        <v>-26</v>
      </c>
      <c r="CD64" s="184">
        <f ca="1">CC64-CB64</f>
        <v>-26</v>
      </c>
      <c r="CE64" s="362">
        <f>CJ64-$CJ$4</f>
        <v>46237</v>
      </c>
      <c r="CF64" s="332" t="str">
        <f>IF(_xlfn.XLOOKUP($E64,'[1]Import Eletra'!$B:$B,'[1]Import Eletra'!$BC:$BC,,0,1)=0,"",_xlfn.XLOOKUP($E64,'[1]Import Eletra'!$B:$B,'[1]Import Eletra'!$BC:$BC,,0,1))</f>
        <v/>
      </c>
      <c r="CG64" s="113">
        <f>$CE$4</f>
        <v>0</v>
      </c>
      <c r="CH64" s="113">
        <f ca="1">IF(CF64="",TODAY()-CE64,CF64-CE64)</f>
        <v>-26</v>
      </c>
      <c r="CI64" s="184">
        <f ca="1">CH64-CG64</f>
        <v>-26</v>
      </c>
      <c r="CJ64" s="335">
        <f>CO64-$CO$4</f>
        <v>46237</v>
      </c>
      <c r="CK64" s="332" t="str">
        <f>IF(_xlfn.XLOOKUP($E64,'[1]Import Eletra'!$B:$B,'[1]Import Eletra'!$BD:$BD,,0,1)=0,"",_xlfn.XLOOKUP($E64,'[1]Import Eletra'!$B:$B,'[1]Import Eletra'!$BD:$BD,,0,1))</f>
        <v/>
      </c>
      <c r="CL64" s="113"/>
      <c r="CM64" s="113">
        <f ca="1">IF(CK64="",TODAY()-CJ64,CK64-CJ64)</f>
        <v>-26</v>
      </c>
      <c r="CN64" s="184">
        <f ca="1">CM64-CL64</f>
        <v>-26</v>
      </c>
      <c r="CO64" s="362">
        <f>CT64-$CT$4</f>
        <v>46237</v>
      </c>
      <c r="CP64" s="332" t="str">
        <f>IF(_xlfn.XLOOKUP($E64,'[1]Import Eletra'!$B:$B,'[1]Import Eletra'!$BE:$BE,,0,1)=0,"",_xlfn.XLOOKUP($E64,'[1]Import Eletra'!$B:$B,'[1]Import Eletra'!$BE:$BE,,0,1))</f>
        <v/>
      </c>
      <c r="CQ64" s="113">
        <f>$CO$4</f>
        <v>0</v>
      </c>
      <c r="CR64" s="113">
        <f ca="1">IF(CP64="",TODAY()-CO64,CP64-CO64)</f>
        <v>-26</v>
      </c>
      <c r="CS64" s="184">
        <f ca="1">CR64-CQ64</f>
        <v>-26</v>
      </c>
      <c r="CT64" s="335">
        <f>CY64-$CY$4</f>
        <v>46237</v>
      </c>
      <c r="CU64" s="332" t="str">
        <f>IF(_xlfn.XLOOKUP($E64,'[1]Import Eletra'!$B:$B,'[1]Import Eletra'!$BF:$BF,,0,1)=0,"",_xlfn.XLOOKUP($E64,'[1]Import Eletra'!$B:$B,'[1]Import Eletra'!$BF:$BF,,0,1))</f>
        <v/>
      </c>
      <c r="CV64" s="113">
        <f>$CT$4</f>
        <v>0</v>
      </c>
      <c r="CW64" s="113">
        <f ca="1">IF(CU64="",TODAY()-CT64,CU64-CT64)</f>
        <v>-26</v>
      </c>
      <c r="CX64" s="184">
        <f ca="1">CW64-CV64</f>
        <v>-26</v>
      </c>
      <c r="CY64" s="110">
        <f>DD64-$DD$4</f>
        <v>46237</v>
      </c>
      <c r="CZ64" s="247" t="str">
        <f>IF(_xlfn.XLOOKUP($E64,'[1]Import Eletra'!$B:$B,'[1]Import Eletra'!$BF:$BF,,0,1)=0,"",_xlfn.XLOOKUP($E64,'[1]Import Eletra'!$B:$B,'[1]Import Eletra'!$BF:$BF,,0,1))</f>
        <v/>
      </c>
      <c r="DA64" s="210">
        <f>$CY$4</f>
        <v>0</v>
      </c>
      <c r="DB64" s="113">
        <f ca="1">IF(CZ64="",TODAY()-CY64,CZ64-CY64)</f>
        <v>-26</v>
      </c>
      <c r="DC64" s="184">
        <f ca="1">DB64-DA64</f>
        <v>-26</v>
      </c>
      <c r="DD64" s="110">
        <f>DI64-$DI$4</f>
        <v>46239</v>
      </c>
      <c r="DE64" s="247" t="str">
        <f>IF(_xlfn.XLOOKUP($E64,'[1]Import Eletra'!$B:$B,'[1]Import Eletra'!$BG:$BG,,0,1)=0,"",_xlfn.XLOOKUP($E64,'[1]Import Eletra'!$B:$B,'[1]Import Eletra'!$BG:$BG,0,1))</f>
        <v/>
      </c>
      <c r="DF64" s="113">
        <f>$DD$4</f>
        <v>2</v>
      </c>
      <c r="DG64" s="113">
        <f ca="1">IF(DE64="",TODAY()-DD64,DE64-DD64)</f>
        <v>-28</v>
      </c>
      <c r="DH64" s="184">
        <f ca="1">DG64-DF64</f>
        <v>-30</v>
      </c>
      <c r="DI64" s="110">
        <f>DO64-$DN$4</f>
        <v>46240</v>
      </c>
      <c r="DJ64" s="247" t="str">
        <f>IF(_xlfn.XLOOKUP($E64,'[1]Import Eletra'!$B:$B,'[1]Import Eletra'!$BH:$BH,,0,1)=0,"",_xlfn.XLOOKUP($E64,'[1]Import Eletra'!$B:$B,'[1]Import Eletra'!$BH:$BH,0,1))</f>
        <v/>
      </c>
      <c r="DK64" s="112">
        <f>$DI$4</f>
        <v>1</v>
      </c>
      <c r="DL64" s="112">
        <f ca="1">IF(DJ64="",TODAY()-DI64,DJ64-DI64)</f>
        <v>-29</v>
      </c>
      <c r="DM64" s="184">
        <f ca="1">DL64-DK64</f>
        <v>-30</v>
      </c>
      <c r="DN64" s="64"/>
      <c r="DO64" s="202">
        <f>N64+DT64</f>
        <v>46241</v>
      </c>
      <c r="DP64" s="298" t="str">
        <f>IF(_xlfn.XLOOKUP($E64,'[1]Import Eletra'!$B:$B,'[1]Import Eletra'!$O:$O,,0,1)=0,"",_xlfn.XLOOKUP($E64,'[1]Import Eletra'!$B:$B,'[1]Import Eletra'!$O:$O,0,1))</f>
        <v/>
      </c>
      <c r="DQ64" s="112">
        <f>$DN$4</f>
        <v>1</v>
      </c>
      <c r="DR64" s="112">
        <f ca="1">IF(DP64="",TODAY()-DO64,DP64-DO64)</f>
        <v>-30</v>
      </c>
      <c r="DS64" s="184">
        <f ca="1">DR64-DQ64</f>
        <v>-31</v>
      </c>
      <c r="DT64" s="143">
        <v>10</v>
      </c>
      <c r="DU64" s="140">
        <f ca="1">IF(DP64="",TODAY()-N64,DP64-N64)</f>
        <v>-20</v>
      </c>
      <c r="DV64" s="184">
        <f ca="1">DU64-DT64</f>
        <v>-30</v>
      </c>
      <c r="DX64" s="142"/>
      <c r="DY64" s="108" t="str">
        <f>IF(_xlfn.XLOOKUP($E64,'[1]Import Eletra'!$B:$B,'[1]Import Eletra'!$DW:$DW,,0,1)=0,"",_xlfn.XLOOKUP($E64,'[1]Import Eletra'!$B:$B,'[1]Import Eletra'!$DW:$DW,0,1))</f>
        <v/>
      </c>
      <c r="EB64" s="287"/>
      <c r="ED64" s="409" t="str">
        <f>IF(_xlfn.XLOOKUP($E64,'[1]Import Eletra'!$B:$B,'[1]Import Eletra'!$BQ:$BQ,,0,1)=0,"",_xlfn.XLOOKUP($E64,'[1]Import Eletra'!$B:$B,'[1]Import Eletra'!$BQ:$BQ,0,1))</f>
        <v/>
      </c>
      <c r="EE64" s="410" t="str">
        <f>IF(_xlfn.XLOOKUP($E64,'[1]Import Eletra'!$B:$B,'[1]Import Eletra'!$BR:$BR,,0,1)=0,"",_xlfn.XLOOKUP($E64,'[1]Import Eletra'!$B:$B,'[1]Import Eletra'!$BR:$BR,0,1))</f>
        <v/>
      </c>
      <c r="EF64" s="409" t="str">
        <f>IF(_xlfn.XLOOKUP($E64,'[1]Import Eletra'!$B:$B,'[1]Import Eletra'!$BS:$BS,,0,1)=0,"",_xlfn.XLOOKUP($E64,'[1]Import Eletra'!$B:$B,'[1]Import Eletra'!$BS:$BS,0,1))</f>
        <v/>
      </c>
      <c r="EG64" s="410" t="str">
        <f>IF(_xlfn.XLOOKUP($E64,'[1]Import Eletra'!$B:$B,'[1]Import Eletra'!$BT:$BT,,0,1)=0,"",_xlfn.XLOOKUP($E64,'[1]Import Eletra'!$B:$B,'[1]Import Eletra'!$BT:$BT,0,1))</f>
        <v/>
      </c>
      <c r="EH64" s="409" t="str">
        <f>IF(_xlfn.XLOOKUP($E64,'[1]Import Eletra'!$B:$B,'[1]Import Eletra'!$BU:$BU,,0,1)=0,"",_xlfn.XLOOKUP($E64,'[1]Import Eletra'!$B:$B,'[1]Import Eletra'!$BU:$BU,0,1))</f>
        <v/>
      </c>
      <c r="EI64" s="410" t="str">
        <f>IF(_xlfn.XLOOKUP($E64,'[1]Import Eletra'!$B:$B,'[1]Import Eletra'!$BV:$BV,,0,1)=0,"",_xlfn.XLOOKUP($E64,'[1]Import Eletra'!$B:$B,'[1]Import Eletra'!$BV:$BV,0,1))</f>
        <v/>
      </c>
      <c r="EJ64" s="410" t="str">
        <f>IF(_xlfn.XLOOKUP($E64,'[1]Import Eletra'!$B:$B,'[1]Import Eletra'!$CI:$CI,,0,1)=0,"",_xlfn.XLOOKUP($E64,'[1]Import Eletra'!$B:$B,'[1]Import Eletra'!$CI:$CI,0,1))</f>
        <v/>
      </c>
      <c r="EK64" s="410" t="str">
        <f>IF(_xlfn.XLOOKUP($E64,'[1]Import Eletra'!$B:$B,'[1]Import Eletra'!$CD:$CD,,0,1)=0,"",_xlfn.XLOOKUP($E64,'[1]Import Eletra'!$B:$B,'[1]Import Eletra'!$CD:$CD,0,1))</f>
        <v/>
      </c>
      <c r="EL64" s="410" t="str">
        <f>IF(_xlfn.XLOOKUP($E64,'[1]Import Eletra'!$B:$B,'[1]Import Eletra'!$CE:$CE,,0,1)=0,"",_xlfn.XLOOKUP($E64,'[1]Import Eletra'!$B:$B,'[1]Import Eletra'!$CE:$CE,0,1))</f>
        <v/>
      </c>
      <c r="EM64" s="411" t="str">
        <f>IF(_xlfn.XLOOKUP($E64,'[1]Import Eletra'!$B:$B,'[1]Import Eletra'!$E:$E,,0,1)=0,"",_xlfn.XLOOKUP($E64,'[1]Import Eletra'!$B:$B,'[1]Import Eletra'!$E:$E,0,1))</f>
        <v>LEISIANE</v>
      </c>
      <c r="EN64" s="408" t="str">
        <f>IF(_xlfn.XLOOKUP($E64,'[1]Import Eletra'!$B:$B,'[1]Import Eletra'!$R:$R,,0,1)=0,"",_xlfn.XLOOKUP($E64,'[1]Import Eletra'!$B:$B,'[1]Import Eletra'!$R:$R,0,1))</f>
        <v>PWBR260096-10H</v>
      </c>
      <c r="EO64" s="408" t="str">
        <f>IF(_xlfn.XLOOKUP($E64,'[1]Import Eletra'!$B:$B,'[1]Import Eletra'!$P:$P,,0,1)=0,"",_xlfn.XLOOKUP($E64,'[1]Import Eletra'!$B:$B,'[1]Import Eletra'!$P:$P,0,1))</f>
        <v>SDBLBS601416</v>
      </c>
      <c r="EP64" s="408" t="str">
        <f>IF(_xlfn.XLOOKUP($E64,'[1]Import Eletra'!$B:$B,'[1]Import Eletra'!$T:$T,,0,1)=0,"",_xlfn.XLOOKUP($E64,'[1]Import Eletra'!$B:$B,'[1]Import Eletra'!$T:$T,0,1))</f>
        <v>TCNU313037</v>
      </c>
    </row>
    <row r="65" spans="2:146" ht="30" customHeight="1">
      <c r="B65" s="371"/>
      <c r="C65" s="369"/>
      <c r="D65" s="104" t="str">
        <f>IF(_xlfn.XLOOKUP($E65,'[1]Import Eletra'!$B:$B,'[1]Import Eletra'!$A:$A,,0,1)=0,"",_xlfn.XLOOKUP($E65,'[1]Import Eletra'!$B:$B,'[1]Import Eletra'!$A:$A,,0,1))</f>
        <v>JUN_2026</v>
      </c>
      <c r="E65" s="275" t="s">
        <v>373</v>
      </c>
      <c r="F65" s="106">
        <f>IF(_xlfn.XLOOKUP($E65,'[1]Import Eletra'!$B:$B,'[1]Import Eletra'!$U:$U,,0,1)=0,"",_xlfn.XLOOKUP($E65,'[1]Import Eletra'!$B:$B,'[1]Import Eletra'!$U:$U,,0,1))</f>
        <v>0.5</v>
      </c>
      <c r="G65" s="301" t="s">
        <v>244</v>
      </c>
      <c r="H65" s="2" t="str">
        <f>_xlfn.XLOOKUP($E65,'[1]Import Eletra'!$B:$B,'[1]Import Eletra'!$F:$F,,0,1)</f>
        <v>WAITING ARRIVAL</v>
      </c>
      <c r="I65" s="108" t="str">
        <f>_xlfn.XLOOKUP($E65,'[1]Import Eletra'!$B:$B,'[1]Import Eletra'!$G:$G,,0,1)</f>
        <v>SEA</v>
      </c>
      <c r="J65" s="326">
        <v>46143</v>
      </c>
      <c r="K65" s="109">
        <v>30</v>
      </c>
      <c r="L65" s="321">
        <f>M65-J65</f>
        <v>29</v>
      </c>
      <c r="M65" s="326">
        <f>IF(_xlfn.XLOOKUP($E65,'[1]Import Eletra'!$B:$B,'[1]Import Eletra'!$J:$J,,0,1)=0,"",_xlfn.XLOOKUP($E65,'[1]Import Eletra'!$B:$B,'[1]Import Eletra'!$J:$J,,0,1))</f>
        <v>46172</v>
      </c>
      <c r="N65" s="333">
        <f>IF(_xlfn.XLOOKUP($E65,'[1]Import Eletra'!$B:$B,'[1]Import Eletra'!$L:$L,,0,1)=0,"",_xlfn.XLOOKUP($E65,'[1]Import Eletra'!$B:$B,'[1]Import Eletra'!$L:$L,,0,1))</f>
        <v>46222</v>
      </c>
      <c r="O65" s="335">
        <f>IF(_xlfn.XLOOKUP($E65,'[1]Import Eletra'!$B:$B,'[1]Import Eletra'!$AK:$AK,,0,1)=0,"",_xlfn.XLOOKUP($E65,'[1]Import Eletra'!$B:$B,'[1]Import Eletra'!$AK:$AK,,0,1))</f>
        <v>46170</v>
      </c>
      <c r="P65" s="326">
        <f>IF(_xlfn.XLOOKUP($E65,'[1]Import Eletra'!$B:$B,'[1]Import Eletra'!$AL:$AL,,0,1)=0,"",_xlfn.XLOOKUP($E65,'[1]Import Eletra'!$B:$B,'[1]Import Eletra'!$AL:$AL,,0,1))</f>
        <v>46184</v>
      </c>
      <c r="Q65" s="326">
        <f>IF(_xlfn.XLOOKUP($E65,'[1]Import Eletra'!$B:$B,'[1]Import Eletra'!$AM:$AM,,0,1)=0,"",_xlfn.XLOOKUP($E65,'[1]Import Eletra'!$B:$B,'[1]Import Eletra'!$AM:$AM,,0,1))</f>
        <v>46184</v>
      </c>
      <c r="R65" s="326">
        <f>IF(_xlfn.XLOOKUP($E65,'[1]Import Eletra'!$B:$B,'[1]Import Eletra'!$AN:$AN,,0,1)=0,"",_xlfn.XLOOKUP($E65,'[1]Import Eletra'!$B:$B,'[1]Import Eletra'!$AN:$AN,,0,1))</f>
        <v>46188</v>
      </c>
      <c r="S65" s="331">
        <f>IF(_xlfn.XLOOKUP($E65,'[1]Import Eletra'!$B:$B,'[1]Import Eletra'!$AO:$AO,,0,1)=0,"",_xlfn.XLOOKUP($E65,'[1]Import Eletra'!$B:$B,'[1]Import Eletra'!$AO:$AO,,0,1))</f>
        <v>46189</v>
      </c>
      <c r="T65" s="326">
        <f>IF(_xlfn.XLOOKUP($E65,'[1]Import Eletra'!$B:$B,'[1]Import Eletra'!$AP:$AP,,0,1)=0,"",_xlfn.XLOOKUP($E65,'[1]Import Eletra'!$B:$B,'[1]Import Eletra'!$AP:$AP,,0,1))</f>
        <v>46190</v>
      </c>
      <c r="U65" s="326">
        <f>IF(_xlfn.XLOOKUP($E65,'[1]Import Eletra'!$B:$B,'[1]Import Eletra'!$AQ:$AQ,,0,1)=0,"",_xlfn.XLOOKUP($E65,'[1]Import Eletra'!$B:$B,'[1]Import Eletra'!$AQ:$AQ,,0,1))</f>
        <v>46190</v>
      </c>
      <c r="V65" s="339" t="str">
        <f>IF(_xlfn.XLOOKUP($E65,'[1]Import Eletra'!$B:$B,'[1]Import Eletra'!$AR:$AR,,0,1)=0,"",_xlfn.XLOOKUP($E65,'[1]Import Eletra'!$B:$B,'[1]Import Eletra'!$AR:$AR,,0,1))</f>
        <v/>
      </c>
      <c r="W65" s="335">
        <f>AB65-$AB$5</f>
        <v>46223</v>
      </c>
      <c r="X65" s="332" t="str">
        <f>IF(_xlfn.XLOOKUP($E65,'[1]Import Eletra'!$B:$B,'[1]Import Eletra'!$AS:$AS,,0,1)=0,"",_xlfn.XLOOKUP($E65,'[1]Import Eletra'!$B:$B,'[1]Import Eletra'!$AS:$AS,,0,1))</f>
        <v/>
      </c>
      <c r="Y65" s="113">
        <f>$W$4</f>
        <v>0</v>
      </c>
      <c r="Z65" s="113">
        <f ca="1">IF(X65="",TODAY()-W65,X65-W65)</f>
        <v>-12</v>
      </c>
      <c r="AA65" s="184">
        <f ca="1">Z65-Y65</f>
        <v>-12</v>
      </c>
      <c r="AB65" s="348">
        <f>AG65-$AB$5</f>
        <v>46224</v>
      </c>
      <c r="AC65" s="332" t="str">
        <f>IF(_xlfn.XLOOKUP($E65,'[1]Import Eletra'!$B:$B,'[1]Import Eletra'!$AD:$AD,,0,1)=0,"",_xlfn.XLOOKUP($E65,'[1]Import Eletra'!$B:$B,'[1]Import Eletra'!$AD:$AD,,0,1))</f>
        <v/>
      </c>
      <c r="AD65" s="113">
        <f>$AB$4</f>
        <v>0</v>
      </c>
      <c r="AE65" s="113">
        <f ca="1">IF(AC65="",TODAY()-AB65,AC65-AB65)</f>
        <v>-13</v>
      </c>
      <c r="AF65" s="184">
        <f ca="1">AE65-AD65</f>
        <v>-13</v>
      </c>
      <c r="AG65" s="355">
        <f>AL65-$AL$5</f>
        <v>46225</v>
      </c>
      <c r="AH65" s="332" t="str">
        <f>IF(_xlfn.XLOOKUP($E65,'[1]Import Eletra'!$B:$B,'[1]Import Eletra'!$AE:$AE,,0,1)=0,"",_xlfn.XLOOKUP($E65,'[1]Import Eletra'!$B:$B,'[1]Import Eletra'!$AE:$AE,,0,1))</f>
        <v/>
      </c>
      <c r="AI65" s="113">
        <f>$AG$4</f>
        <v>0</v>
      </c>
      <c r="AJ65" s="113">
        <f ca="1">IF(AH65="",TODAY()-AG65,AH65-AG65)</f>
        <v>-14</v>
      </c>
      <c r="AK65" s="184">
        <f ca="1">AJ65-AI65</f>
        <v>-14</v>
      </c>
      <c r="AL65" s="355">
        <f>AQ65-$AQ$5</f>
        <v>46225</v>
      </c>
      <c r="AM65" s="332" t="str">
        <f>IF(_xlfn.XLOOKUP($E65,'[1]Import Eletra'!$B:$B,'[1]Import Eletra'!$AT:$AT,,0,1)=0,"",_xlfn.XLOOKUP($E65,'[1]Import Eletra'!$B:$B,'[1]Import Eletra'!$AT:$AT,,0,1))</f>
        <v/>
      </c>
      <c r="AN65" s="113">
        <f>$AL$4</f>
        <v>0</v>
      </c>
      <c r="AO65" s="113">
        <f ca="1">IF(AM65="",TODAY()-AL65,AM65-AL65)</f>
        <v>-14</v>
      </c>
      <c r="AP65" s="184">
        <f ca="1">AO65-AN65</f>
        <v>-14</v>
      </c>
      <c r="AQ65" s="357">
        <f>AV65-$AV$5</f>
        <v>46226</v>
      </c>
      <c r="AR65" s="332" t="str">
        <f>IF(_xlfn.XLOOKUP($E65,'[1]Import Eletra'!$B:$B,'[1]Import Eletra'!$AU:$AU,,0,1)=0,"",_xlfn.XLOOKUP($E65,'[1]Import Eletra'!$B:$B,'[1]Import Eletra'!$AU:$AU,,0,1))</f>
        <v/>
      </c>
      <c r="AS65" s="113">
        <f>$AQ$4</f>
        <v>1</v>
      </c>
      <c r="AT65" s="113">
        <f ca="1">IF(AR65="",TODAY()-AQ65,AR65-AQ65)</f>
        <v>-15</v>
      </c>
      <c r="AU65" s="184">
        <f ca="1">AT65-AS65</f>
        <v>-16</v>
      </c>
      <c r="AV65" s="355">
        <f>BA65-$BA$5</f>
        <v>46226</v>
      </c>
      <c r="AW65" s="332" t="str">
        <f>IF(_xlfn.XLOOKUP($E65,'[1]Import Eletra'!$B:$B,'[1]Import Eletra'!$AV:$AV,,0,1)=0,"",_xlfn.XLOOKUP($E65,'[1]Import Eletra'!$B:$B,'[1]Import Eletra'!$AV:$AV,,0,1))</f>
        <v/>
      </c>
      <c r="AX65" s="113">
        <f>$AV$4</f>
        <v>0</v>
      </c>
      <c r="AY65" s="113">
        <f ca="1">IF(AW65="",TODAY()-AV65,AW65-AV65)</f>
        <v>-15</v>
      </c>
      <c r="AZ65" s="184">
        <f ca="1">AY65-AX65</f>
        <v>-15</v>
      </c>
      <c r="BA65" s="357">
        <f>BF65-$BF$5</f>
        <v>46226</v>
      </c>
      <c r="BB65" s="332" t="str">
        <f>IF(_xlfn.XLOOKUP($E65,'[1]Import Eletra'!$B:$B,'[1]Import Eletra'!$AW:$AW,,0,1)=0,"",_xlfn.XLOOKUP($E65,'[1]Import Eletra'!$B:$B,'[1]Import Eletra'!$AW:$AW,,0,1))</f>
        <v/>
      </c>
      <c r="BC65" s="113">
        <f>$BA$4</f>
        <v>0</v>
      </c>
      <c r="BD65" s="113">
        <f ca="1">IF(BB65="",TODAY()-BA65,BB65-BA65)</f>
        <v>-15</v>
      </c>
      <c r="BE65" s="184">
        <f ca="1">BD65-BC65</f>
        <v>-15</v>
      </c>
      <c r="BF65" s="335">
        <f>BK65-$BK$5</f>
        <v>46226</v>
      </c>
      <c r="BG65" s="332" t="str">
        <f>IF(_xlfn.XLOOKUP($E65,'[1]Import Eletra'!$B:$B,'[1]Import Eletra'!$AX:$AX,,0,1)=0,"",_xlfn.XLOOKUP($E65,'[1]Import Eletra'!$B:$B,'[1]Import Eletra'!$AX:$AX,,0,1))</f>
        <v/>
      </c>
      <c r="BH65" s="113">
        <f>$BF$4</f>
        <v>0</v>
      </c>
      <c r="BI65" s="113">
        <f ca="1">IF(BG65="",TODAY()-BF65,BG65-BF65)</f>
        <v>-15</v>
      </c>
      <c r="BJ65" s="184">
        <f ca="1">BI65-BH65</f>
        <v>-15</v>
      </c>
      <c r="BK65" s="362">
        <f>BP65-$BP$5</f>
        <v>46226</v>
      </c>
      <c r="BL65" s="332" t="str">
        <f>IF(_xlfn.XLOOKUP($E65,'[1]Import Eletra'!$B:$B,'[1]Import Eletra'!$AY:$AY,,0,1)=0,"",_xlfn.XLOOKUP($E65,'[1]Import Eletra'!$B:$B,'[1]Import Eletra'!$AY:$AY,,0,1))</f>
        <v/>
      </c>
      <c r="BM65" s="113">
        <f>$BK$4</f>
        <v>0</v>
      </c>
      <c r="BN65" s="113">
        <f ca="1">IF(BL65="",TODAY()-BK65,BL65-BK65)</f>
        <v>-15</v>
      </c>
      <c r="BO65" s="184">
        <f ca="1">BN65-BM65</f>
        <v>-15</v>
      </c>
      <c r="BP65" s="335">
        <f>BU65-$BU$5</f>
        <v>46226</v>
      </c>
      <c r="BQ65" s="332" t="str">
        <f>IF(_xlfn.XLOOKUP($E65,'[1]Import Eletra'!$B:$B,'[1]Import Eletra'!$AZ:$AZ,,0,1)=0,"",_xlfn.XLOOKUP($E65,'[1]Import Eletra'!$B:$B,'[1]Import Eletra'!$AZ:$AZ,,0,1))</f>
        <v/>
      </c>
      <c r="BR65" s="113">
        <f>$BP$4</f>
        <v>0</v>
      </c>
      <c r="BS65" s="113">
        <f ca="1">IF(BQ65="",TODAY()-BP65,BQ65-BP65)</f>
        <v>-15</v>
      </c>
      <c r="BT65" s="184">
        <f ca="1">BS65-BR65</f>
        <v>-15</v>
      </c>
      <c r="BU65" s="362">
        <f>BZ65-$BZ$4</f>
        <v>46228</v>
      </c>
      <c r="BV65" s="332" t="str">
        <f>IF(_xlfn.XLOOKUP($E65,'[1]Import Eletra'!$B:$B,'[1]Import Eletra'!$BA:$BA,,0,1)=0,"",_xlfn.XLOOKUP($E65,'[1]Import Eletra'!$B:$B,'[1]Import Eletra'!$BA:$BA,,0,1))</f>
        <v/>
      </c>
      <c r="BW65" s="113">
        <f>$BU$4</f>
        <v>2</v>
      </c>
      <c r="BX65" s="113">
        <f ca="1">IF(BV65="",TODAY()-BU65,BV65-BU65)</f>
        <v>-17</v>
      </c>
      <c r="BY65" s="184">
        <f ca="1">BX65-BW65</f>
        <v>-19</v>
      </c>
      <c r="BZ65" s="335">
        <f>CE65-$CE$5</f>
        <v>46228</v>
      </c>
      <c r="CA65" s="332" t="str">
        <f>IF(_xlfn.XLOOKUP($E65,'[1]Import Eletra'!$B:$B,'[1]Import Eletra'!$BB:$BB,,0,1)=0,"",_xlfn.XLOOKUP($E65,'[1]Import Eletra'!$B:$B,'[1]Import Eletra'!$BB:$BB,,0,1))</f>
        <v/>
      </c>
      <c r="CB65" s="113">
        <f>$BZ$4</f>
        <v>0</v>
      </c>
      <c r="CC65" s="113">
        <f ca="1">IF(CA65="",TODAY()-BZ65,CA65-BZ65)</f>
        <v>-17</v>
      </c>
      <c r="CD65" s="184">
        <f ca="1">CC65-CB65</f>
        <v>-17</v>
      </c>
      <c r="CE65" s="362">
        <f>CJ65-$CJ$4</f>
        <v>46228</v>
      </c>
      <c r="CF65" s="332" t="str">
        <f>IF(_xlfn.XLOOKUP($E65,'[1]Import Eletra'!$B:$B,'[1]Import Eletra'!$BC:$BC,,0,1)=0,"",_xlfn.XLOOKUP($E65,'[1]Import Eletra'!$B:$B,'[1]Import Eletra'!$BC:$BC,,0,1))</f>
        <v/>
      </c>
      <c r="CG65" s="113">
        <f>$CE$4</f>
        <v>0</v>
      </c>
      <c r="CH65" s="113">
        <f ca="1">IF(CF65="",TODAY()-CE65,CF65-CE65)</f>
        <v>-17</v>
      </c>
      <c r="CI65" s="184">
        <f ca="1">CH65-CG65</f>
        <v>-17</v>
      </c>
      <c r="CJ65" s="335">
        <f>CO65-$CO$4</f>
        <v>46228</v>
      </c>
      <c r="CK65" s="332" t="str">
        <f>IF(_xlfn.XLOOKUP($E65,'[1]Import Eletra'!$B:$B,'[1]Import Eletra'!$BD:$BD,,0,1)=0,"",_xlfn.XLOOKUP($E65,'[1]Import Eletra'!$B:$B,'[1]Import Eletra'!$BD:$BD,,0,1))</f>
        <v/>
      </c>
      <c r="CL65" s="113"/>
      <c r="CM65" s="113">
        <f ca="1">IF(CK65="",TODAY()-CJ65,CK65-CJ65)</f>
        <v>-17</v>
      </c>
      <c r="CN65" s="184">
        <f ca="1">CM65-CL65</f>
        <v>-17</v>
      </c>
      <c r="CO65" s="362">
        <f>CT65-$CT$4</f>
        <v>46228</v>
      </c>
      <c r="CP65" s="332" t="str">
        <f>IF(_xlfn.XLOOKUP($E65,'[1]Import Eletra'!$B:$B,'[1]Import Eletra'!$BE:$BE,,0,1)=0,"",_xlfn.XLOOKUP($E65,'[1]Import Eletra'!$B:$B,'[1]Import Eletra'!$BE:$BE,,0,1))</f>
        <v/>
      </c>
      <c r="CQ65" s="113">
        <f>$CO$4</f>
        <v>0</v>
      </c>
      <c r="CR65" s="113">
        <f ca="1">IF(CP65="",TODAY()-CO65,CP65-CO65)</f>
        <v>-17</v>
      </c>
      <c r="CS65" s="184">
        <f ca="1">CR65-CQ65</f>
        <v>-17</v>
      </c>
      <c r="CT65" s="335">
        <f>CY65-$CY$4</f>
        <v>46228</v>
      </c>
      <c r="CU65" s="332" t="str">
        <f>IF(_xlfn.XLOOKUP($E65,'[1]Import Eletra'!$B:$B,'[1]Import Eletra'!$BF:$BF,,0,1)=0,"",_xlfn.XLOOKUP($E65,'[1]Import Eletra'!$B:$B,'[1]Import Eletra'!$BF:$BF,,0,1))</f>
        <v/>
      </c>
      <c r="CV65" s="113">
        <f>$CT$4</f>
        <v>0</v>
      </c>
      <c r="CW65" s="113">
        <f ca="1">IF(CU65="",TODAY()-CT65,CU65-CT65)</f>
        <v>-17</v>
      </c>
      <c r="CX65" s="184">
        <f ca="1">CW65-CV65</f>
        <v>-17</v>
      </c>
      <c r="CY65" s="110">
        <f>DD65-$DD$4</f>
        <v>46228</v>
      </c>
      <c r="CZ65" s="247" t="str">
        <f>IF(_xlfn.XLOOKUP($E65,'[1]Import Eletra'!$B:$B,'[1]Import Eletra'!$BF:$BF,,0,1)=0,"",_xlfn.XLOOKUP($E65,'[1]Import Eletra'!$B:$B,'[1]Import Eletra'!$BF:$BF,,0,1))</f>
        <v/>
      </c>
      <c r="DA65" s="210">
        <f>$CY$4</f>
        <v>0</v>
      </c>
      <c r="DB65" s="113">
        <f ca="1">IF(CZ65="",TODAY()-CY65,CZ65-CY65)</f>
        <v>-17</v>
      </c>
      <c r="DC65" s="184">
        <f ca="1">DB65-DA65</f>
        <v>-17</v>
      </c>
      <c r="DD65" s="110">
        <f>DI65-$DI$4</f>
        <v>46230</v>
      </c>
      <c r="DE65" s="247" t="str">
        <f>IF(_xlfn.XLOOKUP($E65,'[1]Import Eletra'!$B:$B,'[1]Import Eletra'!$BG:$BG,,0,1)=0,"",_xlfn.XLOOKUP($E65,'[1]Import Eletra'!$B:$B,'[1]Import Eletra'!$BG:$BG,0,1))</f>
        <v/>
      </c>
      <c r="DF65" s="113">
        <f>$DD$4</f>
        <v>2</v>
      </c>
      <c r="DG65" s="113">
        <f ca="1">IF(DE65="",TODAY()-DD65,DE65-DD65)</f>
        <v>-19</v>
      </c>
      <c r="DH65" s="184">
        <f ca="1">DG65-DF65</f>
        <v>-21</v>
      </c>
      <c r="DI65" s="110">
        <f>DO65-$DN$4</f>
        <v>46231</v>
      </c>
      <c r="DJ65" s="247" t="str">
        <f>IF(_xlfn.XLOOKUP($E65,'[1]Import Eletra'!$B:$B,'[1]Import Eletra'!$BH:$BH,,0,1)=0,"",_xlfn.XLOOKUP($E65,'[1]Import Eletra'!$B:$B,'[1]Import Eletra'!$BH:$BH,0,1))</f>
        <v/>
      </c>
      <c r="DK65" s="112">
        <f>$DI$4</f>
        <v>1</v>
      </c>
      <c r="DL65" s="112">
        <f ca="1">IF(DJ65="",TODAY()-DI65,DJ65-DI65)</f>
        <v>-20</v>
      </c>
      <c r="DM65" s="184">
        <f ca="1">DL65-DK65</f>
        <v>-21</v>
      </c>
      <c r="DN65" s="64"/>
      <c r="DO65" s="202">
        <f>N65+DT65</f>
        <v>46232</v>
      </c>
      <c r="DP65" s="298" t="str">
        <f>IF(_xlfn.XLOOKUP($E65,'[1]Import Eletra'!$B:$B,'[1]Import Eletra'!$O:$O,,0,1)=0,"",_xlfn.XLOOKUP($E65,'[1]Import Eletra'!$B:$B,'[1]Import Eletra'!$O:$O,0,1))</f>
        <v/>
      </c>
      <c r="DQ65" s="112">
        <f>$DN$4</f>
        <v>1</v>
      </c>
      <c r="DR65" s="112">
        <f ca="1">IF(DP65="",TODAY()-DO65,DP65-DO65)</f>
        <v>-21</v>
      </c>
      <c r="DS65" s="184">
        <f ca="1">DR65-DQ65</f>
        <v>-22</v>
      </c>
      <c r="DT65" s="143">
        <v>10</v>
      </c>
      <c r="DU65" s="140">
        <f ca="1">IF(DP65="",TODAY()-N65,DP65-N65)</f>
        <v>-11</v>
      </c>
      <c r="DV65" s="184">
        <f ca="1">DU65-DT65</f>
        <v>-21</v>
      </c>
      <c r="DX65" s="142" t="s">
        <v>257</v>
      </c>
      <c r="DY65" s="108" t="str">
        <f>IF(_xlfn.XLOOKUP($E65,'[1]Import Eletra'!$B:$B,'[1]Import Eletra'!$DW:$DW,,0,1)=0,"",_xlfn.XLOOKUP($E65,'[1]Import Eletra'!$B:$B,'[1]Import Eletra'!$DW:$DW,0,1))</f>
        <v/>
      </c>
      <c r="EB65" s="287" t="s">
        <v>273</v>
      </c>
      <c r="ED65" s="409" t="str">
        <f>IF(_xlfn.XLOOKUP($E65,'[1]Import Eletra'!$B:$B,'[1]Import Eletra'!$BQ:$BQ,,0,1)=0,"",_xlfn.XLOOKUP($E65,'[1]Import Eletra'!$B:$B,'[1]Import Eletra'!$BQ:$BQ,0,1))</f>
        <v/>
      </c>
      <c r="EE65" s="410" t="str">
        <f>IF(_xlfn.XLOOKUP($E65,'[1]Import Eletra'!$B:$B,'[1]Import Eletra'!$BR:$BR,,0,1)=0,"",_xlfn.XLOOKUP($E65,'[1]Import Eletra'!$B:$B,'[1]Import Eletra'!$BR:$BR,0,1))</f>
        <v/>
      </c>
      <c r="EF65" s="409" t="str">
        <f>IF(_xlfn.XLOOKUP($E65,'[1]Import Eletra'!$B:$B,'[1]Import Eletra'!$BS:$BS,,0,1)=0,"",_xlfn.XLOOKUP($E65,'[1]Import Eletra'!$B:$B,'[1]Import Eletra'!$BS:$BS,0,1))</f>
        <v/>
      </c>
      <c r="EG65" s="410" t="str">
        <f>IF(_xlfn.XLOOKUP($E65,'[1]Import Eletra'!$B:$B,'[1]Import Eletra'!$BT:$BT,,0,1)=0,"",_xlfn.XLOOKUP($E65,'[1]Import Eletra'!$B:$B,'[1]Import Eletra'!$BT:$BT,0,1))</f>
        <v/>
      </c>
      <c r="EH65" s="409" t="str">
        <f>IF(_xlfn.XLOOKUP($E65,'[1]Import Eletra'!$B:$B,'[1]Import Eletra'!$BU:$BU,,0,1)=0,"",_xlfn.XLOOKUP($E65,'[1]Import Eletra'!$B:$B,'[1]Import Eletra'!$BU:$BU,0,1))</f>
        <v/>
      </c>
      <c r="EI65" s="410" t="str">
        <f>IF(_xlfn.XLOOKUP($E65,'[1]Import Eletra'!$B:$B,'[1]Import Eletra'!$BV:$BV,,0,1)=0,"",_xlfn.XLOOKUP($E65,'[1]Import Eletra'!$B:$B,'[1]Import Eletra'!$BV:$BV,0,1))</f>
        <v/>
      </c>
      <c r="EJ65" s="410">
        <f>IF(_xlfn.XLOOKUP($E65,'[1]Import Eletra'!$B:$B,'[1]Import Eletra'!$CI:$CI,,0,1)=0,"",_xlfn.XLOOKUP($E65,'[1]Import Eletra'!$B:$B,'[1]Import Eletra'!$CI:$CI,0,1))</f>
        <v>46240</v>
      </c>
      <c r="EK65" s="410" t="str">
        <f>IF(_xlfn.XLOOKUP($E65,'[1]Import Eletra'!$B:$B,'[1]Import Eletra'!$CD:$CD,,0,1)=0,"",_xlfn.XLOOKUP($E65,'[1]Import Eletra'!$B:$B,'[1]Import Eletra'!$CD:$CD,0,1))</f>
        <v/>
      </c>
      <c r="EL65" s="410" t="str">
        <f>IF(_xlfn.XLOOKUP($E65,'[1]Import Eletra'!$B:$B,'[1]Import Eletra'!$CE:$CE,,0,1)=0,"",_xlfn.XLOOKUP($E65,'[1]Import Eletra'!$B:$B,'[1]Import Eletra'!$CE:$CE,0,1))</f>
        <v>NÃO</v>
      </c>
      <c r="EM65" s="411" t="str">
        <f>IF(_xlfn.XLOOKUP($E65,'[1]Import Eletra'!$B:$B,'[1]Import Eletra'!$E:$E,,0,1)=0,"",_xlfn.XLOOKUP($E65,'[1]Import Eletra'!$B:$B,'[1]Import Eletra'!$E:$E,0,1))</f>
        <v>CATARINA</v>
      </c>
      <c r="EN65" s="408" t="str">
        <f>IF(_xlfn.XLOOKUP($E65,'[1]Import Eletra'!$B:$B,'[1]Import Eletra'!$R:$R,,0,1)=0,"",_xlfn.XLOOKUP($E65,'[1]Import Eletra'!$B:$B,'[1]Import Eletra'!$R:$R,0,1))</f>
        <v>PWBR260040</v>
      </c>
      <c r="EO65" s="408" t="str">
        <f>IF(_xlfn.XLOOKUP($E65,'[1]Import Eletra'!$B:$B,'[1]Import Eletra'!$P:$P,,0,1)=0,"",_xlfn.XLOOKUP($E65,'[1]Import Eletra'!$B:$B,'[1]Import Eletra'!$P:$P,0,1))</f>
        <v>SDBLBS601822</v>
      </c>
      <c r="EP65" s="408" t="str">
        <f>IF(_xlfn.XLOOKUP($E65,'[1]Import Eletra'!$B:$B,'[1]Import Eletra'!$T:$T,,0,1)=0,"",_xlfn.XLOOKUP($E65,'[1]Import Eletra'!$B:$B,'[1]Import Eletra'!$T:$T,0,1))</f>
        <v>CAAU736753/2</v>
      </c>
    </row>
    <row r="66" spans="2:146" ht="30" customHeight="1">
      <c r="B66" s="371" t="s">
        <v>336</v>
      </c>
      <c r="C66" s="369"/>
      <c r="D66" s="104" t="str">
        <f>IF(_xlfn.XLOOKUP($E66,'[1]Import Eletra'!$B:$B,'[1]Import Eletra'!$A:$A,,0,1)=0,"",_xlfn.XLOOKUP($E66,'[1]Import Eletra'!$B:$B,'[1]Import Eletra'!$A:$A,,0,1))</f>
        <v>AUG_2026</v>
      </c>
      <c r="E66" s="322" t="s">
        <v>374</v>
      </c>
      <c r="F66" s="106">
        <f>IF(_xlfn.XLOOKUP($E66,'[1]Import Eletra'!$B:$B,'[1]Import Eletra'!$U:$U,,0,1)=0,"",_xlfn.XLOOKUP($E66,'[1]Import Eletra'!$B:$B,'[1]Import Eletra'!$U:$U,,0,1))</f>
        <v>2</v>
      </c>
      <c r="G66" s="301" t="s">
        <v>244</v>
      </c>
      <c r="H66" s="2" t="str">
        <f>_xlfn.XLOOKUP($E66,'[1]Import Eletra'!$B:$B,'[1]Import Eletra'!$F:$F,,0,1)</f>
        <v>WAITING ARRIVAL</v>
      </c>
      <c r="I66" s="108" t="str">
        <f>_xlfn.XLOOKUP($E66,'[1]Import Eletra'!$B:$B,'[1]Import Eletra'!$G:$G,,0,1)</f>
        <v>SEA</v>
      </c>
      <c r="J66" s="326">
        <v>46151</v>
      </c>
      <c r="K66" s="109">
        <v>30</v>
      </c>
      <c r="L66" s="321">
        <f>M66-J66</f>
        <v>21</v>
      </c>
      <c r="M66" s="326">
        <f>IF(_xlfn.XLOOKUP($E66,'[1]Import Eletra'!$B:$B,'[1]Import Eletra'!$J:$J,,0,1)=0,"",_xlfn.XLOOKUP($E66,'[1]Import Eletra'!$B:$B,'[1]Import Eletra'!$J:$J,,0,1))</f>
        <v>46172</v>
      </c>
      <c r="N66" s="333">
        <f>IF(_xlfn.XLOOKUP($E66,'[1]Import Eletra'!$B:$B,'[1]Import Eletra'!$L:$L,,0,1)=0,"",_xlfn.XLOOKUP($E66,'[1]Import Eletra'!$B:$B,'[1]Import Eletra'!$L:$L,,0,1))</f>
        <v>46222</v>
      </c>
      <c r="O66" s="336">
        <f>IF(_xlfn.XLOOKUP($E66,'[1]Import Eletra'!$B:$B,'[1]Import Eletra'!$AK:$AK,,0,1)=0,"",_xlfn.XLOOKUP($E66,'[1]Import Eletra'!$B:$B,'[1]Import Eletra'!$AK:$AK,,0,1))</f>
        <v>46181</v>
      </c>
      <c r="P66" s="326">
        <f>IF(_xlfn.XLOOKUP($E66,'[1]Import Eletra'!$B:$B,'[1]Import Eletra'!$AL:$AL,,0,1)=0,"",_xlfn.XLOOKUP($E66,'[1]Import Eletra'!$B:$B,'[1]Import Eletra'!$AL:$AL,,0,1))</f>
        <v>46191</v>
      </c>
      <c r="Q66" s="326">
        <f>IF(_xlfn.XLOOKUP($E66,'[1]Import Eletra'!$B:$B,'[1]Import Eletra'!$AM:$AM,,0,1)=0,"",_xlfn.XLOOKUP($E66,'[1]Import Eletra'!$B:$B,'[1]Import Eletra'!$AM:$AM,,0,1))</f>
        <v>46196</v>
      </c>
      <c r="R66" s="326">
        <f>IF(_xlfn.XLOOKUP($E66,'[1]Import Eletra'!$B:$B,'[1]Import Eletra'!$AN:$AN,,0,1)=0,"",_xlfn.XLOOKUP($E66,'[1]Import Eletra'!$B:$B,'[1]Import Eletra'!$AN:$AN,,0,1))</f>
        <v>46196</v>
      </c>
      <c r="S66" s="326" t="str">
        <f>IF(_xlfn.XLOOKUP($E66,'[1]Import Eletra'!$B:$B,'[1]Import Eletra'!$AO:$AO,,0,1)=0,"",_xlfn.XLOOKUP($E66,'[1]Import Eletra'!$B:$B,'[1]Import Eletra'!$AO:$AO,,0,1))</f>
        <v>24/26/2026</v>
      </c>
      <c r="T66" s="326">
        <f>IF(_xlfn.XLOOKUP($E66,'[1]Import Eletra'!$B:$B,'[1]Import Eletra'!$AP:$AP,,0,1)=0,"",_xlfn.XLOOKUP($E66,'[1]Import Eletra'!$B:$B,'[1]Import Eletra'!$AP:$AP,,0,1))</f>
        <v>46198</v>
      </c>
      <c r="U66" s="326">
        <f>IF(_xlfn.XLOOKUP($E66,'[1]Import Eletra'!$B:$B,'[1]Import Eletra'!$AQ:$AQ,,0,1)=0,"",_xlfn.XLOOKUP($E66,'[1]Import Eletra'!$B:$B,'[1]Import Eletra'!$AQ:$AQ,,0,1))</f>
        <v>46198</v>
      </c>
      <c r="V66" s="339" t="str">
        <f>IF(_xlfn.XLOOKUP($E66,'[1]Import Eletra'!$B:$B,'[1]Import Eletra'!$AR:$AR,,0,1)=0,"",_xlfn.XLOOKUP($E66,'[1]Import Eletra'!$B:$B,'[1]Import Eletra'!$AR:$AR,,0,1))</f>
        <v/>
      </c>
      <c r="W66" s="335">
        <f>AB66-$AB$5</f>
        <v>46223</v>
      </c>
      <c r="X66" s="332" t="str">
        <f>IF(_xlfn.XLOOKUP($E66,'[1]Import Eletra'!$B:$B,'[1]Import Eletra'!$AS:$AS,,0,1)=0,"",_xlfn.XLOOKUP($E66,'[1]Import Eletra'!$B:$B,'[1]Import Eletra'!$AS:$AS,,0,1))</f>
        <v/>
      </c>
      <c r="Y66" s="113">
        <f>$W$4</f>
        <v>0</v>
      </c>
      <c r="Z66" s="113">
        <f ca="1">IF(X66="",TODAY()-W66,X66-W66)</f>
        <v>-12</v>
      </c>
      <c r="AA66" s="184">
        <f ca="1">Z66-Y66</f>
        <v>-12</v>
      </c>
      <c r="AB66" s="348">
        <f>AG66-$AB$5</f>
        <v>46224</v>
      </c>
      <c r="AC66" s="332" t="str">
        <f>IF(_xlfn.XLOOKUP($E66,'[1]Import Eletra'!$B:$B,'[1]Import Eletra'!$AD:$AD,,0,1)=0,"",_xlfn.XLOOKUP($E66,'[1]Import Eletra'!$B:$B,'[1]Import Eletra'!$AD:$AD,,0,1))</f>
        <v/>
      </c>
      <c r="AD66" s="113">
        <f>$AB$4</f>
        <v>0</v>
      </c>
      <c r="AE66" s="113">
        <f ca="1">IF(AC66="",TODAY()-AB66,AC66-AB66)</f>
        <v>-13</v>
      </c>
      <c r="AF66" s="184">
        <f ca="1">AE66-AD66</f>
        <v>-13</v>
      </c>
      <c r="AG66" s="355">
        <f>AL66-$AL$5</f>
        <v>46225</v>
      </c>
      <c r="AH66" s="332" t="str">
        <f>IF(_xlfn.XLOOKUP($E66,'[1]Import Eletra'!$B:$B,'[1]Import Eletra'!$AE:$AE,,0,1)=0,"",_xlfn.XLOOKUP($E66,'[1]Import Eletra'!$B:$B,'[1]Import Eletra'!$AE:$AE,,0,1))</f>
        <v/>
      </c>
      <c r="AI66" s="113">
        <f>$AG$4</f>
        <v>0</v>
      </c>
      <c r="AJ66" s="113">
        <f ca="1">IF(AH66="",TODAY()-AG66,AH66-AG66)</f>
        <v>-14</v>
      </c>
      <c r="AK66" s="184">
        <f ca="1">AJ66-AI66</f>
        <v>-14</v>
      </c>
      <c r="AL66" s="355">
        <f>AQ66-$AQ$5</f>
        <v>46225</v>
      </c>
      <c r="AM66" s="332" t="str">
        <f>IF(_xlfn.XLOOKUP($E66,'[1]Import Eletra'!$B:$B,'[1]Import Eletra'!$AT:$AT,,0,1)=0,"",_xlfn.XLOOKUP($E66,'[1]Import Eletra'!$B:$B,'[1]Import Eletra'!$AT:$AT,,0,1))</f>
        <v/>
      </c>
      <c r="AN66" s="113">
        <f>$AL$4</f>
        <v>0</v>
      </c>
      <c r="AO66" s="113">
        <f ca="1">IF(AM66="",TODAY()-AL66,AM66-AL66)</f>
        <v>-14</v>
      </c>
      <c r="AP66" s="184">
        <f ca="1">AO66-AN66</f>
        <v>-14</v>
      </c>
      <c r="AQ66" s="357">
        <f>AV66-$AV$5</f>
        <v>46226</v>
      </c>
      <c r="AR66" s="332" t="str">
        <f>IF(_xlfn.XLOOKUP($E66,'[1]Import Eletra'!$B:$B,'[1]Import Eletra'!$AU:$AU,,0,1)=0,"",_xlfn.XLOOKUP($E66,'[1]Import Eletra'!$B:$B,'[1]Import Eletra'!$AU:$AU,,0,1))</f>
        <v/>
      </c>
      <c r="AS66" s="113">
        <f>$AQ$4</f>
        <v>1</v>
      </c>
      <c r="AT66" s="113">
        <f ca="1">IF(AR66="",TODAY()-AQ66,AR66-AQ66)</f>
        <v>-15</v>
      </c>
      <c r="AU66" s="184">
        <f ca="1">AT66-AS66</f>
        <v>-16</v>
      </c>
      <c r="AV66" s="355">
        <f>BA66-$BA$5</f>
        <v>46226</v>
      </c>
      <c r="AW66" s="332" t="str">
        <f>IF(_xlfn.XLOOKUP($E66,'[1]Import Eletra'!$B:$B,'[1]Import Eletra'!$AV:$AV,,0,1)=0,"",_xlfn.XLOOKUP($E66,'[1]Import Eletra'!$B:$B,'[1]Import Eletra'!$AV:$AV,,0,1))</f>
        <v/>
      </c>
      <c r="AX66" s="113">
        <f>$AV$4</f>
        <v>0</v>
      </c>
      <c r="AY66" s="113">
        <f ca="1">IF(AW66="",TODAY()-AV66,AW66-AV66)</f>
        <v>-15</v>
      </c>
      <c r="AZ66" s="184">
        <f ca="1">AY66-AX66</f>
        <v>-15</v>
      </c>
      <c r="BA66" s="357">
        <f>BF66-$BF$5</f>
        <v>46226</v>
      </c>
      <c r="BB66" s="332" t="str">
        <f>IF(_xlfn.XLOOKUP($E66,'[1]Import Eletra'!$B:$B,'[1]Import Eletra'!$AW:$AW,,0,1)=0,"",_xlfn.XLOOKUP($E66,'[1]Import Eletra'!$B:$B,'[1]Import Eletra'!$AW:$AW,,0,1))</f>
        <v/>
      </c>
      <c r="BC66" s="113">
        <f>$BA$4</f>
        <v>0</v>
      </c>
      <c r="BD66" s="113">
        <f ca="1">IF(BB66="",TODAY()-BA66,BB66-BA66)</f>
        <v>-15</v>
      </c>
      <c r="BE66" s="184">
        <f ca="1">BD66-BC66</f>
        <v>-15</v>
      </c>
      <c r="BF66" s="335">
        <f>BK66-$BK$5</f>
        <v>46226</v>
      </c>
      <c r="BG66" s="332" t="str">
        <f>IF(_xlfn.XLOOKUP($E66,'[1]Import Eletra'!$B:$B,'[1]Import Eletra'!$AX:$AX,,0,1)=0,"",_xlfn.XLOOKUP($E66,'[1]Import Eletra'!$B:$B,'[1]Import Eletra'!$AX:$AX,,0,1))</f>
        <v/>
      </c>
      <c r="BH66" s="113">
        <f>$BF$4</f>
        <v>0</v>
      </c>
      <c r="BI66" s="113">
        <f ca="1">IF(BG66="",TODAY()-BF66,BG66-BF66)</f>
        <v>-15</v>
      </c>
      <c r="BJ66" s="184">
        <f ca="1">BI66-BH66</f>
        <v>-15</v>
      </c>
      <c r="BK66" s="362">
        <f>BP66-$BP$5</f>
        <v>46226</v>
      </c>
      <c r="BL66" s="332" t="str">
        <f>IF(_xlfn.XLOOKUP($E66,'[1]Import Eletra'!$B:$B,'[1]Import Eletra'!$AY:$AY,,0,1)=0,"",_xlfn.XLOOKUP($E66,'[1]Import Eletra'!$B:$B,'[1]Import Eletra'!$AY:$AY,,0,1))</f>
        <v/>
      </c>
      <c r="BM66" s="113">
        <f>$BK$4</f>
        <v>0</v>
      </c>
      <c r="BN66" s="113">
        <f ca="1">IF(BL66="",TODAY()-BK66,BL66-BK66)</f>
        <v>-15</v>
      </c>
      <c r="BO66" s="184">
        <f ca="1">BN66-BM66</f>
        <v>-15</v>
      </c>
      <c r="BP66" s="335">
        <f>BU66-$BU$5</f>
        <v>46226</v>
      </c>
      <c r="BQ66" s="332" t="str">
        <f>IF(_xlfn.XLOOKUP($E66,'[1]Import Eletra'!$B:$B,'[1]Import Eletra'!$AZ:$AZ,,0,1)=0,"",_xlfn.XLOOKUP($E66,'[1]Import Eletra'!$B:$B,'[1]Import Eletra'!$AZ:$AZ,,0,1))</f>
        <v/>
      </c>
      <c r="BR66" s="113">
        <f>$BP$4</f>
        <v>0</v>
      </c>
      <c r="BS66" s="113">
        <f ca="1">IF(BQ66="",TODAY()-BP66,BQ66-BP66)</f>
        <v>-15</v>
      </c>
      <c r="BT66" s="184">
        <f ca="1">BS66-BR66</f>
        <v>-15</v>
      </c>
      <c r="BU66" s="362">
        <f>BZ66-$BZ$4</f>
        <v>46228</v>
      </c>
      <c r="BV66" s="332" t="str">
        <f>IF(_xlfn.XLOOKUP($E66,'[1]Import Eletra'!$B:$B,'[1]Import Eletra'!$BA:$BA,,0,1)=0,"",_xlfn.XLOOKUP($E66,'[1]Import Eletra'!$B:$B,'[1]Import Eletra'!$BA:$BA,,0,1))</f>
        <v/>
      </c>
      <c r="BW66" s="113">
        <f>$BU$4</f>
        <v>2</v>
      </c>
      <c r="BX66" s="113">
        <f ca="1">IF(BV66="",TODAY()-BU66,BV66-BU66)</f>
        <v>-17</v>
      </c>
      <c r="BY66" s="184">
        <f ca="1">BX66-BW66</f>
        <v>-19</v>
      </c>
      <c r="BZ66" s="335">
        <f>CE66-$CE$5</f>
        <v>46228</v>
      </c>
      <c r="CA66" s="332" t="str">
        <f>IF(_xlfn.XLOOKUP($E66,'[1]Import Eletra'!$B:$B,'[1]Import Eletra'!$BB:$BB,,0,1)=0,"",_xlfn.XLOOKUP($E66,'[1]Import Eletra'!$B:$B,'[1]Import Eletra'!$BB:$BB,,0,1))</f>
        <v/>
      </c>
      <c r="CB66" s="113">
        <f>$BZ$4</f>
        <v>0</v>
      </c>
      <c r="CC66" s="113">
        <f ca="1">IF(CA66="",TODAY()-BZ66,CA66-BZ66)</f>
        <v>-17</v>
      </c>
      <c r="CD66" s="184">
        <f ca="1">CC66-CB66</f>
        <v>-17</v>
      </c>
      <c r="CE66" s="362">
        <f>CJ66-$CJ$4</f>
        <v>46228</v>
      </c>
      <c r="CF66" s="332" t="str">
        <f>IF(_xlfn.XLOOKUP($E66,'[1]Import Eletra'!$B:$B,'[1]Import Eletra'!$BC:$BC,,0,1)=0,"",_xlfn.XLOOKUP($E66,'[1]Import Eletra'!$B:$B,'[1]Import Eletra'!$BC:$BC,,0,1))</f>
        <v/>
      </c>
      <c r="CG66" s="113">
        <f>$CE$4</f>
        <v>0</v>
      </c>
      <c r="CH66" s="113">
        <f ca="1">IF(CF66="",TODAY()-CE66,CF66-CE66)</f>
        <v>-17</v>
      </c>
      <c r="CI66" s="184">
        <f ca="1">CH66-CG66</f>
        <v>-17</v>
      </c>
      <c r="CJ66" s="335">
        <f>CO66-$CO$4</f>
        <v>46228</v>
      </c>
      <c r="CK66" s="332" t="str">
        <f>IF(_xlfn.XLOOKUP($E66,'[1]Import Eletra'!$B:$B,'[1]Import Eletra'!$BD:$BD,,0,1)=0,"",_xlfn.XLOOKUP($E66,'[1]Import Eletra'!$B:$B,'[1]Import Eletra'!$BD:$BD,,0,1))</f>
        <v/>
      </c>
      <c r="CL66" s="113"/>
      <c r="CM66" s="113">
        <f ca="1">IF(CK66="",TODAY()-CJ66,CK66-CJ66)</f>
        <v>-17</v>
      </c>
      <c r="CN66" s="184">
        <f ca="1">CM66-CL66</f>
        <v>-17</v>
      </c>
      <c r="CO66" s="362">
        <f>CT66-$CT$4</f>
        <v>46228</v>
      </c>
      <c r="CP66" s="332" t="str">
        <f>IF(_xlfn.XLOOKUP($E66,'[1]Import Eletra'!$B:$B,'[1]Import Eletra'!$BE:$BE,,0,1)=0,"",_xlfn.XLOOKUP($E66,'[1]Import Eletra'!$B:$B,'[1]Import Eletra'!$BE:$BE,,0,1))</f>
        <v/>
      </c>
      <c r="CQ66" s="113">
        <f>$CO$4</f>
        <v>0</v>
      </c>
      <c r="CR66" s="113">
        <f ca="1">IF(CP66="",TODAY()-CO66,CP66-CO66)</f>
        <v>-17</v>
      </c>
      <c r="CS66" s="184">
        <f ca="1">CR66-CQ66</f>
        <v>-17</v>
      </c>
      <c r="CT66" s="335">
        <f>CY66-$CY$4</f>
        <v>46228</v>
      </c>
      <c r="CU66" s="332" t="str">
        <f>IF(_xlfn.XLOOKUP($E66,'[1]Import Eletra'!$B:$B,'[1]Import Eletra'!$BF:$BF,,0,1)=0,"",_xlfn.XLOOKUP($E66,'[1]Import Eletra'!$B:$B,'[1]Import Eletra'!$BF:$BF,,0,1))</f>
        <v/>
      </c>
      <c r="CV66" s="113">
        <f>$CT$4</f>
        <v>0</v>
      </c>
      <c r="CW66" s="113">
        <f ca="1">IF(CU66="",TODAY()-CT66,CU66-CT66)</f>
        <v>-17</v>
      </c>
      <c r="CX66" s="184">
        <f ca="1">CW66-CV66</f>
        <v>-17</v>
      </c>
      <c r="CY66" s="110">
        <f>DD66-$DD$4</f>
        <v>46228</v>
      </c>
      <c r="CZ66" s="247" t="str">
        <f>IF(_xlfn.XLOOKUP($E66,'[1]Import Eletra'!$B:$B,'[1]Import Eletra'!$BF:$BF,,0,1)=0,"",_xlfn.XLOOKUP($E66,'[1]Import Eletra'!$B:$B,'[1]Import Eletra'!$BF:$BF,,0,1))</f>
        <v/>
      </c>
      <c r="DA66" s="210">
        <f>$CY$4</f>
        <v>0</v>
      </c>
      <c r="DB66" s="113">
        <f ca="1">IF(CZ66="",TODAY()-CY66,CZ66-CY66)</f>
        <v>-17</v>
      </c>
      <c r="DC66" s="184">
        <f ca="1">DB66-DA66</f>
        <v>-17</v>
      </c>
      <c r="DD66" s="110">
        <f>DI66-$DI$4</f>
        <v>46230</v>
      </c>
      <c r="DE66" s="247" t="str">
        <f>IF(_xlfn.XLOOKUP($E66,'[1]Import Eletra'!$B:$B,'[1]Import Eletra'!$BG:$BG,,0,1)=0,"",_xlfn.XLOOKUP($E66,'[1]Import Eletra'!$B:$B,'[1]Import Eletra'!$BG:$BG,0,1))</f>
        <v/>
      </c>
      <c r="DF66" s="113">
        <f>$DD$4</f>
        <v>2</v>
      </c>
      <c r="DG66" s="113">
        <f ca="1">IF(DE66="",TODAY()-DD66,DE66-DD66)</f>
        <v>-19</v>
      </c>
      <c r="DH66" s="184">
        <f ca="1">DG66-DF66</f>
        <v>-21</v>
      </c>
      <c r="DI66" s="110">
        <f>DO66-$DN$4</f>
        <v>46231</v>
      </c>
      <c r="DJ66" s="247" t="str">
        <f>IF(_xlfn.XLOOKUP($E66,'[1]Import Eletra'!$B:$B,'[1]Import Eletra'!$BH:$BH,,0,1)=0,"",_xlfn.XLOOKUP($E66,'[1]Import Eletra'!$B:$B,'[1]Import Eletra'!$BH:$BH,0,1))</f>
        <v/>
      </c>
      <c r="DK66" s="112">
        <f>$DI$4</f>
        <v>1</v>
      </c>
      <c r="DL66" s="112">
        <f ca="1">IF(DJ66="",TODAY()-DI66,DJ66-DI66)</f>
        <v>-20</v>
      </c>
      <c r="DM66" s="184">
        <f ca="1">DL66-DK66</f>
        <v>-21</v>
      </c>
      <c r="DN66" s="64"/>
      <c r="DO66" s="202">
        <f>N66+DT66</f>
        <v>46232</v>
      </c>
      <c r="DP66" s="298" t="str">
        <f>IF(_xlfn.XLOOKUP($E66,'[1]Import Eletra'!$B:$B,'[1]Import Eletra'!$O:$O,,0,1)=0,"",_xlfn.XLOOKUP($E66,'[1]Import Eletra'!$B:$B,'[1]Import Eletra'!$O:$O,0,1))</f>
        <v/>
      </c>
      <c r="DQ66" s="112">
        <f>$DN$4</f>
        <v>1</v>
      </c>
      <c r="DR66" s="112">
        <f ca="1">IF(DP66="",TODAY()-DO66,DP66-DO66)</f>
        <v>-21</v>
      </c>
      <c r="DS66" s="184">
        <f ca="1">DR66-DQ66</f>
        <v>-22</v>
      </c>
      <c r="DT66" s="143">
        <v>10</v>
      </c>
      <c r="DU66" s="140">
        <f ca="1">IF(DP66="",TODAY()-N66,DP66-N66)</f>
        <v>-11</v>
      </c>
      <c r="DV66" s="184">
        <f ca="1">DU66-DT66</f>
        <v>-21</v>
      </c>
      <c r="DX66" s="142" t="s">
        <v>257</v>
      </c>
      <c r="DY66" s="108" t="str">
        <f>IF(_xlfn.XLOOKUP($E66,'[1]Import Eletra'!$B:$B,'[1]Import Eletra'!$DW:$DW,,0,1)=0,"",_xlfn.XLOOKUP($E66,'[1]Import Eletra'!$B:$B,'[1]Import Eletra'!$DW:$DW,0,1))</f>
        <v/>
      </c>
      <c r="EB66" s="287" t="s">
        <v>273</v>
      </c>
      <c r="ED66" s="409" t="str">
        <f>IF(_xlfn.XLOOKUP($E66,'[1]Import Eletra'!$B:$B,'[1]Import Eletra'!$BQ:$BQ,,0,1)=0,"",_xlfn.XLOOKUP($E66,'[1]Import Eletra'!$B:$B,'[1]Import Eletra'!$BQ:$BQ,0,1))</f>
        <v/>
      </c>
      <c r="EE66" s="410" t="str">
        <f>IF(_xlfn.XLOOKUP($E66,'[1]Import Eletra'!$B:$B,'[1]Import Eletra'!$BR:$BR,,0,1)=0,"",_xlfn.XLOOKUP($E66,'[1]Import Eletra'!$B:$B,'[1]Import Eletra'!$BR:$BR,0,1))</f>
        <v/>
      </c>
      <c r="EF66" s="409" t="str">
        <f>IF(_xlfn.XLOOKUP($E66,'[1]Import Eletra'!$B:$B,'[1]Import Eletra'!$BS:$BS,,0,1)=0,"",_xlfn.XLOOKUP($E66,'[1]Import Eletra'!$B:$B,'[1]Import Eletra'!$BS:$BS,0,1))</f>
        <v/>
      </c>
      <c r="EG66" s="410" t="str">
        <f>IF(_xlfn.XLOOKUP($E66,'[1]Import Eletra'!$B:$B,'[1]Import Eletra'!$BT:$BT,,0,1)=0,"",_xlfn.XLOOKUP($E66,'[1]Import Eletra'!$B:$B,'[1]Import Eletra'!$BT:$BT,0,1))</f>
        <v/>
      </c>
      <c r="EH66" s="409" t="str">
        <f>IF(_xlfn.XLOOKUP($E66,'[1]Import Eletra'!$B:$B,'[1]Import Eletra'!$BU:$BU,,0,1)=0,"",_xlfn.XLOOKUP($E66,'[1]Import Eletra'!$B:$B,'[1]Import Eletra'!$BU:$BU,0,1))</f>
        <v/>
      </c>
      <c r="EI66" s="410" t="str">
        <f>IF(_xlfn.XLOOKUP($E66,'[1]Import Eletra'!$B:$B,'[1]Import Eletra'!$BV:$BV,,0,1)=0,"",_xlfn.XLOOKUP($E66,'[1]Import Eletra'!$B:$B,'[1]Import Eletra'!$BV:$BV,0,1))</f>
        <v/>
      </c>
      <c r="EJ66" s="410" t="str">
        <f>IF(_xlfn.XLOOKUP($E66,'[1]Import Eletra'!$B:$B,'[1]Import Eletra'!$CI:$CI,,0,1)=0,"",_xlfn.XLOOKUP($E66,'[1]Import Eletra'!$B:$B,'[1]Import Eletra'!$CI:$CI,0,1))</f>
        <v/>
      </c>
      <c r="EK66" s="410" t="str">
        <f>IF(_xlfn.XLOOKUP($E66,'[1]Import Eletra'!$B:$B,'[1]Import Eletra'!$CD:$CD,,0,1)=0,"",_xlfn.XLOOKUP($E66,'[1]Import Eletra'!$B:$B,'[1]Import Eletra'!$CD:$CD,0,1))</f>
        <v/>
      </c>
      <c r="EL66" s="410" t="str">
        <f>IF(_xlfn.XLOOKUP($E66,'[1]Import Eletra'!$B:$B,'[1]Import Eletra'!$CE:$CE,,0,1)=0,"",_xlfn.XLOOKUP($E66,'[1]Import Eletra'!$B:$B,'[1]Import Eletra'!$CE:$CE,0,1))</f>
        <v/>
      </c>
      <c r="EM66" s="411" t="str">
        <f>IF(_xlfn.XLOOKUP($E66,'[1]Import Eletra'!$B:$B,'[1]Import Eletra'!$E:$E,,0,1)=0,"",_xlfn.XLOOKUP($E66,'[1]Import Eletra'!$B:$B,'[1]Import Eletra'!$E:$E,0,1))</f>
        <v>CATARINA</v>
      </c>
      <c r="EN66" s="408" t="str">
        <f>IF(_xlfn.XLOOKUP($E66,'[1]Import Eletra'!$B:$B,'[1]Import Eletra'!$R:$R,,0,1)=0,"",_xlfn.XLOOKUP($E66,'[1]Import Eletra'!$B:$B,'[1]Import Eletra'!$R:$R,0,1))</f>
        <v>PWBR260089-10B</v>
      </c>
      <c r="EO66" s="408" t="str">
        <f>IF(_xlfn.XLOOKUP($E66,'[1]Import Eletra'!$B:$B,'[1]Import Eletra'!$P:$P,,0,1)=0,"",_xlfn.XLOOKUP($E66,'[1]Import Eletra'!$B:$B,'[1]Import Eletra'!$P:$P,0,1))</f>
        <v>SDBLBS601818</v>
      </c>
      <c r="EP66" s="408" t="str">
        <f>IF(_xlfn.XLOOKUP($E66,'[1]Import Eletra'!$B:$B,'[1]Import Eletra'!$T:$T,,0,1)=0,"",_xlfn.XLOOKUP($E66,'[1]Import Eletra'!$B:$B,'[1]Import Eletra'!$T:$T,0,1))</f>
        <v>MSMU508501/2, TEMU689905/4</v>
      </c>
    </row>
    <row r="67" spans="2:146" ht="30" customHeight="1">
      <c r="B67" s="371"/>
      <c r="C67" s="369"/>
      <c r="D67" s="104" t="str">
        <f>IF(_xlfn.XLOOKUP($E67,'[1]Import Eletra'!$B:$B,'[1]Import Eletra'!$A:$A,,0,1)=0,"",_xlfn.XLOOKUP($E67,'[1]Import Eletra'!$B:$B,'[1]Import Eletra'!$A:$A,,0,1))</f>
        <v>AUG_2026</v>
      </c>
      <c r="E67" s="275" t="s">
        <v>375</v>
      </c>
      <c r="F67" s="106">
        <f>IF(_xlfn.XLOOKUP($E67,'[1]Import Eletra'!$B:$B,'[1]Import Eletra'!$U:$U,,0,1)=0,"",_xlfn.XLOOKUP($E67,'[1]Import Eletra'!$B:$B,'[1]Import Eletra'!$U:$U,,0,1))</f>
        <v>0.5</v>
      </c>
      <c r="G67" s="301" t="s">
        <v>244</v>
      </c>
      <c r="H67" s="2" t="str">
        <f>_xlfn.XLOOKUP($E67,'[1]Import Eletra'!$B:$B,'[1]Import Eletra'!$F:$F,,0,1)</f>
        <v>WAITING ARRIVAL</v>
      </c>
      <c r="I67" s="108" t="str">
        <f>_xlfn.XLOOKUP($E67,'[1]Import Eletra'!$B:$B,'[1]Import Eletra'!$G:$G,,0,1)</f>
        <v>SEA</v>
      </c>
      <c r="J67" s="326">
        <v>46151</v>
      </c>
      <c r="K67" s="109">
        <v>30</v>
      </c>
      <c r="L67" s="321">
        <f>M67-J67</f>
        <v>21</v>
      </c>
      <c r="M67" s="326">
        <f>IF(_xlfn.XLOOKUP($E67,'[1]Import Eletra'!$B:$B,'[1]Import Eletra'!$J:$J,,0,1)=0,"",_xlfn.XLOOKUP($E67,'[1]Import Eletra'!$B:$B,'[1]Import Eletra'!$J:$J,,0,1))</f>
        <v>46172</v>
      </c>
      <c r="N67" s="333">
        <f>IF(_xlfn.XLOOKUP($E67,'[1]Import Eletra'!$B:$B,'[1]Import Eletra'!$L:$L,,0,1)=0,"",_xlfn.XLOOKUP($E67,'[1]Import Eletra'!$B:$B,'[1]Import Eletra'!$L:$L,,0,1))</f>
        <v>46222</v>
      </c>
      <c r="O67" s="336"/>
      <c r="P67" s="326"/>
      <c r="Q67" s="326"/>
      <c r="R67" s="326"/>
      <c r="S67" s="326"/>
      <c r="T67" s="326"/>
      <c r="U67" s="326"/>
      <c r="V67" s="339"/>
      <c r="W67" s="335">
        <f>AB67-$AB$5</f>
        <v>46223</v>
      </c>
      <c r="X67" s="332" t="str">
        <f>IF(_xlfn.XLOOKUP($E67,'[1]Import Eletra'!$B:$B,'[1]Import Eletra'!$AS:$AS,,0,1)=0,"",_xlfn.XLOOKUP($E67,'[1]Import Eletra'!$B:$B,'[1]Import Eletra'!$AS:$AS,,0,1))</f>
        <v/>
      </c>
      <c r="Y67" s="113">
        <f>$W$4</f>
        <v>0</v>
      </c>
      <c r="Z67" s="113">
        <f ca="1">IF(X67="",TODAY()-W67,X67-W67)</f>
        <v>-12</v>
      </c>
      <c r="AA67" s="184">
        <f ca="1">Z67-Y67</f>
        <v>-12</v>
      </c>
      <c r="AB67" s="348">
        <f>AG67-$AB$5</f>
        <v>46224</v>
      </c>
      <c r="AC67" s="332" t="str">
        <f>IF(_xlfn.XLOOKUP($E67,'[1]Import Eletra'!$B:$B,'[1]Import Eletra'!$AD:$AD,,0,1)=0,"",_xlfn.XLOOKUP($E67,'[1]Import Eletra'!$B:$B,'[1]Import Eletra'!$AD:$AD,,0,1))</f>
        <v/>
      </c>
      <c r="AD67" s="113">
        <f>$AB$4</f>
        <v>0</v>
      </c>
      <c r="AE67" s="113">
        <f ca="1">IF(AC67="",TODAY()-AB67,AC67-AB67)</f>
        <v>-13</v>
      </c>
      <c r="AF67" s="184">
        <f ca="1">AE67-AD67</f>
        <v>-13</v>
      </c>
      <c r="AG67" s="355">
        <f>AL67-$AL$5</f>
        <v>46225</v>
      </c>
      <c r="AH67" s="332" t="str">
        <f>IF(_xlfn.XLOOKUP($E67,'[1]Import Eletra'!$B:$B,'[1]Import Eletra'!$AE:$AE,,0,1)=0,"",_xlfn.XLOOKUP($E67,'[1]Import Eletra'!$B:$B,'[1]Import Eletra'!$AE:$AE,,0,1))</f>
        <v/>
      </c>
      <c r="AI67" s="113">
        <f>$AG$4</f>
        <v>0</v>
      </c>
      <c r="AJ67" s="113">
        <f ca="1">IF(AH67="",TODAY()-AG67,AH67-AG67)</f>
        <v>-14</v>
      </c>
      <c r="AK67" s="184">
        <f ca="1">AJ67-AI67</f>
        <v>-14</v>
      </c>
      <c r="AL67" s="355">
        <f>AQ67-$AQ$5</f>
        <v>46225</v>
      </c>
      <c r="AM67" s="332" t="str">
        <f>IF(_xlfn.XLOOKUP($E67,'[1]Import Eletra'!$B:$B,'[1]Import Eletra'!$AT:$AT,,0,1)=0,"",_xlfn.XLOOKUP($E67,'[1]Import Eletra'!$B:$B,'[1]Import Eletra'!$AT:$AT,,0,1))</f>
        <v/>
      </c>
      <c r="AN67" s="113">
        <f>$AL$4</f>
        <v>0</v>
      </c>
      <c r="AO67" s="113">
        <f ca="1">IF(AM67="",TODAY()-AL67,AM67-AL67)</f>
        <v>-14</v>
      </c>
      <c r="AP67" s="184">
        <f ca="1">AO67-AN67</f>
        <v>-14</v>
      </c>
      <c r="AQ67" s="357">
        <f>AV67-$AV$5</f>
        <v>46226</v>
      </c>
      <c r="AR67" s="332" t="str">
        <f>IF(_xlfn.XLOOKUP($E67,'[1]Import Eletra'!$B:$B,'[1]Import Eletra'!$AU:$AU,,0,1)=0,"",_xlfn.XLOOKUP($E67,'[1]Import Eletra'!$B:$B,'[1]Import Eletra'!$AU:$AU,,0,1))</f>
        <v/>
      </c>
      <c r="AS67" s="113">
        <f>$AQ$4</f>
        <v>1</v>
      </c>
      <c r="AT67" s="113">
        <f ca="1">IF(AR67="",TODAY()-AQ67,AR67-AQ67)</f>
        <v>-15</v>
      </c>
      <c r="AU67" s="184">
        <f ca="1">AT67-AS67</f>
        <v>-16</v>
      </c>
      <c r="AV67" s="355">
        <f>BA67-$BA$5</f>
        <v>46226</v>
      </c>
      <c r="AW67" s="332" t="str">
        <f>IF(_xlfn.XLOOKUP($E67,'[1]Import Eletra'!$B:$B,'[1]Import Eletra'!$AV:$AV,,0,1)=0,"",_xlfn.XLOOKUP($E67,'[1]Import Eletra'!$B:$B,'[1]Import Eletra'!$AV:$AV,,0,1))</f>
        <v/>
      </c>
      <c r="AX67" s="113">
        <f>$AV$4</f>
        <v>0</v>
      </c>
      <c r="AY67" s="113">
        <f ca="1">IF(AW67="",TODAY()-AV67,AW67-AV67)</f>
        <v>-15</v>
      </c>
      <c r="AZ67" s="184">
        <f ca="1">AY67-AX67</f>
        <v>-15</v>
      </c>
      <c r="BA67" s="357">
        <f>BF67-$BF$5</f>
        <v>46226</v>
      </c>
      <c r="BB67" s="332" t="str">
        <f>IF(_xlfn.XLOOKUP($E67,'[1]Import Eletra'!$B:$B,'[1]Import Eletra'!$AW:$AW,,0,1)=0,"",_xlfn.XLOOKUP($E67,'[1]Import Eletra'!$B:$B,'[1]Import Eletra'!$AW:$AW,,0,1))</f>
        <v/>
      </c>
      <c r="BC67" s="113">
        <f>$BA$4</f>
        <v>0</v>
      </c>
      <c r="BD67" s="113">
        <f ca="1">IF(BB67="",TODAY()-BA67,BB67-BA67)</f>
        <v>-15</v>
      </c>
      <c r="BE67" s="184">
        <f ca="1">BD67-BC67</f>
        <v>-15</v>
      </c>
      <c r="BF67" s="335">
        <f>BK67-$BK$5</f>
        <v>46226</v>
      </c>
      <c r="BG67" s="332" t="str">
        <f>IF(_xlfn.XLOOKUP($E67,'[1]Import Eletra'!$B:$B,'[1]Import Eletra'!$AX:$AX,,0,1)=0,"",_xlfn.XLOOKUP($E67,'[1]Import Eletra'!$B:$B,'[1]Import Eletra'!$AX:$AX,,0,1))</f>
        <v/>
      </c>
      <c r="BH67" s="113">
        <f>$BF$4</f>
        <v>0</v>
      </c>
      <c r="BI67" s="113">
        <f ca="1">IF(BG67="",TODAY()-BF67,BG67-BF67)</f>
        <v>-15</v>
      </c>
      <c r="BJ67" s="184">
        <f ca="1">BI67-BH67</f>
        <v>-15</v>
      </c>
      <c r="BK67" s="362">
        <f>BP67-$BP$5</f>
        <v>46226</v>
      </c>
      <c r="BL67" s="332" t="str">
        <f>IF(_xlfn.XLOOKUP($E67,'[1]Import Eletra'!$B:$B,'[1]Import Eletra'!$AY:$AY,,0,1)=0,"",_xlfn.XLOOKUP($E67,'[1]Import Eletra'!$B:$B,'[1]Import Eletra'!$AY:$AY,,0,1))</f>
        <v/>
      </c>
      <c r="BM67" s="113">
        <f>$BK$4</f>
        <v>0</v>
      </c>
      <c r="BN67" s="113">
        <f ca="1">IF(BL67="",TODAY()-BK67,BL67-BK67)</f>
        <v>-15</v>
      </c>
      <c r="BO67" s="184">
        <f ca="1">BN67-BM67</f>
        <v>-15</v>
      </c>
      <c r="BP67" s="335">
        <f>BU67-$BU$5</f>
        <v>46226</v>
      </c>
      <c r="BQ67" s="332" t="str">
        <f>IF(_xlfn.XLOOKUP($E67,'[1]Import Eletra'!$B:$B,'[1]Import Eletra'!$AZ:$AZ,,0,1)=0,"",_xlfn.XLOOKUP($E67,'[1]Import Eletra'!$B:$B,'[1]Import Eletra'!$AZ:$AZ,,0,1))</f>
        <v/>
      </c>
      <c r="BR67" s="113">
        <f>$BP$4</f>
        <v>0</v>
      </c>
      <c r="BS67" s="113">
        <f ca="1">IF(BQ67="",TODAY()-BP67,BQ67-BP67)</f>
        <v>-15</v>
      </c>
      <c r="BT67" s="184">
        <f ca="1">BS67-BR67</f>
        <v>-15</v>
      </c>
      <c r="BU67" s="362">
        <f>BZ67-$BZ$4</f>
        <v>46228</v>
      </c>
      <c r="BV67" s="332" t="str">
        <f>IF(_xlfn.XLOOKUP($E67,'[1]Import Eletra'!$B:$B,'[1]Import Eletra'!$BA:$BA,,0,1)=0,"",_xlfn.XLOOKUP($E67,'[1]Import Eletra'!$B:$B,'[1]Import Eletra'!$BA:$BA,,0,1))</f>
        <v/>
      </c>
      <c r="BW67" s="113">
        <f>$BU$4</f>
        <v>2</v>
      </c>
      <c r="BX67" s="113">
        <f ca="1">IF(BV67="",TODAY()-BU67,BV67-BU67)</f>
        <v>-17</v>
      </c>
      <c r="BY67" s="184">
        <f ca="1">BX67-BW67</f>
        <v>-19</v>
      </c>
      <c r="BZ67" s="335">
        <f>CE67-$CE$5</f>
        <v>46228</v>
      </c>
      <c r="CA67" s="332" t="str">
        <f>IF(_xlfn.XLOOKUP($E67,'[1]Import Eletra'!$B:$B,'[1]Import Eletra'!$BB:$BB,,0,1)=0,"",_xlfn.XLOOKUP($E67,'[1]Import Eletra'!$B:$B,'[1]Import Eletra'!$BB:$BB,,0,1))</f>
        <v/>
      </c>
      <c r="CB67" s="113">
        <f>$BZ$4</f>
        <v>0</v>
      </c>
      <c r="CC67" s="113">
        <f ca="1">IF(CA67="",TODAY()-BZ67,CA67-BZ67)</f>
        <v>-17</v>
      </c>
      <c r="CD67" s="184">
        <f ca="1">CC67-CB67</f>
        <v>-17</v>
      </c>
      <c r="CE67" s="362">
        <f>CJ67-$CJ$4</f>
        <v>46228</v>
      </c>
      <c r="CF67" s="332" t="str">
        <f>IF(_xlfn.XLOOKUP($E67,'[1]Import Eletra'!$B:$B,'[1]Import Eletra'!$BC:$BC,,0,1)=0,"",_xlfn.XLOOKUP($E67,'[1]Import Eletra'!$B:$B,'[1]Import Eletra'!$BC:$BC,,0,1))</f>
        <v/>
      </c>
      <c r="CG67" s="113">
        <f>$CE$4</f>
        <v>0</v>
      </c>
      <c r="CH67" s="113">
        <f ca="1">IF(CF67="",TODAY()-CE67,CF67-CE67)</f>
        <v>-17</v>
      </c>
      <c r="CI67" s="184">
        <f ca="1">CH67-CG67</f>
        <v>-17</v>
      </c>
      <c r="CJ67" s="335">
        <f>CO67-$CO$4</f>
        <v>46228</v>
      </c>
      <c r="CK67" s="332" t="str">
        <f>IF(_xlfn.XLOOKUP($E67,'[1]Import Eletra'!$B:$B,'[1]Import Eletra'!$BD:$BD,,0,1)=0,"",_xlfn.XLOOKUP($E67,'[1]Import Eletra'!$B:$B,'[1]Import Eletra'!$BD:$BD,,0,1))</f>
        <v/>
      </c>
      <c r="CL67" s="113"/>
      <c r="CM67" s="113">
        <f ca="1">IF(CK67="",TODAY()-CJ67,CK67-CJ67)</f>
        <v>-17</v>
      </c>
      <c r="CN67" s="184">
        <f ca="1">CM67-CL67</f>
        <v>-17</v>
      </c>
      <c r="CO67" s="362">
        <f>CT67-$CT$4</f>
        <v>46228</v>
      </c>
      <c r="CP67" s="332" t="str">
        <f>IF(_xlfn.XLOOKUP($E67,'[1]Import Eletra'!$B:$B,'[1]Import Eletra'!$BE:$BE,,0,1)=0,"",_xlfn.XLOOKUP($E67,'[1]Import Eletra'!$B:$B,'[1]Import Eletra'!$BE:$BE,,0,1))</f>
        <v/>
      </c>
      <c r="CQ67" s="113">
        <f>$CO$4</f>
        <v>0</v>
      </c>
      <c r="CR67" s="113">
        <f ca="1">IF(CP67="",TODAY()-CO67,CP67-CO67)</f>
        <v>-17</v>
      </c>
      <c r="CS67" s="184">
        <f ca="1">CR67-CQ67</f>
        <v>-17</v>
      </c>
      <c r="CT67" s="335">
        <f>CY67-$CY$4</f>
        <v>46228</v>
      </c>
      <c r="CU67" s="332" t="str">
        <f>IF(_xlfn.XLOOKUP($E67,'[1]Import Eletra'!$B:$B,'[1]Import Eletra'!$BF:$BF,,0,1)=0,"",_xlfn.XLOOKUP($E67,'[1]Import Eletra'!$B:$B,'[1]Import Eletra'!$BF:$BF,,0,1))</f>
        <v/>
      </c>
      <c r="CV67" s="113">
        <f>$CT$4</f>
        <v>0</v>
      </c>
      <c r="CW67" s="113">
        <f ca="1">IF(CU67="",TODAY()-CT67,CU67-CT67)</f>
        <v>-17</v>
      </c>
      <c r="CX67" s="184">
        <f ca="1">CW67-CV67</f>
        <v>-17</v>
      </c>
      <c r="CY67" s="110">
        <f>DD67-$DD$4</f>
        <v>46228</v>
      </c>
      <c r="CZ67" s="247" t="str">
        <f>IF(_xlfn.XLOOKUP($E67,'[1]Import Eletra'!$B:$B,'[1]Import Eletra'!$BF:$BF,,0,1)=0,"",_xlfn.XLOOKUP($E67,'[1]Import Eletra'!$B:$B,'[1]Import Eletra'!$BF:$BF,,0,1))</f>
        <v/>
      </c>
      <c r="DA67" s="210">
        <f>$CY$4</f>
        <v>0</v>
      </c>
      <c r="DB67" s="113">
        <f ca="1">IF(CZ67="",TODAY()-CY67,CZ67-CY67)</f>
        <v>-17</v>
      </c>
      <c r="DC67" s="184">
        <f ca="1">DB67-DA67</f>
        <v>-17</v>
      </c>
      <c r="DD67" s="110">
        <f>DI67-$DI$4</f>
        <v>46230</v>
      </c>
      <c r="DE67" s="247" t="str">
        <f>IF(_xlfn.XLOOKUP($E67,'[1]Import Eletra'!$B:$B,'[1]Import Eletra'!$BG:$BG,,0,1)=0,"",_xlfn.XLOOKUP($E67,'[1]Import Eletra'!$B:$B,'[1]Import Eletra'!$BG:$BG,0,1))</f>
        <v/>
      </c>
      <c r="DF67" s="113">
        <f>$DD$4</f>
        <v>2</v>
      </c>
      <c r="DG67" s="113">
        <f ca="1">IF(DE67="",TODAY()-DD67,DE67-DD67)</f>
        <v>-19</v>
      </c>
      <c r="DH67" s="184">
        <f ca="1">DG67-DF67</f>
        <v>-21</v>
      </c>
      <c r="DI67" s="110">
        <f>DO67-$DN$4</f>
        <v>46231</v>
      </c>
      <c r="DJ67" s="247" t="str">
        <f>IF(_xlfn.XLOOKUP($E67,'[1]Import Eletra'!$B:$B,'[1]Import Eletra'!$BH:$BH,,0,1)=0,"",_xlfn.XLOOKUP($E67,'[1]Import Eletra'!$B:$B,'[1]Import Eletra'!$BH:$BH,0,1))</f>
        <v/>
      </c>
      <c r="DK67" s="112">
        <f>$DI$4</f>
        <v>1</v>
      </c>
      <c r="DL67" s="112">
        <f ca="1">IF(DJ67="",TODAY()-DI67,DJ67-DI67)</f>
        <v>-20</v>
      </c>
      <c r="DM67" s="184">
        <f ca="1">DL67-DK67</f>
        <v>-21</v>
      </c>
      <c r="DN67" s="64"/>
      <c r="DO67" s="202">
        <f>N67+DT67</f>
        <v>46232</v>
      </c>
      <c r="DP67" s="298" t="str">
        <f>IF(_xlfn.XLOOKUP($E67,'[1]Import Eletra'!$B:$B,'[1]Import Eletra'!$O:$O,,0,1)=0,"",_xlfn.XLOOKUP($E67,'[1]Import Eletra'!$B:$B,'[1]Import Eletra'!$O:$O,0,1))</f>
        <v/>
      </c>
      <c r="DQ67" s="112">
        <f>$DN$4</f>
        <v>1</v>
      </c>
      <c r="DR67" s="112">
        <f ca="1">IF(DP67="",TODAY()-DO67,DP67-DO67)</f>
        <v>-21</v>
      </c>
      <c r="DS67" s="184">
        <f ca="1">DR67-DQ67</f>
        <v>-22</v>
      </c>
      <c r="DT67" s="143">
        <v>10</v>
      </c>
      <c r="DU67" s="140">
        <f ca="1">IF(DP67="",TODAY()-N67,DP67-N67)</f>
        <v>-11</v>
      </c>
      <c r="DV67" s="184">
        <f ca="1">DU67-DT67</f>
        <v>-21</v>
      </c>
      <c r="DX67" s="142" t="s">
        <v>257</v>
      </c>
      <c r="DY67" s="108" t="str">
        <f>IF(_xlfn.XLOOKUP($E67,'[1]Import Eletra'!$B:$B,'[1]Import Eletra'!$DW:$DW,,0,1)=0,"",_xlfn.XLOOKUP($E67,'[1]Import Eletra'!$B:$B,'[1]Import Eletra'!$DW:$DW,0,1))</f>
        <v/>
      </c>
      <c r="EB67" s="287"/>
      <c r="ED67" s="409" t="str">
        <f>IF(_xlfn.XLOOKUP($E67,'[1]Import Eletra'!$B:$B,'[1]Import Eletra'!$BQ:$BQ,,0,1)=0,"",_xlfn.XLOOKUP($E67,'[1]Import Eletra'!$B:$B,'[1]Import Eletra'!$BQ:$BQ,0,1))</f>
        <v/>
      </c>
      <c r="EE67" s="410" t="str">
        <f>IF(_xlfn.XLOOKUP($E67,'[1]Import Eletra'!$B:$B,'[1]Import Eletra'!$BR:$BR,,0,1)=0,"",_xlfn.XLOOKUP($E67,'[1]Import Eletra'!$B:$B,'[1]Import Eletra'!$BR:$BR,0,1))</f>
        <v/>
      </c>
      <c r="EF67" s="409" t="str">
        <f>IF(_xlfn.XLOOKUP($E67,'[1]Import Eletra'!$B:$B,'[1]Import Eletra'!$BS:$BS,,0,1)=0,"",_xlfn.XLOOKUP($E67,'[1]Import Eletra'!$B:$B,'[1]Import Eletra'!$BS:$BS,0,1))</f>
        <v/>
      </c>
      <c r="EG67" s="410" t="str">
        <f>IF(_xlfn.XLOOKUP($E67,'[1]Import Eletra'!$B:$B,'[1]Import Eletra'!$BT:$BT,,0,1)=0,"",_xlfn.XLOOKUP($E67,'[1]Import Eletra'!$B:$B,'[1]Import Eletra'!$BT:$BT,0,1))</f>
        <v/>
      </c>
      <c r="EH67" s="409" t="str">
        <f>IF(_xlfn.XLOOKUP($E67,'[1]Import Eletra'!$B:$B,'[1]Import Eletra'!$BU:$BU,,0,1)=0,"",_xlfn.XLOOKUP($E67,'[1]Import Eletra'!$B:$B,'[1]Import Eletra'!$BU:$BU,0,1))</f>
        <v/>
      </c>
      <c r="EI67" s="410" t="str">
        <f>IF(_xlfn.XLOOKUP($E67,'[1]Import Eletra'!$B:$B,'[1]Import Eletra'!$BV:$BV,,0,1)=0,"",_xlfn.XLOOKUP($E67,'[1]Import Eletra'!$B:$B,'[1]Import Eletra'!$BV:$BV,0,1))</f>
        <v/>
      </c>
      <c r="EJ67" s="410" t="str">
        <f>IF(_xlfn.XLOOKUP($E67,'[1]Import Eletra'!$B:$B,'[1]Import Eletra'!$CI:$CI,,0,1)=0,"",_xlfn.XLOOKUP($E67,'[1]Import Eletra'!$B:$B,'[1]Import Eletra'!$CI:$CI,0,1))</f>
        <v/>
      </c>
      <c r="EK67" s="410" t="str">
        <f>IF(_xlfn.XLOOKUP($E67,'[1]Import Eletra'!$B:$B,'[1]Import Eletra'!$CD:$CD,,0,1)=0,"",_xlfn.XLOOKUP($E67,'[1]Import Eletra'!$B:$B,'[1]Import Eletra'!$CD:$CD,0,1))</f>
        <v/>
      </c>
      <c r="EL67" s="410" t="str">
        <f>IF(_xlfn.XLOOKUP($E67,'[1]Import Eletra'!$B:$B,'[1]Import Eletra'!$CE:$CE,,0,1)=0,"",_xlfn.XLOOKUP($E67,'[1]Import Eletra'!$B:$B,'[1]Import Eletra'!$CE:$CE,0,1))</f>
        <v/>
      </c>
      <c r="EM67" s="411" t="str">
        <f>IF(_xlfn.XLOOKUP($E67,'[1]Import Eletra'!$B:$B,'[1]Import Eletra'!$E:$E,,0,1)=0,"",_xlfn.XLOOKUP($E67,'[1]Import Eletra'!$B:$B,'[1]Import Eletra'!$E:$E,0,1))</f>
        <v>CATARINA</v>
      </c>
      <c r="EN67" s="408" t="str">
        <f>IF(_xlfn.XLOOKUP($E67,'[1]Import Eletra'!$B:$B,'[1]Import Eletra'!$R:$R,,0,1)=0,"",_xlfn.XLOOKUP($E67,'[1]Import Eletra'!$B:$B,'[1]Import Eletra'!$R:$R,0,1))</f>
        <v>PWBR260089-10C</v>
      </c>
      <c r="EO67" s="408" t="str">
        <f>IF(_xlfn.XLOOKUP($E67,'[1]Import Eletra'!$B:$B,'[1]Import Eletra'!$P:$P,,0,1)=0,"",_xlfn.XLOOKUP($E67,'[1]Import Eletra'!$B:$B,'[1]Import Eletra'!$P:$P,0,1))</f>
        <v>SDBLBS601820</v>
      </c>
      <c r="EP67" s="408" t="str">
        <f>IF(_xlfn.XLOOKUP($E67,'[1]Import Eletra'!$B:$B,'[1]Import Eletra'!$T:$T,,0,1)=0,"",_xlfn.XLOOKUP($E67,'[1]Import Eletra'!$B:$B,'[1]Import Eletra'!$T:$T,0,1))</f>
        <v>CAAU736753/2</v>
      </c>
    </row>
    <row r="68" spans="2:146" ht="30" customHeight="1">
      <c r="B68" s="371"/>
      <c r="C68" s="369"/>
      <c r="D68" s="104" t="str">
        <f>IF(_xlfn.XLOOKUP($E68,'[1]Import Eletra'!$B:$B,'[1]Import Eletra'!$A:$A,,0,1)=0,"",_xlfn.XLOOKUP($E68,'[1]Import Eletra'!$B:$B,'[1]Import Eletra'!$A:$A,,0,1))</f>
        <v>AUG_2026</v>
      </c>
      <c r="E68" s="275" t="s">
        <v>376</v>
      </c>
      <c r="F68" s="106">
        <f>IF(_xlfn.XLOOKUP($E68,'[1]Import Eletra'!$B:$B,'[1]Import Eletra'!$U:$U,,0,1)=0,"",_xlfn.XLOOKUP($E68,'[1]Import Eletra'!$B:$B,'[1]Import Eletra'!$U:$U,,0,1))</f>
        <v>1</v>
      </c>
      <c r="G68" s="301" t="s">
        <v>244</v>
      </c>
      <c r="H68" s="2" t="str">
        <f>_xlfn.XLOOKUP($E68,'[1]Import Eletra'!$B:$B,'[1]Import Eletra'!$F:$F,,0,1)</f>
        <v>WAITING ARRIVAL</v>
      </c>
      <c r="I68" s="108" t="str">
        <f>_xlfn.XLOOKUP($E68,'[1]Import Eletra'!$B:$B,'[1]Import Eletra'!$G:$G,,0,1)</f>
        <v>SEA</v>
      </c>
      <c r="J68" s="326">
        <v>46143</v>
      </c>
      <c r="K68" s="109">
        <v>30</v>
      </c>
      <c r="L68" s="321">
        <f>M68-J68</f>
        <v>33</v>
      </c>
      <c r="M68" s="326">
        <f>IF(_xlfn.XLOOKUP($E68,'[1]Import Eletra'!$B:$B,'[1]Import Eletra'!$J:$J,,0,1)=0,"",_xlfn.XLOOKUP($E68,'[1]Import Eletra'!$B:$B,'[1]Import Eletra'!$J:$J,,0,1))</f>
        <v>46176</v>
      </c>
      <c r="N68" s="333">
        <f>IF(_xlfn.XLOOKUP($E68,'[1]Import Eletra'!$B:$B,'[1]Import Eletra'!$L:$L,,0,1)=0,"",_xlfn.XLOOKUP($E68,'[1]Import Eletra'!$B:$B,'[1]Import Eletra'!$L:$L,,0,1))</f>
        <v>46231</v>
      </c>
      <c r="O68" s="336"/>
      <c r="P68" s="326"/>
      <c r="Q68" s="326"/>
      <c r="R68" s="326"/>
      <c r="S68" s="326"/>
      <c r="T68" s="326"/>
      <c r="U68" s="326"/>
      <c r="V68" s="339"/>
      <c r="W68" s="335">
        <f>AB68-$AB$5</f>
        <v>46232</v>
      </c>
      <c r="X68" s="332" t="str">
        <f>IF(_xlfn.XLOOKUP($E68,'[1]Import Eletra'!$B:$B,'[1]Import Eletra'!$AS:$AS,,0,1)=0,"",_xlfn.XLOOKUP($E68,'[1]Import Eletra'!$B:$B,'[1]Import Eletra'!$AS:$AS,,0,1))</f>
        <v/>
      </c>
      <c r="Y68" s="113">
        <f>$W$4</f>
        <v>0</v>
      </c>
      <c r="Z68" s="113">
        <f ca="1">IF(X68="",TODAY()-W68,X68-W68)</f>
        <v>-21</v>
      </c>
      <c r="AA68" s="184">
        <f ca="1">Z68-Y68</f>
        <v>-21</v>
      </c>
      <c r="AB68" s="348">
        <f>AG68-$AB$5</f>
        <v>46233</v>
      </c>
      <c r="AC68" s="332" t="str">
        <f>IF(_xlfn.XLOOKUP($E68,'[1]Import Eletra'!$B:$B,'[1]Import Eletra'!$AD:$AD,,0,1)=0,"",_xlfn.XLOOKUP($E68,'[1]Import Eletra'!$B:$B,'[1]Import Eletra'!$AD:$AD,,0,1))</f>
        <v/>
      </c>
      <c r="AD68" s="113">
        <f>$AB$4</f>
        <v>0</v>
      </c>
      <c r="AE68" s="113">
        <f ca="1">IF(AC68="",TODAY()-AB68,AC68-AB68)</f>
        <v>-22</v>
      </c>
      <c r="AF68" s="184">
        <f ca="1">AE68-AD68</f>
        <v>-22</v>
      </c>
      <c r="AG68" s="355">
        <f>AL68-$AL$5</f>
        <v>46234</v>
      </c>
      <c r="AH68" s="332" t="str">
        <f>IF(_xlfn.XLOOKUP($E68,'[1]Import Eletra'!$B:$B,'[1]Import Eletra'!$AE:$AE,,0,1)=0,"",_xlfn.XLOOKUP($E68,'[1]Import Eletra'!$B:$B,'[1]Import Eletra'!$AE:$AE,,0,1))</f>
        <v/>
      </c>
      <c r="AI68" s="113">
        <f>$AG$4</f>
        <v>0</v>
      </c>
      <c r="AJ68" s="113">
        <f ca="1">IF(AH68="",TODAY()-AG68,AH68-AG68)</f>
        <v>-23</v>
      </c>
      <c r="AK68" s="184">
        <f ca="1">AJ68-AI68</f>
        <v>-23</v>
      </c>
      <c r="AL68" s="355">
        <f>AQ68-$AQ$5</f>
        <v>46234</v>
      </c>
      <c r="AM68" s="332" t="str">
        <f>IF(_xlfn.XLOOKUP($E68,'[1]Import Eletra'!$B:$B,'[1]Import Eletra'!$AT:$AT,,0,1)=0,"",_xlfn.XLOOKUP($E68,'[1]Import Eletra'!$B:$B,'[1]Import Eletra'!$AT:$AT,,0,1))</f>
        <v/>
      </c>
      <c r="AN68" s="113">
        <f>$AL$4</f>
        <v>0</v>
      </c>
      <c r="AO68" s="113">
        <f ca="1">IF(AM68="",TODAY()-AL68,AM68-AL68)</f>
        <v>-23</v>
      </c>
      <c r="AP68" s="184">
        <f ca="1">AO68-AN68</f>
        <v>-23</v>
      </c>
      <c r="AQ68" s="357">
        <f>AV68-$AV$5</f>
        <v>46235</v>
      </c>
      <c r="AR68" s="332" t="str">
        <f>IF(_xlfn.XLOOKUP($E68,'[1]Import Eletra'!$B:$B,'[1]Import Eletra'!$AU:$AU,,0,1)=0,"",_xlfn.XLOOKUP($E68,'[1]Import Eletra'!$B:$B,'[1]Import Eletra'!$AU:$AU,,0,1))</f>
        <v/>
      </c>
      <c r="AS68" s="113">
        <f>$AQ$4</f>
        <v>1</v>
      </c>
      <c r="AT68" s="113">
        <f ca="1">IF(AR68="",TODAY()-AQ68,AR68-AQ68)</f>
        <v>-24</v>
      </c>
      <c r="AU68" s="184">
        <f ca="1">AT68-AS68</f>
        <v>-25</v>
      </c>
      <c r="AV68" s="355">
        <f>BA68-$BA$5</f>
        <v>46235</v>
      </c>
      <c r="AW68" s="332" t="str">
        <f>IF(_xlfn.XLOOKUP($E68,'[1]Import Eletra'!$B:$B,'[1]Import Eletra'!$AV:$AV,,0,1)=0,"",_xlfn.XLOOKUP($E68,'[1]Import Eletra'!$B:$B,'[1]Import Eletra'!$AV:$AV,,0,1))</f>
        <v/>
      </c>
      <c r="AX68" s="113">
        <f>$AV$4</f>
        <v>0</v>
      </c>
      <c r="AY68" s="113">
        <f ca="1">IF(AW68="",TODAY()-AV68,AW68-AV68)</f>
        <v>-24</v>
      </c>
      <c r="AZ68" s="184">
        <f ca="1">AY68-AX68</f>
        <v>-24</v>
      </c>
      <c r="BA68" s="357">
        <f>BF68-$BF$5</f>
        <v>46235</v>
      </c>
      <c r="BB68" s="332" t="str">
        <f>IF(_xlfn.XLOOKUP($E68,'[1]Import Eletra'!$B:$B,'[1]Import Eletra'!$AW:$AW,,0,1)=0,"",_xlfn.XLOOKUP($E68,'[1]Import Eletra'!$B:$B,'[1]Import Eletra'!$AW:$AW,,0,1))</f>
        <v/>
      </c>
      <c r="BC68" s="113">
        <f>$BA$4</f>
        <v>0</v>
      </c>
      <c r="BD68" s="113">
        <f ca="1">IF(BB68="",TODAY()-BA68,BB68-BA68)</f>
        <v>-24</v>
      </c>
      <c r="BE68" s="184">
        <f ca="1">BD68-BC68</f>
        <v>-24</v>
      </c>
      <c r="BF68" s="335">
        <f>BK68-$BK$5</f>
        <v>46235</v>
      </c>
      <c r="BG68" s="332" t="str">
        <f>IF(_xlfn.XLOOKUP($E68,'[1]Import Eletra'!$B:$B,'[1]Import Eletra'!$AX:$AX,,0,1)=0,"",_xlfn.XLOOKUP($E68,'[1]Import Eletra'!$B:$B,'[1]Import Eletra'!$AX:$AX,,0,1))</f>
        <v/>
      </c>
      <c r="BH68" s="113">
        <f>$BF$4</f>
        <v>0</v>
      </c>
      <c r="BI68" s="113">
        <f ca="1">IF(BG68="",TODAY()-BF68,BG68-BF68)</f>
        <v>-24</v>
      </c>
      <c r="BJ68" s="184">
        <f ca="1">BI68-BH68</f>
        <v>-24</v>
      </c>
      <c r="BK68" s="362">
        <f>BP68-$BP$5</f>
        <v>46235</v>
      </c>
      <c r="BL68" s="332" t="str">
        <f>IF(_xlfn.XLOOKUP($E68,'[1]Import Eletra'!$B:$B,'[1]Import Eletra'!$AY:$AY,,0,1)=0,"",_xlfn.XLOOKUP($E68,'[1]Import Eletra'!$B:$B,'[1]Import Eletra'!$AY:$AY,,0,1))</f>
        <v/>
      </c>
      <c r="BM68" s="113">
        <f>$BK$4</f>
        <v>0</v>
      </c>
      <c r="BN68" s="113">
        <f ca="1">IF(BL68="",TODAY()-BK68,BL68-BK68)</f>
        <v>-24</v>
      </c>
      <c r="BO68" s="184">
        <f ca="1">BN68-BM68</f>
        <v>-24</v>
      </c>
      <c r="BP68" s="335">
        <f>BU68-$BU$5</f>
        <v>46235</v>
      </c>
      <c r="BQ68" s="332" t="str">
        <f>IF(_xlfn.XLOOKUP($E68,'[1]Import Eletra'!$B:$B,'[1]Import Eletra'!$AZ:$AZ,,0,1)=0,"",_xlfn.XLOOKUP($E68,'[1]Import Eletra'!$B:$B,'[1]Import Eletra'!$AZ:$AZ,,0,1))</f>
        <v/>
      </c>
      <c r="BR68" s="113">
        <f>$BP$4</f>
        <v>0</v>
      </c>
      <c r="BS68" s="113">
        <f ca="1">IF(BQ68="",TODAY()-BP68,BQ68-BP68)</f>
        <v>-24</v>
      </c>
      <c r="BT68" s="184">
        <f ca="1">BS68-BR68</f>
        <v>-24</v>
      </c>
      <c r="BU68" s="362">
        <f>BZ68-$BZ$4</f>
        <v>46237</v>
      </c>
      <c r="BV68" s="332" t="str">
        <f>IF(_xlfn.XLOOKUP($E68,'[1]Import Eletra'!$B:$B,'[1]Import Eletra'!$BA:$BA,,0,1)=0,"",_xlfn.XLOOKUP($E68,'[1]Import Eletra'!$B:$B,'[1]Import Eletra'!$BA:$BA,,0,1))</f>
        <v/>
      </c>
      <c r="BW68" s="113">
        <f>$BU$4</f>
        <v>2</v>
      </c>
      <c r="BX68" s="113">
        <f ca="1">IF(BV68="",TODAY()-BU68,BV68-BU68)</f>
        <v>-26</v>
      </c>
      <c r="BY68" s="184">
        <f ca="1">BX68-BW68</f>
        <v>-28</v>
      </c>
      <c r="BZ68" s="335">
        <f>CE68-$CE$5</f>
        <v>46237</v>
      </c>
      <c r="CA68" s="332" t="str">
        <f>IF(_xlfn.XLOOKUP($E68,'[1]Import Eletra'!$B:$B,'[1]Import Eletra'!$BB:$BB,,0,1)=0,"",_xlfn.XLOOKUP($E68,'[1]Import Eletra'!$B:$B,'[1]Import Eletra'!$BB:$BB,,0,1))</f>
        <v/>
      </c>
      <c r="CB68" s="113">
        <f>$BZ$4</f>
        <v>0</v>
      </c>
      <c r="CC68" s="113">
        <f ca="1">IF(CA68="",TODAY()-BZ68,CA68-BZ68)</f>
        <v>-26</v>
      </c>
      <c r="CD68" s="184">
        <f ca="1">CC68-CB68</f>
        <v>-26</v>
      </c>
      <c r="CE68" s="362">
        <f>CJ68-$CJ$4</f>
        <v>46237</v>
      </c>
      <c r="CF68" s="332" t="str">
        <f>IF(_xlfn.XLOOKUP($E68,'[1]Import Eletra'!$B:$B,'[1]Import Eletra'!$BC:$BC,,0,1)=0,"",_xlfn.XLOOKUP($E68,'[1]Import Eletra'!$B:$B,'[1]Import Eletra'!$BC:$BC,,0,1))</f>
        <v/>
      </c>
      <c r="CG68" s="113">
        <f>$CE$4</f>
        <v>0</v>
      </c>
      <c r="CH68" s="113">
        <f ca="1">IF(CF68="",TODAY()-CE68,CF68-CE68)</f>
        <v>-26</v>
      </c>
      <c r="CI68" s="184">
        <f ca="1">CH68-CG68</f>
        <v>-26</v>
      </c>
      <c r="CJ68" s="335">
        <f>CO68-$CO$4</f>
        <v>46237</v>
      </c>
      <c r="CK68" s="332" t="str">
        <f>IF(_xlfn.XLOOKUP($E68,'[1]Import Eletra'!$B:$B,'[1]Import Eletra'!$BD:$BD,,0,1)=0,"",_xlfn.XLOOKUP($E68,'[1]Import Eletra'!$B:$B,'[1]Import Eletra'!$BD:$BD,,0,1))</f>
        <v/>
      </c>
      <c r="CL68" s="113"/>
      <c r="CM68" s="113">
        <f ca="1">IF(CK68="",TODAY()-CJ68,CK68-CJ68)</f>
        <v>-26</v>
      </c>
      <c r="CN68" s="184">
        <f ca="1">CM68-CL68</f>
        <v>-26</v>
      </c>
      <c r="CO68" s="362">
        <f>CT68-$CT$4</f>
        <v>46237</v>
      </c>
      <c r="CP68" s="332" t="str">
        <f>IF(_xlfn.XLOOKUP($E68,'[1]Import Eletra'!$B:$B,'[1]Import Eletra'!$BE:$BE,,0,1)=0,"",_xlfn.XLOOKUP($E68,'[1]Import Eletra'!$B:$B,'[1]Import Eletra'!$BE:$BE,,0,1))</f>
        <v/>
      </c>
      <c r="CQ68" s="113">
        <f>$CO$4</f>
        <v>0</v>
      </c>
      <c r="CR68" s="113">
        <f ca="1">IF(CP68="",TODAY()-CO68,CP68-CO68)</f>
        <v>-26</v>
      </c>
      <c r="CS68" s="184">
        <f ca="1">CR68-CQ68</f>
        <v>-26</v>
      </c>
      <c r="CT68" s="335">
        <f>CY68-$CY$4</f>
        <v>46237</v>
      </c>
      <c r="CU68" s="332" t="str">
        <f>IF(_xlfn.XLOOKUP($E68,'[1]Import Eletra'!$B:$B,'[1]Import Eletra'!$BF:$BF,,0,1)=0,"",_xlfn.XLOOKUP($E68,'[1]Import Eletra'!$B:$B,'[1]Import Eletra'!$BF:$BF,,0,1))</f>
        <v/>
      </c>
      <c r="CV68" s="113">
        <f>$CT$4</f>
        <v>0</v>
      </c>
      <c r="CW68" s="113">
        <f ca="1">IF(CU68="",TODAY()-CT68,CU68-CT68)</f>
        <v>-26</v>
      </c>
      <c r="CX68" s="184">
        <f ca="1">CW68-CV68</f>
        <v>-26</v>
      </c>
      <c r="CY68" s="110">
        <f>DD68-$DD$4</f>
        <v>46237</v>
      </c>
      <c r="CZ68" s="247" t="str">
        <f>IF(_xlfn.XLOOKUP($E68,'[1]Import Eletra'!$B:$B,'[1]Import Eletra'!$BF:$BF,,0,1)=0,"",_xlfn.XLOOKUP($E68,'[1]Import Eletra'!$B:$B,'[1]Import Eletra'!$BF:$BF,,0,1))</f>
        <v/>
      </c>
      <c r="DA68" s="210">
        <f>$CY$4</f>
        <v>0</v>
      </c>
      <c r="DB68" s="113">
        <f ca="1">IF(CZ68="",TODAY()-CY68,CZ68-CY68)</f>
        <v>-26</v>
      </c>
      <c r="DC68" s="184">
        <f ca="1">DB68-DA68</f>
        <v>-26</v>
      </c>
      <c r="DD68" s="110">
        <f>DI68-$DI$4</f>
        <v>46239</v>
      </c>
      <c r="DE68" s="247" t="str">
        <f>IF(_xlfn.XLOOKUP($E68,'[1]Import Eletra'!$B:$B,'[1]Import Eletra'!$BG:$BG,,0,1)=0,"",_xlfn.XLOOKUP($E68,'[1]Import Eletra'!$B:$B,'[1]Import Eletra'!$BG:$BG,0,1))</f>
        <v/>
      </c>
      <c r="DF68" s="113">
        <f>$DD$4</f>
        <v>2</v>
      </c>
      <c r="DG68" s="113">
        <f ca="1">IF(DE68="",TODAY()-DD68,DE68-DD68)</f>
        <v>-28</v>
      </c>
      <c r="DH68" s="184">
        <f ca="1">DG68-DF68</f>
        <v>-30</v>
      </c>
      <c r="DI68" s="110">
        <f>DO68-$DN$4</f>
        <v>46240</v>
      </c>
      <c r="DJ68" s="247" t="str">
        <f>IF(_xlfn.XLOOKUP($E68,'[1]Import Eletra'!$B:$B,'[1]Import Eletra'!$BH:$BH,,0,1)=0,"",_xlfn.XLOOKUP($E68,'[1]Import Eletra'!$B:$B,'[1]Import Eletra'!$BH:$BH,0,1))</f>
        <v/>
      </c>
      <c r="DK68" s="112">
        <f>$DI$4</f>
        <v>1</v>
      </c>
      <c r="DL68" s="112">
        <f ca="1">IF(DJ68="",TODAY()-DI68,DJ68-DI68)</f>
        <v>-29</v>
      </c>
      <c r="DM68" s="184">
        <f ca="1">DL68-DK68</f>
        <v>-30</v>
      </c>
      <c r="DN68" s="64"/>
      <c r="DO68" s="202">
        <f>N68+DT68</f>
        <v>46241</v>
      </c>
      <c r="DP68" s="298" t="str">
        <f>IF(_xlfn.XLOOKUP($E68,'[1]Import Eletra'!$B:$B,'[1]Import Eletra'!$O:$O,,0,1)=0,"",_xlfn.XLOOKUP($E68,'[1]Import Eletra'!$B:$B,'[1]Import Eletra'!$O:$O,0,1))</f>
        <v/>
      </c>
      <c r="DQ68" s="112">
        <f>$DN$4</f>
        <v>1</v>
      </c>
      <c r="DR68" s="112">
        <f ca="1">IF(DP68="",TODAY()-DO68,DP68-DO68)</f>
        <v>-30</v>
      </c>
      <c r="DS68" s="184">
        <f ca="1">DR68-DQ68</f>
        <v>-31</v>
      </c>
      <c r="DT68" s="143">
        <v>10</v>
      </c>
      <c r="DU68" s="140">
        <f ca="1">IF(DP68="",TODAY()-N68,DP68-N68)</f>
        <v>-20</v>
      </c>
      <c r="DV68" s="184">
        <f ca="1">DU68-DT68</f>
        <v>-30</v>
      </c>
      <c r="DX68" s="142" t="s">
        <v>257</v>
      </c>
      <c r="DY68" s="108" t="str">
        <f>IF(_xlfn.XLOOKUP($E68,'[1]Import Eletra'!$B:$B,'[1]Import Eletra'!$DW:$DW,,0,1)=0,"",_xlfn.XLOOKUP($E68,'[1]Import Eletra'!$B:$B,'[1]Import Eletra'!$DW:$DW,0,1))</f>
        <v/>
      </c>
      <c r="EB68" s="287"/>
      <c r="ED68" s="409" t="str">
        <f>IF(_xlfn.XLOOKUP($E68,'[1]Import Eletra'!$B:$B,'[1]Import Eletra'!$BQ:$BQ,,0,1)=0,"",_xlfn.XLOOKUP($E68,'[1]Import Eletra'!$B:$B,'[1]Import Eletra'!$BQ:$BQ,0,1))</f>
        <v/>
      </c>
      <c r="EE68" s="410" t="str">
        <f>IF(_xlfn.XLOOKUP($E68,'[1]Import Eletra'!$B:$B,'[1]Import Eletra'!$BR:$BR,,0,1)=0,"",_xlfn.XLOOKUP($E68,'[1]Import Eletra'!$B:$B,'[1]Import Eletra'!$BR:$BR,0,1))</f>
        <v/>
      </c>
      <c r="EF68" s="409" t="str">
        <f>IF(_xlfn.XLOOKUP($E68,'[1]Import Eletra'!$B:$B,'[1]Import Eletra'!$BS:$BS,,0,1)=0,"",_xlfn.XLOOKUP($E68,'[1]Import Eletra'!$B:$B,'[1]Import Eletra'!$BS:$BS,0,1))</f>
        <v/>
      </c>
      <c r="EG68" s="410" t="str">
        <f>IF(_xlfn.XLOOKUP($E68,'[1]Import Eletra'!$B:$B,'[1]Import Eletra'!$BT:$BT,,0,1)=0,"",_xlfn.XLOOKUP($E68,'[1]Import Eletra'!$B:$B,'[1]Import Eletra'!$BT:$BT,0,1))</f>
        <v/>
      </c>
      <c r="EH68" s="409" t="str">
        <f>IF(_xlfn.XLOOKUP($E68,'[1]Import Eletra'!$B:$B,'[1]Import Eletra'!$BU:$BU,,0,1)=0,"",_xlfn.XLOOKUP($E68,'[1]Import Eletra'!$B:$B,'[1]Import Eletra'!$BU:$BU,0,1))</f>
        <v/>
      </c>
      <c r="EI68" s="410" t="str">
        <f>IF(_xlfn.XLOOKUP($E68,'[1]Import Eletra'!$B:$B,'[1]Import Eletra'!$BV:$BV,,0,1)=0,"",_xlfn.XLOOKUP($E68,'[1]Import Eletra'!$B:$B,'[1]Import Eletra'!$BV:$BV,0,1))</f>
        <v/>
      </c>
      <c r="EJ68" s="410" t="str">
        <f>IF(_xlfn.XLOOKUP($E68,'[1]Import Eletra'!$B:$B,'[1]Import Eletra'!$CI:$CI,,0,1)=0,"",_xlfn.XLOOKUP($E68,'[1]Import Eletra'!$B:$B,'[1]Import Eletra'!$CI:$CI,0,1))</f>
        <v/>
      </c>
      <c r="EK68" s="410" t="str">
        <f>IF(_xlfn.XLOOKUP($E68,'[1]Import Eletra'!$B:$B,'[1]Import Eletra'!$CD:$CD,,0,1)=0,"",_xlfn.XLOOKUP($E68,'[1]Import Eletra'!$B:$B,'[1]Import Eletra'!$CD:$CD,0,1))</f>
        <v/>
      </c>
      <c r="EL68" s="410" t="str">
        <f>IF(_xlfn.XLOOKUP($E68,'[1]Import Eletra'!$B:$B,'[1]Import Eletra'!$CE:$CE,,0,1)=0,"",_xlfn.XLOOKUP($E68,'[1]Import Eletra'!$B:$B,'[1]Import Eletra'!$CE:$CE,0,1))</f>
        <v/>
      </c>
      <c r="EM68" s="411" t="str">
        <f>IF(_xlfn.XLOOKUP($E68,'[1]Import Eletra'!$B:$B,'[1]Import Eletra'!$E:$E,,0,1)=0,"",_xlfn.XLOOKUP($E68,'[1]Import Eletra'!$B:$B,'[1]Import Eletra'!$E:$E,0,1))</f>
        <v>LEISIANE</v>
      </c>
      <c r="EN68" s="408" t="str">
        <f>IF(_xlfn.XLOOKUP($E68,'[1]Import Eletra'!$B:$B,'[1]Import Eletra'!$R:$R,,0,1)=0,"",_xlfn.XLOOKUP($E68,'[1]Import Eletra'!$B:$B,'[1]Import Eletra'!$R:$R,0,1))</f>
        <v>PWBR260096-10I</v>
      </c>
      <c r="EO68" s="408" t="str">
        <f>IF(_xlfn.XLOOKUP($E68,'[1]Import Eletra'!$B:$B,'[1]Import Eletra'!$P:$P,,0,1)=0,"",_xlfn.XLOOKUP($E68,'[1]Import Eletra'!$B:$B,'[1]Import Eletra'!$P:$P,0,1))</f>
        <v>SDBLBS601417</v>
      </c>
      <c r="EP68" s="408" t="str">
        <f>IF(_xlfn.XLOOKUP($E68,'[1]Import Eletra'!$B:$B,'[1]Import Eletra'!$T:$T,,0,1)=0,"",_xlfn.XLOOKUP($E68,'[1]Import Eletra'!$B:$B,'[1]Import Eletra'!$T:$T,0,1))</f>
        <v>CMAU884183/1</v>
      </c>
    </row>
    <row r="69" spans="2:146" ht="30" customHeight="1">
      <c r="B69" s="371"/>
      <c r="C69" s="369"/>
      <c r="D69" s="104" t="str">
        <f>IF(_xlfn.XLOOKUP($E69,'[1]Import Eletra'!$B:$B,'[1]Import Eletra'!$A:$A,,0,1)=0,"",_xlfn.XLOOKUP($E69,'[1]Import Eletra'!$B:$B,'[1]Import Eletra'!$A:$A,,0,1))</f>
        <v/>
      </c>
      <c r="E69" s="275" t="s">
        <v>377</v>
      </c>
      <c r="F69" s="106" t="str">
        <f>IF(_xlfn.XLOOKUP($E69,'[1]Import Eletra'!$B:$B,'[1]Import Eletra'!$U:$U,,0,1)=0,"",_xlfn.XLOOKUP($E69,'[1]Import Eletra'!$B:$B,'[1]Import Eletra'!$U:$U,,0,1))</f>
        <v/>
      </c>
      <c r="G69" s="301" t="s">
        <v>244</v>
      </c>
      <c r="H69" s="2" t="str">
        <f>_xlfn.XLOOKUP($E69,'[1]Import Eletra'!$B:$B,'[1]Import Eletra'!$F:$F,,0,1)</f>
        <v>DELIVERED</v>
      </c>
      <c r="I69" s="108" t="str">
        <f>_xlfn.XLOOKUP($E69,'[1]Import Eletra'!$B:$B,'[1]Import Eletra'!$G:$G,,0,1)</f>
        <v>COURIER</v>
      </c>
      <c r="J69" s="326"/>
      <c r="K69" s="109">
        <v>30</v>
      </c>
      <c r="L69" s="321">
        <f>M69-J69</f>
        <v>46168</v>
      </c>
      <c r="M69" s="326">
        <f>IF(_xlfn.XLOOKUP($E69,'[1]Import Eletra'!$B:$B,'[1]Import Eletra'!$J:$J,,0,1)=0,"",_xlfn.XLOOKUP($E69,'[1]Import Eletra'!$B:$B,'[1]Import Eletra'!$J:$J,,0,1))</f>
        <v>46168</v>
      </c>
      <c r="N69" s="333">
        <f>IF(_xlfn.XLOOKUP($E69,'[1]Import Eletra'!$B:$B,'[1]Import Eletra'!$L:$L,,0,1)=0,"",_xlfn.XLOOKUP($E69,'[1]Import Eletra'!$B:$B,'[1]Import Eletra'!$L:$L,,0,1))</f>
        <v>46170</v>
      </c>
      <c r="O69" s="336"/>
      <c r="P69" s="326"/>
      <c r="Q69" s="326"/>
      <c r="R69" s="326"/>
      <c r="S69" s="326"/>
      <c r="T69" s="326"/>
      <c r="U69" s="326"/>
      <c r="V69" s="339"/>
      <c r="W69" s="335">
        <f>AB69-$AB$5</f>
        <v>46171</v>
      </c>
      <c r="X69" s="332" t="str">
        <f>IF(_xlfn.XLOOKUP($E69,'[1]Import Eletra'!$B:$B,'[1]Import Eletra'!$AS:$AS,,0,1)=0,"",_xlfn.XLOOKUP($E69,'[1]Import Eletra'!$B:$B,'[1]Import Eletra'!$AS:$AS,,0,1))</f>
        <v/>
      </c>
      <c r="Y69" s="113">
        <f>$W$4</f>
        <v>0</v>
      </c>
      <c r="Z69" s="113">
        <f ca="1">IF(X69="",TODAY()-W69,X69-W69)</f>
        <v>40</v>
      </c>
      <c r="AA69" s="184">
        <f ca="1">Z69-Y69</f>
        <v>40</v>
      </c>
      <c r="AB69" s="348">
        <f>AG69-$AB$5</f>
        <v>46172</v>
      </c>
      <c r="AC69" s="332" t="str">
        <f>IF(_xlfn.XLOOKUP($E69,'[1]Import Eletra'!$B:$B,'[1]Import Eletra'!$AD:$AD,,0,1)=0,"",_xlfn.XLOOKUP($E69,'[1]Import Eletra'!$B:$B,'[1]Import Eletra'!$AD:$AD,,0,1))</f>
        <v/>
      </c>
      <c r="AD69" s="113">
        <f>$AB$4</f>
        <v>0</v>
      </c>
      <c r="AE69" s="113">
        <f ca="1">IF(AC69="",TODAY()-AB69,AC69-AB69)</f>
        <v>39</v>
      </c>
      <c r="AF69" s="184">
        <f ca="1">AE69-AD69</f>
        <v>39</v>
      </c>
      <c r="AG69" s="355">
        <f>AL69-$AL$5</f>
        <v>46173</v>
      </c>
      <c r="AH69" s="332" t="str">
        <f>IF(_xlfn.XLOOKUP($E69,'[1]Import Eletra'!$B:$B,'[1]Import Eletra'!$AE:$AE,,0,1)=0,"",_xlfn.XLOOKUP($E69,'[1]Import Eletra'!$B:$B,'[1]Import Eletra'!$AE:$AE,,0,1))</f>
        <v/>
      </c>
      <c r="AI69" s="113">
        <f>$AG$4</f>
        <v>0</v>
      </c>
      <c r="AJ69" s="113">
        <f ca="1">IF(AH69="",TODAY()-AG69,AH69-AG69)</f>
        <v>38</v>
      </c>
      <c r="AK69" s="184">
        <f ca="1">AJ69-AI69</f>
        <v>38</v>
      </c>
      <c r="AL69" s="355">
        <f>AQ69-$AQ$5</f>
        <v>46173</v>
      </c>
      <c r="AM69" s="332" t="str">
        <f>IF(_xlfn.XLOOKUP($E69,'[1]Import Eletra'!$B:$B,'[1]Import Eletra'!$AT:$AT,,0,1)=0,"",_xlfn.XLOOKUP($E69,'[1]Import Eletra'!$B:$B,'[1]Import Eletra'!$AT:$AT,,0,1))</f>
        <v/>
      </c>
      <c r="AN69" s="113">
        <f>$AL$4</f>
        <v>0</v>
      </c>
      <c r="AO69" s="113">
        <f ca="1">IF(AM69="",TODAY()-AL69,AM69-AL69)</f>
        <v>38</v>
      </c>
      <c r="AP69" s="184">
        <f ca="1">AO69-AN69</f>
        <v>38</v>
      </c>
      <c r="AQ69" s="357">
        <f>AV69-$AV$5</f>
        <v>46174</v>
      </c>
      <c r="AR69" s="332" t="str">
        <f>IF(_xlfn.XLOOKUP($E69,'[1]Import Eletra'!$B:$B,'[1]Import Eletra'!$AU:$AU,,0,1)=0,"",_xlfn.XLOOKUP($E69,'[1]Import Eletra'!$B:$B,'[1]Import Eletra'!$AU:$AU,,0,1))</f>
        <v/>
      </c>
      <c r="AS69" s="113">
        <f>$AQ$4</f>
        <v>1</v>
      </c>
      <c r="AT69" s="113">
        <f ca="1">IF(AR69="",TODAY()-AQ69,AR69-AQ69)</f>
        <v>37</v>
      </c>
      <c r="AU69" s="184">
        <f ca="1">AT69-AS69</f>
        <v>36</v>
      </c>
      <c r="AV69" s="355">
        <f>BA69-$BA$5</f>
        <v>46174</v>
      </c>
      <c r="AW69" s="332" t="str">
        <f>IF(_xlfn.XLOOKUP($E69,'[1]Import Eletra'!$B:$B,'[1]Import Eletra'!$AV:$AV,,0,1)=0,"",_xlfn.XLOOKUP($E69,'[1]Import Eletra'!$B:$B,'[1]Import Eletra'!$AV:$AV,,0,1))</f>
        <v/>
      </c>
      <c r="AX69" s="113">
        <f>$AV$4</f>
        <v>0</v>
      </c>
      <c r="AY69" s="113">
        <f ca="1">IF(AW69="",TODAY()-AV69,AW69-AV69)</f>
        <v>37</v>
      </c>
      <c r="AZ69" s="184">
        <f ca="1">AY69-AX69</f>
        <v>37</v>
      </c>
      <c r="BA69" s="357">
        <f>BF69-$BF$5</f>
        <v>46174</v>
      </c>
      <c r="BB69" s="332" t="str">
        <f>IF(_xlfn.XLOOKUP($E69,'[1]Import Eletra'!$B:$B,'[1]Import Eletra'!$AW:$AW,,0,1)=0,"",_xlfn.XLOOKUP($E69,'[1]Import Eletra'!$B:$B,'[1]Import Eletra'!$AW:$AW,,0,1))</f>
        <v/>
      </c>
      <c r="BC69" s="113">
        <f>$BA$4</f>
        <v>0</v>
      </c>
      <c r="BD69" s="113">
        <f ca="1">IF(BB69="",TODAY()-BA69,BB69-BA69)</f>
        <v>37</v>
      </c>
      <c r="BE69" s="184">
        <f ca="1">BD69-BC69</f>
        <v>37</v>
      </c>
      <c r="BF69" s="335">
        <f>BK69-$BK$5</f>
        <v>46174</v>
      </c>
      <c r="BG69" s="332" t="str">
        <f>IF(_xlfn.XLOOKUP($E69,'[1]Import Eletra'!$B:$B,'[1]Import Eletra'!$AX:$AX,,0,1)=0,"",_xlfn.XLOOKUP($E69,'[1]Import Eletra'!$B:$B,'[1]Import Eletra'!$AX:$AX,,0,1))</f>
        <v/>
      </c>
      <c r="BH69" s="113">
        <f>$BF$4</f>
        <v>0</v>
      </c>
      <c r="BI69" s="113">
        <f ca="1">IF(BG69="",TODAY()-BF69,BG69-BF69)</f>
        <v>37</v>
      </c>
      <c r="BJ69" s="184">
        <f ca="1">BI69-BH69</f>
        <v>37</v>
      </c>
      <c r="BK69" s="362">
        <f>BP69-$BP$5</f>
        <v>46174</v>
      </c>
      <c r="BL69" s="332" t="str">
        <f>IF(_xlfn.XLOOKUP($E69,'[1]Import Eletra'!$B:$B,'[1]Import Eletra'!$AY:$AY,,0,1)=0,"",_xlfn.XLOOKUP($E69,'[1]Import Eletra'!$B:$B,'[1]Import Eletra'!$AY:$AY,,0,1))</f>
        <v/>
      </c>
      <c r="BM69" s="113">
        <f>$BK$4</f>
        <v>0</v>
      </c>
      <c r="BN69" s="113">
        <f ca="1">IF(BL69="",TODAY()-BK69,BL69-BK69)</f>
        <v>37</v>
      </c>
      <c r="BO69" s="184">
        <f ca="1">BN69-BM69</f>
        <v>37</v>
      </c>
      <c r="BP69" s="335">
        <f>BU69-$BU$5</f>
        <v>46174</v>
      </c>
      <c r="BQ69" s="332" t="str">
        <f>IF(_xlfn.XLOOKUP($E69,'[1]Import Eletra'!$B:$B,'[1]Import Eletra'!$AZ:$AZ,,0,1)=0,"",_xlfn.XLOOKUP($E69,'[1]Import Eletra'!$B:$B,'[1]Import Eletra'!$AZ:$AZ,,0,1))</f>
        <v/>
      </c>
      <c r="BR69" s="113">
        <f>$BP$4</f>
        <v>0</v>
      </c>
      <c r="BS69" s="113">
        <f ca="1">IF(BQ69="",TODAY()-BP69,BQ69-BP69)</f>
        <v>37</v>
      </c>
      <c r="BT69" s="184">
        <f ca="1">BS69-BR69</f>
        <v>37</v>
      </c>
      <c r="BU69" s="362">
        <f>BZ69-$BZ$4</f>
        <v>46176</v>
      </c>
      <c r="BV69" s="332" t="str">
        <f>IF(_xlfn.XLOOKUP($E69,'[1]Import Eletra'!$B:$B,'[1]Import Eletra'!$BA:$BA,,0,1)=0,"",_xlfn.XLOOKUP($E69,'[1]Import Eletra'!$B:$B,'[1]Import Eletra'!$BA:$BA,,0,1))</f>
        <v/>
      </c>
      <c r="BW69" s="113">
        <f>$BU$4</f>
        <v>2</v>
      </c>
      <c r="BX69" s="113">
        <f ca="1">IF(BV69="",TODAY()-BU69,BV69-BU69)</f>
        <v>35</v>
      </c>
      <c r="BY69" s="184">
        <f ca="1">BX69-BW69</f>
        <v>33</v>
      </c>
      <c r="BZ69" s="335">
        <f>CE69-$CE$5</f>
        <v>46176</v>
      </c>
      <c r="CA69" s="332" t="str">
        <f>IF(_xlfn.XLOOKUP($E69,'[1]Import Eletra'!$B:$B,'[1]Import Eletra'!$BB:$BB,,0,1)=0,"",_xlfn.XLOOKUP($E69,'[1]Import Eletra'!$B:$B,'[1]Import Eletra'!$BB:$BB,,0,1))</f>
        <v/>
      </c>
      <c r="CB69" s="113">
        <f>$BZ$4</f>
        <v>0</v>
      </c>
      <c r="CC69" s="113">
        <f ca="1">IF(CA69="",TODAY()-BZ69,CA69-BZ69)</f>
        <v>35</v>
      </c>
      <c r="CD69" s="184">
        <f ca="1">CC69-CB69</f>
        <v>35</v>
      </c>
      <c r="CE69" s="362">
        <f>CJ69-$CJ$4</f>
        <v>46176</v>
      </c>
      <c r="CF69" s="332" t="str">
        <f>IF(_xlfn.XLOOKUP($E69,'[1]Import Eletra'!$B:$B,'[1]Import Eletra'!$BC:$BC,,0,1)=0,"",_xlfn.XLOOKUP($E69,'[1]Import Eletra'!$B:$B,'[1]Import Eletra'!$BC:$BC,,0,1))</f>
        <v/>
      </c>
      <c r="CG69" s="113">
        <f>$CE$4</f>
        <v>0</v>
      </c>
      <c r="CH69" s="113">
        <f ca="1">IF(CF69="",TODAY()-CE69,CF69-CE69)</f>
        <v>35</v>
      </c>
      <c r="CI69" s="184">
        <f ca="1">CH69-CG69</f>
        <v>35</v>
      </c>
      <c r="CJ69" s="335">
        <f>CO69-$CO$4</f>
        <v>46176</v>
      </c>
      <c r="CK69" s="332" t="str">
        <f>IF(_xlfn.XLOOKUP($E69,'[1]Import Eletra'!$B:$B,'[1]Import Eletra'!$BD:$BD,,0,1)=0,"",_xlfn.XLOOKUP($E69,'[1]Import Eletra'!$B:$B,'[1]Import Eletra'!$BD:$BD,,0,1))</f>
        <v/>
      </c>
      <c r="CL69" s="113"/>
      <c r="CM69" s="113">
        <f ca="1">IF(CK69="",TODAY()-CJ69,CK69-CJ69)</f>
        <v>35</v>
      </c>
      <c r="CN69" s="184">
        <f ca="1">CM69-CL69</f>
        <v>35</v>
      </c>
      <c r="CO69" s="362">
        <f>CT69-$CT$4</f>
        <v>46176</v>
      </c>
      <c r="CP69" s="332" t="str">
        <f>IF(_xlfn.XLOOKUP($E69,'[1]Import Eletra'!$B:$B,'[1]Import Eletra'!$BE:$BE,,0,1)=0,"",_xlfn.XLOOKUP($E69,'[1]Import Eletra'!$B:$B,'[1]Import Eletra'!$BE:$BE,,0,1))</f>
        <v/>
      </c>
      <c r="CQ69" s="113">
        <f>$CO$4</f>
        <v>0</v>
      </c>
      <c r="CR69" s="113">
        <f ca="1">IF(CP69="",TODAY()-CO69,CP69-CO69)</f>
        <v>35</v>
      </c>
      <c r="CS69" s="184">
        <f ca="1">CR69-CQ69</f>
        <v>35</v>
      </c>
      <c r="CT69" s="335">
        <f>CY69-$CY$4</f>
        <v>46176</v>
      </c>
      <c r="CU69" s="332" t="str">
        <f>IF(_xlfn.XLOOKUP($E69,'[1]Import Eletra'!$B:$B,'[1]Import Eletra'!$BF:$BF,,0,1)=0,"",_xlfn.XLOOKUP($E69,'[1]Import Eletra'!$B:$B,'[1]Import Eletra'!$BF:$BF,,0,1))</f>
        <v/>
      </c>
      <c r="CV69" s="113">
        <f>$CT$4</f>
        <v>0</v>
      </c>
      <c r="CW69" s="113">
        <f ca="1">IF(CU69="",TODAY()-CT69,CU69-CT69)</f>
        <v>35</v>
      </c>
      <c r="CX69" s="184">
        <f ca="1">CW69-CV69</f>
        <v>35</v>
      </c>
      <c r="CY69" s="110">
        <f>DD69-$DD$4</f>
        <v>46176</v>
      </c>
      <c r="CZ69" s="247" t="str">
        <f>IF(_xlfn.XLOOKUP($E69,'[1]Import Eletra'!$B:$B,'[1]Import Eletra'!$BF:$BF,,0,1)=0,"",_xlfn.XLOOKUP($E69,'[1]Import Eletra'!$B:$B,'[1]Import Eletra'!$BF:$BF,,0,1))</f>
        <v/>
      </c>
      <c r="DA69" s="210">
        <f>$CY$4</f>
        <v>0</v>
      </c>
      <c r="DB69" s="113">
        <f ca="1">IF(CZ69="",TODAY()-CY69,CZ69-CY69)</f>
        <v>35</v>
      </c>
      <c r="DC69" s="184">
        <f ca="1">DB69-DA69</f>
        <v>35</v>
      </c>
      <c r="DD69" s="110">
        <f>DI69-$DI$4</f>
        <v>46178</v>
      </c>
      <c r="DE69" s="247" t="str">
        <f>IF(_xlfn.XLOOKUP($E69,'[1]Import Eletra'!$B:$B,'[1]Import Eletra'!$BG:$BG,,0,1)=0,"",_xlfn.XLOOKUP($E69,'[1]Import Eletra'!$B:$B,'[1]Import Eletra'!$BG:$BG,0,1))</f>
        <v/>
      </c>
      <c r="DF69" s="113">
        <f>$DD$4</f>
        <v>2</v>
      </c>
      <c r="DG69" s="113">
        <f ca="1">IF(DE69="",TODAY()-DD69,DE69-DD69)</f>
        <v>33</v>
      </c>
      <c r="DH69" s="184">
        <f ca="1">DG69-DF69</f>
        <v>31</v>
      </c>
      <c r="DI69" s="110">
        <f>DO69-$DN$4</f>
        <v>46179</v>
      </c>
      <c r="DJ69" s="247" t="str">
        <f>IF(_xlfn.XLOOKUP($E69,'[1]Import Eletra'!$B:$B,'[1]Import Eletra'!$BH:$BH,,0,1)=0,"",_xlfn.XLOOKUP($E69,'[1]Import Eletra'!$B:$B,'[1]Import Eletra'!$BH:$BH,0,1))</f>
        <v/>
      </c>
      <c r="DK69" s="112">
        <f>$DI$4</f>
        <v>1</v>
      </c>
      <c r="DL69" s="112">
        <f ca="1">IF(DJ69="",TODAY()-DI69,DJ69-DI69)</f>
        <v>32</v>
      </c>
      <c r="DM69" s="184">
        <f ca="1">DL69-DK69</f>
        <v>31</v>
      </c>
      <c r="DN69" s="64"/>
      <c r="DO69" s="202">
        <f>N69+DT69</f>
        <v>46180</v>
      </c>
      <c r="DP69" s="298">
        <f>IF(_xlfn.XLOOKUP($E69,'[1]Import Eletra'!$B:$B,'[1]Import Eletra'!$O:$O,,0,1)=0,"",_xlfn.XLOOKUP($E69,'[1]Import Eletra'!$B:$B,'[1]Import Eletra'!$O:$O,0,1))</f>
        <v>46184</v>
      </c>
      <c r="DQ69" s="112">
        <f>$DN$4</f>
        <v>1</v>
      </c>
      <c r="DR69" s="112">
        <f ca="1">IF(DP69="",TODAY()-DO69,DP69-DO69)</f>
        <v>4</v>
      </c>
      <c r="DS69" s="184">
        <f ca="1">DR69-DQ69</f>
        <v>3</v>
      </c>
      <c r="DT69" s="143">
        <v>10</v>
      </c>
      <c r="DU69" s="140">
        <f t="shared" ref="DU69:DU75" ca="1" si="1">IF(DP69="",TODAY()-N69,DP69-N69)</f>
        <v>14</v>
      </c>
      <c r="DV69" s="184">
        <f ca="1">DU69-DT69</f>
        <v>4</v>
      </c>
      <c r="DX69" s="142"/>
      <c r="DY69" s="108" t="str">
        <f>IF(_xlfn.XLOOKUP($E69,'[1]Import Eletra'!$B:$B,'[1]Import Eletra'!$DW:$DW,,0,1)=0,"",_xlfn.XLOOKUP($E69,'[1]Import Eletra'!$B:$B,'[1]Import Eletra'!$DW:$DW,0,1))</f>
        <v/>
      </c>
      <c r="EB69" s="287"/>
      <c r="ED69" s="409" t="str">
        <f>IF(_xlfn.XLOOKUP($E69,'[1]Import Eletra'!$B:$B,'[1]Import Eletra'!$BQ:$BQ,,0,1)=0,"",_xlfn.XLOOKUP($E69,'[1]Import Eletra'!$B:$B,'[1]Import Eletra'!$BQ:$BQ,0,1))</f>
        <v/>
      </c>
      <c r="EE69" s="410" t="str">
        <f>IF(_xlfn.XLOOKUP($E69,'[1]Import Eletra'!$B:$B,'[1]Import Eletra'!$BR:$BR,,0,1)=0,"",_xlfn.XLOOKUP($E69,'[1]Import Eletra'!$B:$B,'[1]Import Eletra'!$BR:$BR,0,1))</f>
        <v/>
      </c>
      <c r="EF69" s="409" t="str">
        <f>IF(_xlfn.XLOOKUP($E69,'[1]Import Eletra'!$B:$B,'[1]Import Eletra'!$BS:$BS,,0,1)=0,"",_xlfn.XLOOKUP($E69,'[1]Import Eletra'!$B:$B,'[1]Import Eletra'!$BS:$BS,0,1))</f>
        <v/>
      </c>
      <c r="EG69" s="410" t="str">
        <f>IF(_xlfn.XLOOKUP($E69,'[1]Import Eletra'!$B:$B,'[1]Import Eletra'!$BT:$BT,,0,1)=0,"",_xlfn.XLOOKUP($E69,'[1]Import Eletra'!$B:$B,'[1]Import Eletra'!$BT:$BT,0,1))</f>
        <v/>
      </c>
      <c r="EH69" s="409" t="str">
        <f>IF(_xlfn.XLOOKUP($E69,'[1]Import Eletra'!$B:$B,'[1]Import Eletra'!$BU:$BU,,0,1)=0,"",_xlfn.XLOOKUP($E69,'[1]Import Eletra'!$B:$B,'[1]Import Eletra'!$BU:$BU,0,1))</f>
        <v/>
      </c>
      <c r="EI69" s="410" t="str">
        <f>IF(_xlfn.XLOOKUP($E69,'[1]Import Eletra'!$B:$B,'[1]Import Eletra'!$BV:$BV,,0,1)=0,"",_xlfn.XLOOKUP($E69,'[1]Import Eletra'!$B:$B,'[1]Import Eletra'!$BV:$BV,0,1))</f>
        <v/>
      </c>
      <c r="EJ69" s="410" t="str">
        <f>IF(_xlfn.XLOOKUP($E69,'[1]Import Eletra'!$B:$B,'[1]Import Eletra'!$CI:$CI,,0,1)=0,"",_xlfn.XLOOKUP($E69,'[1]Import Eletra'!$B:$B,'[1]Import Eletra'!$CI:$CI,0,1))</f>
        <v/>
      </c>
      <c r="EK69" s="410" t="str">
        <f>IF(_xlfn.XLOOKUP($E69,'[1]Import Eletra'!$B:$B,'[1]Import Eletra'!$CD:$CD,,0,1)=0,"",_xlfn.XLOOKUP($E69,'[1]Import Eletra'!$B:$B,'[1]Import Eletra'!$CD:$CD,0,1))</f>
        <v/>
      </c>
      <c r="EL69" s="410" t="str">
        <f>IF(_xlfn.XLOOKUP($E69,'[1]Import Eletra'!$B:$B,'[1]Import Eletra'!$CE:$CE,,0,1)=0,"",_xlfn.XLOOKUP($E69,'[1]Import Eletra'!$B:$B,'[1]Import Eletra'!$CE:$CE,0,1))</f>
        <v/>
      </c>
      <c r="EM69" s="411" t="str">
        <f>IF(_xlfn.XLOOKUP($E69,'[1]Import Eletra'!$B:$B,'[1]Import Eletra'!$E:$E,,0,1)=0,"",_xlfn.XLOOKUP($E69,'[1]Import Eletra'!$B:$B,'[1]Import Eletra'!$E:$E,0,1))</f>
        <v>LEISIANE</v>
      </c>
      <c r="EN69" s="408" t="str">
        <f>IF(_xlfn.XLOOKUP($E69,'[1]Import Eletra'!$B:$B,'[1]Import Eletra'!$R:$R,,0,1)=0,"",_xlfn.XLOOKUP($E69,'[1]Import Eletra'!$B:$B,'[1]Import Eletra'!$R:$R,0,1))</f>
        <v/>
      </c>
      <c r="EO69" s="408" t="str">
        <f>IF(_xlfn.XLOOKUP($E69,'[1]Import Eletra'!$B:$B,'[1]Import Eletra'!$P:$P,,0,1)=0,"",_xlfn.XLOOKUP($E69,'[1]Import Eletra'!$B:$B,'[1]Import Eletra'!$P:$P,0,1))</f>
        <v/>
      </c>
      <c r="EP69" s="408" t="str">
        <f>IF(_xlfn.XLOOKUP($E69,'[1]Import Eletra'!$B:$B,'[1]Import Eletra'!$T:$T,,0,1)=0,"",_xlfn.XLOOKUP($E69,'[1]Import Eletra'!$B:$B,'[1]Import Eletra'!$T:$T,0,1))</f>
        <v/>
      </c>
    </row>
    <row r="70" spans="2:146" ht="30" customHeight="1">
      <c r="B70" s="371"/>
      <c r="C70" s="369"/>
      <c r="D70" s="104" t="str">
        <f>IF(_xlfn.XLOOKUP($E70,'[1]Import Eletra'!$B:$B,'[1]Import Eletra'!$A:$A,,0,1)=0,"",_xlfn.XLOOKUP($E70,'[1]Import Eletra'!$B:$B,'[1]Import Eletra'!$A:$A,,0,1))</f>
        <v>AUG_2026</v>
      </c>
      <c r="E70" s="275" t="s">
        <v>378</v>
      </c>
      <c r="F70" s="106">
        <f>IF(_xlfn.XLOOKUP($E70,'[1]Import Eletra'!$B:$B,'[1]Import Eletra'!$U:$U,,0,1)=0,"",_xlfn.XLOOKUP($E70,'[1]Import Eletra'!$B:$B,'[1]Import Eletra'!$U:$U,,0,1))</f>
        <v>1</v>
      </c>
      <c r="G70" s="301" t="s">
        <v>244</v>
      </c>
      <c r="H70" s="2" t="str">
        <f>_xlfn.XLOOKUP($E70,'[1]Import Eletra'!$B:$B,'[1]Import Eletra'!$F:$F,,0,1)</f>
        <v>WAITING ARRIVAL</v>
      </c>
      <c r="I70" s="108" t="str">
        <f>_xlfn.XLOOKUP($E70,'[1]Import Eletra'!$B:$B,'[1]Import Eletra'!$G:$G,,0,1)</f>
        <v>SEA</v>
      </c>
      <c r="J70" s="326">
        <v>46162</v>
      </c>
      <c r="K70" s="109">
        <v>30</v>
      </c>
      <c r="L70" s="321">
        <f>M70-J70</f>
        <v>28</v>
      </c>
      <c r="M70" s="326">
        <f>IF(_xlfn.XLOOKUP($E70,'[1]Import Eletra'!$B:$B,'[1]Import Eletra'!$J:$J,,0,1)=0,"",_xlfn.XLOOKUP($E70,'[1]Import Eletra'!$B:$B,'[1]Import Eletra'!$J:$J,,0,1))</f>
        <v>46190</v>
      </c>
      <c r="N70" s="333">
        <f>IF(_xlfn.XLOOKUP($E70,'[1]Import Eletra'!$B:$B,'[1]Import Eletra'!$L:$L,,0,1)=0,"",_xlfn.XLOOKUP($E70,'[1]Import Eletra'!$B:$B,'[1]Import Eletra'!$L:$L,,0,1))</f>
        <v>46245</v>
      </c>
      <c r="O70" s="336"/>
      <c r="P70" s="326"/>
      <c r="Q70" s="326"/>
      <c r="R70" s="326"/>
      <c r="S70" s="326"/>
      <c r="T70" s="326"/>
      <c r="U70" s="326"/>
      <c r="V70" s="339"/>
      <c r="W70" s="335">
        <f>AB70-$AB$5</f>
        <v>46246</v>
      </c>
      <c r="X70" s="332" t="str">
        <f>IF(_xlfn.XLOOKUP($E70,'[1]Import Eletra'!$B:$B,'[1]Import Eletra'!$AS:$AS,,0,1)=0,"",_xlfn.XLOOKUP($E70,'[1]Import Eletra'!$B:$B,'[1]Import Eletra'!$AS:$AS,,0,1))</f>
        <v/>
      </c>
      <c r="Y70" s="113">
        <f>$W$4</f>
        <v>0</v>
      </c>
      <c r="Z70" s="113">
        <f ca="1">IF(X70="",TODAY()-W70,X70-W70)</f>
        <v>-35</v>
      </c>
      <c r="AA70" s="184">
        <f ca="1">Z70-Y70</f>
        <v>-35</v>
      </c>
      <c r="AB70" s="348">
        <f>AG70-$AB$5</f>
        <v>46247</v>
      </c>
      <c r="AC70" s="332" t="str">
        <f>IF(_xlfn.XLOOKUP($E70,'[1]Import Eletra'!$B:$B,'[1]Import Eletra'!$AD:$AD,,0,1)=0,"",_xlfn.XLOOKUP($E70,'[1]Import Eletra'!$B:$B,'[1]Import Eletra'!$AD:$AD,,0,1))</f>
        <v/>
      </c>
      <c r="AD70" s="113">
        <f>$AB$4</f>
        <v>0</v>
      </c>
      <c r="AE70" s="113">
        <f ca="1">IF(AC70="",TODAY()-AB70,AC70-AB70)</f>
        <v>-36</v>
      </c>
      <c r="AF70" s="184">
        <f ca="1">AE70-AD70</f>
        <v>-36</v>
      </c>
      <c r="AG70" s="355">
        <f>AL70-$AL$5</f>
        <v>46248</v>
      </c>
      <c r="AH70" s="332" t="str">
        <f>IF(_xlfn.XLOOKUP($E70,'[1]Import Eletra'!$B:$B,'[1]Import Eletra'!$AE:$AE,,0,1)=0,"",_xlfn.XLOOKUP($E70,'[1]Import Eletra'!$B:$B,'[1]Import Eletra'!$AE:$AE,,0,1))</f>
        <v/>
      </c>
      <c r="AI70" s="113">
        <f>$AG$4</f>
        <v>0</v>
      </c>
      <c r="AJ70" s="113">
        <f ca="1">IF(AH70="",TODAY()-AG70,AH70-AG70)</f>
        <v>-37</v>
      </c>
      <c r="AK70" s="184">
        <f ca="1">AJ70-AI70</f>
        <v>-37</v>
      </c>
      <c r="AL70" s="355">
        <f>AQ70-$AQ$5</f>
        <v>46248</v>
      </c>
      <c r="AM70" s="332" t="str">
        <f>IF(_xlfn.XLOOKUP($E70,'[1]Import Eletra'!$B:$B,'[1]Import Eletra'!$AT:$AT,,0,1)=0,"",_xlfn.XLOOKUP($E70,'[1]Import Eletra'!$B:$B,'[1]Import Eletra'!$AT:$AT,,0,1))</f>
        <v/>
      </c>
      <c r="AN70" s="113">
        <f>$AL$4</f>
        <v>0</v>
      </c>
      <c r="AO70" s="113">
        <f ca="1">IF(AM70="",TODAY()-AL70,AM70-AL70)</f>
        <v>-37</v>
      </c>
      <c r="AP70" s="184">
        <f ca="1">AO70-AN70</f>
        <v>-37</v>
      </c>
      <c r="AQ70" s="357">
        <f>AV70-$AV$5</f>
        <v>46249</v>
      </c>
      <c r="AR70" s="332" t="str">
        <f>IF(_xlfn.XLOOKUP($E70,'[1]Import Eletra'!$B:$B,'[1]Import Eletra'!$AU:$AU,,0,1)=0,"",_xlfn.XLOOKUP($E70,'[1]Import Eletra'!$B:$B,'[1]Import Eletra'!$AU:$AU,,0,1))</f>
        <v/>
      </c>
      <c r="AS70" s="113">
        <f>$AQ$4</f>
        <v>1</v>
      </c>
      <c r="AT70" s="113">
        <f ca="1">IF(AR70="",TODAY()-AQ70,AR70-AQ70)</f>
        <v>-38</v>
      </c>
      <c r="AU70" s="184">
        <f ca="1">AT70-AS70</f>
        <v>-39</v>
      </c>
      <c r="AV70" s="355">
        <f>BA70-$BA$5</f>
        <v>46249</v>
      </c>
      <c r="AW70" s="332" t="str">
        <f>IF(_xlfn.XLOOKUP($E70,'[1]Import Eletra'!$B:$B,'[1]Import Eletra'!$AV:$AV,,0,1)=0,"",_xlfn.XLOOKUP($E70,'[1]Import Eletra'!$B:$B,'[1]Import Eletra'!$AV:$AV,,0,1))</f>
        <v/>
      </c>
      <c r="AX70" s="113">
        <f>$AV$4</f>
        <v>0</v>
      </c>
      <c r="AY70" s="113">
        <f ca="1">IF(AW70="",TODAY()-AV70,AW70-AV70)</f>
        <v>-38</v>
      </c>
      <c r="AZ70" s="184">
        <f ca="1">AY70-AX70</f>
        <v>-38</v>
      </c>
      <c r="BA70" s="357">
        <f>BF70-$BF$5</f>
        <v>46249</v>
      </c>
      <c r="BB70" s="332" t="str">
        <f>IF(_xlfn.XLOOKUP($E70,'[1]Import Eletra'!$B:$B,'[1]Import Eletra'!$AW:$AW,,0,1)=0,"",_xlfn.XLOOKUP($E70,'[1]Import Eletra'!$B:$B,'[1]Import Eletra'!$AW:$AW,,0,1))</f>
        <v/>
      </c>
      <c r="BC70" s="113">
        <f>$BA$4</f>
        <v>0</v>
      </c>
      <c r="BD70" s="113">
        <f ca="1">IF(BB70="",TODAY()-BA70,BB70-BA70)</f>
        <v>-38</v>
      </c>
      <c r="BE70" s="184">
        <f ca="1">BD70-BC70</f>
        <v>-38</v>
      </c>
      <c r="BF70" s="335">
        <f>BK70-$BK$5</f>
        <v>46249</v>
      </c>
      <c r="BG70" s="332" t="str">
        <f>IF(_xlfn.XLOOKUP($E70,'[1]Import Eletra'!$B:$B,'[1]Import Eletra'!$AX:$AX,,0,1)=0,"",_xlfn.XLOOKUP($E70,'[1]Import Eletra'!$B:$B,'[1]Import Eletra'!$AX:$AX,,0,1))</f>
        <v/>
      </c>
      <c r="BH70" s="113">
        <f>$BF$4</f>
        <v>0</v>
      </c>
      <c r="BI70" s="113">
        <f ca="1">IF(BG70="",TODAY()-BF70,BG70-BF70)</f>
        <v>-38</v>
      </c>
      <c r="BJ70" s="184">
        <f ca="1">BI70-BH70</f>
        <v>-38</v>
      </c>
      <c r="BK70" s="362">
        <f>BP70-$BP$5</f>
        <v>46249</v>
      </c>
      <c r="BL70" s="332" t="str">
        <f>IF(_xlfn.XLOOKUP($E70,'[1]Import Eletra'!$B:$B,'[1]Import Eletra'!$AY:$AY,,0,1)=0,"",_xlfn.XLOOKUP($E70,'[1]Import Eletra'!$B:$B,'[1]Import Eletra'!$AY:$AY,,0,1))</f>
        <v/>
      </c>
      <c r="BM70" s="113">
        <f>$BK$4</f>
        <v>0</v>
      </c>
      <c r="BN70" s="113">
        <f ca="1">IF(BL70="",TODAY()-BK70,BL70-BK70)</f>
        <v>-38</v>
      </c>
      <c r="BO70" s="184">
        <f ca="1">BN70-BM70</f>
        <v>-38</v>
      </c>
      <c r="BP70" s="335">
        <f>BU70-$BU$5</f>
        <v>46249</v>
      </c>
      <c r="BQ70" s="332" t="str">
        <f>IF(_xlfn.XLOOKUP($E70,'[1]Import Eletra'!$B:$B,'[1]Import Eletra'!$AZ:$AZ,,0,1)=0,"",_xlfn.XLOOKUP($E70,'[1]Import Eletra'!$B:$B,'[1]Import Eletra'!$AZ:$AZ,,0,1))</f>
        <v/>
      </c>
      <c r="BR70" s="113">
        <f>$BP$4</f>
        <v>0</v>
      </c>
      <c r="BS70" s="113">
        <f ca="1">IF(BQ70="",TODAY()-BP70,BQ70-BP70)</f>
        <v>-38</v>
      </c>
      <c r="BT70" s="184">
        <f ca="1">BS70-BR70</f>
        <v>-38</v>
      </c>
      <c r="BU70" s="362">
        <f>BZ70-$BZ$4</f>
        <v>46251</v>
      </c>
      <c r="BV70" s="332" t="str">
        <f>IF(_xlfn.XLOOKUP($E70,'[1]Import Eletra'!$B:$B,'[1]Import Eletra'!$BA:$BA,,0,1)=0,"",_xlfn.XLOOKUP($E70,'[1]Import Eletra'!$B:$B,'[1]Import Eletra'!$BA:$BA,,0,1))</f>
        <v/>
      </c>
      <c r="BW70" s="113">
        <f>$BU$4</f>
        <v>2</v>
      </c>
      <c r="BX70" s="113">
        <f ca="1">IF(BV70="",TODAY()-BU70,BV70-BU70)</f>
        <v>-40</v>
      </c>
      <c r="BY70" s="184">
        <f ca="1">BX70-BW70</f>
        <v>-42</v>
      </c>
      <c r="BZ70" s="335">
        <f>CE70-$CE$5</f>
        <v>46251</v>
      </c>
      <c r="CA70" s="332" t="str">
        <f>IF(_xlfn.XLOOKUP($E70,'[1]Import Eletra'!$B:$B,'[1]Import Eletra'!$BB:$BB,,0,1)=0,"",_xlfn.XLOOKUP($E70,'[1]Import Eletra'!$B:$B,'[1]Import Eletra'!$BB:$BB,,0,1))</f>
        <v/>
      </c>
      <c r="CB70" s="113">
        <f>$BZ$4</f>
        <v>0</v>
      </c>
      <c r="CC70" s="113">
        <f ca="1">IF(CA70="",TODAY()-BZ70,CA70-BZ70)</f>
        <v>-40</v>
      </c>
      <c r="CD70" s="184">
        <f ca="1">CC70-CB70</f>
        <v>-40</v>
      </c>
      <c r="CE70" s="362">
        <f>CJ70-$CJ$4</f>
        <v>46251</v>
      </c>
      <c r="CF70" s="332" t="str">
        <f>IF(_xlfn.XLOOKUP($E70,'[1]Import Eletra'!$B:$B,'[1]Import Eletra'!$BC:$BC,,0,1)=0,"",_xlfn.XLOOKUP($E70,'[1]Import Eletra'!$B:$B,'[1]Import Eletra'!$BC:$BC,,0,1))</f>
        <v/>
      </c>
      <c r="CG70" s="113">
        <f>$CE$4</f>
        <v>0</v>
      </c>
      <c r="CH70" s="113">
        <f ca="1">IF(CF70="",TODAY()-CE70,CF70-CE70)</f>
        <v>-40</v>
      </c>
      <c r="CI70" s="184">
        <f ca="1">CH70-CG70</f>
        <v>-40</v>
      </c>
      <c r="CJ70" s="335">
        <f>CO70-$CO$4</f>
        <v>46251</v>
      </c>
      <c r="CK70" s="332" t="str">
        <f>IF(_xlfn.XLOOKUP($E70,'[1]Import Eletra'!$B:$B,'[1]Import Eletra'!$BD:$BD,,0,1)=0,"",_xlfn.XLOOKUP($E70,'[1]Import Eletra'!$B:$B,'[1]Import Eletra'!$BD:$BD,,0,1))</f>
        <v/>
      </c>
      <c r="CL70" s="113"/>
      <c r="CM70" s="113">
        <f ca="1">IF(CK70="",TODAY()-CJ70,CK70-CJ70)</f>
        <v>-40</v>
      </c>
      <c r="CN70" s="184">
        <f ca="1">CM70-CL70</f>
        <v>-40</v>
      </c>
      <c r="CO70" s="362">
        <f>CT70-$CT$4</f>
        <v>46251</v>
      </c>
      <c r="CP70" s="332" t="str">
        <f>IF(_xlfn.XLOOKUP($E70,'[1]Import Eletra'!$B:$B,'[1]Import Eletra'!$BE:$BE,,0,1)=0,"",_xlfn.XLOOKUP($E70,'[1]Import Eletra'!$B:$B,'[1]Import Eletra'!$BE:$BE,,0,1))</f>
        <v/>
      </c>
      <c r="CQ70" s="113">
        <f>$CO$4</f>
        <v>0</v>
      </c>
      <c r="CR70" s="113">
        <f ca="1">IF(CP70="",TODAY()-CO70,CP70-CO70)</f>
        <v>-40</v>
      </c>
      <c r="CS70" s="184">
        <f ca="1">CR70-CQ70</f>
        <v>-40</v>
      </c>
      <c r="CT70" s="335">
        <f>CY70-$CY$4</f>
        <v>46251</v>
      </c>
      <c r="CU70" s="332" t="str">
        <f>IF(_xlfn.XLOOKUP($E70,'[1]Import Eletra'!$B:$B,'[1]Import Eletra'!$BF:$BF,,0,1)=0,"",_xlfn.XLOOKUP($E70,'[1]Import Eletra'!$B:$B,'[1]Import Eletra'!$BF:$BF,,0,1))</f>
        <v/>
      </c>
      <c r="CV70" s="113">
        <f>$CT$4</f>
        <v>0</v>
      </c>
      <c r="CW70" s="113">
        <f ca="1">IF(CU70="",TODAY()-CT70,CU70-CT70)</f>
        <v>-40</v>
      </c>
      <c r="CX70" s="184">
        <f ca="1">CW70-CV70</f>
        <v>-40</v>
      </c>
      <c r="CY70" s="110">
        <f>DD70-$DD$4</f>
        <v>46251</v>
      </c>
      <c r="CZ70" s="247" t="str">
        <f>IF(_xlfn.XLOOKUP($E70,'[1]Import Eletra'!$B:$B,'[1]Import Eletra'!$BF:$BF,,0,1)=0,"",_xlfn.XLOOKUP($E70,'[1]Import Eletra'!$B:$B,'[1]Import Eletra'!$BF:$BF,,0,1))</f>
        <v/>
      </c>
      <c r="DA70" s="210">
        <f>$CY$4</f>
        <v>0</v>
      </c>
      <c r="DB70" s="113">
        <f ca="1">IF(CZ70="",TODAY()-CY70,CZ70-CY70)</f>
        <v>-40</v>
      </c>
      <c r="DC70" s="184">
        <f ca="1">DB70-DA70</f>
        <v>-40</v>
      </c>
      <c r="DD70" s="110">
        <f>DI70-$DI$4</f>
        <v>46253</v>
      </c>
      <c r="DE70" s="247" t="str">
        <f>IF(_xlfn.XLOOKUP($E70,'[1]Import Eletra'!$B:$B,'[1]Import Eletra'!$BG:$BG,,0,1)=0,"",_xlfn.XLOOKUP($E70,'[1]Import Eletra'!$B:$B,'[1]Import Eletra'!$BG:$BG,0,1))</f>
        <v/>
      </c>
      <c r="DF70" s="113">
        <f>$DD$4</f>
        <v>2</v>
      </c>
      <c r="DG70" s="113">
        <f ca="1">IF(DE70="",TODAY()-DD70,DE70-DD70)</f>
        <v>-42</v>
      </c>
      <c r="DH70" s="184">
        <f ca="1">DG70-DF70</f>
        <v>-44</v>
      </c>
      <c r="DI70" s="110">
        <f>DO70-$DN$4</f>
        <v>46254</v>
      </c>
      <c r="DJ70" s="247" t="str">
        <f>IF(_xlfn.XLOOKUP($E70,'[1]Import Eletra'!$B:$B,'[1]Import Eletra'!$BH:$BH,,0,1)=0,"",_xlfn.XLOOKUP($E70,'[1]Import Eletra'!$B:$B,'[1]Import Eletra'!$BH:$BH,0,1))</f>
        <v/>
      </c>
      <c r="DK70" s="112">
        <f>$DI$4</f>
        <v>1</v>
      </c>
      <c r="DL70" s="112">
        <f ca="1">IF(DJ70="",TODAY()-DI70,DJ70-DI70)</f>
        <v>-43</v>
      </c>
      <c r="DM70" s="184">
        <f ca="1">DL70-DK70</f>
        <v>-44</v>
      </c>
      <c r="DN70" s="64"/>
      <c r="DO70" s="202">
        <f>N70+DT70</f>
        <v>46255</v>
      </c>
      <c r="DP70" s="298" t="str">
        <f>IF(_xlfn.XLOOKUP($E70,'[1]Import Eletra'!$B:$B,'[1]Import Eletra'!$O:$O,,0,1)=0,"",_xlfn.XLOOKUP($E70,'[1]Import Eletra'!$B:$B,'[1]Import Eletra'!$O:$O,0,1))</f>
        <v/>
      </c>
      <c r="DQ70" s="112">
        <f>$DN$4</f>
        <v>1</v>
      </c>
      <c r="DR70" s="112">
        <f ca="1">IF(DP70="",TODAY()-DO70,DP70-DO70)</f>
        <v>-44</v>
      </c>
      <c r="DS70" s="184">
        <f ca="1">DR70-DQ70</f>
        <v>-45</v>
      </c>
      <c r="DT70" s="143">
        <v>10</v>
      </c>
      <c r="DU70" s="140">
        <f t="shared" ca="1" si="1"/>
        <v>-34</v>
      </c>
      <c r="DV70" s="184">
        <f ca="1">DU70-DT70</f>
        <v>-44</v>
      </c>
      <c r="DX70" s="142"/>
      <c r="DY70" s="108" t="str">
        <f>IF(_xlfn.XLOOKUP($E70,'[1]Import Eletra'!$B:$B,'[1]Import Eletra'!$DW:$DW,,0,1)=0,"",_xlfn.XLOOKUP($E70,'[1]Import Eletra'!$B:$B,'[1]Import Eletra'!$DW:$DW,0,1))</f>
        <v/>
      </c>
      <c r="EB70" s="287"/>
      <c r="ED70" s="409" t="str">
        <f>IF(_xlfn.XLOOKUP($E70,'[1]Import Eletra'!$B:$B,'[1]Import Eletra'!$BQ:$BQ,,0,1)=0,"",_xlfn.XLOOKUP($E70,'[1]Import Eletra'!$B:$B,'[1]Import Eletra'!$BQ:$BQ,0,1))</f>
        <v/>
      </c>
      <c r="EE70" s="410" t="str">
        <f>IF(_xlfn.XLOOKUP($E70,'[1]Import Eletra'!$B:$B,'[1]Import Eletra'!$BR:$BR,,0,1)=0,"",_xlfn.XLOOKUP($E70,'[1]Import Eletra'!$B:$B,'[1]Import Eletra'!$BR:$BR,0,1))</f>
        <v/>
      </c>
      <c r="EF70" s="409" t="str">
        <f>IF(_xlfn.XLOOKUP($E70,'[1]Import Eletra'!$B:$B,'[1]Import Eletra'!$BS:$BS,,0,1)=0,"",_xlfn.XLOOKUP($E70,'[1]Import Eletra'!$B:$B,'[1]Import Eletra'!$BS:$BS,0,1))</f>
        <v/>
      </c>
      <c r="EG70" s="410" t="str">
        <f>IF(_xlfn.XLOOKUP($E70,'[1]Import Eletra'!$B:$B,'[1]Import Eletra'!$BT:$BT,,0,1)=0,"",_xlfn.XLOOKUP($E70,'[1]Import Eletra'!$B:$B,'[1]Import Eletra'!$BT:$BT,0,1))</f>
        <v/>
      </c>
      <c r="EH70" s="409" t="str">
        <f>IF(_xlfn.XLOOKUP($E70,'[1]Import Eletra'!$B:$B,'[1]Import Eletra'!$BU:$BU,,0,1)=0,"",_xlfn.XLOOKUP($E70,'[1]Import Eletra'!$B:$B,'[1]Import Eletra'!$BU:$BU,0,1))</f>
        <v/>
      </c>
      <c r="EI70" s="410" t="str">
        <f>IF(_xlfn.XLOOKUP($E70,'[1]Import Eletra'!$B:$B,'[1]Import Eletra'!$BV:$BV,,0,1)=0,"",_xlfn.XLOOKUP($E70,'[1]Import Eletra'!$B:$B,'[1]Import Eletra'!$BV:$BV,0,1))</f>
        <v/>
      </c>
      <c r="EJ70" s="410" t="str">
        <f>IF(_xlfn.XLOOKUP($E70,'[1]Import Eletra'!$B:$B,'[1]Import Eletra'!$CI:$CI,,0,1)=0,"",_xlfn.XLOOKUP($E70,'[1]Import Eletra'!$B:$B,'[1]Import Eletra'!$CI:$CI,0,1))</f>
        <v/>
      </c>
      <c r="EK70" s="410" t="str">
        <f>IF(_xlfn.XLOOKUP($E70,'[1]Import Eletra'!$B:$B,'[1]Import Eletra'!$CD:$CD,,0,1)=0,"",_xlfn.XLOOKUP($E70,'[1]Import Eletra'!$B:$B,'[1]Import Eletra'!$CD:$CD,0,1))</f>
        <v/>
      </c>
      <c r="EL70" s="410" t="str">
        <f>IF(_xlfn.XLOOKUP($E70,'[1]Import Eletra'!$B:$B,'[1]Import Eletra'!$CE:$CE,,0,1)=0,"",_xlfn.XLOOKUP($E70,'[1]Import Eletra'!$B:$B,'[1]Import Eletra'!$CE:$CE,0,1))</f>
        <v/>
      </c>
      <c r="EM70" s="411" t="str">
        <f>IF(_xlfn.XLOOKUP($E70,'[1]Import Eletra'!$B:$B,'[1]Import Eletra'!$E:$E,,0,1)=0,"",_xlfn.XLOOKUP($E70,'[1]Import Eletra'!$B:$B,'[1]Import Eletra'!$E:$E,0,1))</f>
        <v>CATARINA</v>
      </c>
      <c r="EN70" s="408" t="str">
        <f>IF(_xlfn.XLOOKUP($E70,'[1]Import Eletra'!$B:$B,'[1]Import Eletra'!$R:$R,,0,1)=0,"",_xlfn.XLOOKUP($E70,'[1]Import Eletra'!$B:$B,'[1]Import Eletra'!$R:$R,0,1))</f>
        <v>PWBR260053-20</v>
      </c>
      <c r="EO70" s="408" t="str">
        <f>IF(_xlfn.XLOOKUP($E70,'[1]Import Eletra'!$B:$B,'[1]Import Eletra'!$P:$P,,0,1)=0,"",_xlfn.XLOOKUP($E70,'[1]Import Eletra'!$B:$B,'[1]Import Eletra'!$P:$P,0,1))</f>
        <v>SYNHGH26SE061367A</v>
      </c>
      <c r="EP70" s="408" t="str">
        <f>IF(_xlfn.XLOOKUP($E70,'[1]Import Eletra'!$B:$B,'[1]Import Eletra'!$T:$T,,0,1)=0,"",_xlfn.XLOOKUP($E70,'[1]Import Eletra'!$B:$B,'[1]Import Eletra'!$T:$T,0,1))</f>
        <v>TEMU8270482</v>
      </c>
    </row>
    <row r="71" spans="2:146" ht="30" customHeight="1">
      <c r="B71" s="371"/>
      <c r="C71" s="369"/>
      <c r="D71" s="104" t="str">
        <f>IF(_xlfn.XLOOKUP($E71,'[1]Import Eletra'!$B:$B,'[1]Import Eletra'!$A:$A,,0,1)=0,"",_xlfn.XLOOKUP($E71,'[1]Import Eletra'!$B:$B,'[1]Import Eletra'!$A:$A,,0,1))</f>
        <v>AUG_2026</v>
      </c>
      <c r="E71" s="275" t="s">
        <v>379</v>
      </c>
      <c r="F71" s="106" t="str">
        <f>IF(_xlfn.XLOOKUP($E71,'[1]Import Eletra'!$B:$B,'[1]Import Eletra'!$U:$U,,0,1)=0,"",_xlfn.XLOOKUP($E71,'[1]Import Eletra'!$B:$B,'[1]Import Eletra'!$U:$U,,0,1))</f>
        <v/>
      </c>
      <c r="G71" s="301" t="s">
        <v>244</v>
      </c>
      <c r="H71" s="2" t="str">
        <f>_xlfn.XLOOKUP($E71,'[1]Import Eletra'!$B:$B,'[1]Import Eletra'!$F:$F,,0,1)</f>
        <v>WAITING SHIPMENT</v>
      </c>
      <c r="I71" s="108" t="str">
        <f>_xlfn.XLOOKUP($E71,'[1]Import Eletra'!$B:$B,'[1]Import Eletra'!$G:$G,,0,1)</f>
        <v>SEA</v>
      </c>
      <c r="J71" s="326">
        <f>IF(_xlfn.XLOOKUP($E71,'[1]Import Eletra'!$B:$B,'[1]Import Eletra'!$DX:$DX,,0,1)=0,"",_xlfn.XLOOKUP($E71,'[1]Import Eletra'!$B:$B,'[1]Import Eletra'!$DX:$DX,,0,1))</f>
        <v>46206</v>
      </c>
      <c r="K71" s="109">
        <v>30</v>
      </c>
      <c r="L71" s="321" t="e">
        <f>M71-J71</f>
        <v>#VALUE!</v>
      </c>
      <c r="M71" s="326" t="str">
        <f>IF(_xlfn.XLOOKUP($E71,'[1]Import Eletra'!$B:$B,'[1]Import Eletra'!$J:$J,,0,1)=0,"",_xlfn.XLOOKUP($E71,'[1]Import Eletra'!$B:$B,'[1]Import Eletra'!$J:$J,,0,1))</f>
        <v/>
      </c>
      <c r="N71" s="333" t="str">
        <f>IF(_xlfn.XLOOKUP($E71,'[1]Import Eletra'!$B:$B,'[1]Import Eletra'!$L:$L,,0,1)=0,"",_xlfn.XLOOKUP($E71,'[1]Import Eletra'!$B:$B,'[1]Import Eletra'!$L:$L,,0,1))</f>
        <v/>
      </c>
      <c r="O71" s="336"/>
      <c r="P71" s="326"/>
      <c r="Q71" s="326"/>
      <c r="R71" s="326"/>
      <c r="S71" s="326"/>
      <c r="T71" s="326"/>
      <c r="U71" s="326"/>
      <c r="V71" s="339"/>
      <c r="W71" s="335" t="e">
        <f>AB71-$AB$5</f>
        <v>#VALUE!</v>
      </c>
      <c r="X71" s="332" t="str">
        <f>IF(_xlfn.XLOOKUP($E71,'[1]Import Eletra'!$B:$B,'[1]Import Eletra'!$AS:$AS,,0,1)=0,"",_xlfn.XLOOKUP($E71,'[1]Import Eletra'!$B:$B,'[1]Import Eletra'!$AS:$AS,,0,1))</f>
        <v/>
      </c>
      <c r="Y71" s="113">
        <f>$W$4</f>
        <v>0</v>
      </c>
      <c r="Z71" s="113" t="e">
        <f ca="1">IF(X71="",TODAY()-W71,X71-W71)</f>
        <v>#VALUE!</v>
      </c>
      <c r="AA71" s="184" t="e">
        <f ca="1">Z71-Y71</f>
        <v>#VALUE!</v>
      </c>
      <c r="AB71" s="348" t="e">
        <f>AG71-$AB$5</f>
        <v>#VALUE!</v>
      </c>
      <c r="AC71" s="332" t="str">
        <f>IF(_xlfn.XLOOKUP($E71,'[1]Import Eletra'!$B:$B,'[1]Import Eletra'!$AD:$AD,,0,1)=0,"",_xlfn.XLOOKUP($E71,'[1]Import Eletra'!$B:$B,'[1]Import Eletra'!$AD:$AD,,0,1))</f>
        <v/>
      </c>
      <c r="AD71" s="113">
        <f>$AB$4</f>
        <v>0</v>
      </c>
      <c r="AE71" s="113" t="e">
        <f ca="1">IF(AC71="",TODAY()-AB71,AC71-AB71)</f>
        <v>#VALUE!</v>
      </c>
      <c r="AF71" s="184" t="e">
        <f ca="1">AE71-AD71</f>
        <v>#VALUE!</v>
      </c>
      <c r="AG71" s="355" t="e">
        <f>AL71-$AL$5</f>
        <v>#VALUE!</v>
      </c>
      <c r="AH71" s="332" t="str">
        <f>IF(_xlfn.XLOOKUP($E71,'[1]Import Eletra'!$B:$B,'[1]Import Eletra'!$AE:$AE,,0,1)=0,"",_xlfn.XLOOKUP($E71,'[1]Import Eletra'!$B:$B,'[1]Import Eletra'!$AE:$AE,,0,1))</f>
        <v/>
      </c>
      <c r="AI71" s="113">
        <f>$AG$4</f>
        <v>0</v>
      </c>
      <c r="AJ71" s="113" t="e">
        <f ca="1">IF(AH71="",TODAY()-AG71,AH71-AG71)</f>
        <v>#VALUE!</v>
      </c>
      <c r="AK71" s="184" t="e">
        <f ca="1">AJ71-AI71</f>
        <v>#VALUE!</v>
      </c>
      <c r="AL71" s="355" t="e">
        <f>AQ71-$AQ$5</f>
        <v>#VALUE!</v>
      </c>
      <c r="AM71" s="332" t="str">
        <f>IF(_xlfn.XLOOKUP($E71,'[1]Import Eletra'!$B:$B,'[1]Import Eletra'!$AT:$AT,,0,1)=0,"",_xlfn.XLOOKUP($E71,'[1]Import Eletra'!$B:$B,'[1]Import Eletra'!$AT:$AT,,0,1))</f>
        <v/>
      </c>
      <c r="AN71" s="113">
        <f>$AL$4</f>
        <v>0</v>
      </c>
      <c r="AO71" s="113" t="e">
        <f ca="1">IF(AM71="",TODAY()-AL71,AM71-AL71)</f>
        <v>#VALUE!</v>
      </c>
      <c r="AP71" s="184" t="e">
        <f ca="1">AO71-AN71</f>
        <v>#VALUE!</v>
      </c>
      <c r="AQ71" s="357" t="e">
        <f>AV71-$AV$5</f>
        <v>#VALUE!</v>
      </c>
      <c r="AR71" s="332" t="str">
        <f>IF(_xlfn.XLOOKUP($E71,'[1]Import Eletra'!$B:$B,'[1]Import Eletra'!$AU:$AU,,0,1)=0,"",_xlfn.XLOOKUP($E71,'[1]Import Eletra'!$B:$B,'[1]Import Eletra'!$AU:$AU,,0,1))</f>
        <v/>
      </c>
      <c r="AS71" s="113">
        <f>$AQ$4</f>
        <v>1</v>
      </c>
      <c r="AT71" s="113" t="e">
        <f ca="1">IF(AR71="",TODAY()-AQ71,AR71-AQ71)</f>
        <v>#VALUE!</v>
      </c>
      <c r="AU71" s="184" t="e">
        <f ca="1">AT71-AS71</f>
        <v>#VALUE!</v>
      </c>
      <c r="AV71" s="355" t="e">
        <f>BA71-$BA$5</f>
        <v>#VALUE!</v>
      </c>
      <c r="AW71" s="332" t="str">
        <f>IF(_xlfn.XLOOKUP($E71,'[1]Import Eletra'!$B:$B,'[1]Import Eletra'!$AV:$AV,,0,1)=0,"",_xlfn.XLOOKUP($E71,'[1]Import Eletra'!$B:$B,'[1]Import Eletra'!$AV:$AV,,0,1))</f>
        <v/>
      </c>
      <c r="AX71" s="113">
        <f>$AV$4</f>
        <v>0</v>
      </c>
      <c r="AY71" s="113" t="e">
        <f ca="1">IF(AW71="",TODAY()-AV71,AW71-AV71)</f>
        <v>#VALUE!</v>
      </c>
      <c r="AZ71" s="184" t="e">
        <f ca="1">AY71-AX71</f>
        <v>#VALUE!</v>
      </c>
      <c r="BA71" s="357" t="e">
        <f>BF71-$BF$5</f>
        <v>#VALUE!</v>
      </c>
      <c r="BB71" s="332" t="str">
        <f>IF(_xlfn.XLOOKUP($E71,'[1]Import Eletra'!$B:$B,'[1]Import Eletra'!$AW:$AW,,0,1)=0,"",_xlfn.XLOOKUP($E71,'[1]Import Eletra'!$B:$B,'[1]Import Eletra'!$AW:$AW,,0,1))</f>
        <v/>
      </c>
      <c r="BC71" s="113">
        <f>$BA$4</f>
        <v>0</v>
      </c>
      <c r="BD71" s="113" t="e">
        <f ca="1">IF(BB71="",TODAY()-BA71,BB71-BA71)</f>
        <v>#VALUE!</v>
      </c>
      <c r="BE71" s="184" t="e">
        <f ca="1">BD71-BC71</f>
        <v>#VALUE!</v>
      </c>
      <c r="BF71" s="335" t="e">
        <f>BK71-$BK$5</f>
        <v>#VALUE!</v>
      </c>
      <c r="BG71" s="332" t="str">
        <f>IF(_xlfn.XLOOKUP($E71,'[1]Import Eletra'!$B:$B,'[1]Import Eletra'!$AX:$AX,,0,1)=0,"",_xlfn.XLOOKUP($E71,'[1]Import Eletra'!$B:$B,'[1]Import Eletra'!$AX:$AX,,0,1))</f>
        <v/>
      </c>
      <c r="BH71" s="113">
        <f>$BF$4</f>
        <v>0</v>
      </c>
      <c r="BI71" s="113" t="e">
        <f ca="1">IF(BG71="",TODAY()-BF71,BG71-BF71)</f>
        <v>#VALUE!</v>
      </c>
      <c r="BJ71" s="184" t="e">
        <f ca="1">BI71-BH71</f>
        <v>#VALUE!</v>
      </c>
      <c r="BK71" s="362" t="e">
        <f>BP71-$BP$5</f>
        <v>#VALUE!</v>
      </c>
      <c r="BL71" s="332" t="str">
        <f>IF(_xlfn.XLOOKUP($E71,'[1]Import Eletra'!$B:$B,'[1]Import Eletra'!$AY:$AY,,0,1)=0,"",_xlfn.XLOOKUP($E71,'[1]Import Eletra'!$B:$B,'[1]Import Eletra'!$AY:$AY,,0,1))</f>
        <v/>
      </c>
      <c r="BM71" s="113">
        <f>$BK$4</f>
        <v>0</v>
      </c>
      <c r="BN71" s="113" t="e">
        <f ca="1">IF(BL71="",TODAY()-BK71,BL71-BK71)</f>
        <v>#VALUE!</v>
      </c>
      <c r="BO71" s="184" t="e">
        <f ca="1">BN71-BM71</f>
        <v>#VALUE!</v>
      </c>
      <c r="BP71" s="335" t="e">
        <f>BU71-$BU$5</f>
        <v>#VALUE!</v>
      </c>
      <c r="BQ71" s="332" t="str">
        <f>IF(_xlfn.XLOOKUP($E71,'[1]Import Eletra'!$B:$B,'[1]Import Eletra'!$AZ:$AZ,,0,1)=0,"",_xlfn.XLOOKUP($E71,'[1]Import Eletra'!$B:$B,'[1]Import Eletra'!$AZ:$AZ,,0,1))</f>
        <v/>
      </c>
      <c r="BR71" s="113">
        <f>$BP$4</f>
        <v>0</v>
      </c>
      <c r="BS71" s="113" t="e">
        <f ca="1">IF(BQ71="",TODAY()-BP71,BQ71-BP71)</f>
        <v>#VALUE!</v>
      </c>
      <c r="BT71" s="184" t="e">
        <f ca="1">BS71-BR71</f>
        <v>#VALUE!</v>
      </c>
      <c r="BU71" s="362" t="e">
        <f>BZ71-$BZ$4</f>
        <v>#VALUE!</v>
      </c>
      <c r="BV71" s="332" t="str">
        <f>IF(_xlfn.XLOOKUP($E71,'[1]Import Eletra'!$B:$B,'[1]Import Eletra'!$BA:$BA,,0,1)=0,"",_xlfn.XLOOKUP($E71,'[1]Import Eletra'!$B:$B,'[1]Import Eletra'!$BA:$BA,,0,1))</f>
        <v/>
      </c>
      <c r="BW71" s="113">
        <f>$BU$4</f>
        <v>2</v>
      </c>
      <c r="BX71" s="113" t="e">
        <f ca="1">IF(BV71="",TODAY()-BU71,BV71-BU71)</f>
        <v>#VALUE!</v>
      </c>
      <c r="BY71" s="184" t="e">
        <f ca="1">BX71-BW71</f>
        <v>#VALUE!</v>
      </c>
      <c r="BZ71" s="335" t="e">
        <f>CE71-$CE$5</f>
        <v>#VALUE!</v>
      </c>
      <c r="CA71" s="332" t="str">
        <f>IF(_xlfn.XLOOKUP($E71,'[1]Import Eletra'!$B:$B,'[1]Import Eletra'!$BB:$BB,,0,1)=0,"",_xlfn.XLOOKUP($E71,'[1]Import Eletra'!$B:$B,'[1]Import Eletra'!$BB:$BB,,0,1))</f>
        <v/>
      </c>
      <c r="CB71" s="113">
        <f>$BZ$4</f>
        <v>0</v>
      </c>
      <c r="CC71" s="113" t="e">
        <f ca="1">IF(CA71="",TODAY()-BZ71,CA71-BZ71)</f>
        <v>#VALUE!</v>
      </c>
      <c r="CD71" s="184" t="e">
        <f ca="1">CC71-CB71</f>
        <v>#VALUE!</v>
      </c>
      <c r="CE71" s="362" t="e">
        <f>CJ71-$CJ$4</f>
        <v>#VALUE!</v>
      </c>
      <c r="CF71" s="332" t="str">
        <f>IF(_xlfn.XLOOKUP($E71,'[1]Import Eletra'!$B:$B,'[1]Import Eletra'!$BC:$BC,,0,1)=0,"",_xlfn.XLOOKUP($E71,'[1]Import Eletra'!$B:$B,'[1]Import Eletra'!$BC:$BC,,0,1))</f>
        <v/>
      </c>
      <c r="CG71" s="113">
        <f>$CE$4</f>
        <v>0</v>
      </c>
      <c r="CH71" s="113" t="e">
        <f ca="1">IF(CF71="",TODAY()-CE71,CF71-CE71)</f>
        <v>#VALUE!</v>
      </c>
      <c r="CI71" s="184" t="e">
        <f ca="1">CH71-CG71</f>
        <v>#VALUE!</v>
      </c>
      <c r="CJ71" s="335" t="e">
        <f>CO71-$CO$4</f>
        <v>#VALUE!</v>
      </c>
      <c r="CK71" s="332" t="str">
        <f>IF(_xlfn.XLOOKUP($E71,'[1]Import Eletra'!$B:$B,'[1]Import Eletra'!$BD:$BD,,0,1)=0,"",_xlfn.XLOOKUP($E71,'[1]Import Eletra'!$B:$B,'[1]Import Eletra'!$BD:$BD,,0,1))</f>
        <v/>
      </c>
      <c r="CL71" s="113"/>
      <c r="CM71" s="113" t="e">
        <f ca="1">IF(CK71="",TODAY()-CJ71,CK71-CJ71)</f>
        <v>#VALUE!</v>
      </c>
      <c r="CN71" s="184" t="e">
        <f ca="1">CM71-CL71</f>
        <v>#VALUE!</v>
      </c>
      <c r="CO71" s="362" t="e">
        <f>CT71-$CT$4</f>
        <v>#VALUE!</v>
      </c>
      <c r="CP71" s="332" t="str">
        <f>IF(_xlfn.XLOOKUP($E71,'[1]Import Eletra'!$B:$B,'[1]Import Eletra'!$BE:$BE,,0,1)=0,"",_xlfn.XLOOKUP($E71,'[1]Import Eletra'!$B:$B,'[1]Import Eletra'!$BE:$BE,,0,1))</f>
        <v/>
      </c>
      <c r="CQ71" s="113">
        <f>$CO$4</f>
        <v>0</v>
      </c>
      <c r="CR71" s="113" t="e">
        <f ca="1">IF(CP71="",TODAY()-CO71,CP71-CO71)</f>
        <v>#VALUE!</v>
      </c>
      <c r="CS71" s="184" t="e">
        <f ca="1">CR71-CQ71</f>
        <v>#VALUE!</v>
      </c>
      <c r="CT71" s="335" t="e">
        <f>CY71-$CY$4</f>
        <v>#VALUE!</v>
      </c>
      <c r="CU71" s="332" t="str">
        <f>IF(_xlfn.XLOOKUP($E71,'[1]Import Eletra'!$B:$B,'[1]Import Eletra'!$BF:$BF,,0,1)=0,"",_xlfn.XLOOKUP($E71,'[1]Import Eletra'!$B:$B,'[1]Import Eletra'!$BF:$BF,,0,1))</f>
        <v/>
      </c>
      <c r="CV71" s="113">
        <f>$CT$4</f>
        <v>0</v>
      </c>
      <c r="CW71" s="113" t="e">
        <f ca="1">IF(CU71="",TODAY()-CT71,CU71-CT71)</f>
        <v>#VALUE!</v>
      </c>
      <c r="CX71" s="184" t="e">
        <f ca="1">CW71-CV71</f>
        <v>#VALUE!</v>
      </c>
      <c r="CY71" s="110" t="e">
        <f>DD71-$DD$4</f>
        <v>#VALUE!</v>
      </c>
      <c r="CZ71" s="247" t="str">
        <f>IF(_xlfn.XLOOKUP($E71,'[1]Import Eletra'!$B:$B,'[1]Import Eletra'!$BF:$BF,,0,1)=0,"",_xlfn.XLOOKUP($E71,'[1]Import Eletra'!$B:$B,'[1]Import Eletra'!$BF:$BF,,0,1))</f>
        <v/>
      </c>
      <c r="DA71" s="210">
        <f>$CY$4</f>
        <v>0</v>
      </c>
      <c r="DB71" s="113" t="e">
        <f ca="1">IF(CZ71="",TODAY()-CY71,CZ71-CY71)</f>
        <v>#VALUE!</v>
      </c>
      <c r="DC71" s="184" t="e">
        <f ca="1">DB71-DA71</f>
        <v>#VALUE!</v>
      </c>
      <c r="DD71" s="110" t="e">
        <f>DI71-$DI$4</f>
        <v>#VALUE!</v>
      </c>
      <c r="DE71" s="247" t="str">
        <f>IF(_xlfn.XLOOKUP($E71,'[1]Import Eletra'!$B:$B,'[1]Import Eletra'!$BG:$BG,,0,1)=0,"",_xlfn.XLOOKUP($E71,'[1]Import Eletra'!$B:$B,'[1]Import Eletra'!$BG:$BG,0,1))</f>
        <v/>
      </c>
      <c r="DF71" s="113">
        <f>$DD$4</f>
        <v>2</v>
      </c>
      <c r="DG71" s="113" t="e">
        <f ca="1">IF(DE71="",TODAY()-DD71,DE71-DD71)</f>
        <v>#VALUE!</v>
      </c>
      <c r="DH71" s="184" t="e">
        <f ca="1">DG71-DF71</f>
        <v>#VALUE!</v>
      </c>
      <c r="DI71" s="110" t="e">
        <f>DO71-$DN$4</f>
        <v>#VALUE!</v>
      </c>
      <c r="DJ71" s="247" t="str">
        <f>IF(_xlfn.XLOOKUP($E71,'[1]Import Eletra'!$B:$B,'[1]Import Eletra'!$BH:$BH,,0,1)=0,"",_xlfn.XLOOKUP($E71,'[1]Import Eletra'!$B:$B,'[1]Import Eletra'!$BH:$BH,0,1))</f>
        <v/>
      </c>
      <c r="DK71" s="112">
        <f>$DI$4</f>
        <v>1</v>
      </c>
      <c r="DL71" s="112" t="e">
        <f ca="1">IF(DJ71="",TODAY()-DI71,DJ71-DI71)</f>
        <v>#VALUE!</v>
      </c>
      <c r="DM71" s="184" t="e">
        <f ca="1">DL71-DK71</f>
        <v>#VALUE!</v>
      </c>
      <c r="DN71" s="64"/>
      <c r="DO71" s="202" t="e">
        <f>N71+DT71</f>
        <v>#VALUE!</v>
      </c>
      <c r="DP71" s="298" t="str">
        <f>IF(_xlfn.XLOOKUP($E71,'[1]Import Eletra'!$B:$B,'[1]Import Eletra'!$O:$O,,0,1)=0,"",_xlfn.XLOOKUP($E71,'[1]Import Eletra'!$B:$B,'[1]Import Eletra'!$O:$O,0,1))</f>
        <v/>
      </c>
      <c r="DQ71" s="112">
        <f>$DN$4</f>
        <v>1</v>
      </c>
      <c r="DR71" s="112" t="e">
        <f ca="1">IF(DP71="",TODAY()-DO71,DP71-DO71)</f>
        <v>#VALUE!</v>
      </c>
      <c r="DS71" s="184" t="e">
        <f ca="1">DR71-DQ71</f>
        <v>#VALUE!</v>
      </c>
      <c r="DT71" s="143">
        <v>10</v>
      </c>
      <c r="DU71" s="140" t="e">
        <f t="shared" ca="1" si="1"/>
        <v>#VALUE!</v>
      </c>
      <c r="DV71" s="184" t="e">
        <f ca="1">DU71-DT71</f>
        <v>#VALUE!</v>
      </c>
      <c r="DX71" s="142"/>
      <c r="DY71" s="108" t="str">
        <f>IF(_xlfn.XLOOKUP($E71,'[1]Import Eletra'!$B:$B,'[1]Import Eletra'!$DW:$DW,,0,1)=0,"",_xlfn.XLOOKUP($E71,'[1]Import Eletra'!$B:$B,'[1]Import Eletra'!$DW:$DW,0,1))</f>
        <v/>
      </c>
      <c r="EB71" s="287"/>
      <c r="ED71" s="409" t="str">
        <f>IF(_xlfn.XLOOKUP($E71,'[1]Import Eletra'!$B:$B,'[1]Import Eletra'!$BQ:$BQ,,0,1)=0,"",_xlfn.XLOOKUP($E71,'[1]Import Eletra'!$B:$B,'[1]Import Eletra'!$BQ:$BQ,0,1))</f>
        <v/>
      </c>
      <c r="EE71" s="410" t="str">
        <f>IF(_xlfn.XLOOKUP($E71,'[1]Import Eletra'!$B:$B,'[1]Import Eletra'!$BR:$BR,,0,1)=0,"",_xlfn.XLOOKUP($E71,'[1]Import Eletra'!$B:$B,'[1]Import Eletra'!$BR:$BR,0,1))</f>
        <v/>
      </c>
      <c r="EF71" s="409" t="str">
        <f>IF(_xlfn.XLOOKUP($E71,'[1]Import Eletra'!$B:$B,'[1]Import Eletra'!$BS:$BS,,0,1)=0,"",_xlfn.XLOOKUP($E71,'[1]Import Eletra'!$B:$B,'[1]Import Eletra'!$BS:$BS,0,1))</f>
        <v/>
      </c>
      <c r="EG71" s="410" t="str">
        <f>IF(_xlfn.XLOOKUP($E71,'[1]Import Eletra'!$B:$B,'[1]Import Eletra'!$BT:$BT,,0,1)=0,"",_xlfn.XLOOKUP($E71,'[1]Import Eletra'!$B:$B,'[1]Import Eletra'!$BT:$BT,0,1))</f>
        <v/>
      </c>
      <c r="EH71" s="409" t="str">
        <f>IF(_xlfn.XLOOKUP($E71,'[1]Import Eletra'!$B:$B,'[1]Import Eletra'!$BU:$BU,,0,1)=0,"",_xlfn.XLOOKUP($E71,'[1]Import Eletra'!$B:$B,'[1]Import Eletra'!$BU:$BU,0,1))</f>
        <v/>
      </c>
      <c r="EI71" s="410" t="str">
        <f>IF(_xlfn.XLOOKUP($E71,'[1]Import Eletra'!$B:$B,'[1]Import Eletra'!$BV:$BV,,0,1)=0,"",_xlfn.XLOOKUP($E71,'[1]Import Eletra'!$B:$B,'[1]Import Eletra'!$BV:$BV,0,1))</f>
        <v/>
      </c>
      <c r="EJ71" s="410" t="str">
        <f>IF(_xlfn.XLOOKUP($E71,'[1]Import Eletra'!$B:$B,'[1]Import Eletra'!$CI:$CI,,0,1)=0,"",_xlfn.XLOOKUP($E71,'[1]Import Eletra'!$B:$B,'[1]Import Eletra'!$CI:$CI,0,1))</f>
        <v/>
      </c>
      <c r="EK71" s="410" t="str">
        <f>IF(_xlfn.XLOOKUP($E71,'[1]Import Eletra'!$B:$B,'[1]Import Eletra'!$CD:$CD,,0,1)=0,"",_xlfn.XLOOKUP($E71,'[1]Import Eletra'!$B:$B,'[1]Import Eletra'!$CD:$CD,0,1))</f>
        <v/>
      </c>
      <c r="EL71" s="410" t="str">
        <f>IF(_xlfn.XLOOKUP($E71,'[1]Import Eletra'!$B:$B,'[1]Import Eletra'!$CE:$CE,,0,1)=0,"",_xlfn.XLOOKUP($E71,'[1]Import Eletra'!$B:$B,'[1]Import Eletra'!$CE:$CE,0,1))</f>
        <v/>
      </c>
      <c r="EM71" s="411" t="str">
        <f>IF(_xlfn.XLOOKUP($E71,'[1]Import Eletra'!$B:$B,'[1]Import Eletra'!$E:$E,,0,1)=0,"",_xlfn.XLOOKUP($E71,'[1]Import Eletra'!$B:$B,'[1]Import Eletra'!$E:$E,0,1))</f>
        <v>LEISIANE</v>
      </c>
      <c r="EN71" s="408" t="str">
        <f>IF(_xlfn.XLOOKUP($E71,'[1]Import Eletra'!$B:$B,'[1]Import Eletra'!$R:$R,,0,1)=0,"",_xlfn.XLOOKUP($E71,'[1]Import Eletra'!$B:$B,'[1]Import Eletra'!$R:$R,0,1))</f>
        <v>YRN2600066-10</v>
      </c>
      <c r="EO71" s="408" t="str">
        <f>IF(_xlfn.XLOOKUP($E71,'[1]Import Eletra'!$B:$B,'[1]Import Eletra'!$P:$P,,0,1)=0,"",_xlfn.XLOOKUP($E71,'[1]Import Eletra'!$B:$B,'[1]Import Eletra'!$P:$P,0,1))</f>
        <v/>
      </c>
      <c r="EP71" s="408" t="str">
        <f>IF(_xlfn.XLOOKUP($E71,'[1]Import Eletra'!$B:$B,'[1]Import Eletra'!$T:$T,,0,1)=0,"",_xlfn.XLOOKUP($E71,'[1]Import Eletra'!$B:$B,'[1]Import Eletra'!$T:$T,0,1))</f>
        <v/>
      </c>
    </row>
    <row r="72" spans="2:146" ht="30" customHeight="1">
      <c r="B72" s="371"/>
      <c r="C72" s="369"/>
      <c r="D72" s="104" t="str">
        <f>IF(_xlfn.XLOOKUP($E72,'[1]Import Eletra'!$B:$B,'[1]Import Eletra'!$A:$A,,0,1)=0,"",_xlfn.XLOOKUP($E72,'[1]Import Eletra'!$B:$B,'[1]Import Eletra'!$A:$A,,0,1))</f>
        <v/>
      </c>
      <c r="E72" s="275" t="s">
        <v>380</v>
      </c>
      <c r="F72" s="106" t="str">
        <f>IF(_xlfn.XLOOKUP($E72,'[1]Import Eletra'!$B:$B,'[1]Import Eletra'!$U:$U,,0,1)=0,"",_xlfn.XLOOKUP($E72,'[1]Import Eletra'!$B:$B,'[1]Import Eletra'!$U:$U,,0,1))</f>
        <v/>
      </c>
      <c r="G72" s="301" t="s">
        <v>244</v>
      </c>
      <c r="H72" s="2" t="str">
        <f>_xlfn.XLOOKUP($E72,'[1]Import Eletra'!$B:$B,'[1]Import Eletra'!$F:$F,,0,1)</f>
        <v>DELIVERED</v>
      </c>
      <c r="I72" s="108" t="str">
        <f>_xlfn.XLOOKUP($E72,'[1]Import Eletra'!$B:$B,'[1]Import Eletra'!$G:$G,,0,1)</f>
        <v>COURIER</v>
      </c>
      <c r="J72" s="326" t="str">
        <f>IF(_xlfn.XLOOKUP($E72,'[1]Import Eletra'!$B:$B,'[1]Import Eletra'!$DX:$DX,,0,1)=0,"",_xlfn.XLOOKUP($E72,'[1]Import Eletra'!$B:$B,'[1]Import Eletra'!$DX:$DX,,0,1))</f>
        <v/>
      </c>
      <c r="K72" s="109">
        <v>30</v>
      </c>
      <c r="L72" s="321" t="e">
        <f t="shared" ref="L72:L73" si="2">M72-J72</f>
        <v>#VALUE!</v>
      </c>
      <c r="M72" s="326">
        <f>IF(_xlfn.XLOOKUP($E72,'[1]Import Eletra'!$B:$B,'[1]Import Eletra'!$J:$J,,0,1)=0,"",_xlfn.XLOOKUP($E72,'[1]Import Eletra'!$B:$B,'[1]Import Eletra'!$J:$J,,0,1))</f>
        <v>46124</v>
      </c>
      <c r="N72" s="333">
        <f>IF(_xlfn.XLOOKUP($E72,'[1]Import Eletra'!$B:$B,'[1]Import Eletra'!$L:$L,,0,1)=0,"",_xlfn.XLOOKUP($E72,'[1]Import Eletra'!$B:$B,'[1]Import Eletra'!$L:$L,,0,1))</f>
        <v>46132</v>
      </c>
      <c r="O72" s="374"/>
      <c r="P72" s="326"/>
      <c r="Q72" s="326"/>
      <c r="R72" s="326"/>
      <c r="S72" s="326"/>
      <c r="T72" s="326"/>
      <c r="U72" s="326"/>
      <c r="V72" s="339"/>
      <c r="W72" s="335">
        <f t="shared" ref="W72:W73" si="3">AB72-$AB$5</f>
        <v>46133</v>
      </c>
      <c r="X72" s="332" t="str">
        <f>IF(_xlfn.XLOOKUP($E72,'[1]Import Eletra'!$B:$B,'[1]Import Eletra'!$AS:$AS,,0,1)=0,"",_xlfn.XLOOKUP($E72,'[1]Import Eletra'!$B:$B,'[1]Import Eletra'!$AS:$AS,,0,1))</f>
        <v/>
      </c>
      <c r="Y72" s="113">
        <f t="shared" ref="Y72:Y76" si="4">$W$4</f>
        <v>0</v>
      </c>
      <c r="Z72" s="113">
        <f t="shared" ref="Z72:Z73" ca="1" si="5">IF(X72="",TODAY()-W72,X72-W72)</f>
        <v>78</v>
      </c>
      <c r="AA72" s="184">
        <f t="shared" ref="AA72:AA73" ca="1" si="6">Z72-Y72</f>
        <v>78</v>
      </c>
      <c r="AB72" s="348">
        <f t="shared" ref="AB72:AB73" si="7">AG72-$AB$5</f>
        <v>46134</v>
      </c>
      <c r="AC72" s="332" t="str">
        <f>IF(_xlfn.XLOOKUP($E72,'[1]Import Eletra'!$B:$B,'[1]Import Eletra'!$AD:$AD,,0,1)=0,"",_xlfn.XLOOKUP($E72,'[1]Import Eletra'!$B:$B,'[1]Import Eletra'!$AD:$AD,,0,1))</f>
        <v/>
      </c>
      <c r="AD72" s="113">
        <f t="shared" ref="AD72:AD76" si="8">$AB$4</f>
        <v>0</v>
      </c>
      <c r="AE72" s="113">
        <f t="shared" ref="AE72:AE73" ca="1" si="9">IF(AC72="",TODAY()-AB72,AC72-AB72)</f>
        <v>77</v>
      </c>
      <c r="AF72" s="184">
        <f t="shared" ref="AF72:AF73" ca="1" si="10">AE72-AD72</f>
        <v>77</v>
      </c>
      <c r="AG72" s="355">
        <f t="shared" ref="AG72:AG73" si="11">AL72-$AL$5</f>
        <v>46135</v>
      </c>
      <c r="AH72" s="332" t="str">
        <f>IF(_xlfn.XLOOKUP($E72,'[1]Import Eletra'!$B:$B,'[1]Import Eletra'!$AE:$AE,,0,1)=0,"",_xlfn.XLOOKUP($E72,'[1]Import Eletra'!$B:$B,'[1]Import Eletra'!$AE:$AE,,0,1))</f>
        <v/>
      </c>
      <c r="AI72" s="113">
        <f t="shared" ref="AI72:AI76" si="12">$AG$4</f>
        <v>0</v>
      </c>
      <c r="AJ72" s="113">
        <f t="shared" ref="AJ72:AJ73" ca="1" si="13">IF(AH72="",TODAY()-AG72,AH72-AG72)</f>
        <v>76</v>
      </c>
      <c r="AK72" s="184">
        <f t="shared" ref="AK72:AK73" ca="1" si="14">AJ72-AI72</f>
        <v>76</v>
      </c>
      <c r="AL72" s="355">
        <f t="shared" ref="AL72:AL73" si="15">AQ72-$AQ$5</f>
        <v>46135</v>
      </c>
      <c r="AM72" s="332" t="str">
        <f>IF(_xlfn.XLOOKUP($E72,'[1]Import Eletra'!$B:$B,'[1]Import Eletra'!$AT:$AT,,0,1)=0,"",_xlfn.XLOOKUP($E72,'[1]Import Eletra'!$B:$B,'[1]Import Eletra'!$AT:$AT,,0,1))</f>
        <v/>
      </c>
      <c r="AN72" s="113">
        <f t="shared" ref="AN72:AN76" si="16">$AL$4</f>
        <v>0</v>
      </c>
      <c r="AO72" s="113">
        <f t="shared" ref="AO72:AO73" ca="1" si="17">IF(AM72="",TODAY()-AL72,AM72-AL72)</f>
        <v>76</v>
      </c>
      <c r="AP72" s="184">
        <f t="shared" ref="AP72:AP73" ca="1" si="18">AO72-AN72</f>
        <v>76</v>
      </c>
      <c r="AQ72" s="357">
        <f t="shared" ref="AQ72:AQ73" si="19">AV72-$AV$5</f>
        <v>46136</v>
      </c>
      <c r="AR72" s="332" t="str">
        <f>IF(_xlfn.XLOOKUP($E72,'[1]Import Eletra'!$B:$B,'[1]Import Eletra'!$AU:$AU,,0,1)=0,"",_xlfn.XLOOKUP($E72,'[1]Import Eletra'!$B:$B,'[1]Import Eletra'!$AU:$AU,,0,1))</f>
        <v/>
      </c>
      <c r="AS72" s="113">
        <f t="shared" ref="AS72:AS76" si="20">$AQ$4</f>
        <v>1</v>
      </c>
      <c r="AT72" s="113">
        <f t="shared" ref="AT72:AT73" ca="1" si="21">IF(AR72="",TODAY()-AQ72,AR72-AQ72)</f>
        <v>75</v>
      </c>
      <c r="AU72" s="184">
        <f t="shared" ref="AU72:AU73" ca="1" si="22">AT72-AS72</f>
        <v>74</v>
      </c>
      <c r="AV72" s="355">
        <f t="shared" ref="AV72:AV73" si="23">BA72-$BA$5</f>
        <v>46136</v>
      </c>
      <c r="AW72" s="332" t="str">
        <f>IF(_xlfn.XLOOKUP($E72,'[1]Import Eletra'!$B:$B,'[1]Import Eletra'!$AV:$AV,,0,1)=0,"",_xlfn.XLOOKUP($E72,'[1]Import Eletra'!$B:$B,'[1]Import Eletra'!$AV:$AV,,0,1))</f>
        <v/>
      </c>
      <c r="AX72" s="113">
        <f t="shared" ref="AX72:AX76" si="24">$AV$4</f>
        <v>0</v>
      </c>
      <c r="AY72" s="113">
        <f t="shared" ref="AY72:AY73" ca="1" si="25">IF(AW72="",TODAY()-AV72,AW72-AV72)</f>
        <v>75</v>
      </c>
      <c r="AZ72" s="184">
        <f t="shared" ref="AZ72:AZ73" ca="1" si="26">AY72-AX72</f>
        <v>75</v>
      </c>
      <c r="BA72" s="357">
        <f t="shared" ref="BA72:BA73" si="27">BF72-$BF$5</f>
        <v>46136</v>
      </c>
      <c r="BB72" s="332" t="str">
        <f>IF(_xlfn.XLOOKUP($E72,'[1]Import Eletra'!$B:$B,'[1]Import Eletra'!$AW:$AW,,0,1)=0,"",_xlfn.XLOOKUP($E72,'[1]Import Eletra'!$B:$B,'[1]Import Eletra'!$AW:$AW,,0,1))</f>
        <v/>
      </c>
      <c r="BC72" s="113">
        <f t="shared" ref="BC72:BC76" si="28">$BA$4</f>
        <v>0</v>
      </c>
      <c r="BD72" s="113">
        <f t="shared" ref="BD72:BD73" ca="1" si="29">IF(BB72="",TODAY()-BA72,BB72-BA72)</f>
        <v>75</v>
      </c>
      <c r="BE72" s="184">
        <f t="shared" ref="BE72:BE73" ca="1" si="30">BD72-BC72</f>
        <v>75</v>
      </c>
      <c r="BF72" s="335">
        <f t="shared" ref="BF72:BF73" si="31">BK72-$BK$5</f>
        <v>46136</v>
      </c>
      <c r="BG72" s="332" t="str">
        <f>IF(_xlfn.XLOOKUP($E72,'[1]Import Eletra'!$B:$B,'[1]Import Eletra'!$AX:$AX,,0,1)=0,"",_xlfn.XLOOKUP($E72,'[1]Import Eletra'!$B:$B,'[1]Import Eletra'!$AX:$AX,,0,1))</f>
        <v/>
      </c>
      <c r="BH72" s="113">
        <f t="shared" ref="BH72:BH76" si="32">$BF$4</f>
        <v>0</v>
      </c>
      <c r="BI72" s="113">
        <f t="shared" ref="BI72:BI73" ca="1" si="33">IF(BG72="",TODAY()-BF72,BG72-BF72)</f>
        <v>75</v>
      </c>
      <c r="BJ72" s="184">
        <f t="shared" ref="BJ72:BJ73" ca="1" si="34">BI72-BH72</f>
        <v>75</v>
      </c>
      <c r="BK72" s="362">
        <f t="shared" ref="BK72:BK73" si="35">BP72-$BP$5</f>
        <v>46136</v>
      </c>
      <c r="BL72" s="332" t="str">
        <f>IF(_xlfn.XLOOKUP($E72,'[1]Import Eletra'!$B:$B,'[1]Import Eletra'!$AY:$AY,,0,1)=0,"",_xlfn.XLOOKUP($E72,'[1]Import Eletra'!$B:$B,'[1]Import Eletra'!$AY:$AY,,0,1))</f>
        <v/>
      </c>
      <c r="BM72" s="113">
        <f t="shared" ref="BM72:BM76" si="36">$BK$4</f>
        <v>0</v>
      </c>
      <c r="BN72" s="113">
        <f t="shared" ref="BN72:BN73" ca="1" si="37">IF(BL72="",TODAY()-BK72,BL72-BK72)</f>
        <v>75</v>
      </c>
      <c r="BO72" s="184">
        <f t="shared" ref="BO72:BO73" ca="1" si="38">BN72-BM72</f>
        <v>75</v>
      </c>
      <c r="BP72" s="335">
        <f t="shared" ref="BP72:BP73" si="39">BU72-$BU$5</f>
        <v>46136</v>
      </c>
      <c r="BQ72" s="332" t="str">
        <f>IF(_xlfn.XLOOKUP($E72,'[1]Import Eletra'!$B:$B,'[1]Import Eletra'!$AZ:$AZ,,0,1)=0,"",_xlfn.XLOOKUP($E72,'[1]Import Eletra'!$B:$B,'[1]Import Eletra'!$AZ:$AZ,,0,1))</f>
        <v/>
      </c>
      <c r="BR72" s="113">
        <f t="shared" ref="BR72:BR76" si="40">$BP$4</f>
        <v>0</v>
      </c>
      <c r="BS72" s="113">
        <f t="shared" ref="BS72:BS73" ca="1" si="41">IF(BQ72="",TODAY()-BP72,BQ72-BP72)</f>
        <v>75</v>
      </c>
      <c r="BT72" s="184">
        <f t="shared" ref="BT72:BT73" ca="1" si="42">BS72-BR72</f>
        <v>75</v>
      </c>
      <c r="BU72" s="362">
        <f t="shared" ref="BU72:BU73" si="43">BZ72-$BZ$4</f>
        <v>46138</v>
      </c>
      <c r="BV72" s="332" t="str">
        <f>IF(_xlfn.XLOOKUP($E72,'[1]Import Eletra'!$B:$B,'[1]Import Eletra'!$BA:$BA,,0,1)=0,"",_xlfn.XLOOKUP($E72,'[1]Import Eletra'!$B:$B,'[1]Import Eletra'!$BA:$BA,,0,1))</f>
        <v/>
      </c>
      <c r="BW72" s="113">
        <f t="shared" ref="BW72:BW76" si="44">$BU$4</f>
        <v>2</v>
      </c>
      <c r="BX72" s="113">
        <f t="shared" ref="BX72:BX73" ca="1" si="45">IF(BV72="",TODAY()-BU72,BV72-BU72)</f>
        <v>73</v>
      </c>
      <c r="BY72" s="184">
        <f t="shared" ref="BY72:BY73" ca="1" si="46">BX72-BW72</f>
        <v>71</v>
      </c>
      <c r="BZ72" s="335">
        <f t="shared" ref="BZ72:BZ73" si="47">CE72-$CE$5</f>
        <v>46138</v>
      </c>
      <c r="CA72" s="332" t="str">
        <f>IF(_xlfn.XLOOKUP($E72,'[1]Import Eletra'!$B:$B,'[1]Import Eletra'!$BB:$BB,,0,1)=0,"",_xlfn.XLOOKUP($E72,'[1]Import Eletra'!$B:$B,'[1]Import Eletra'!$BB:$BB,,0,1))</f>
        <v/>
      </c>
      <c r="CB72" s="113">
        <f t="shared" ref="CB72:CB76" si="48">$BZ$4</f>
        <v>0</v>
      </c>
      <c r="CC72" s="113">
        <f t="shared" ref="CC72:CC73" ca="1" si="49">IF(CA72="",TODAY()-BZ72,CA72-BZ72)</f>
        <v>73</v>
      </c>
      <c r="CD72" s="184">
        <f t="shared" ref="CD72:CD73" ca="1" si="50">CC72-CB72</f>
        <v>73</v>
      </c>
      <c r="CE72" s="362">
        <f t="shared" ref="CE72:CE73" si="51">CJ72-$CJ$4</f>
        <v>46138</v>
      </c>
      <c r="CF72" s="332" t="str">
        <f>IF(_xlfn.XLOOKUP($E72,'[1]Import Eletra'!$B:$B,'[1]Import Eletra'!$BC:$BC,,0,1)=0,"",_xlfn.XLOOKUP($E72,'[1]Import Eletra'!$B:$B,'[1]Import Eletra'!$BC:$BC,,0,1))</f>
        <v/>
      </c>
      <c r="CG72" s="113">
        <f t="shared" ref="CG72:CG76" si="52">$CE$4</f>
        <v>0</v>
      </c>
      <c r="CH72" s="113">
        <f t="shared" ref="CH72:CH73" ca="1" si="53">IF(CF72="",TODAY()-CE72,CF72-CE72)</f>
        <v>73</v>
      </c>
      <c r="CI72" s="184">
        <f t="shared" ref="CI72:CI73" ca="1" si="54">CH72-CG72</f>
        <v>73</v>
      </c>
      <c r="CJ72" s="335">
        <f t="shared" ref="CJ72:CJ73" si="55">CO72-$CO$4</f>
        <v>46138</v>
      </c>
      <c r="CK72" s="332" t="str">
        <f>IF(_xlfn.XLOOKUP($E72,'[1]Import Eletra'!$B:$B,'[1]Import Eletra'!$BD:$BD,,0,1)=0,"",_xlfn.XLOOKUP($E72,'[1]Import Eletra'!$B:$B,'[1]Import Eletra'!$BD:$BD,,0,1))</f>
        <v/>
      </c>
      <c r="CL72" s="113"/>
      <c r="CM72" s="113">
        <f t="shared" ref="CM72:CM73" ca="1" si="56">IF(CK72="",TODAY()-CJ72,CK72-CJ72)</f>
        <v>73</v>
      </c>
      <c r="CN72" s="184">
        <f t="shared" ref="CN72:CN73" ca="1" si="57">CM72-CL72</f>
        <v>73</v>
      </c>
      <c r="CO72" s="362">
        <f t="shared" ref="CO72:CO73" si="58">CT72-$CT$4</f>
        <v>46138</v>
      </c>
      <c r="CP72" s="332" t="str">
        <f>IF(_xlfn.XLOOKUP($E72,'[1]Import Eletra'!$B:$B,'[1]Import Eletra'!$BE:$BE,,0,1)=0,"",_xlfn.XLOOKUP($E72,'[1]Import Eletra'!$B:$B,'[1]Import Eletra'!$BE:$BE,,0,1))</f>
        <v/>
      </c>
      <c r="CQ72" s="113">
        <f t="shared" ref="CQ72:CQ76" si="59">$CO$4</f>
        <v>0</v>
      </c>
      <c r="CR72" s="113">
        <f t="shared" ref="CR72:CR73" ca="1" si="60">IF(CP72="",TODAY()-CO72,CP72-CO72)</f>
        <v>73</v>
      </c>
      <c r="CS72" s="184">
        <f t="shared" ref="CS72:CS73" ca="1" si="61">CR72-CQ72</f>
        <v>73</v>
      </c>
      <c r="CT72" s="335">
        <f t="shared" ref="CT72:CT73" si="62">CY72-$CY$4</f>
        <v>46138</v>
      </c>
      <c r="CU72" s="332" t="str">
        <f>IF(_xlfn.XLOOKUP($E72,'[1]Import Eletra'!$B:$B,'[1]Import Eletra'!$BF:$BF,,0,1)=0,"",_xlfn.XLOOKUP($E72,'[1]Import Eletra'!$B:$B,'[1]Import Eletra'!$BF:$BF,,0,1))</f>
        <v/>
      </c>
      <c r="CV72" s="113">
        <f t="shared" ref="CV72:CV76" si="63">$CT$4</f>
        <v>0</v>
      </c>
      <c r="CW72" s="113">
        <f t="shared" ref="CW72:CW73" ca="1" si="64">IF(CU72="",TODAY()-CT72,CU72-CT72)</f>
        <v>73</v>
      </c>
      <c r="CX72" s="184">
        <f t="shared" ref="CX72:CX73" ca="1" si="65">CW72-CV72</f>
        <v>73</v>
      </c>
      <c r="CY72" s="110">
        <f t="shared" ref="CY72:CY73" si="66">DD72-$DD$4</f>
        <v>46138</v>
      </c>
      <c r="CZ72" s="247" t="str">
        <f>IF(_xlfn.XLOOKUP($E72,'[1]Import Eletra'!$B:$B,'[1]Import Eletra'!$BF:$BF,,0,1)=0,"",_xlfn.XLOOKUP($E72,'[1]Import Eletra'!$B:$B,'[1]Import Eletra'!$BF:$BF,,0,1))</f>
        <v/>
      </c>
      <c r="DA72" s="210">
        <f t="shared" ref="DA72:DA76" si="67">$CY$4</f>
        <v>0</v>
      </c>
      <c r="DB72" s="113">
        <f t="shared" ref="DB72:DB73" ca="1" si="68">IF(CZ72="",TODAY()-CY72,CZ72-CY72)</f>
        <v>73</v>
      </c>
      <c r="DC72" s="184">
        <f t="shared" ref="DC72:DC73" ca="1" si="69">DB72-DA72</f>
        <v>73</v>
      </c>
      <c r="DD72" s="110">
        <f t="shared" ref="DD72:DD73" si="70">DI72-$DI$4</f>
        <v>46140</v>
      </c>
      <c r="DE72" s="247" t="str">
        <f>IF(_xlfn.XLOOKUP($E72,'[1]Import Eletra'!$B:$B,'[1]Import Eletra'!$BG:$BG,,0,1)=0,"",_xlfn.XLOOKUP($E72,'[1]Import Eletra'!$B:$B,'[1]Import Eletra'!$BG:$BG,0,1))</f>
        <v/>
      </c>
      <c r="DF72" s="113">
        <f t="shared" ref="DF72:DF76" si="71">$DD$4</f>
        <v>2</v>
      </c>
      <c r="DG72" s="113">
        <f t="shared" ref="DG72:DG73" ca="1" si="72">IF(DE72="",TODAY()-DD72,DE72-DD72)</f>
        <v>71</v>
      </c>
      <c r="DH72" s="184">
        <f t="shared" ref="DH72:DH73" ca="1" si="73">DG72-DF72</f>
        <v>69</v>
      </c>
      <c r="DI72" s="110">
        <f t="shared" ref="DI72:DI73" si="74">DO72-$DN$4</f>
        <v>46141</v>
      </c>
      <c r="DJ72" s="247" t="str">
        <f>IF(_xlfn.XLOOKUP($E72,'[1]Import Eletra'!$B:$B,'[1]Import Eletra'!$BH:$BH,,0,1)=0,"",_xlfn.XLOOKUP($E72,'[1]Import Eletra'!$B:$B,'[1]Import Eletra'!$BH:$BH,0,1))</f>
        <v/>
      </c>
      <c r="DK72" s="112">
        <f t="shared" ref="DK72:DK76" si="75">$DI$4</f>
        <v>1</v>
      </c>
      <c r="DL72" s="112">
        <f t="shared" ref="DL72:DL73" ca="1" si="76">IF(DJ72="",TODAY()-DI72,DJ72-DI72)</f>
        <v>70</v>
      </c>
      <c r="DM72" s="184">
        <f t="shared" ref="DM72:DM73" ca="1" si="77">DL72-DK72</f>
        <v>69</v>
      </c>
      <c r="DN72" s="64"/>
      <c r="DO72" s="202">
        <f t="shared" ref="DO72:DO73" si="78">N72+DT72</f>
        <v>46142</v>
      </c>
      <c r="DP72" s="298">
        <f>IF(_xlfn.XLOOKUP($E72,'[1]Import Eletra'!$B:$B,'[1]Import Eletra'!$O:$O,,0,1)=0,"",_xlfn.XLOOKUP($E72,'[1]Import Eletra'!$B:$B,'[1]Import Eletra'!$O:$O,0,1))</f>
        <v>46147</v>
      </c>
      <c r="DQ72" s="112">
        <f t="shared" ref="DQ72:DQ76" si="79">$DN$4</f>
        <v>1</v>
      </c>
      <c r="DR72" s="112">
        <f t="shared" ref="DR72:DR73" ca="1" si="80">IF(DP72="",TODAY()-DO72,DP72-DO72)</f>
        <v>5</v>
      </c>
      <c r="DS72" s="184">
        <f t="shared" ref="DS72:DS73" ca="1" si="81">DR72-DQ72</f>
        <v>4</v>
      </c>
      <c r="DT72" s="143">
        <v>10</v>
      </c>
      <c r="DU72" s="140">
        <f t="shared" ca="1" si="1"/>
        <v>15</v>
      </c>
      <c r="DV72" s="184">
        <f t="shared" ref="DV72:DV73" ca="1" si="82">DU72-DT72</f>
        <v>5</v>
      </c>
      <c r="DX72" s="142"/>
      <c r="DY72" s="108" t="str">
        <f>IF(_xlfn.XLOOKUP($E72,'[1]Import Eletra'!$B:$B,'[1]Import Eletra'!$DW:$DW,,0,1)=0,"",_xlfn.XLOOKUP($E72,'[1]Import Eletra'!$B:$B,'[1]Import Eletra'!$DW:$DW,0,1))</f>
        <v/>
      </c>
      <c r="EB72" s="287"/>
      <c r="ED72" s="409" t="str">
        <f>IF(_xlfn.XLOOKUP($E72,'[1]Import Eletra'!$B:$B,'[1]Import Eletra'!$BQ:$BQ,,0,1)=0,"",_xlfn.XLOOKUP($E72,'[1]Import Eletra'!$B:$B,'[1]Import Eletra'!$BQ:$BQ,0,1))</f>
        <v/>
      </c>
      <c r="EE72" s="410" t="str">
        <f>IF(_xlfn.XLOOKUP($E72,'[1]Import Eletra'!$B:$B,'[1]Import Eletra'!$BR:$BR,,0,1)=0,"",_xlfn.XLOOKUP($E72,'[1]Import Eletra'!$B:$B,'[1]Import Eletra'!$BR:$BR,0,1))</f>
        <v/>
      </c>
      <c r="EF72" s="409" t="str">
        <f>IF(_xlfn.XLOOKUP($E72,'[1]Import Eletra'!$B:$B,'[1]Import Eletra'!$BS:$BS,,0,1)=0,"",_xlfn.XLOOKUP($E72,'[1]Import Eletra'!$B:$B,'[1]Import Eletra'!$BS:$BS,0,1))</f>
        <v/>
      </c>
      <c r="EG72" s="410" t="str">
        <f>IF(_xlfn.XLOOKUP($E72,'[1]Import Eletra'!$B:$B,'[1]Import Eletra'!$BT:$BT,,0,1)=0,"",_xlfn.XLOOKUP($E72,'[1]Import Eletra'!$B:$B,'[1]Import Eletra'!$BT:$BT,0,1))</f>
        <v/>
      </c>
      <c r="EH72" s="409" t="str">
        <f>IF(_xlfn.XLOOKUP($E72,'[1]Import Eletra'!$B:$B,'[1]Import Eletra'!$BU:$BU,,0,1)=0,"",_xlfn.XLOOKUP($E72,'[1]Import Eletra'!$B:$B,'[1]Import Eletra'!$BU:$BU,0,1))</f>
        <v/>
      </c>
      <c r="EI72" s="410" t="str">
        <f>IF(_xlfn.XLOOKUP($E72,'[1]Import Eletra'!$B:$B,'[1]Import Eletra'!$BV:$BV,,0,1)=0,"",_xlfn.XLOOKUP($E72,'[1]Import Eletra'!$B:$B,'[1]Import Eletra'!$BV:$BV,0,1))</f>
        <v/>
      </c>
      <c r="EJ72" s="410" t="str">
        <f>IF(_xlfn.XLOOKUP($E72,'[1]Import Eletra'!$B:$B,'[1]Import Eletra'!$CI:$CI,,0,1)=0,"",_xlfn.XLOOKUP($E72,'[1]Import Eletra'!$B:$B,'[1]Import Eletra'!$CI:$CI,0,1))</f>
        <v/>
      </c>
      <c r="EK72" s="410" t="str">
        <f>IF(_xlfn.XLOOKUP($E72,'[1]Import Eletra'!$B:$B,'[1]Import Eletra'!$CD:$CD,,0,1)=0,"",_xlfn.XLOOKUP($E72,'[1]Import Eletra'!$B:$B,'[1]Import Eletra'!$CD:$CD,0,1))</f>
        <v/>
      </c>
      <c r="EL72" s="410" t="str">
        <f>IF(_xlfn.XLOOKUP($E72,'[1]Import Eletra'!$B:$B,'[1]Import Eletra'!$CE:$CE,,0,1)=0,"",_xlfn.XLOOKUP($E72,'[1]Import Eletra'!$B:$B,'[1]Import Eletra'!$CE:$CE,0,1))</f>
        <v>NÃO</v>
      </c>
      <c r="EM72" s="411" t="str">
        <f>IF(_xlfn.XLOOKUP($E72,'[1]Import Eletra'!$B:$B,'[1]Import Eletra'!$E:$E,,0,1)=0,"",_xlfn.XLOOKUP($E72,'[1]Import Eletra'!$B:$B,'[1]Import Eletra'!$E:$E,0,1))</f>
        <v>LEISIANE</v>
      </c>
      <c r="EN72" s="408" t="str">
        <f>IF(_xlfn.XLOOKUP($E72,'[1]Import Eletra'!$B:$B,'[1]Import Eletra'!$R:$R,,0,1)=0,"",_xlfn.XLOOKUP($E72,'[1]Import Eletra'!$B:$B,'[1]Import Eletra'!$R:$R,0,1))</f>
        <v>SPY2600001</v>
      </c>
      <c r="EO72" s="408">
        <f>IF(_xlfn.XLOOKUP($E72,'[1]Import Eletra'!$B:$B,'[1]Import Eletra'!$P:$P,,0,1)=0,"",_xlfn.XLOOKUP($E72,'[1]Import Eletra'!$B:$B,'[1]Import Eletra'!$P:$P,0,1))</f>
        <v>4769426325</v>
      </c>
      <c r="EP72" s="408" t="str">
        <f>IF(_xlfn.XLOOKUP($E72,'[1]Import Eletra'!$B:$B,'[1]Import Eletra'!$T:$T,,0,1)=0,"",_xlfn.XLOOKUP($E72,'[1]Import Eletra'!$B:$B,'[1]Import Eletra'!$T:$T,0,1))</f>
        <v/>
      </c>
    </row>
    <row r="73" spans="2:146" ht="30" customHeight="1">
      <c r="B73" s="371"/>
      <c r="C73" s="369"/>
      <c r="D73" s="104" t="str">
        <f>IF(_xlfn.XLOOKUP($E73,'[1]Import Eletra'!$B:$B,'[1]Import Eletra'!$A:$A,,0,1)=0,"",_xlfn.XLOOKUP($E73,'[1]Import Eletra'!$B:$B,'[1]Import Eletra'!$A:$A,,0,1))</f>
        <v/>
      </c>
      <c r="E73" s="275" t="s">
        <v>381</v>
      </c>
      <c r="F73" s="106" t="str">
        <f>IF(_xlfn.XLOOKUP($E73,'[1]Import Eletra'!$B:$B,'[1]Import Eletra'!$U:$U,,0,1)=0,"",_xlfn.XLOOKUP($E73,'[1]Import Eletra'!$B:$B,'[1]Import Eletra'!$U:$U,,0,1))</f>
        <v/>
      </c>
      <c r="G73" s="301" t="s">
        <v>244</v>
      </c>
      <c r="H73" s="2" t="str">
        <f>_xlfn.XLOOKUP($E73,'[1]Import Eletra'!$B:$B,'[1]Import Eletra'!$F:$F,,0,1)</f>
        <v>DELIVERED</v>
      </c>
      <c r="I73" s="108" t="str">
        <f>_xlfn.XLOOKUP($E73,'[1]Import Eletra'!$B:$B,'[1]Import Eletra'!$G:$G,,0,1)</f>
        <v>COURIER</v>
      </c>
      <c r="J73" s="326" t="str">
        <f>IF(_xlfn.XLOOKUP($E73,'[1]Import Eletra'!$B:$B,'[1]Import Eletra'!$DX:$DX,,0,1)=0,"",_xlfn.XLOOKUP($E73,'[1]Import Eletra'!$B:$B,'[1]Import Eletra'!$DX:$DX,,0,1))</f>
        <v/>
      </c>
      <c r="K73" s="109">
        <v>30</v>
      </c>
      <c r="L73" s="321" t="e">
        <f t="shared" si="2"/>
        <v>#VALUE!</v>
      </c>
      <c r="M73" s="326">
        <f>IF(_xlfn.XLOOKUP($E73,'[1]Import Eletra'!$B:$B,'[1]Import Eletra'!$J:$J,,0,1)=0,"",_xlfn.XLOOKUP($E73,'[1]Import Eletra'!$B:$B,'[1]Import Eletra'!$J:$J,,0,1))</f>
        <v>46133</v>
      </c>
      <c r="N73" s="333">
        <f>IF(_xlfn.XLOOKUP($E73,'[1]Import Eletra'!$B:$B,'[1]Import Eletra'!$L:$L,,0,1)=0,"",_xlfn.XLOOKUP($E73,'[1]Import Eletra'!$B:$B,'[1]Import Eletra'!$L:$L,,0,1))</f>
        <v>46142</v>
      </c>
      <c r="O73" s="374"/>
      <c r="P73" s="326"/>
      <c r="Q73" s="326"/>
      <c r="R73" s="326"/>
      <c r="S73" s="326"/>
      <c r="T73" s="326"/>
      <c r="U73" s="326"/>
      <c r="V73" s="339"/>
      <c r="W73" s="335">
        <f t="shared" si="3"/>
        <v>46143</v>
      </c>
      <c r="X73" s="332" t="str">
        <f>IF(_xlfn.XLOOKUP($E73,'[1]Import Eletra'!$B:$B,'[1]Import Eletra'!$AS:$AS,,0,1)=0,"",_xlfn.XLOOKUP($E73,'[1]Import Eletra'!$B:$B,'[1]Import Eletra'!$AS:$AS,,0,1))</f>
        <v/>
      </c>
      <c r="Y73" s="113">
        <f t="shared" si="4"/>
        <v>0</v>
      </c>
      <c r="Z73" s="113">
        <f t="shared" ca="1" si="5"/>
        <v>68</v>
      </c>
      <c r="AA73" s="184">
        <f t="shared" ca="1" si="6"/>
        <v>68</v>
      </c>
      <c r="AB73" s="348">
        <f t="shared" si="7"/>
        <v>46144</v>
      </c>
      <c r="AC73" s="332" t="str">
        <f>IF(_xlfn.XLOOKUP($E73,'[1]Import Eletra'!$B:$B,'[1]Import Eletra'!$AD:$AD,,0,1)=0,"",_xlfn.XLOOKUP($E73,'[1]Import Eletra'!$B:$B,'[1]Import Eletra'!$AD:$AD,,0,1))</f>
        <v/>
      </c>
      <c r="AD73" s="113">
        <f t="shared" si="8"/>
        <v>0</v>
      </c>
      <c r="AE73" s="113">
        <f t="shared" ca="1" si="9"/>
        <v>67</v>
      </c>
      <c r="AF73" s="184">
        <f t="shared" ca="1" si="10"/>
        <v>67</v>
      </c>
      <c r="AG73" s="355">
        <f t="shared" si="11"/>
        <v>46145</v>
      </c>
      <c r="AH73" s="332" t="str">
        <f>IF(_xlfn.XLOOKUP($E73,'[1]Import Eletra'!$B:$B,'[1]Import Eletra'!$AE:$AE,,0,1)=0,"",_xlfn.XLOOKUP($E73,'[1]Import Eletra'!$B:$B,'[1]Import Eletra'!$AE:$AE,,0,1))</f>
        <v/>
      </c>
      <c r="AI73" s="113">
        <f t="shared" si="12"/>
        <v>0</v>
      </c>
      <c r="AJ73" s="113">
        <f t="shared" ca="1" si="13"/>
        <v>66</v>
      </c>
      <c r="AK73" s="184">
        <f t="shared" ca="1" si="14"/>
        <v>66</v>
      </c>
      <c r="AL73" s="355">
        <f t="shared" si="15"/>
        <v>46145</v>
      </c>
      <c r="AM73" s="332" t="str">
        <f>IF(_xlfn.XLOOKUP($E73,'[1]Import Eletra'!$B:$B,'[1]Import Eletra'!$AT:$AT,,0,1)=0,"",_xlfn.XLOOKUP($E73,'[1]Import Eletra'!$B:$B,'[1]Import Eletra'!$AT:$AT,,0,1))</f>
        <v/>
      </c>
      <c r="AN73" s="113">
        <f t="shared" si="16"/>
        <v>0</v>
      </c>
      <c r="AO73" s="113">
        <f t="shared" ca="1" si="17"/>
        <v>66</v>
      </c>
      <c r="AP73" s="184">
        <f t="shared" ca="1" si="18"/>
        <v>66</v>
      </c>
      <c r="AQ73" s="357">
        <f t="shared" si="19"/>
        <v>46146</v>
      </c>
      <c r="AR73" s="332" t="str">
        <f>IF(_xlfn.XLOOKUP($E73,'[1]Import Eletra'!$B:$B,'[1]Import Eletra'!$AU:$AU,,0,1)=0,"",_xlfn.XLOOKUP($E73,'[1]Import Eletra'!$B:$B,'[1]Import Eletra'!$AU:$AU,,0,1))</f>
        <v/>
      </c>
      <c r="AS73" s="113">
        <f t="shared" si="20"/>
        <v>1</v>
      </c>
      <c r="AT73" s="113">
        <f t="shared" ca="1" si="21"/>
        <v>65</v>
      </c>
      <c r="AU73" s="184">
        <f t="shared" ca="1" si="22"/>
        <v>64</v>
      </c>
      <c r="AV73" s="355">
        <f t="shared" si="23"/>
        <v>46146</v>
      </c>
      <c r="AW73" s="332" t="str">
        <f>IF(_xlfn.XLOOKUP($E73,'[1]Import Eletra'!$B:$B,'[1]Import Eletra'!$AV:$AV,,0,1)=0,"",_xlfn.XLOOKUP($E73,'[1]Import Eletra'!$B:$B,'[1]Import Eletra'!$AV:$AV,,0,1))</f>
        <v/>
      </c>
      <c r="AX73" s="113">
        <f t="shared" si="24"/>
        <v>0</v>
      </c>
      <c r="AY73" s="113">
        <f t="shared" ca="1" si="25"/>
        <v>65</v>
      </c>
      <c r="AZ73" s="184">
        <f t="shared" ca="1" si="26"/>
        <v>65</v>
      </c>
      <c r="BA73" s="357">
        <f t="shared" si="27"/>
        <v>46146</v>
      </c>
      <c r="BB73" s="332" t="str">
        <f>IF(_xlfn.XLOOKUP($E73,'[1]Import Eletra'!$B:$B,'[1]Import Eletra'!$AW:$AW,,0,1)=0,"",_xlfn.XLOOKUP($E73,'[1]Import Eletra'!$B:$B,'[1]Import Eletra'!$AW:$AW,,0,1))</f>
        <v/>
      </c>
      <c r="BC73" s="113">
        <f t="shared" si="28"/>
        <v>0</v>
      </c>
      <c r="BD73" s="113">
        <f t="shared" ca="1" si="29"/>
        <v>65</v>
      </c>
      <c r="BE73" s="184">
        <f t="shared" ca="1" si="30"/>
        <v>65</v>
      </c>
      <c r="BF73" s="335">
        <f t="shared" si="31"/>
        <v>46146</v>
      </c>
      <c r="BG73" s="332" t="str">
        <f>IF(_xlfn.XLOOKUP($E73,'[1]Import Eletra'!$B:$B,'[1]Import Eletra'!$AX:$AX,,0,1)=0,"",_xlfn.XLOOKUP($E73,'[1]Import Eletra'!$B:$B,'[1]Import Eletra'!$AX:$AX,,0,1))</f>
        <v/>
      </c>
      <c r="BH73" s="113">
        <f t="shared" si="32"/>
        <v>0</v>
      </c>
      <c r="BI73" s="113">
        <f t="shared" ca="1" si="33"/>
        <v>65</v>
      </c>
      <c r="BJ73" s="184">
        <f t="shared" ca="1" si="34"/>
        <v>65</v>
      </c>
      <c r="BK73" s="362">
        <f t="shared" si="35"/>
        <v>46146</v>
      </c>
      <c r="BL73" s="332" t="str">
        <f>IF(_xlfn.XLOOKUP($E73,'[1]Import Eletra'!$B:$B,'[1]Import Eletra'!$AY:$AY,,0,1)=0,"",_xlfn.XLOOKUP($E73,'[1]Import Eletra'!$B:$B,'[1]Import Eletra'!$AY:$AY,,0,1))</f>
        <v/>
      </c>
      <c r="BM73" s="113">
        <f t="shared" si="36"/>
        <v>0</v>
      </c>
      <c r="BN73" s="113">
        <f t="shared" ca="1" si="37"/>
        <v>65</v>
      </c>
      <c r="BO73" s="184">
        <f t="shared" ca="1" si="38"/>
        <v>65</v>
      </c>
      <c r="BP73" s="335">
        <f t="shared" si="39"/>
        <v>46146</v>
      </c>
      <c r="BQ73" s="332" t="str">
        <f>IF(_xlfn.XLOOKUP($E73,'[1]Import Eletra'!$B:$B,'[1]Import Eletra'!$AZ:$AZ,,0,1)=0,"",_xlfn.XLOOKUP($E73,'[1]Import Eletra'!$B:$B,'[1]Import Eletra'!$AZ:$AZ,,0,1))</f>
        <v/>
      </c>
      <c r="BR73" s="113">
        <f t="shared" si="40"/>
        <v>0</v>
      </c>
      <c r="BS73" s="113">
        <f t="shared" ca="1" si="41"/>
        <v>65</v>
      </c>
      <c r="BT73" s="184">
        <f t="shared" ca="1" si="42"/>
        <v>65</v>
      </c>
      <c r="BU73" s="362">
        <f t="shared" si="43"/>
        <v>46148</v>
      </c>
      <c r="BV73" s="332" t="str">
        <f>IF(_xlfn.XLOOKUP($E73,'[1]Import Eletra'!$B:$B,'[1]Import Eletra'!$BA:$BA,,0,1)=0,"",_xlfn.XLOOKUP($E73,'[1]Import Eletra'!$B:$B,'[1]Import Eletra'!$BA:$BA,,0,1))</f>
        <v/>
      </c>
      <c r="BW73" s="113">
        <f t="shared" si="44"/>
        <v>2</v>
      </c>
      <c r="BX73" s="113">
        <f t="shared" ca="1" si="45"/>
        <v>63</v>
      </c>
      <c r="BY73" s="184">
        <f t="shared" ca="1" si="46"/>
        <v>61</v>
      </c>
      <c r="BZ73" s="335">
        <f t="shared" si="47"/>
        <v>46148</v>
      </c>
      <c r="CA73" s="332" t="str">
        <f>IF(_xlfn.XLOOKUP($E73,'[1]Import Eletra'!$B:$B,'[1]Import Eletra'!$BB:$BB,,0,1)=0,"",_xlfn.XLOOKUP($E73,'[1]Import Eletra'!$B:$B,'[1]Import Eletra'!$BB:$BB,,0,1))</f>
        <v/>
      </c>
      <c r="CB73" s="113">
        <f t="shared" si="48"/>
        <v>0</v>
      </c>
      <c r="CC73" s="113">
        <f t="shared" ca="1" si="49"/>
        <v>63</v>
      </c>
      <c r="CD73" s="184">
        <f t="shared" ca="1" si="50"/>
        <v>63</v>
      </c>
      <c r="CE73" s="362">
        <f t="shared" si="51"/>
        <v>46148</v>
      </c>
      <c r="CF73" s="332" t="str">
        <f>IF(_xlfn.XLOOKUP($E73,'[1]Import Eletra'!$B:$B,'[1]Import Eletra'!$BC:$BC,,0,1)=0,"",_xlfn.XLOOKUP($E73,'[1]Import Eletra'!$B:$B,'[1]Import Eletra'!$BC:$BC,,0,1))</f>
        <v/>
      </c>
      <c r="CG73" s="113">
        <f t="shared" si="52"/>
        <v>0</v>
      </c>
      <c r="CH73" s="113">
        <f t="shared" ca="1" si="53"/>
        <v>63</v>
      </c>
      <c r="CI73" s="184">
        <f t="shared" ca="1" si="54"/>
        <v>63</v>
      </c>
      <c r="CJ73" s="335">
        <f t="shared" si="55"/>
        <v>46148</v>
      </c>
      <c r="CK73" s="332" t="str">
        <f>IF(_xlfn.XLOOKUP($E73,'[1]Import Eletra'!$B:$B,'[1]Import Eletra'!$BD:$BD,,0,1)=0,"",_xlfn.XLOOKUP($E73,'[1]Import Eletra'!$B:$B,'[1]Import Eletra'!$BD:$BD,,0,1))</f>
        <v/>
      </c>
      <c r="CL73" s="113"/>
      <c r="CM73" s="113">
        <f t="shared" ca="1" si="56"/>
        <v>63</v>
      </c>
      <c r="CN73" s="184">
        <f t="shared" ca="1" si="57"/>
        <v>63</v>
      </c>
      <c r="CO73" s="362">
        <f t="shared" si="58"/>
        <v>46148</v>
      </c>
      <c r="CP73" s="332" t="str">
        <f>IF(_xlfn.XLOOKUP($E73,'[1]Import Eletra'!$B:$B,'[1]Import Eletra'!$BE:$BE,,0,1)=0,"",_xlfn.XLOOKUP($E73,'[1]Import Eletra'!$B:$B,'[1]Import Eletra'!$BE:$BE,,0,1))</f>
        <v/>
      </c>
      <c r="CQ73" s="113">
        <f t="shared" si="59"/>
        <v>0</v>
      </c>
      <c r="CR73" s="113">
        <f t="shared" ca="1" si="60"/>
        <v>63</v>
      </c>
      <c r="CS73" s="184">
        <f t="shared" ca="1" si="61"/>
        <v>63</v>
      </c>
      <c r="CT73" s="335">
        <f t="shared" si="62"/>
        <v>46148</v>
      </c>
      <c r="CU73" s="332" t="str">
        <f>IF(_xlfn.XLOOKUP($E73,'[1]Import Eletra'!$B:$B,'[1]Import Eletra'!$BF:$BF,,0,1)=0,"",_xlfn.XLOOKUP($E73,'[1]Import Eletra'!$B:$B,'[1]Import Eletra'!$BF:$BF,,0,1))</f>
        <v/>
      </c>
      <c r="CV73" s="113">
        <f t="shared" si="63"/>
        <v>0</v>
      </c>
      <c r="CW73" s="113">
        <f t="shared" ca="1" si="64"/>
        <v>63</v>
      </c>
      <c r="CX73" s="184">
        <f t="shared" ca="1" si="65"/>
        <v>63</v>
      </c>
      <c r="CY73" s="110">
        <f t="shared" si="66"/>
        <v>46148</v>
      </c>
      <c r="CZ73" s="247" t="str">
        <f>IF(_xlfn.XLOOKUP($E73,'[1]Import Eletra'!$B:$B,'[1]Import Eletra'!$BF:$BF,,0,1)=0,"",_xlfn.XLOOKUP($E73,'[1]Import Eletra'!$B:$B,'[1]Import Eletra'!$BF:$BF,,0,1))</f>
        <v/>
      </c>
      <c r="DA73" s="210">
        <f t="shared" si="67"/>
        <v>0</v>
      </c>
      <c r="DB73" s="113">
        <f t="shared" ca="1" si="68"/>
        <v>63</v>
      </c>
      <c r="DC73" s="184">
        <f t="shared" ca="1" si="69"/>
        <v>63</v>
      </c>
      <c r="DD73" s="110">
        <f t="shared" si="70"/>
        <v>46150</v>
      </c>
      <c r="DE73" s="247" t="str">
        <f>IF(_xlfn.XLOOKUP($E73,'[1]Import Eletra'!$B:$B,'[1]Import Eletra'!$BG:$BG,,0,1)=0,"",_xlfn.XLOOKUP($E73,'[1]Import Eletra'!$B:$B,'[1]Import Eletra'!$BG:$BG,0,1))</f>
        <v/>
      </c>
      <c r="DF73" s="113">
        <f t="shared" si="71"/>
        <v>2</v>
      </c>
      <c r="DG73" s="113">
        <f t="shared" ca="1" si="72"/>
        <v>61</v>
      </c>
      <c r="DH73" s="184">
        <f t="shared" ca="1" si="73"/>
        <v>59</v>
      </c>
      <c r="DI73" s="110">
        <f t="shared" si="74"/>
        <v>46151</v>
      </c>
      <c r="DJ73" s="247" t="str">
        <f>IF(_xlfn.XLOOKUP($E73,'[1]Import Eletra'!$B:$B,'[1]Import Eletra'!$BH:$BH,,0,1)=0,"",_xlfn.XLOOKUP($E73,'[1]Import Eletra'!$B:$B,'[1]Import Eletra'!$BH:$BH,0,1))</f>
        <v/>
      </c>
      <c r="DK73" s="112">
        <f t="shared" si="75"/>
        <v>1</v>
      </c>
      <c r="DL73" s="112">
        <f t="shared" ca="1" si="76"/>
        <v>60</v>
      </c>
      <c r="DM73" s="184">
        <f t="shared" ca="1" si="77"/>
        <v>59</v>
      </c>
      <c r="DN73" s="64"/>
      <c r="DO73" s="202">
        <f t="shared" si="78"/>
        <v>46152</v>
      </c>
      <c r="DP73" s="298">
        <f>IF(_xlfn.XLOOKUP($E73,'[1]Import Eletra'!$B:$B,'[1]Import Eletra'!$O:$O,,0,1)=0,"",_xlfn.XLOOKUP($E73,'[1]Import Eletra'!$B:$B,'[1]Import Eletra'!$O:$O,0,1))</f>
        <v>46148</v>
      </c>
      <c r="DQ73" s="112">
        <f t="shared" si="79"/>
        <v>1</v>
      </c>
      <c r="DR73" s="112">
        <f t="shared" ca="1" si="80"/>
        <v>-4</v>
      </c>
      <c r="DS73" s="184">
        <f t="shared" ca="1" si="81"/>
        <v>-5</v>
      </c>
      <c r="DT73" s="143">
        <v>10</v>
      </c>
      <c r="DU73" s="140">
        <f t="shared" ca="1" si="1"/>
        <v>6</v>
      </c>
      <c r="DV73" s="184">
        <f t="shared" ca="1" si="82"/>
        <v>-4</v>
      </c>
      <c r="DX73" s="142"/>
      <c r="DY73" s="108" t="str">
        <f>IF(_xlfn.XLOOKUP($E73,'[1]Import Eletra'!$B:$B,'[1]Import Eletra'!$DW:$DW,,0,1)=0,"",_xlfn.XLOOKUP($E73,'[1]Import Eletra'!$B:$B,'[1]Import Eletra'!$DW:$DW,0,1))</f>
        <v/>
      </c>
      <c r="EB73" s="287"/>
      <c r="ED73" s="409" t="str">
        <f>IF(_xlfn.XLOOKUP($E73,'[1]Import Eletra'!$B:$B,'[1]Import Eletra'!$BQ:$BQ,,0,1)=0,"",_xlfn.XLOOKUP($E73,'[1]Import Eletra'!$B:$B,'[1]Import Eletra'!$BQ:$BQ,0,1))</f>
        <v/>
      </c>
      <c r="EE73" s="410" t="str">
        <f>IF(_xlfn.XLOOKUP($E73,'[1]Import Eletra'!$B:$B,'[1]Import Eletra'!$BR:$BR,,0,1)=0,"",_xlfn.XLOOKUP($E73,'[1]Import Eletra'!$B:$B,'[1]Import Eletra'!$BR:$BR,0,1))</f>
        <v/>
      </c>
      <c r="EF73" s="409" t="str">
        <f>IF(_xlfn.XLOOKUP($E73,'[1]Import Eletra'!$B:$B,'[1]Import Eletra'!$BS:$BS,,0,1)=0,"",_xlfn.XLOOKUP($E73,'[1]Import Eletra'!$B:$B,'[1]Import Eletra'!$BS:$BS,0,1))</f>
        <v/>
      </c>
      <c r="EG73" s="410" t="str">
        <f>IF(_xlfn.XLOOKUP($E73,'[1]Import Eletra'!$B:$B,'[1]Import Eletra'!$BT:$BT,,0,1)=0,"",_xlfn.XLOOKUP($E73,'[1]Import Eletra'!$B:$B,'[1]Import Eletra'!$BT:$BT,0,1))</f>
        <v/>
      </c>
      <c r="EH73" s="409" t="str">
        <f>IF(_xlfn.XLOOKUP($E73,'[1]Import Eletra'!$B:$B,'[1]Import Eletra'!$BU:$BU,,0,1)=0,"",_xlfn.XLOOKUP($E73,'[1]Import Eletra'!$B:$B,'[1]Import Eletra'!$BU:$BU,0,1))</f>
        <v/>
      </c>
      <c r="EI73" s="410" t="str">
        <f>IF(_xlfn.XLOOKUP($E73,'[1]Import Eletra'!$B:$B,'[1]Import Eletra'!$BV:$BV,,0,1)=0,"",_xlfn.XLOOKUP($E73,'[1]Import Eletra'!$B:$B,'[1]Import Eletra'!$BV:$BV,0,1))</f>
        <v/>
      </c>
      <c r="EJ73" s="410" t="str">
        <f>IF(_xlfn.XLOOKUP($E73,'[1]Import Eletra'!$B:$B,'[1]Import Eletra'!$CI:$CI,,0,1)=0,"",_xlfn.XLOOKUP($E73,'[1]Import Eletra'!$B:$B,'[1]Import Eletra'!$CI:$CI,0,1))</f>
        <v/>
      </c>
      <c r="EK73" s="410" t="str">
        <f>IF(_xlfn.XLOOKUP($E73,'[1]Import Eletra'!$B:$B,'[1]Import Eletra'!$CD:$CD,,0,1)=0,"",_xlfn.XLOOKUP($E73,'[1]Import Eletra'!$B:$B,'[1]Import Eletra'!$CD:$CD,0,1))</f>
        <v/>
      </c>
      <c r="EL73" s="410" t="str">
        <f>IF(_xlfn.XLOOKUP($E73,'[1]Import Eletra'!$B:$B,'[1]Import Eletra'!$CE:$CE,,0,1)=0,"",_xlfn.XLOOKUP($E73,'[1]Import Eletra'!$B:$B,'[1]Import Eletra'!$CE:$CE,0,1))</f>
        <v>NÃO</v>
      </c>
      <c r="EM73" s="411" t="str">
        <f>IF(_xlfn.XLOOKUP($E73,'[1]Import Eletra'!$B:$B,'[1]Import Eletra'!$E:$E,,0,1)=0,"",_xlfn.XLOOKUP($E73,'[1]Import Eletra'!$B:$B,'[1]Import Eletra'!$E:$E,0,1))</f>
        <v>LEISIANE</v>
      </c>
      <c r="EN73" s="408" t="str">
        <f>IF(_xlfn.XLOOKUP($E73,'[1]Import Eletra'!$B:$B,'[1]Import Eletra'!$R:$R,,0,1)=0,"",_xlfn.XLOOKUP($E73,'[1]Import Eletra'!$B:$B,'[1]Import Eletra'!$R:$R,0,1))</f>
        <v>YRN2600041</v>
      </c>
      <c r="EO73" s="408" t="str">
        <f>IF(_xlfn.XLOOKUP($E73,'[1]Import Eletra'!$B:$B,'[1]Import Eletra'!$P:$P,,0,1)=0,"",_xlfn.XLOOKUP($E73,'[1]Import Eletra'!$B:$B,'[1]Import Eletra'!$P:$P,0,1))</f>
        <v>82 6579 6862</v>
      </c>
      <c r="EP73" s="408" t="str">
        <f>IF(_xlfn.XLOOKUP($E73,'[1]Import Eletra'!$B:$B,'[1]Import Eletra'!$T:$T,,0,1)=0,"",_xlfn.XLOOKUP($E73,'[1]Import Eletra'!$B:$B,'[1]Import Eletra'!$T:$T,0,1))</f>
        <v/>
      </c>
    </row>
    <row r="74" spans="2:146" ht="30" customHeight="1">
      <c r="B74" s="371"/>
      <c r="C74" s="369"/>
      <c r="D74" s="104" t="str">
        <f>IF(_xlfn.XLOOKUP($E74,'[1]Import Eletra'!$B:$B,'[1]Import Eletra'!$A:$A,,0,1)=0,"",_xlfn.XLOOKUP($E74,'[1]Import Eletra'!$B:$B,'[1]Import Eletra'!$A:$A,,0,1))</f>
        <v/>
      </c>
      <c r="E74" s="275" t="s">
        <v>382</v>
      </c>
      <c r="F74" s="106" t="str">
        <f>IF(_xlfn.XLOOKUP($E74,'[1]Import Eletra'!$B:$B,'[1]Import Eletra'!$U:$U,,0,1)=0,"",_xlfn.XLOOKUP($E74,'[1]Import Eletra'!$B:$B,'[1]Import Eletra'!$U:$U,,0,1))</f>
        <v/>
      </c>
      <c r="G74" s="301" t="s">
        <v>244</v>
      </c>
      <c r="H74" s="2" t="str">
        <f>_xlfn.XLOOKUP($E74,'[1]Import Eletra'!$B:$B,'[1]Import Eletra'!$F:$F,,0,1)</f>
        <v>DELIVERED</v>
      </c>
      <c r="I74" s="108" t="str">
        <f>_xlfn.XLOOKUP($E74,'[1]Import Eletra'!$B:$B,'[1]Import Eletra'!$G:$G,,0,1)</f>
        <v>COURIER</v>
      </c>
      <c r="J74" s="326" t="str">
        <f>IF(_xlfn.XLOOKUP($E74,'[1]Import Eletra'!$B:$B,'[1]Import Eletra'!$DX:$DX,,0,1)=0,"",_xlfn.XLOOKUP($E74,'[1]Import Eletra'!$B:$B,'[1]Import Eletra'!$DX:$DX,,0,1))</f>
        <v/>
      </c>
      <c r="K74" s="109">
        <v>30</v>
      </c>
      <c r="L74" s="321" t="e">
        <f t="shared" ref="L74" si="83">M74-J74</f>
        <v>#VALUE!</v>
      </c>
      <c r="M74" s="326">
        <f>IF(_xlfn.XLOOKUP($E74,'[1]Import Eletra'!$B:$B,'[1]Import Eletra'!$J:$J,,0,1)=0,"",_xlfn.XLOOKUP($E74,'[1]Import Eletra'!$B:$B,'[1]Import Eletra'!$J:$J,,0,1))</f>
        <v>46065</v>
      </c>
      <c r="N74" s="333">
        <f>IF(_xlfn.XLOOKUP($E74,'[1]Import Eletra'!$B:$B,'[1]Import Eletra'!$L:$L,,0,1)=0,"",_xlfn.XLOOKUP($E74,'[1]Import Eletra'!$B:$B,'[1]Import Eletra'!$L:$L,,0,1))</f>
        <v>46073</v>
      </c>
      <c r="O74" s="374"/>
      <c r="P74" s="326"/>
      <c r="Q74" s="326"/>
      <c r="R74" s="326"/>
      <c r="S74" s="326"/>
      <c r="T74" s="326"/>
      <c r="U74" s="326"/>
      <c r="V74" s="339"/>
      <c r="W74" s="335">
        <f t="shared" ref="W74" si="84">AB74-$AB$5</f>
        <v>46074</v>
      </c>
      <c r="X74" s="332" t="str">
        <f>IF(_xlfn.XLOOKUP($E74,'[1]Import Eletra'!$B:$B,'[1]Import Eletra'!$AS:$AS,,0,1)=0,"",_xlfn.XLOOKUP($E74,'[1]Import Eletra'!$B:$B,'[1]Import Eletra'!$AS:$AS,,0,1))</f>
        <v/>
      </c>
      <c r="Y74" s="113">
        <f t="shared" si="4"/>
        <v>0</v>
      </c>
      <c r="Z74" s="113">
        <f t="shared" ref="Z74" ca="1" si="85">IF(X74="",TODAY()-W74,X74-W74)</f>
        <v>137</v>
      </c>
      <c r="AA74" s="184">
        <f t="shared" ref="AA74" ca="1" si="86">Z74-Y74</f>
        <v>137</v>
      </c>
      <c r="AB74" s="348">
        <f t="shared" ref="AB74" si="87">AG74-$AB$5</f>
        <v>46075</v>
      </c>
      <c r="AC74" s="332" t="str">
        <f>IF(_xlfn.XLOOKUP($E74,'[1]Import Eletra'!$B:$B,'[1]Import Eletra'!$AD:$AD,,0,1)=0,"",_xlfn.XLOOKUP($E74,'[1]Import Eletra'!$B:$B,'[1]Import Eletra'!$AD:$AD,,0,1))</f>
        <v/>
      </c>
      <c r="AD74" s="113">
        <f t="shared" si="8"/>
        <v>0</v>
      </c>
      <c r="AE74" s="113">
        <f t="shared" ref="AE74" ca="1" si="88">IF(AC74="",TODAY()-AB74,AC74-AB74)</f>
        <v>136</v>
      </c>
      <c r="AF74" s="184">
        <f t="shared" ref="AF74" ca="1" si="89">AE74-AD74</f>
        <v>136</v>
      </c>
      <c r="AG74" s="355">
        <f t="shared" ref="AG74" si="90">AL74-$AL$5</f>
        <v>46076</v>
      </c>
      <c r="AH74" s="332" t="str">
        <f>IF(_xlfn.XLOOKUP($E74,'[1]Import Eletra'!$B:$B,'[1]Import Eletra'!$AE:$AE,,0,1)=0,"",_xlfn.XLOOKUP($E74,'[1]Import Eletra'!$B:$B,'[1]Import Eletra'!$AE:$AE,,0,1))</f>
        <v/>
      </c>
      <c r="AI74" s="113">
        <f t="shared" si="12"/>
        <v>0</v>
      </c>
      <c r="AJ74" s="113">
        <f t="shared" ref="AJ74" ca="1" si="91">IF(AH74="",TODAY()-AG74,AH74-AG74)</f>
        <v>135</v>
      </c>
      <c r="AK74" s="184">
        <f t="shared" ref="AK74" ca="1" si="92">AJ74-AI74</f>
        <v>135</v>
      </c>
      <c r="AL74" s="355">
        <f t="shared" ref="AL74" si="93">AQ74-$AQ$5</f>
        <v>46076</v>
      </c>
      <c r="AM74" s="332" t="str">
        <f>IF(_xlfn.XLOOKUP($E74,'[1]Import Eletra'!$B:$B,'[1]Import Eletra'!$AT:$AT,,0,1)=0,"",_xlfn.XLOOKUP($E74,'[1]Import Eletra'!$B:$B,'[1]Import Eletra'!$AT:$AT,,0,1))</f>
        <v/>
      </c>
      <c r="AN74" s="113">
        <f t="shared" si="16"/>
        <v>0</v>
      </c>
      <c r="AO74" s="113">
        <f t="shared" ref="AO74" ca="1" si="94">IF(AM74="",TODAY()-AL74,AM74-AL74)</f>
        <v>135</v>
      </c>
      <c r="AP74" s="184">
        <f t="shared" ref="AP74" ca="1" si="95">AO74-AN74</f>
        <v>135</v>
      </c>
      <c r="AQ74" s="357">
        <f t="shared" ref="AQ74" si="96">AV74-$AV$5</f>
        <v>46077</v>
      </c>
      <c r="AR74" s="332" t="str">
        <f>IF(_xlfn.XLOOKUP($E74,'[1]Import Eletra'!$B:$B,'[1]Import Eletra'!$AU:$AU,,0,1)=0,"",_xlfn.XLOOKUP($E74,'[1]Import Eletra'!$B:$B,'[1]Import Eletra'!$AU:$AU,,0,1))</f>
        <v/>
      </c>
      <c r="AS74" s="113">
        <f t="shared" si="20"/>
        <v>1</v>
      </c>
      <c r="AT74" s="113">
        <f t="shared" ref="AT74" ca="1" si="97">IF(AR74="",TODAY()-AQ74,AR74-AQ74)</f>
        <v>134</v>
      </c>
      <c r="AU74" s="184">
        <f t="shared" ref="AU74" ca="1" si="98">AT74-AS74</f>
        <v>133</v>
      </c>
      <c r="AV74" s="355">
        <f t="shared" ref="AV74" si="99">BA74-$BA$5</f>
        <v>46077</v>
      </c>
      <c r="AW74" s="332" t="str">
        <f>IF(_xlfn.XLOOKUP($E74,'[1]Import Eletra'!$B:$B,'[1]Import Eletra'!$AV:$AV,,0,1)=0,"",_xlfn.XLOOKUP($E74,'[1]Import Eletra'!$B:$B,'[1]Import Eletra'!$AV:$AV,,0,1))</f>
        <v/>
      </c>
      <c r="AX74" s="113">
        <f t="shared" si="24"/>
        <v>0</v>
      </c>
      <c r="AY74" s="113">
        <f t="shared" ref="AY74" ca="1" si="100">IF(AW74="",TODAY()-AV74,AW74-AV74)</f>
        <v>134</v>
      </c>
      <c r="AZ74" s="184">
        <f t="shared" ref="AZ74" ca="1" si="101">AY74-AX74</f>
        <v>134</v>
      </c>
      <c r="BA74" s="357">
        <f t="shared" ref="BA74" si="102">BF74-$BF$5</f>
        <v>46077</v>
      </c>
      <c r="BB74" s="332" t="str">
        <f>IF(_xlfn.XLOOKUP($E74,'[1]Import Eletra'!$B:$B,'[1]Import Eletra'!$AW:$AW,,0,1)=0,"",_xlfn.XLOOKUP($E74,'[1]Import Eletra'!$B:$B,'[1]Import Eletra'!$AW:$AW,,0,1))</f>
        <v/>
      </c>
      <c r="BC74" s="113">
        <f t="shared" si="28"/>
        <v>0</v>
      </c>
      <c r="BD74" s="113">
        <f t="shared" ref="BD74" ca="1" si="103">IF(BB74="",TODAY()-BA74,BB74-BA74)</f>
        <v>134</v>
      </c>
      <c r="BE74" s="184">
        <f t="shared" ref="BE74" ca="1" si="104">BD74-BC74</f>
        <v>134</v>
      </c>
      <c r="BF74" s="335">
        <f t="shared" ref="BF74" si="105">BK74-$BK$5</f>
        <v>46077</v>
      </c>
      <c r="BG74" s="332" t="str">
        <f>IF(_xlfn.XLOOKUP($E74,'[1]Import Eletra'!$B:$B,'[1]Import Eletra'!$AX:$AX,,0,1)=0,"",_xlfn.XLOOKUP($E74,'[1]Import Eletra'!$B:$B,'[1]Import Eletra'!$AX:$AX,,0,1))</f>
        <v/>
      </c>
      <c r="BH74" s="113">
        <f t="shared" si="32"/>
        <v>0</v>
      </c>
      <c r="BI74" s="113">
        <f t="shared" ref="BI74" ca="1" si="106">IF(BG74="",TODAY()-BF74,BG74-BF74)</f>
        <v>134</v>
      </c>
      <c r="BJ74" s="184">
        <f t="shared" ref="BJ74" ca="1" si="107">BI74-BH74</f>
        <v>134</v>
      </c>
      <c r="BK74" s="362">
        <f t="shared" ref="BK74" si="108">BP74-$BP$5</f>
        <v>46077</v>
      </c>
      <c r="BL74" s="332" t="str">
        <f>IF(_xlfn.XLOOKUP($E74,'[1]Import Eletra'!$B:$B,'[1]Import Eletra'!$AY:$AY,,0,1)=0,"",_xlfn.XLOOKUP($E74,'[1]Import Eletra'!$B:$B,'[1]Import Eletra'!$AY:$AY,,0,1))</f>
        <v/>
      </c>
      <c r="BM74" s="113">
        <f t="shared" si="36"/>
        <v>0</v>
      </c>
      <c r="BN74" s="113">
        <f t="shared" ref="BN74" ca="1" si="109">IF(BL74="",TODAY()-BK74,BL74-BK74)</f>
        <v>134</v>
      </c>
      <c r="BO74" s="184">
        <f t="shared" ref="BO74" ca="1" si="110">BN74-BM74</f>
        <v>134</v>
      </c>
      <c r="BP74" s="335">
        <f t="shared" ref="BP74" si="111">BU74-$BU$5</f>
        <v>46077</v>
      </c>
      <c r="BQ74" s="332" t="str">
        <f>IF(_xlfn.XLOOKUP($E74,'[1]Import Eletra'!$B:$B,'[1]Import Eletra'!$AZ:$AZ,,0,1)=0,"",_xlfn.XLOOKUP($E74,'[1]Import Eletra'!$B:$B,'[1]Import Eletra'!$AZ:$AZ,,0,1))</f>
        <v/>
      </c>
      <c r="BR74" s="113">
        <f t="shared" si="40"/>
        <v>0</v>
      </c>
      <c r="BS74" s="113">
        <f t="shared" ref="BS74" ca="1" si="112">IF(BQ74="",TODAY()-BP74,BQ74-BP74)</f>
        <v>134</v>
      </c>
      <c r="BT74" s="184">
        <f t="shared" ref="BT74" ca="1" si="113">BS74-BR74</f>
        <v>134</v>
      </c>
      <c r="BU74" s="362">
        <f t="shared" ref="BU74" si="114">BZ74-$BZ$4</f>
        <v>46079</v>
      </c>
      <c r="BV74" s="332" t="str">
        <f>IF(_xlfn.XLOOKUP($E74,'[1]Import Eletra'!$B:$B,'[1]Import Eletra'!$BA:$BA,,0,1)=0,"",_xlfn.XLOOKUP($E74,'[1]Import Eletra'!$B:$B,'[1]Import Eletra'!$BA:$BA,,0,1))</f>
        <v/>
      </c>
      <c r="BW74" s="113">
        <f t="shared" si="44"/>
        <v>2</v>
      </c>
      <c r="BX74" s="113">
        <f t="shared" ref="BX74" ca="1" si="115">IF(BV74="",TODAY()-BU74,BV74-BU74)</f>
        <v>132</v>
      </c>
      <c r="BY74" s="184">
        <f t="shared" ref="BY74" ca="1" si="116">BX74-BW74</f>
        <v>130</v>
      </c>
      <c r="BZ74" s="335">
        <f t="shared" ref="BZ74" si="117">CE74-$CE$5</f>
        <v>46079</v>
      </c>
      <c r="CA74" s="332" t="str">
        <f>IF(_xlfn.XLOOKUP($E74,'[1]Import Eletra'!$B:$B,'[1]Import Eletra'!$BB:$BB,,0,1)=0,"",_xlfn.XLOOKUP($E74,'[1]Import Eletra'!$B:$B,'[1]Import Eletra'!$BB:$BB,,0,1))</f>
        <v/>
      </c>
      <c r="CB74" s="113">
        <f t="shared" si="48"/>
        <v>0</v>
      </c>
      <c r="CC74" s="113">
        <f t="shared" ref="CC74" ca="1" si="118">IF(CA74="",TODAY()-BZ74,CA74-BZ74)</f>
        <v>132</v>
      </c>
      <c r="CD74" s="184">
        <f t="shared" ref="CD74" ca="1" si="119">CC74-CB74</f>
        <v>132</v>
      </c>
      <c r="CE74" s="362">
        <f t="shared" ref="CE74" si="120">CJ74-$CJ$4</f>
        <v>46079</v>
      </c>
      <c r="CF74" s="332" t="str">
        <f>IF(_xlfn.XLOOKUP($E74,'[1]Import Eletra'!$B:$B,'[1]Import Eletra'!$BC:$BC,,0,1)=0,"",_xlfn.XLOOKUP($E74,'[1]Import Eletra'!$B:$B,'[1]Import Eletra'!$BC:$BC,,0,1))</f>
        <v/>
      </c>
      <c r="CG74" s="113">
        <f t="shared" si="52"/>
        <v>0</v>
      </c>
      <c r="CH74" s="113">
        <f t="shared" ref="CH74" ca="1" si="121">IF(CF74="",TODAY()-CE74,CF74-CE74)</f>
        <v>132</v>
      </c>
      <c r="CI74" s="184">
        <f t="shared" ref="CI74" ca="1" si="122">CH74-CG74</f>
        <v>132</v>
      </c>
      <c r="CJ74" s="335">
        <f t="shared" ref="CJ74" si="123">CO74-$CO$4</f>
        <v>46079</v>
      </c>
      <c r="CK74" s="332" t="str">
        <f>IF(_xlfn.XLOOKUP($E74,'[1]Import Eletra'!$B:$B,'[1]Import Eletra'!$BD:$BD,,0,1)=0,"",_xlfn.XLOOKUP($E74,'[1]Import Eletra'!$B:$B,'[1]Import Eletra'!$BD:$BD,,0,1))</f>
        <v/>
      </c>
      <c r="CL74" s="113"/>
      <c r="CM74" s="113">
        <f t="shared" ref="CM74" ca="1" si="124">IF(CK74="",TODAY()-CJ74,CK74-CJ74)</f>
        <v>132</v>
      </c>
      <c r="CN74" s="184">
        <f t="shared" ref="CN74" ca="1" si="125">CM74-CL74</f>
        <v>132</v>
      </c>
      <c r="CO74" s="362">
        <f t="shared" ref="CO74" si="126">CT74-$CT$4</f>
        <v>46079</v>
      </c>
      <c r="CP74" s="332" t="str">
        <f>IF(_xlfn.XLOOKUP($E74,'[1]Import Eletra'!$B:$B,'[1]Import Eletra'!$BE:$BE,,0,1)=0,"",_xlfn.XLOOKUP($E74,'[1]Import Eletra'!$B:$B,'[1]Import Eletra'!$BE:$BE,,0,1))</f>
        <v/>
      </c>
      <c r="CQ74" s="113">
        <f t="shared" si="59"/>
        <v>0</v>
      </c>
      <c r="CR74" s="113">
        <f t="shared" ref="CR74" ca="1" si="127">IF(CP74="",TODAY()-CO74,CP74-CO74)</f>
        <v>132</v>
      </c>
      <c r="CS74" s="184">
        <f t="shared" ref="CS74" ca="1" si="128">CR74-CQ74</f>
        <v>132</v>
      </c>
      <c r="CT74" s="335">
        <f t="shared" ref="CT74" si="129">CY74-$CY$4</f>
        <v>46079</v>
      </c>
      <c r="CU74" s="332" t="str">
        <f>IF(_xlfn.XLOOKUP($E74,'[1]Import Eletra'!$B:$B,'[1]Import Eletra'!$BF:$BF,,0,1)=0,"",_xlfn.XLOOKUP($E74,'[1]Import Eletra'!$B:$B,'[1]Import Eletra'!$BF:$BF,,0,1))</f>
        <v/>
      </c>
      <c r="CV74" s="113">
        <f t="shared" si="63"/>
        <v>0</v>
      </c>
      <c r="CW74" s="113">
        <f t="shared" ref="CW74" ca="1" si="130">IF(CU74="",TODAY()-CT74,CU74-CT74)</f>
        <v>132</v>
      </c>
      <c r="CX74" s="184">
        <f t="shared" ref="CX74" ca="1" si="131">CW74-CV74</f>
        <v>132</v>
      </c>
      <c r="CY74" s="110">
        <f t="shared" ref="CY74" si="132">DD74-$DD$4</f>
        <v>46079</v>
      </c>
      <c r="CZ74" s="247" t="str">
        <f>IF(_xlfn.XLOOKUP($E74,'[1]Import Eletra'!$B:$B,'[1]Import Eletra'!$BF:$BF,,0,1)=0,"",_xlfn.XLOOKUP($E74,'[1]Import Eletra'!$B:$B,'[1]Import Eletra'!$BF:$BF,,0,1))</f>
        <v/>
      </c>
      <c r="DA74" s="210">
        <f t="shared" si="67"/>
        <v>0</v>
      </c>
      <c r="DB74" s="113">
        <f t="shared" ref="DB74" ca="1" si="133">IF(CZ74="",TODAY()-CY74,CZ74-CY74)</f>
        <v>132</v>
      </c>
      <c r="DC74" s="184">
        <f t="shared" ref="DC74" ca="1" si="134">DB74-DA74</f>
        <v>132</v>
      </c>
      <c r="DD74" s="110">
        <f t="shared" ref="DD74" si="135">DI74-$DI$4</f>
        <v>46081</v>
      </c>
      <c r="DE74" s="247" t="str">
        <f>IF(_xlfn.XLOOKUP($E74,'[1]Import Eletra'!$B:$B,'[1]Import Eletra'!$BG:$BG,,0,1)=0,"",_xlfn.XLOOKUP($E74,'[1]Import Eletra'!$B:$B,'[1]Import Eletra'!$BG:$BG,0,1))</f>
        <v/>
      </c>
      <c r="DF74" s="113">
        <f t="shared" si="71"/>
        <v>2</v>
      </c>
      <c r="DG74" s="113">
        <f t="shared" ref="DG74" ca="1" si="136">IF(DE74="",TODAY()-DD74,DE74-DD74)</f>
        <v>130</v>
      </c>
      <c r="DH74" s="184">
        <f t="shared" ref="DH74" ca="1" si="137">DG74-DF74</f>
        <v>128</v>
      </c>
      <c r="DI74" s="110">
        <f t="shared" ref="DI74" si="138">DO74-$DN$4</f>
        <v>46082</v>
      </c>
      <c r="DJ74" s="247" t="str">
        <f>IF(_xlfn.XLOOKUP($E74,'[1]Import Eletra'!$B:$B,'[1]Import Eletra'!$BH:$BH,,0,1)=0,"",_xlfn.XLOOKUP($E74,'[1]Import Eletra'!$B:$B,'[1]Import Eletra'!$BH:$BH,0,1))</f>
        <v/>
      </c>
      <c r="DK74" s="112">
        <f t="shared" si="75"/>
        <v>1</v>
      </c>
      <c r="DL74" s="112">
        <f t="shared" ref="DL74" ca="1" si="139">IF(DJ74="",TODAY()-DI74,DJ74-DI74)</f>
        <v>129</v>
      </c>
      <c r="DM74" s="184">
        <f t="shared" ref="DM74" ca="1" si="140">DL74-DK74</f>
        <v>128</v>
      </c>
      <c r="DN74" s="64"/>
      <c r="DO74" s="202">
        <f t="shared" ref="DO74" si="141">N74+DT74</f>
        <v>46083</v>
      </c>
      <c r="DP74" s="298">
        <f>IF(_xlfn.XLOOKUP($E74,'[1]Import Eletra'!$B:$B,'[1]Import Eletra'!$O:$O,,0,1)=0,"",_xlfn.XLOOKUP($E74,'[1]Import Eletra'!$B:$B,'[1]Import Eletra'!$O:$O,0,1))</f>
        <v>46084</v>
      </c>
      <c r="DQ74" s="112">
        <f t="shared" si="79"/>
        <v>1</v>
      </c>
      <c r="DR74" s="112">
        <f t="shared" ref="DR74" ca="1" si="142">IF(DP74="",TODAY()-DO74,DP74-DO74)</f>
        <v>1</v>
      </c>
      <c r="DS74" s="184">
        <f t="shared" ref="DS74" ca="1" si="143">DR74-DQ74</f>
        <v>0</v>
      </c>
      <c r="DT74" s="143">
        <v>10</v>
      </c>
      <c r="DU74" s="140">
        <f t="shared" ca="1" si="1"/>
        <v>11</v>
      </c>
      <c r="DV74" s="184">
        <f t="shared" ref="DV74" ca="1" si="144">DU74-DT74</f>
        <v>1</v>
      </c>
      <c r="DX74" s="142"/>
      <c r="DY74" s="108" t="str">
        <f>IF(_xlfn.XLOOKUP($E74,'[1]Import Eletra'!$B:$B,'[1]Import Eletra'!$DW:$DW,,0,1)=0,"",_xlfn.XLOOKUP($E74,'[1]Import Eletra'!$B:$B,'[1]Import Eletra'!$DW:$DW,0,1))</f>
        <v/>
      </c>
      <c r="EB74" s="287"/>
      <c r="ED74" s="409" t="str">
        <f>IF(_xlfn.XLOOKUP($E74,'[1]Import Eletra'!$B:$B,'[1]Import Eletra'!$BQ:$BQ,,0,1)=0,"",_xlfn.XLOOKUP($E74,'[1]Import Eletra'!$B:$B,'[1]Import Eletra'!$BQ:$BQ,0,1))</f>
        <v/>
      </c>
      <c r="EE74" s="410" t="str">
        <f>IF(_xlfn.XLOOKUP($E74,'[1]Import Eletra'!$B:$B,'[1]Import Eletra'!$BR:$BR,,0,1)=0,"",_xlfn.XLOOKUP($E74,'[1]Import Eletra'!$B:$B,'[1]Import Eletra'!$BR:$BR,0,1))</f>
        <v/>
      </c>
      <c r="EF74" s="409" t="str">
        <f>IF(_xlfn.XLOOKUP($E74,'[1]Import Eletra'!$B:$B,'[1]Import Eletra'!$BS:$BS,,0,1)=0,"",_xlfn.XLOOKUP($E74,'[1]Import Eletra'!$B:$B,'[1]Import Eletra'!$BS:$BS,0,1))</f>
        <v/>
      </c>
      <c r="EG74" s="410" t="str">
        <f>IF(_xlfn.XLOOKUP($E74,'[1]Import Eletra'!$B:$B,'[1]Import Eletra'!$BT:$BT,,0,1)=0,"",_xlfn.XLOOKUP($E74,'[1]Import Eletra'!$B:$B,'[1]Import Eletra'!$BT:$BT,0,1))</f>
        <v/>
      </c>
      <c r="EH74" s="409" t="str">
        <f>IF(_xlfn.XLOOKUP($E74,'[1]Import Eletra'!$B:$B,'[1]Import Eletra'!$BU:$BU,,0,1)=0,"",_xlfn.XLOOKUP($E74,'[1]Import Eletra'!$B:$B,'[1]Import Eletra'!$BU:$BU,0,1))</f>
        <v/>
      </c>
      <c r="EI74" s="410" t="str">
        <f>IF(_xlfn.XLOOKUP($E74,'[1]Import Eletra'!$B:$B,'[1]Import Eletra'!$BV:$BV,,0,1)=0,"",_xlfn.XLOOKUP($E74,'[1]Import Eletra'!$B:$B,'[1]Import Eletra'!$BV:$BV,0,1))</f>
        <v/>
      </c>
      <c r="EJ74" s="410" t="str">
        <f>IF(_xlfn.XLOOKUP($E74,'[1]Import Eletra'!$B:$B,'[1]Import Eletra'!$CI:$CI,,0,1)=0,"",_xlfn.XLOOKUP($E74,'[1]Import Eletra'!$B:$B,'[1]Import Eletra'!$CI:$CI,0,1))</f>
        <v/>
      </c>
      <c r="EK74" s="410" t="str">
        <f>IF(_xlfn.XLOOKUP($E74,'[1]Import Eletra'!$B:$B,'[1]Import Eletra'!$CD:$CD,,0,1)=0,"",_xlfn.XLOOKUP($E74,'[1]Import Eletra'!$B:$B,'[1]Import Eletra'!$CD:$CD,0,1))</f>
        <v/>
      </c>
      <c r="EL74" s="410" t="str">
        <f>IF(_xlfn.XLOOKUP($E74,'[1]Import Eletra'!$B:$B,'[1]Import Eletra'!$CE:$CE,,0,1)=0,"",_xlfn.XLOOKUP($E74,'[1]Import Eletra'!$B:$B,'[1]Import Eletra'!$CE:$CE,0,1))</f>
        <v>NÃO</v>
      </c>
      <c r="EM74" s="411" t="str">
        <f>IF(_xlfn.XLOOKUP($E74,'[1]Import Eletra'!$B:$B,'[1]Import Eletra'!$E:$E,,0,1)=0,"",_xlfn.XLOOKUP($E74,'[1]Import Eletra'!$B:$B,'[1]Import Eletra'!$E:$E,0,1))</f>
        <v>LEISIANE</v>
      </c>
      <c r="EN74" s="408" t="str">
        <f>IF(_xlfn.XLOOKUP($E74,'[1]Import Eletra'!$B:$B,'[1]Import Eletra'!$R:$R,,0,1)=0,"",_xlfn.XLOOKUP($E74,'[1]Import Eletra'!$B:$B,'[1]Import Eletra'!$R:$R,0,1))</f>
        <v/>
      </c>
      <c r="EO74" s="408" t="str">
        <f>IF(_xlfn.XLOOKUP($E74,'[1]Import Eletra'!$B:$B,'[1]Import Eletra'!$P:$P,,0,1)=0,"",_xlfn.XLOOKUP($E74,'[1]Import Eletra'!$B:$B,'[1]Import Eletra'!$P:$P,0,1))</f>
        <v/>
      </c>
      <c r="EP74" s="408" t="str">
        <f>IF(_xlfn.XLOOKUP($E74,'[1]Import Eletra'!$B:$B,'[1]Import Eletra'!$T:$T,,0,1)=0,"",_xlfn.XLOOKUP($E74,'[1]Import Eletra'!$B:$B,'[1]Import Eletra'!$T:$T,0,1))</f>
        <v/>
      </c>
    </row>
    <row r="75" spans="2:146" ht="30" customHeight="1">
      <c r="B75" s="371"/>
      <c r="C75" s="369"/>
      <c r="D75" s="104" t="str">
        <f>IF(_xlfn.XLOOKUP($E75,'[1]Import Eletra'!$B:$B,'[1]Import Eletra'!$A:$A,,0,1)=0,"",_xlfn.XLOOKUP($E75,'[1]Import Eletra'!$B:$B,'[1]Import Eletra'!$A:$A,,0,1))</f>
        <v>SEP_2026</v>
      </c>
      <c r="E75" s="275" t="s">
        <v>383</v>
      </c>
      <c r="F75" s="106" t="str">
        <f>IF(_xlfn.XLOOKUP($E75,'[1]Import Eletra'!$B:$B,'[1]Import Eletra'!$U:$U,,0,1)=0,"",_xlfn.XLOOKUP($E75,'[1]Import Eletra'!$B:$B,'[1]Import Eletra'!$U:$U,,0,1))</f>
        <v/>
      </c>
      <c r="G75" s="301" t="s">
        <v>244</v>
      </c>
      <c r="H75" s="2" t="str">
        <f>_xlfn.XLOOKUP($E75,'[1]Import Eletra'!$B:$B,'[1]Import Eletra'!$F:$F,,0,1)</f>
        <v>CUSTOMS CLEARANCE</v>
      </c>
      <c r="I75" s="108" t="str">
        <f>_xlfn.XLOOKUP($E75,'[1]Import Eletra'!$B:$B,'[1]Import Eletra'!$G:$G,,0,1)</f>
        <v>COURIER</v>
      </c>
      <c r="J75" s="326" t="str">
        <f>IF(_xlfn.XLOOKUP($E75,'[1]Import Eletra'!$B:$B,'[1]Import Eletra'!$DX:$DX,,0,1)=0,"",_xlfn.XLOOKUP($E75,'[1]Import Eletra'!$B:$B,'[1]Import Eletra'!$DX:$DX,,0,1))</f>
        <v/>
      </c>
      <c r="K75" s="109">
        <v>30</v>
      </c>
      <c r="L75" s="321" t="e">
        <f t="shared" ref="L75" si="145">M75-J75</f>
        <v>#VALUE!</v>
      </c>
      <c r="M75" s="326">
        <f>IF(_xlfn.XLOOKUP($E75,'[1]Import Eletra'!$B:$B,'[1]Import Eletra'!$J:$J,,0,1)=0,"",_xlfn.XLOOKUP($E75,'[1]Import Eletra'!$B:$B,'[1]Import Eletra'!$J:$J,,0,1))</f>
        <v>46191</v>
      </c>
      <c r="N75" s="333">
        <f>IF(_xlfn.XLOOKUP($E75,'[1]Import Eletra'!$B:$B,'[1]Import Eletra'!$L:$L,,0,1)=0,"",_xlfn.XLOOKUP($E75,'[1]Import Eletra'!$B:$B,'[1]Import Eletra'!$L:$L,,0,1))</f>
        <v>46205</v>
      </c>
      <c r="O75" s="374"/>
      <c r="P75" s="326"/>
      <c r="Q75" s="326"/>
      <c r="R75" s="326"/>
      <c r="S75" s="326"/>
      <c r="T75" s="326"/>
      <c r="U75" s="326"/>
      <c r="V75" s="339"/>
      <c r="W75" s="335">
        <f t="shared" ref="W75" si="146">AB75-$AB$5</f>
        <v>46206</v>
      </c>
      <c r="X75" s="332" t="str">
        <f>IF(_xlfn.XLOOKUP($E75,'[1]Import Eletra'!$B:$B,'[1]Import Eletra'!$AS:$AS,,0,1)=0,"",_xlfn.XLOOKUP($E75,'[1]Import Eletra'!$B:$B,'[1]Import Eletra'!$AS:$AS,,0,1))</f>
        <v/>
      </c>
      <c r="Y75" s="113">
        <f t="shared" si="4"/>
        <v>0</v>
      </c>
      <c r="Z75" s="113">
        <f t="shared" ref="Z75" ca="1" si="147">IF(X75="",TODAY()-W75,X75-W75)</f>
        <v>5</v>
      </c>
      <c r="AA75" s="184">
        <f t="shared" ref="AA75" ca="1" si="148">Z75-Y75</f>
        <v>5</v>
      </c>
      <c r="AB75" s="348">
        <f t="shared" ref="AB75" si="149">AG75-$AB$5</f>
        <v>46207</v>
      </c>
      <c r="AC75" s="332" t="str">
        <f>IF(_xlfn.XLOOKUP($E75,'[1]Import Eletra'!$B:$B,'[1]Import Eletra'!$AD:$AD,,0,1)=0,"",_xlfn.XLOOKUP($E75,'[1]Import Eletra'!$B:$B,'[1]Import Eletra'!$AD:$AD,,0,1))</f>
        <v/>
      </c>
      <c r="AD75" s="113">
        <f t="shared" si="8"/>
        <v>0</v>
      </c>
      <c r="AE75" s="113">
        <f t="shared" ref="AE75" ca="1" si="150">IF(AC75="",TODAY()-AB75,AC75-AB75)</f>
        <v>4</v>
      </c>
      <c r="AF75" s="184">
        <f t="shared" ref="AF75" ca="1" si="151">AE75-AD75</f>
        <v>4</v>
      </c>
      <c r="AG75" s="355">
        <f t="shared" ref="AG75" si="152">AL75-$AL$5</f>
        <v>46208</v>
      </c>
      <c r="AH75" s="332" t="str">
        <f>IF(_xlfn.XLOOKUP($E75,'[1]Import Eletra'!$B:$B,'[1]Import Eletra'!$AE:$AE,,0,1)=0,"",_xlfn.XLOOKUP($E75,'[1]Import Eletra'!$B:$B,'[1]Import Eletra'!$AE:$AE,,0,1))</f>
        <v/>
      </c>
      <c r="AI75" s="113">
        <f t="shared" si="12"/>
        <v>0</v>
      </c>
      <c r="AJ75" s="113">
        <f t="shared" ref="AJ75" ca="1" si="153">IF(AH75="",TODAY()-AG75,AH75-AG75)</f>
        <v>3</v>
      </c>
      <c r="AK75" s="184">
        <f t="shared" ref="AK75" ca="1" si="154">AJ75-AI75</f>
        <v>3</v>
      </c>
      <c r="AL75" s="355">
        <f t="shared" ref="AL75" si="155">AQ75-$AQ$5</f>
        <v>46208</v>
      </c>
      <c r="AM75" s="332" t="str">
        <f>IF(_xlfn.XLOOKUP($E75,'[1]Import Eletra'!$B:$B,'[1]Import Eletra'!$AT:$AT,,0,1)=0,"",_xlfn.XLOOKUP($E75,'[1]Import Eletra'!$B:$B,'[1]Import Eletra'!$AT:$AT,,0,1))</f>
        <v/>
      </c>
      <c r="AN75" s="113">
        <f t="shared" si="16"/>
        <v>0</v>
      </c>
      <c r="AO75" s="113">
        <f t="shared" ref="AO75" ca="1" si="156">IF(AM75="",TODAY()-AL75,AM75-AL75)</f>
        <v>3</v>
      </c>
      <c r="AP75" s="184">
        <f t="shared" ref="AP75" ca="1" si="157">AO75-AN75</f>
        <v>3</v>
      </c>
      <c r="AQ75" s="357">
        <f t="shared" ref="AQ75" si="158">AV75-$AV$5</f>
        <v>46209</v>
      </c>
      <c r="AR75" s="332" t="str">
        <f>IF(_xlfn.XLOOKUP($E75,'[1]Import Eletra'!$B:$B,'[1]Import Eletra'!$AU:$AU,,0,1)=0,"",_xlfn.XLOOKUP($E75,'[1]Import Eletra'!$B:$B,'[1]Import Eletra'!$AU:$AU,,0,1))</f>
        <v/>
      </c>
      <c r="AS75" s="113">
        <f t="shared" si="20"/>
        <v>1</v>
      </c>
      <c r="AT75" s="113">
        <f t="shared" ref="AT75" ca="1" si="159">IF(AR75="",TODAY()-AQ75,AR75-AQ75)</f>
        <v>2</v>
      </c>
      <c r="AU75" s="184">
        <f t="shared" ref="AU75" ca="1" si="160">AT75-AS75</f>
        <v>1</v>
      </c>
      <c r="AV75" s="355">
        <f t="shared" ref="AV75" si="161">BA75-$BA$5</f>
        <v>46209</v>
      </c>
      <c r="AW75" s="332" t="str">
        <f>IF(_xlfn.XLOOKUP($E75,'[1]Import Eletra'!$B:$B,'[1]Import Eletra'!$AV:$AV,,0,1)=0,"",_xlfn.XLOOKUP($E75,'[1]Import Eletra'!$B:$B,'[1]Import Eletra'!$AV:$AV,,0,1))</f>
        <v/>
      </c>
      <c r="AX75" s="113">
        <f t="shared" si="24"/>
        <v>0</v>
      </c>
      <c r="AY75" s="113">
        <f t="shared" ref="AY75" ca="1" si="162">IF(AW75="",TODAY()-AV75,AW75-AV75)</f>
        <v>2</v>
      </c>
      <c r="AZ75" s="184">
        <f t="shared" ref="AZ75" ca="1" si="163">AY75-AX75</f>
        <v>2</v>
      </c>
      <c r="BA75" s="357">
        <f t="shared" ref="BA75" si="164">BF75-$BF$5</f>
        <v>46209</v>
      </c>
      <c r="BB75" s="332" t="str">
        <f>IF(_xlfn.XLOOKUP($E75,'[1]Import Eletra'!$B:$B,'[1]Import Eletra'!$AW:$AW,,0,1)=0,"",_xlfn.XLOOKUP($E75,'[1]Import Eletra'!$B:$B,'[1]Import Eletra'!$AW:$AW,,0,1))</f>
        <v/>
      </c>
      <c r="BC75" s="113">
        <f t="shared" si="28"/>
        <v>0</v>
      </c>
      <c r="BD75" s="113">
        <f t="shared" ref="BD75" ca="1" si="165">IF(BB75="",TODAY()-BA75,BB75-BA75)</f>
        <v>2</v>
      </c>
      <c r="BE75" s="184">
        <f t="shared" ref="BE75" ca="1" si="166">BD75-BC75</f>
        <v>2</v>
      </c>
      <c r="BF75" s="335">
        <f t="shared" ref="BF75" si="167">BK75-$BK$5</f>
        <v>46209</v>
      </c>
      <c r="BG75" s="332" t="str">
        <f>IF(_xlfn.XLOOKUP($E75,'[1]Import Eletra'!$B:$B,'[1]Import Eletra'!$AX:$AX,,0,1)=0,"",_xlfn.XLOOKUP($E75,'[1]Import Eletra'!$B:$B,'[1]Import Eletra'!$AX:$AX,,0,1))</f>
        <v/>
      </c>
      <c r="BH75" s="113">
        <f t="shared" si="32"/>
        <v>0</v>
      </c>
      <c r="BI75" s="113">
        <f t="shared" ref="BI75" ca="1" si="168">IF(BG75="",TODAY()-BF75,BG75-BF75)</f>
        <v>2</v>
      </c>
      <c r="BJ75" s="184">
        <f t="shared" ref="BJ75" ca="1" si="169">BI75-BH75</f>
        <v>2</v>
      </c>
      <c r="BK75" s="362">
        <f t="shared" ref="BK75" si="170">BP75-$BP$5</f>
        <v>46209</v>
      </c>
      <c r="BL75" s="332" t="str">
        <f>IF(_xlfn.XLOOKUP($E75,'[1]Import Eletra'!$B:$B,'[1]Import Eletra'!$AY:$AY,,0,1)=0,"",_xlfn.XLOOKUP($E75,'[1]Import Eletra'!$B:$B,'[1]Import Eletra'!$AY:$AY,,0,1))</f>
        <v/>
      </c>
      <c r="BM75" s="113">
        <f t="shared" si="36"/>
        <v>0</v>
      </c>
      <c r="BN75" s="113">
        <f t="shared" ref="BN75" ca="1" si="171">IF(BL75="",TODAY()-BK75,BL75-BK75)</f>
        <v>2</v>
      </c>
      <c r="BO75" s="184">
        <f t="shared" ref="BO75" ca="1" si="172">BN75-BM75</f>
        <v>2</v>
      </c>
      <c r="BP75" s="335">
        <f t="shared" ref="BP75" si="173">BU75-$BU$5</f>
        <v>46209</v>
      </c>
      <c r="BQ75" s="332" t="str">
        <f>IF(_xlfn.XLOOKUP($E75,'[1]Import Eletra'!$B:$B,'[1]Import Eletra'!$AZ:$AZ,,0,1)=0,"",_xlfn.XLOOKUP($E75,'[1]Import Eletra'!$B:$B,'[1]Import Eletra'!$AZ:$AZ,,0,1))</f>
        <v/>
      </c>
      <c r="BR75" s="113">
        <f t="shared" si="40"/>
        <v>0</v>
      </c>
      <c r="BS75" s="113">
        <f t="shared" ref="BS75" ca="1" si="174">IF(BQ75="",TODAY()-BP75,BQ75-BP75)</f>
        <v>2</v>
      </c>
      <c r="BT75" s="184">
        <f t="shared" ref="BT75" ca="1" si="175">BS75-BR75</f>
        <v>2</v>
      </c>
      <c r="BU75" s="362">
        <f t="shared" ref="BU75" si="176">BZ75-$BZ$4</f>
        <v>46211</v>
      </c>
      <c r="BV75" s="332" t="str">
        <f>IF(_xlfn.XLOOKUP($E75,'[1]Import Eletra'!$B:$B,'[1]Import Eletra'!$BA:$BA,,0,1)=0,"",_xlfn.XLOOKUP($E75,'[1]Import Eletra'!$B:$B,'[1]Import Eletra'!$BA:$BA,,0,1))</f>
        <v/>
      </c>
      <c r="BW75" s="113">
        <f t="shared" si="44"/>
        <v>2</v>
      </c>
      <c r="BX75" s="113">
        <f t="shared" ref="BX75" ca="1" si="177">IF(BV75="",TODAY()-BU75,BV75-BU75)</f>
        <v>0</v>
      </c>
      <c r="BY75" s="184">
        <f t="shared" ref="BY75" ca="1" si="178">BX75-BW75</f>
        <v>-2</v>
      </c>
      <c r="BZ75" s="335">
        <f t="shared" ref="BZ75" si="179">CE75-$CE$5</f>
        <v>46211</v>
      </c>
      <c r="CA75" s="332" t="str">
        <f>IF(_xlfn.XLOOKUP($E75,'[1]Import Eletra'!$B:$B,'[1]Import Eletra'!$BB:$BB,,0,1)=0,"",_xlfn.XLOOKUP($E75,'[1]Import Eletra'!$B:$B,'[1]Import Eletra'!$BB:$BB,,0,1))</f>
        <v/>
      </c>
      <c r="CB75" s="113">
        <f t="shared" si="48"/>
        <v>0</v>
      </c>
      <c r="CC75" s="113">
        <f t="shared" ref="CC75" ca="1" si="180">IF(CA75="",TODAY()-BZ75,CA75-BZ75)</f>
        <v>0</v>
      </c>
      <c r="CD75" s="184">
        <f t="shared" ref="CD75" ca="1" si="181">CC75-CB75</f>
        <v>0</v>
      </c>
      <c r="CE75" s="362">
        <f t="shared" ref="CE75" si="182">CJ75-$CJ$4</f>
        <v>46211</v>
      </c>
      <c r="CF75" s="332" t="str">
        <f>IF(_xlfn.XLOOKUP($E75,'[1]Import Eletra'!$B:$B,'[1]Import Eletra'!$BC:$BC,,0,1)=0,"",_xlfn.XLOOKUP($E75,'[1]Import Eletra'!$B:$B,'[1]Import Eletra'!$BC:$BC,,0,1))</f>
        <v/>
      </c>
      <c r="CG75" s="113">
        <f t="shared" si="52"/>
        <v>0</v>
      </c>
      <c r="CH75" s="113">
        <f t="shared" ref="CH75" ca="1" si="183">IF(CF75="",TODAY()-CE75,CF75-CE75)</f>
        <v>0</v>
      </c>
      <c r="CI75" s="184">
        <f t="shared" ref="CI75" ca="1" si="184">CH75-CG75</f>
        <v>0</v>
      </c>
      <c r="CJ75" s="335">
        <f t="shared" ref="CJ75" si="185">CO75-$CO$4</f>
        <v>46211</v>
      </c>
      <c r="CK75" s="332" t="str">
        <f>IF(_xlfn.XLOOKUP($E75,'[1]Import Eletra'!$B:$B,'[1]Import Eletra'!$BD:$BD,,0,1)=0,"",_xlfn.XLOOKUP($E75,'[1]Import Eletra'!$B:$B,'[1]Import Eletra'!$BD:$BD,,0,1))</f>
        <v/>
      </c>
      <c r="CL75" s="113"/>
      <c r="CM75" s="113">
        <f t="shared" ref="CM75" ca="1" si="186">IF(CK75="",TODAY()-CJ75,CK75-CJ75)</f>
        <v>0</v>
      </c>
      <c r="CN75" s="184">
        <f t="shared" ref="CN75" ca="1" si="187">CM75-CL75</f>
        <v>0</v>
      </c>
      <c r="CO75" s="362">
        <f t="shared" ref="CO75" si="188">CT75-$CT$4</f>
        <v>46211</v>
      </c>
      <c r="CP75" s="332" t="str">
        <f>IF(_xlfn.XLOOKUP($E75,'[1]Import Eletra'!$B:$B,'[1]Import Eletra'!$BE:$BE,,0,1)=0,"",_xlfn.XLOOKUP($E75,'[1]Import Eletra'!$B:$B,'[1]Import Eletra'!$BE:$BE,,0,1))</f>
        <v/>
      </c>
      <c r="CQ75" s="113">
        <f t="shared" si="59"/>
        <v>0</v>
      </c>
      <c r="CR75" s="113">
        <f t="shared" ref="CR75" ca="1" si="189">IF(CP75="",TODAY()-CO75,CP75-CO75)</f>
        <v>0</v>
      </c>
      <c r="CS75" s="184">
        <f t="shared" ref="CS75" ca="1" si="190">CR75-CQ75</f>
        <v>0</v>
      </c>
      <c r="CT75" s="335">
        <f t="shared" ref="CT75" si="191">CY75-$CY$4</f>
        <v>46211</v>
      </c>
      <c r="CU75" s="332" t="str">
        <f>IF(_xlfn.XLOOKUP($E75,'[1]Import Eletra'!$B:$B,'[1]Import Eletra'!$BF:$BF,,0,1)=0,"",_xlfn.XLOOKUP($E75,'[1]Import Eletra'!$B:$B,'[1]Import Eletra'!$BF:$BF,,0,1))</f>
        <v/>
      </c>
      <c r="CV75" s="113">
        <f t="shared" si="63"/>
        <v>0</v>
      </c>
      <c r="CW75" s="113">
        <f t="shared" ref="CW75" ca="1" si="192">IF(CU75="",TODAY()-CT75,CU75-CT75)</f>
        <v>0</v>
      </c>
      <c r="CX75" s="184">
        <f t="shared" ref="CX75" ca="1" si="193">CW75-CV75</f>
        <v>0</v>
      </c>
      <c r="CY75" s="110">
        <f t="shared" ref="CY75" si="194">DD75-$DD$4</f>
        <v>46211</v>
      </c>
      <c r="CZ75" s="247" t="str">
        <f>IF(_xlfn.XLOOKUP($E75,'[1]Import Eletra'!$B:$B,'[1]Import Eletra'!$BF:$BF,,0,1)=0,"",_xlfn.XLOOKUP($E75,'[1]Import Eletra'!$B:$B,'[1]Import Eletra'!$BF:$BF,,0,1))</f>
        <v/>
      </c>
      <c r="DA75" s="210">
        <f t="shared" si="67"/>
        <v>0</v>
      </c>
      <c r="DB75" s="113">
        <f t="shared" ref="DB75" ca="1" si="195">IF(CZ75="",TODAY()-CY75,CZ75-CY75)</f>
        <v>0</v>
      </c>
      <c r="DC75" s="184">
        <f t="shared" ref="DC75" ca="1" si="196">DB75-DA75</f>
        <v>0</v>
      </c>
      <c r="DD75" s="110">
        <f t="shared" ref="DD75" si="197">DI75-$DI$4</f>
        <v>46213</v>
      </c>
      <c r="DE75" s="247" t="str">
        <f>IF(_xlfn.XLOOKUP($E75,'[1]Import Eletra'!$B:$B,'[1]Import Eletra'!$BG:$BG,,0,1)=0,"",_xlfn.XLOOKUP($E75,'[1]Import Eletra'!$B:$B,'[1]Import Eletra'!$BG:$BG,0,1))</f>
        <v/>
      </c>
      <c r="DF75" s="113">
        <f t="shared" si="71"/>
        <v>2</v>
      </c>
      <c r="DG75" s="113">
        <f t="shared" ref="DG75" ca="1" si="198">IF(DE75="",TODAY()-DD75,DE75-DD75)</f>
        <v>-2</v>
      </c>
      <c r="DH75" s="184">
        <f t="shared" ref="DH75" ca="1" si="199">DG75-DF75</f>
        <v>-4</v>
      </c>
      <c r="DI75" s="110">
        <f t="shared" ref="DI75" si="200">DO75-$DN$4</f>
        <v>46214</v>
      </c>
      <c r="DJ75" s="247" t="str">
        <f>IF(_xlfn.XLOOKUP($E75,'[1]Import Eletra'!$B:$B,'[1]Import Eletra'!$BH:$BH,,0,1)=0,"",_xlfn.XLOOKUP($E75,'[1]Import Eletra'!$B:$B,'[1]Import Eletra'!$BH:$BH,0,1))</f>
        <v/>
      </c>
      <c r="DK75" s="112">
        <f t="shared" si="75"/>
        <v>1</v>
      </c>
      <c r="DL75" s="112">
        <f t="shared" ref="DL75" ca="1" si="201">IF(DJ75="",TODAY()-DI75,DJ75-DI75)</f>
        <v>-3</v>
      </c>
      <c r="DM75" s="184">
        <f t="shared" ref="DM75" ca="1" si="202">DL75-DK75</f>
        <v>-4</v>
      </c>
      <c r="DN75" s="64"/>
      <c r="DO75" s="202">
        <f t="shared" ref="DO75" si="203">N75+DT75</f>
        <v>46215</v>
      </c>
      <c r="DP75" s="298" t="str">
        <f>IF(_xlfn.XLOOKUP($E75,'[1]Import Eletra'!$B:$B,'[1]Import Eletra'!$O:$O,,0,1)=0,"",_xlfn.XLOOKUP($E75,'[1]Import Eletra'!$B:$B,'[1]Import Eletra'!$O:$O,0,1))</f>
        <v/>
      </c>
      <c r="DQ75" s="112">
        <f t="shared" si="79"/>
        <v>1</v>
      </c>
      <c r="DR75" s="112">
        <f t="shared" ref="DR75" ca="1" si="204">IF(DP75="",TODAY()-DO75,DP75-DO75)</f>
        <v>-4</v>
      </c>
      <c r="DS75" s="184">
        <f t="shared" ref="DS75" ca="1" si="205">DR75-DQ75</f>
        <v>-5</v>
      </c>
      <c r="DT75" s="143">
        <v>10</v>
      </c>
      <c r="DU75" s="140">
        <f t="shared" ca="1" si="1"/>
        <v>6</v>
      </c>
      <c r="DV75" s="184">
        <f t="shared" ref="DV75" ca="1" si="206">DU75-DT75</f>
        <v>-4</v>
      </c>
      <c r="DX75" s="422"/>
      <c r="DY75" s="108" t="str">
        <f>IF(_xlfn.XLOOKUP($E75,'[1]Import Eletra'!$B:$B,'[1]Import Eletra'!$DW:$DW,,0,1)=0,"",_xlfn.XLOOKUP($E75,'[1]Import Eletra'!$B:$B,'[1]Import Eletra'!$DW:$DW,0,1))</f>
        <v/>
      </c>
      <c r="EB75" s="287"/>
      <c r="ED75" s="409" t="str">
        <f>IF(_xlfn.XLOOKUP($E75,'[1]Import Eletra'!$B:$B,'[1]Import Eletra'!$BQ:$BQ,,0,1)=0,"",_xlfn.XLOOKUP($E75,'[1]Import Eletra'!$B:$B,'[1]Import Eletra'!$BQ:$BQ,0,1))</f>
        <v/>
      </c>
      <c r="EE75" s="410" t="str">
        <f>IF(_xlfn.XLOOKUP($E75,'[1]Import Eletra'!$B:$B,'[1]Import Eletra'!$BR:$BR,,0,1)=0,"",_xlfn.XLOOKUP($E75,'[1]Import Eletra'!$B:$B,'[1]Import Eletra'!$BR:$BR,0,1))</f>
        <v/>
      </c>
      <c r="EF75" s="409" t="str">
        <f>IF(_xlfn.XLOOKUP($E75,'[1]Import Eletra'!$B:$B,'[1]Import Eletra'!$BS:$BS,,0,1)=0,"",_xlfn.XLOOKUP($E75,'[1]Import Eletra'!$B:$B,'[1]Import Eletra'!$BS:$BS,0,1))</f>
        <v/>
      </c>
      <c r="EG75" s="410" t="str">
        <f>IF(_xlfn.XLOOKUP($E75,'[1]Import Eletra'!$B:$B,'[1]Import Eletra'!$BT:$BT,,0,1)=0,"",_xlfn.XLOOKUP($E75,'[1]Import Eletra'!$B:$B,'[1]Import Eletra'!$BT:$BT,0,1))</f>
        <v/>
      </c>
      <c r="EH75" s="409" t="str">
        <f>IF(_xlfn.XLOOKUP($E75,'[1]Import Eletra'!$B:$B,'[1]Import Eletra'!$BU:$BU,,0,1)=0,"",_xlfn.XLOOKUP($E75,'[1]Import Eletra'!$B:$B,'[1]Import Eletra'!$BU:$BU,0,1))</f>
        <v/>
      </c>
      <c r="EI75" s="410" t="str">
        <f>IF(_xlfn.XLOOKUP($E75,'[1]Import Eletra'!$B:$B,'[1]Import Eletra'!$BV:$BV,,0,1)=0,"",_xlfn.XLOOKUP($E75,'[1]Import Eletra'!$B:$B,'[1]Import Eletra'!$BV:$BV,0,1))</f>
        <v/>
      </c>
      <c r="EJ75" s="410" t="str">
        <f>IF(_xlfn.XLOOKUP($E75,'[1]Import Eletra'!$B:$B,'[1]Import Eletra'!$CI:$CI,,0,1)=0,"",_xlfn.XLOOKUP($E75,'[1]Import Eletra'!$B:$B,'[1]Import Eletra'!$CI:$CI,0,1))</f>
        <v/>
      </c>
      <c r="EK75" s="410" t="str">
        <f>IF(_xlfn.XLOOKUP($E75,'[1]Import Eletra'!$B:$B,'[1]Import Eletra'!$CD:$CD,,0,1)=0,"",_xlfn.XLOOKUP($E75,'[1]Import Eletra'!$B:$B,'[1]Import Eletra'!$CD:$CD,0,1))</f>
        <v/>
      </c>
      <c r="EL75" s="410" t="str">
        <f>IF(_xlfn.XLOOKUP($E75,'[1]Import Eletra'!$B:$B,'[1]Import Eletra'!$CE:$CE,,0,1)=0,"",_xlfn.XLOOKUP($E75,'[1]Import Eletra'!$B:$B,'[1]Import Eletra'!$CE:$CE,0,1))</f>
        <v/>
      </c>
      <c r="EM75" s="411" t="str">
        <f>IF(_xlfn.XLOOKUP($E75,'[1]Import Eletra'!$B:$B,'[1]Import Eletra'!$E:$E,,0,1)=0,"",_xlfn.XLOOKUP($E75,'[1]Import Eletra'!$B:$B,'[1]Import Eletra'!$E:$E,0,1))</f>
        <v>CATARINA</v>
      </c>
      <c r="EN75" s="408" t="str">
        <f>IF(_xlfn.XLOOKUP($E75,'[1]Import Eletra'!$B:$B,'[1]Import Eletra'!$R:$R,,0,1)=0,"",_xlfn.XLOOKUP($E75,'[1]Import Eletra'!$B:$B,'[1]Import Eletra'!$R:$R,0,1))</f>
        <v/>
      </c>
      <c r="EO75" s="408" t="str">
        <f>IF(_xlfn.XLOOKUP($E75,'[1]Import Eletra'!$B:$B,'[1]Import Eletra'!$P:$P,,0,1)=0,"",_xlfn.XLOOKUP($E75,'[1]Import Eletra'!$B:$B,'[1]Import Eletra'!$P:$P,0,1))</f>
        <v/>
      </c>
      <c r="EP75" s="408" t="str">
        <f>IF(_xlfn.XLOOKUP($E75,'[1]Import Eletra'!$B:$B,'[1]Import Eletra'!$T:$T,,0,1)=0,"",_xlfn.XLOOKUP($E75,'[1]Import Eletra'!$B:$B,'[1]Import Eletra'!$T:$T,0,1))</f>
        <v/>
      </c>
    </row>
    <row r="76" spans="2:146" ht="30" customHeight="1">
      <c r="B76" s="371" t="s">
        <v>336</v>
      </c>
      <c r="C76" s="369"/>
      <c r="D76" s="104" t="str">
        <f>IF(_xlfn.XLOOKUP($E76,'[1]Import Eletra'!$B:$B,'[1]Import Eletra'!$A:$A,,0,1)=0,"",_xlfn.XLOOKUP($E76,'[1]Import Eletra'!$B:$B,'[1]Import Eletra'!$A:$A,,0,1))</f>
        <v>AUG - 2026</v>
      </c>
      <c r="E76" s="322" t="s">
        <v>384</v>
      </c>
      <c r="F76" s="106" t="str">
        <f>IF(_xlfn.XLOOKUP($E76,'[1]Import Eletra'!$B:$B,'[1]Import Eletra'!$U:$U,,0,1)=0,"",_xlfn.XLOOKUP($E76,'[1]Import Eletra'!$B:$B,'[1]Import Eletra'!$U:$U,,0,1))</f>
        <v/>
      </c>
      <c r="G76" s="301" t="s">
        <v>244</v>
      </c>
      <c r="H76" s="2" t="str">
        <f>_xlfn.XLOOKUP($E76,'[1]Import Eletra'!$B:$B,'[1]Import Eletra'!$F:$F,,0,1)</f>
        <v>DELIVERED</v>
      </c>
      <c r="I76" s="108" t="str">
        <f>_xlfn.XLOOKUP($E76,'[1]Import Eletra'!$B:$B,'[1]Import Eletra'!$G:$G,,0,1)</f>
        <v>AIR</v>
      </c>
      <c r="J76" s="326" t="str">
        <f>IF(_xlfn.XLOOKUP($E76,'[1]Import Eletra'!$B:$B,'[1]Import Eletra'!$DX:$DX,,0,1)=0,"",_xlfn.XLOOKUP($E76,'[1]Import Eletra'!$B:$B,'[1]Import Eletra'!$DX:$DX,,0,1))</f>
        <v/>
      </c>
      <c r="K76" s="109">
        <v>31</v>
      </c>
      <c r="L76" s="321" t="e">
        <f t="shared" ref="L76" si="207">M76-J76</f>
        <v>#VALUE!</v>
      </c>
      <c r="M76" s="326">
        <f>IF(_xlfn.XLOOKUP($E76,'[1]Import Eletra'!$B:$B,'[1]Import Eletra'!$J:$J,,0,1)=0,"",_xlfn.XLOOKUP($E76,'[1]Import Eletra'!$B:$B,'[1]Import Eletra'!$J:$J,,0,1))</f>
        <v>46199</v>
      </c>
      <c r="N76" s="333">
        <f>IF(_xlfn.XLOOKUP($E76,'[1]Import Eletra'!$B:$B,'[1]Import Eletra'!$L:$L,,0,1)=0,"",_xlfn.XLOOKUP($E76,'[1]Import Eletra'!$B:$B,'[1]Import Eletra'!$L:$L,,0,1))</f>
        <v>46201</v>
      </c>
      <c r="O76" s="374"/>
      <c r="P76" s="326"/>
      <c r="Q76" s="326"/>
      <c r="R76" s="326"/>
      <c r="S76" s="326"/>
      <c r="T76" s="326"/>
      <c r="U76" s="326"/>
      <c r="V76" s="339"/>
      <c r="W76" s="335">
        <f t="shared" ref="W76" si="208">AB76-$AB$5</f>
        <v>46203</v>
      </c>
      <c r="X76" s="332">
        <f>IF(_xlfn.XLOOKUP($E76,'[1]Import Eletra'!$B:$B,'[1]Import Eletra'!$AS:$AS,,0,1)=0,"",_xlfn.XLOOKUP($E76,'[1]Import Eletra'!$B:$B,'[1]Import Eletra'!$AS:$AS,,0,1))</f>
        <v>46203</v>
      </c>
      <c r="Y76" s="113">
        <f t="shared" si="4"/>
        <v>0</v>
      </c>
      <c r="Z76" s="113">
        <f t="shared" ref="Z76" ca="1" si="209">IF(X76="",TODAY()-W76,X76-W76)</f>
        <v>0</v>
      </c>
      <c r="AA76" s="184">
        <f t="shared" ref="AA76" ca="1" si="210">Z76-Y76</f>
        <v>0</v>
      </c>
      <c r="AB76" s="348">
        <f t="shared" ref="AB76" si="211">AG76-$AB$5</f>
        <v>46204</v>
      </c>
      <c r="AC76" s="332">
        <f>IF(_xlfn.XLOOKUP($E76,'[1]Import Eletra'!$B:$B,'[1]Import Eletra'!$AD:$AD,,0,1)=0,"",_xlfn.XLOOKUP($E76,'[1]Import Eletra'!$B:$B,'[1]Import Eletra'!$AD:$AD,,0,1))</f>
        <v>46203</v>
      </c>
      <c r="AD76" s="113">
        <f t="shared" si="8"/>
        <v>0</v>
      </c>
      <c r="AE76" s="113">
        <f t="shared" ref="AE76" ca="1" si="212">IF(AC76="",TODAY()-AB76,AC76-AB76)</f>
        <v>-1</v>
      </c>
      <c r="AF76" s="184">
        <f t="shared" ref="AF76" ca="1" si="213">AE76-AD76</f>
        <v>-1</v>
      </c>
      <c r="AG76" s="355">
        <f t="shared" ref="AG76" si="214">AL76-$AL$5</f>
        <v>46205</v>
      </c>
      <c r="AH76" s="332">
        <f>IF(_xlfn.XLOOKUP($E76,'[1]Import Eletra'!$B:$B,'[1]Import Eletra'!$AE:$AE,,0,1)=0,"",_xlfn.XLOOKUP($E76,'[1]Import Eletra'!$B:$B,'[1]Import Eletra'!$AE:$AE,,0,1))</f>
        <v>46203</v>
      </c>
      <c r="AI76" s="113">
        <f t="shared" si="12"/>
        <v>0</v>
      </c>
      <c r="AJ76" s="113">
        <f t="shared" ref="AJ76" ca="1" si="215">IF(AH76="",TODAY()-AG76,AH76-AG76)</f>
        <v>-2</v>
      </c>
      <c r="AK76" s="184">
        <f t="shared" ref="AK76" ca="1" si="216">AJ76-AI76</f>
        <v>-2</v>
      </c>
      <c r="AL76" s="355">
        <f t="shared" ref="AL76" si="217">AQ76-$AQ$5</f>
        <v>46205</v>
      </c>
      <c r="AM76" s="332">
        <f>IF(_xlfn.XLOOKUP($E76,'[1]Import Eletra'!$B:$B,'[1]Import Eletra'!$AT:$AT,,0,1)=0,"",_xlfn.XLOOKUP($E76,'[1]Import Eletra'!$B:$B,'[1]Import Eletra'!$AT:$AT,,0,1))</f>
        <v>46203</v>
      </c>
      <c r="AN76" s="113">
        <f t="shared" si="16"/>
        <v>0</v>
      </c>
      <c r="AO76" s="113">
        <f t="shared" ref="AO76" ca="1" si="218">IF(AM76="",TODAY()-AL76,AM76-AL76)</f>
        <v>-2</v>
      </c>
      <c r="AP76" s="184">
        <f t="shared" ref="AP76" ca="1" si="219">AO76-AN76</f>
        <v>-2</v>
      </c>
      <c r="AQ76" s="357">
        <f t="shared" ref="AQ76" si="220">AV76-$AV$5</f>
        <v>46206</v>
      </c>
      <c r="AR76" s="332">
        <f>IF(_xlfn.XLOOKUP($E76,'[1]Import Eletra'!$B:$B,'[1]Import Eletra'!$AU:$AU,,0,1)=0,"",_xlfn.XLOOKUP($E76,'[1]Import Eletra'!$B:$B,'[1]Import Eletra'!$AU:$AU,,0,1))</f>
        <v>46203</v>
      </c>
      <c r="AS76" s="113">
        <f t="shared" si="20"/>
        <v>1</v>
      </c>
      <c r="AT76" s="113">
        <f t="shared" ref="AT76" ca="1" si="221">IF(AR76="",TODAY()-AQ76,AR76-AQ76)</f>
        <v>-3</v>
      </c>
      <c r="AU76" s="184">
        <f t="shared" ref="AU76" ca="1" si="222">AT76-AS76</f>
        <v>-4</v>
      </c>
      <c r="AV76" s="355">
        <f t="shared" ref="AV76" si="223">BA76-$BA$5</f>
        <v>46206</v>
      </c>
      <c r="AW76" s="332">
        <f>IF(_xlfn.XLOOKUP($E76,'[1]Import Eletra'!$B:$B,'[1]Import Eletra'!$AV:$AV,,0,1)=0,"",_xlfn.XLOOKUP($E76,'[1]Import Eletra'!$B:$B,'[1]Import Eletra'!$AV:$AV,,0,1))</f>
        <v>46203</v>
      </c>
      <c r="AX76" s="113">
        <f t="shared" si="24"/>
        <v>0</v>
      </c>
      <c r="AY76" s="113">
        <f t="shared" ref="AY76" ca="1" si="224">IF(AW76="",TODAY()-AV76,AW76-AV76)</f>
        <v>-3</v>
      </c>
      <c r="AZ76" s="184">
        <f t="shared" ref="AZ76" ca="1" si="225">AY76-AX76</f>
        <v>-3</v>
      </c>
      <c r="BA76" s="357">
        <f t="shared" ref="BA76" si="226">BF76-$BF$5</f>
        <v>46206</v>
      </c>
      <c r="BB76" s="332">
        <f>IF(_xlfn.XLOOKUP($E76,'[1]Import Eletra'!$B:$B,'[1]Import Eletra'!$AW:$AW,,0,1)=0,"",_xlfn.XLOOKUP($E76,'[1]Import Eletra'!$B:$B,'[1]Import Eletra'!$AW:$AW,,0,1))</f>
        <v>46203</v>
      </c>
      <c r="BC76" s="113">
        <f t="shared" si="28"/>
        <v>0</v>
      </c>
      <c r="BD76" s="113">
        <f t="shared" ref="BD76" ca="1" si="227">IF(BB76="",TODAY()-BA76,BB76-BA76)</f>
        <v>-3</v>
      </c>
      <c r="BE76" s="184">
        <f t="shared" ref="BE76" ca="1" si="228">BD76-BC76</f>
        <v>-3</v>
      </c>
      <c r="BF76" s="335">
        <f t="shared" ref="BF76" si="229">BK76-$BK$5</f>
        <v>46206</v>
      </c>
      <c r="BG76" s="332">
        <f>IF(_xlfn.XLOOKUP($E76,'[1]Import Eletra'!$B:$B,'[1]Import Eletra'!$AX:$AX,,0,1)=0,"",_xlfn.XLOOKUP($E76,'[1]Import Eletra'!$B:$B,'[1]Import Eletra'!$AX:$AX,,0,1))</f>
        <v>46204</v>
      </c>
      <c r="BH76" s="113">
        <f t="shared" si="32"/>
        <v>0</v>
      </c>
      <c r="BI76" s="113">
        <f t="shared" ref="BI76" ca="1" si="230">IF(BG76="",TODAY()-BF76,BG76-BF76)</f>
        <v>-2</v>
      </c>
      <c r="BJ76" s="184">
        <f t="shared" ref="BJ76" ca="1" si="231">BI76-BH76</f>
        <v>-2</v>
      </c>
      <c r="BK76" s="362">
        <f t="shared" ref="BK76" si="232">BP76-$BP$5</f>
        <v>46206</v>
      </c>
      <c r="BL76" s="332" t="str">
        <f>IF(_xlfn.XLOOKUP($E76,'[1]Import Eletra'!$B:$B,'[1]Import Eletra'!$AY:$AY,,0,1)=0,"",_xlfn.XLOOKUP($E76,'[1]Import Eletra'!$B:$B,'[1]Import Eletra'!$AY:$AY,,0,1))</f>
        <v/>
      </c>
      <c r="BM76" s="113">
        <f t="shared" si="36"/>
        <v>0</v>
      </c>
      <c r="BN76" s="113">
        <f t="shared" ref="BN76" ca="1" si="233">IF(BL76="",TODAY()-BK76,BL76-BK76)</f>
        <v>5</v>
      </c>
      <c r="BO76" s="184">
        <f t="shared" ref="BO76" ca="1" si="234">BN76-BM76</f>
        <v>5</v>
      </c>
      <c r="BP76" s="335">
        <f t="shared" ref="BP76" si="235">BU76-$BU$5</f>
        <v>46206</v>
      </c>
      <c r="BQ76" s="332" t="str">
        <f>IF(_xlfn.XLOOKUP($E76,'[1]Import Eletra'!$B:$B,'[1]Import Eletra'!$AZ:$AZ,,0,1)=0,"",_xlfn.XLOOKUP($E76,'[1]Import Eletra'!$B:$B,'[1]Import Eletra'!$AZ:$AZ,,0,1))</f>
        <v/>
      </c>
      <c r="BR76" s="113">
        <f t="shared" si="40"/>
        <v>0</v>
      </c>
      <c r="BS76" s="113">
        <f t="shared" ref="BS76" ca="1" si="236">IF(BQ76="",TODAY()-BP76,BQ76-BP76)</f>
        <v>5</v>
      </c>
      <c r="BT76" s="184">
        <f t="shared" ref="BT76" ca="1" si="237">BS76-BR76</f>
        <v>5</v>
      </c>
      <c r="BU76" s="362">
        <f t="shared" ref="BU76" si="238">BZ76-$BZ$4</f>
        <v>46208</v>
      </c>
      <c r="BV76" s="332">
        <f>IF(_xlfn.XLOOKUP($E76,'[1]Import Eletra'!$B:$B,'[1]Import Eletra'!$BA:$BA,,0,1)=0,"",_xlfn.XLOOKUP($E76,'[1]Import Eletra'!$B:$B,'[1]Import Eletra'!$BA:$BA,,0,1))</f>
        <v>46205</v>
      </c>
      <c r="BW76" s="113">
        <f t="shared" si="44"/>
        <v>2</v>
      </c>
      <c r="BX76" s="113">
        <f t="shared" ref="BX76" ca="1" si="239">IF(BV76="",TODAY()-BU76,BV76-BU76)</f>
        <v>-3</v>
      </c>
      <c r="BY76" s="184">
        <f t="shared" ref="BY76" ca="1" si="240">BX76-BW76</f>
        <v>-5</v>
      </c>
      <c r="BZ76" s="335">
        <f t="shared" ref="BZ76" si="241">CE76-$CE$5</f>
        <v>46208</v>
      </c>
      <c r="CA76" s="332">
        <f>IF(_xlfn.XLOOKUP($E76,'[1]Import Eletra'!$B:$B,'[1]Import Eletra'!$BB:$BB,,0,1)=0,"",_xlfn.XLOOKUP($E76,'[1]Import Eletra'!$B:$B,'[1]Import Eletra'!$BB:$BB,,0,1))</f>
        <v>46205</v>
      </c>
      <c r="CB76" s="113">
        <f t="shared" si="48"/>
        <v>0</v>
      </c>
      <c r="CC76" s="113">
        <f t="shared" ref="CC76" ca="1" si="242">IF(CA76="",TODAY()-BZ76,CA76-BZ76)</f>
        <v>-3</v>
      </c>
      <c r="CD76" s="184">
        <f t="shared" ref="CD76" ca="1" si="243">CC76-CB76</f>
        <v>-3</v>
      </c>
      <c r="CE76" s="362">
        <f t="shared" ref="CE76" si="244">CJ76-$CJ$4</f>
        <v>46208</v>
      </c>
      <c r="CF76" s="332">
        <f>IF(_xlfn.XLOOKUP($E76,'[1]Import Eletra'!$B:$B,'[1]Import Eletra'!$BC:$BC,,0,1)=0,"",_xlfn.XLOOKUP($E76,'[1]Import Eletra'!$B:$B,'[1]Import Eletra'!$BC:$BC,,0,1))</f>
        <v>46206</v>
      </c>
      <c r="CG76" s="113">
        <f t="shared" si="52"/>
        <v>0</v>
      </c>
      <c r="CH76" s="113">
        <f t="shared" ref="CH76" ca="1" si="245">IF(CF76="",TODAY()-CE76,CF76-CE76)</f>
        <v>-2</v>
      </c>
      <c r="CI76" s="184">
        <f t="shared" ref="CI76" ca="1" si="246">CH76-CG76</f>
        <v>-2</v>
      </c>
      <c r="CJ76" s="335">
        <f t="shared" ref="CJ76" si="247">CO76-$CO$4</f>
        <v>46208</v>
      </c>
      <c r="CK76" s="332">
        <f>IF(_xlfn.XLOOKUP($E76,'[1]Import Eletra'!$B:$B,'[1]Import Eletra'!$BD:$BD,,0,1)=0,"",_xlfn.XLOOKUP($E76,'[1]Import Eletra'!$B:$B,'[1]Import Eletra'!$BD:$BD,,0,1))</f>
        <v>46203</v>
      </c>
      <c r="CL76" s="113"/>
      <c r="CM76" s="113">
        <f t="shared" ref="CM76" ca="1" si="248">IF(CK76="",TODAY()-CJ76,CK76-CJ76)</f>
        <v>-5</v>
      </c>
      <c r="CN76" s="184">
        <f t="shared" ref="CN76" ca="1" si="249">CM76-CL76</f>
        <v>-5</v>
      </c>
      <c r="CO76" s="362">
        <f t="shared" ref="CO76" si="250">CT76-$CT$4</f>
        <v>46208</v>
      </c>
      <c r="CP76" s="332">
        <f>IF(_xlfn.XLOOKUP($E76,'[1]Import Eletra'!$B:$B,'[1]Import Eletra'!$BE:$BE,,0,1)=0,"",_xlfn.XLOOKUP($E76,'[1]Import Eletra'!$B:$B,'[1]Import Eletra'!$BE:$BE,,0,1))</f>
        <v>46204</v>
      </c>
      <c r="CQ76" s="113">
        <f t="shared" si="59"/>
        <v>0</v>
      </c>
      <c r="CR76" s="113">
        <f t="shared" ref="CR76" ca="1" si="251">IF(CP76="",TODAY()-CO76,CP76-CO76)</f>
        <v>-4</v>
      </c>
      <c r="CS76" s="184">
        <f t="shared" ref="CS76" ca="1" si="252">CR76-CQ76</f>
        <v>-4</v>
      </c>
      <c r="CT76" s="335">
        <f t="shared" ref="CT76" si="253">CY76-$CY$4</f>
        <v>46208</v>
      </c>
      <c r="CU76" s="332">
        <f>IF(_xlfn.XLOOKUP($E76,'[1]Import Eletra'!$B:$B,'[1]Import Eletra'!$BF:$BF,,0,1)=0,"",_xlfn.XLOOKUP($E76,'[1]Import Eletra'!$B:$B,'[1]Import Eletra'!$BF:$BF,,0,1))</f>
        <v>46204</v>
      </c>
      <c r="CV76" s="113">
        <f t="shared" si="63"/>
        <v>0</v>
      </c>
      <c r="CW76" s="113">
        <f t="shared" ref="CW76" ca="1" si="254">IF(CU76="",TODAY()-CT76,CU76-CT76)</f>
        <v>-4</v>
      </c>
      <c r="CX76" s="184">
        <f t="shared" ref="CX76" ca="1" si="255">CW76-CV76</f>
        <v>-4</v>
      </c>
      <c r="CY76" s="110">
        <f t="shared" ref="CY76" si="256">DD76-$DD$4</f>
        <v>46208</v>
      </c>
      <c r="CZ76" s="247">
        <f>IF(_xlfn.XLOOKUP($E76,'[1]Import Eletra'!$B:$B,'[1]Import Eletra'!$BF:$BF,,0,1)=0,"",_xlfn.XLOOKUP($E76,'[1]Import Eletra'!$B:$B,'[1]Import Eletra'!$BF:$BF,,0,1))</f>
        <v>46204</v>
      </c>
      <c r="DA76" s="210">
        <f t="shared" si="67"/>
        <v>0</v>
      </c>
      <c r="DB76" s="113">
        <f t="shared" ref="DB76" ca="1" si="257">IF(CZ76="",TODAY()-CY76,CZ76-CY76)</f>
        <v>-4</v>
      </c>
      <c r="DC76" s="184">
        <f t="shared" ref="DC76" ca="1" si="258">DB76-DA76</f>
        <v>-4</v>
      </c>
      <c r="DD76" s="110">
        <f t="shared" ref="DD76" si="259">DI76-$DI$4</f>
        <v>46210</v>
      </c>
      <c r="DE76" s="247">
        <f>IF(_xlfn.XLOOKUP($E76,'[1]Import Eletra'!$B:$B,'[1]Import Eletra'!$BG:$BG,,0,1)=0,"",_xlfn.XLOOKUP($E76,'[1]Import Eletra'!$B:$B,'[1]Import Eletra'!$BG:$BG,0,1))</f>
        <v>46205</v>
      </c>
      <c r="DF76" s="113">
        <f t="shared" si="71"/>
        <v>2</v>
      </c>
      <c r="DG76" s="113">
        <f t="shared" ref="DG76" ca="1" si="260">IF(DE76="",TODAY()-DD76,DE76-DD76)</f>
        <v>-5</v>
      </c>
      <c r="DH76" s="184">
        <f t="shared" ref="DH76" ca="1" si="261">DG76-DF76</f>
        <v>-7</v>
      </c>
      <c r="DI76" s="110">
        <f t="shared" ref="DI76" si="262">DO76-$DN$4</f>
        <v>46211</v>
      </c>
      <c r="DJ76" s="247">
        <f>IF(_xlfn.XLOOKUP($E76,'[1]Import Eletra'!$B:$B,'[1]Import Eletra'!$BH:$BH,,0,1)=0,"",_xlfn.XLOOKUP($E76,'[1]Import Eletra'!$B:$B,'[1]Import Eletra'!$BH:$BH,0,1))</f>
        <v>46206</v>
      </c>
      <c r="DK76" s="112">
        <f t="shared" si="75"/>
        <v>1</v>
      </c>
      <c r="DL76" s="112">
        <f t="shared" ref="DL76" ca="1" si="263">IF(DJ76="",TODAY()-DI76,DJ76-DI76)</f>
        <v>-5</v>
      </c>
      <c r="DM76" s="184">
        <f t="shared" ref="DM76" ca="1" si="264">DL76-DK76</f>
        <v>-6</v>
      </c>
      <c r="DN76" s="64"/>
      <c r="DO76" s="202">
        <f t="shared" ref="DO76" si="265">N76+DT76</f>
        <v>46212</v>
      </c>
      <c r="DP76" s="298">
        <f>IF(_xlfn.XLOOKUP($E76,'[1]Import Eletra'!$B:$B,'[1]Import Eletra'!$O:$O,,0,1)=0,"",_xlfn.XLOOKUP($E76,'[1]Import Eletra'!$B:$B,'[1]Import Eletra'!$O:$O,0,1))</f>
        <v>46206</v>
      </c>
      <c r="DQ76" s="112">
        <f t="shared" si="79"/>
        <v>1</v>
      </c>
      <c r="DR76" s="112">
        <f t="shared" ref="DR76" ca="1" si="266">IF(DP76="",TODAY()-DO76,DP76-DO76)</f>
        <v>-6</v>
      </c>
      <c r="DS76" s="184">
        <f t="shared" ref="DS76" ca="1" si="267">DR76-DQ76</f>
        <v>-7</v>
      </c>
      <c r="DT76" s="143">
        <v>11</v>
      </c>
      <c r="DU76" s="140">
        <f t="shared" ref="DU76" ca="1" si="268">IF(DP76="",TODAY()-N76,DP76-N76)</f>
        <v>5</v>
      </c>
      <c r="DV76" s="184">
        <f t="shared" ref="DV76" ca="1" si="269">DU76-DT76</f>
        <v>-6</v>
      </c>
      <c r="DX76" s="422" t="s">
        <v>245</v>
      </c>
      <c r="DY76" s="120"/>
      <c r="EB76" s="426"/>
      <c r="ED76" s="409"/>
      <c r="EE76" s="410"/>
      <c r="EF76" s="409"/>
      <c r="EG76" s="410"/>
      <c r="EH76" s="409"/>
      <c r="EI76" s="410"/>
      <c r="EJ76" s="410"/>
      <c r="EK76" s="410"/>
      <c r="EL76" s="410"/>
      <c r="EM76" s="411"/>
      <c r="EN76" s="408"/>
      <c r="EO76" s="408"/>
      <c r="EP76" s="408"/>
    </row>
    <row r="77" spans="2:146" ht="30.75">
      <c r="B77" s="371" t="s">
        <v>352</v>
      </c>
      <c r="C77" s="280"/>
      <c r="D77" s="104"/>
      <c r="E77" s="245" t="s">
        <v>306</v>
      </c>
      <c r="F77" s="203">
        <f>IF(_xlfn.XLOOKUP($E77,'[1]Import Eletra'!$B:$B,'[1]Import Eletra'!$U:$U,,0,1)=0,"",_xlfn.XLOOKUP($E77,'[1]Import Eletra'!$B:$B,'[1]Import Eletra'!$U:$U,,0,1))</f>
        <v>1</v>
      </c>
      <c r="G77" s="301" t="s">
        <v>385</v>
      </c>
      <c r="H77" s="2" t="str">
        <f>_xlfn.XLOOKUP($E77,'[1]Import Eletra'!$B:$B,'[1]Import Eletra'!$F:$F,,0,1)</f>
        <v>DELIVERED</v>
      </c>
      <c r="I77" s="108" t="str">
        <f>_xlfn.XLOOKUP($E77,'[1]Import Eletra'!$B:$B,'[1]Import Eletra'!$G:$G,,0,1)</f>
        <v>SEA</v>
      </c>
      <c r="J77" s="326"/>
      <c r="K77" s="109"/>
      <c r="L77" s="109"/>
      <c r="M77" s="326">
        <f>IF(_xlfn.XLOOKUP($E77,'[1]Import Eletra'!$B:$B,'[1]Import Eletra'!$J:$J,,0,1)=0,"",_xlfn.XLOOKUP($E77,'[1]Import Eletra'!$B:$B,'[1]Import Eletra'!$J:$J,,0,1))</f>
        <v>46060</v>
      </c>
      <c r="N77" s="332">
        <f>IF(_xlfn.XLOOKUP($E77,'[1]Import Eletra'!$B:$B,'[1]Import Eletra'!$L:$L,,0,1)=0,"",_xlfn.XLOOKUP($E77,'[1]Import Eletra'!$B:$B,'[1]Import Eletra'!$L:$L,,0,1))</f>
        <v>46112</v>
      </c>
      <c r="O77" s="335" t="str">
        <f>IF(_xlfn.XLOOKUP($E77,'[1]Import Eletra'!$B:$B,'[1]Import Eletra'!$AK:$AK,,0,1)=0,"",_xlfn.XLOOKUP($E77,'[1]Import Eletra'!$B:$B,'[1]Import Eletra'!$AK:$AK,,0,1))</f>
        <v/>
      </c>
      <c r="P77" s="326">
        <f>IF(_xlfn.XLOOKUP($E77,'[1]Import Eletra'!$B:$B,'[1]Import Eletra'!$AL:$AL,,0,1)=0,"",_xlfn.XLOOKUP($E77,'[1]Import Eletra'!$B:$B,'[1]Import Eletra'!$AL:$AL,,0,1))</f>
        <v>46134</v>
      </c>
      <c r="Q77" s="326">
        <f>IF(_xlfn.XLOOKUP($E77,'[1]Import Eletra'!$B:$B,'[1]Import Eletra'!$AM:$AM,,0,1)=0,"",_xlfn.XLOOKUP($E77,'[1]Import Eletra'!$B:$B,'[1]Import Eletra'!$AM:$AM,,0,1))</f>
        <v>46134</v>
      </c>
      <c r="R77" s="326">
        <f>IF(_xlfn.XLOOKUP($E77,'[1]Import Eletra'!$B:$B,'[1]Import Eletra'!$AN:$AN,,0,1)=0,"",_xlfn.XLOOKUP($E77,'[1]Import Eletra'!$B:$B,'[1]Import Eletra'!$AN:$AN,,0,1))</f>
        <v>46134</v>
      </c>
      <c r="S77" s="326">
        <f>IF(_xlfn.XLOOKUP($E77,'[1]Import Eletra'!$B:$B,'[1]Import Eletra'!$AO:$AO,,0,1)=0,"",_xlfn.XLOOKUP($E77,'[1]Import Eletra'!$B:$B,'[1]Import Eletra'!$AO:$AO,,0,1))</f>
        <v>46135</v>
      </c>
      <c r="T77" s="326">
        <f>IF(_xlfn.XLOOKUP($E77,'[1]Import Eletra'!$B:$B,'[1]Import Eletra'!$AP:$AP,,0,1)=0,"",_xlfn.XLOOKUP($E77,'[1]Import Eletra'!$B:$B,'[1]Import Eletra'!$AP:$AP,,0,1))</f>
        <v>46135</v>
      </c>
      <c r="U77" s="326">
        <f>IF(_xlfn.XLOOKUP($E77,'[1]Import Eletra'!$B:$B,'[1]Import Eletra'!$AQ:$AQ,,0,1)=0,"",_xlfn.XLOOKUP($E77,'[1]Import Eletra'!$B:$B,'[1]Import Eletra'!$AQ:$AQ,,0,1))</f>
        <v>46135</v>
      </c>
      <c r="V77" s="339">
        <f>IF(_xlfn.XLOOKUP($E77,'[1]Import Eletra'!$B:$B,'[1]Import Eletra'!$AR:$AR,,0,1)=0,"",_xlfn.XLOOKUP($E77,'[1]Import Eletra'!$B:$B,'[1]Import Eletra'!$AR:$AR,,0,1))</f>
        <v>46112</v>
      </c>
      <c r="W77" s="335">
        <f>AB77-$AB$4</f>
        <v>46115</v>
      </c>
      <c r="X77" s="332">
        <f>IF(_xlfn.XLOOKUP($E77,'[1]Import Eletra'!$B:$B,'[1]Import Eletra'!$AS:$AS,,0,1)=0,"",_xlfn.XLOOKUP($E77,'[1]Import Eletra'!$B:$B,'[1]Import Eletra'!$AS:$AS,,0,1))</f>
        <v>46135</v>
      </c>
      <c r="Y77" s="113">
        <f>$W$4</f>
        <v>0</v>
      </c>
      <c r="Z77" s="113">
        <f ca="1">IF(X77="",TODAY()-W77,X77-W77)</f>
        <v>20</v>
      </c>
      <c r="AA77" s="184">
        <f ca="1">IF(AND(ISNUMBER($Z77),$Z77&gt;0),$Z77-$Y77,"")</f>
        <v>20</v>
      </c>
      <c r="AB77" s="348">
        <f>AG77-$AB$4</f>
        <v>46115</v>
      </c>
      <c r="AC77" s="332">
        <f>IF(_xlfn.XLOOKUP($E77,'[1]Import Eletra'!$B:$B,'[1]Import Eletra'!$AD:$AD,,0,1)=0,"",_xlfn.XLOOKUP($E77,'[1]Import Eletra'!$B:$B,'[1]Import Eletra'!$AD:$AD,,0,1))</f>
        <v>46136</v>
      </c>
      <c r="AD77" s="113">
        <f>$AB$4</f>
        <v>0</v>
      </c>
      <c r="AE77" s="113">
        <f ca="1">IF(AC77="",TODAY()-AB77,AC77-AB77)</f>
        <v>21</v>
      </c>
      <c r="AF77" s="184">
        <f ca="1">AE77-AD77</f>
        <v>21</v>
      </c>
      <c r="AG77" s="355">
        <f>AL77-$AL$4</f>
        <v>46115</v>
      </c>
      <c r="AH77" s="332">
        <f>IF(_xlfn.XLOOKUP($E77,'[1]Import Eletra'!$B:$B,'[1]Import Eletra'!$AE:$AE,,0,1)=0,"",_xlfn.XLOOKUP($E77,'[1]Import Eletra'!$B:$B,'[1]Import Eletra'!$AE:$AE,,0,1))</f>
        <v>46136</v>
      </c>
      <c r="AI77" s="113">
        <f>$AG$4</f>
        <v>0</v>
      </c>
      <c r="AJ77" s="113">
        <f ca="1">IF(AH77="",TODAY()-AG77,AH77-AG77)</f>
        <v>21</v>
      </c>
      <c r="AK77" s="184">
        <f ca="1">IF(AND(ISNUMBER($AJ77),$AJ77&gt;0),$AJ77-$AI77,"")</f>
        <v>21</v>
      </c>
      <c r="AL77" s="355">
        <f>AQ77-$AQ$4</f>
        <v>46115</v>
      </c>
      <c r="AM77" s="332">
        <f>IF(_xlfn.XLOOKUP($E77,'[1]Import Eletra'!$B:$B,'[1]Import Eletra'!$AT:$AT,,0,1)=0,"",_xlfn.XLOOKUP($E77,'[1]Import Eletra'!$B:$B,'[1]Import Eletra'!$AT:$AT,,0,1))</f>
        <v>46136</v>
      </c>
      <c r="AN77" s="113">
        <f>$AL$4</f>
        <v>0</v>
      </c>
      <c r="AO77" s="113">
        <f ca="1">IF(AM77="",TODAY()-AL77,AM77-AL77)</f>
        <v>21</v>
      </c>
      <c r="AP77" s="184">
        <f ca="1">IF(AND(ISNUMBER($AO77),$AO77&gt;0),$AO77-$AN77,"")</f>
        <v>21</v>
      </c>
      <c r="AQ77" s="357">
        <f>AV77-$AV$4</f>
        <v>46116</v>
      </c>
      <c r="AR77" s="332">
        <f>IF(_xlfn.XLOOKUP($E77,'[1]Import Eletra'!$B:$B,'[1]Import Eletra'!$AU:$AU,,0,1)=0,"",_xlfn.XLOOKUP($E77,'[1]Import Eletra'!$B:$B,'[1]Import Eletra'!$AU:$AU,,0,1))</f>
        <v>46136</v>
      </c>
      <c r="AS77" s="113">
        <f>$AQ$4</f>
        <v>1</v>
      </c>
      <c r="AT77" s="113">
        <f ca="1">IF(AR77="",TODAY()-AQ77,AR77-AQ77)</f>
        <v>20</v>
      </c>
      <c r="AU77" s="184">
        <f ca="1">IF(AND(ISNUMBER($AT77),$AT77&gt;0),$AT77-$AS77,"")</f>
        <v>19</v>
      </c>
      <c r="AV77" s="355">
        <f>BA77-$BA$4</f>
        <v>46116</v>
      </c>
      <c r="AW77" s="332">
        <f>IF(_xlfn.XLOOKUP($E77,'[1]Import Eletra'!$B:$B,'[1]Import Eletra'!$AU:$AU,,0,1)=0,"",_xlfn.XLOOKUP($E77,'[1]Import Eletra'!$B:$B,'[1]Import Eletra'!$AU:$AU,,0,1))</f>
        <v>46136</v>
      </c>
      <c r="AX77" s="113">
        <f>$AV$4</f>
        <v>0</v>
      </c>
      <c r="AY77" s="113">
        <f ca="1">IF(AW77="",TODAY()-AV77,AW77-AV77)</f>
        <v>20</v>
      </c>
      <c r="AZ77" s="184">
        <f ca="1">IF(AND(ISNUMBER($AY77),$AY77&gt;0),$AY77-$AX77,"")</f>
        <v>20</v>
      </c>
      <c r="BA77" s="357">
        <f>BF77-$BF$4</f>
        <v>46116</v>
      </c>
      <c r="BB77" s="332" t="str">
        <f>IF(_xlfn.XLOOKUP($E77,'[1]Import Eletra'!$B:$B,'[1]Import Eletra'!$AW:$AW,,0,1)=0,"",_xlfn.XLOOKUP($E77,'[1]Import Eletra'!$B:$B,'[1]Import Eletra'!$AW:$AW,,0,1))</f>
        <v/>
      </c>
      <c r="BC77" s="113">
        <f>$BA$4</f>
        <v>0</v>
      </c>
      <c r="BD77" s="113">
        <f ca="1">IF(BB77="",TODAY()-BA77,BB77-BA77)</f>
        <v>95</v>
      </c>
      <c r="BE77" s="184">
        <f ca="1">BD77-BC77</f>
        <v>95</v>
      </c>
      <c r="BF77" s="335">
        <f>BK77-$BK$4</f>
        <v>46116</v>
      </c>
      <c r="BG77" s="332" t="str">
        <f>IF(_xlfn.XLOOKUP($E77,'[1]Import Eletra'!$B:$B,'[1]Import Eletra'!$AX:$AX,,0,1)=0,"",_xlfn.XLOOKUP($E77,'[1]Import Eletra'!$B:$B,'[1]Import Eletra'!$AX:$AX,,0,1))</f>
        <v/>
      </c>
      <c r="BH77" s="113">
        <f>$BF$4</f>
        <v>0</v>
      </c>
      <c r="BI77" s="113">
        <f ca="1">IF(BG77="",TODAY()-BF77,BG77-BF77)</f>
        <v>95</v>
      </c>
      <c r="BJ77" s="184">
        <f ca="1">IF(AND(ISNUMBER($BI77),$BI77&gt;0),$BI77-$BH77,"")</f>
        <v>95</v>
      </c>
      <c r="BK77" s="362">
        <f>BP77-$BP$4</f>
        <v>46116</v>
      </c>
      <c r="BL77" s="332">
        <f>IF(_xlfn.XLOOKUP($E77,'[1]Import Eletra'!$B:$B,'[1]Import Eletra'!$AY:$AY,,0,1)=0,"",_xlfn.XLOOKUP($E77,'[1]Import Eletra'!$B:$B,'[1]Import Eletra'!$AY:$AY,,0,1))</f>
        <v>46136</v>
      </c>
      <c r="BM77" s="113">
        <f>$BK$4</f>
        <v>0</v>
      </c>
      <c r="BN77" s="113">
        <f ca="1">IF(BL77="",TODAY()-BK77,BL77-BK77)</f>
        <v>20</v>
      </c>
      <c r="BO77" s="184">
        <f ca="1">BN77-BM77</f>
        <v>20</v>
      </c>
      <c r="BP77" s="335">
        <f>BU77-$BU$4</f>
        <v>46116</v>
      </c>
      <c r="BQ77" s="332">
        <f>IF(_xlfn.XLOOKUP($E77,'[1]Import Eletra'!$B:$B,'[1]Import Eletra'!$AZ:$AZ,,0,1)=0,"",_xlfn.XLOOKUP($E77,'[1]Import Eletra'!$B:$B,'[1]Import Eletra'!$AZ:$AZ,,0,1))</f>
        <v>46136</v>
      </c>
      <c r="BR77" s="113">
        <f>$BP$4</f>
        <v>0</v>
      </c>
      <c r="BS77" s="113">
        <f ca="1">IF(BQ77="",TODAY()-BP77,BQ77-BP77)</f>
        <v>20</v>
      </c>
      <c r="BT77" s="184">
        <f ca="1">BS77-BR77</f>
        <v>20</v>
      </c>
      <c r="BU77" s="362">
        <f>BZ77-$BZ$4</f>
        <v>46118</v>
      </c>
      <c r="BV77" s="332">
        <f>IF(_xlfn.XLOOKUP($E77,'[1]Import Eletra'!$B:$B,'[1]Import Eletra'!$BA:$BA,,0,1)=0,"",_xlfn.XLOOKUP($E77,'[1]Import Eletra'!$B:$B,'[1]Import Eletra'!$BA:$BA,,0,1))</f>
        <v>46139</v>
      </c>
      <c r="BW77" s="113">
        <f>$BU$4</f>
        <v>2</v>
      </c>
      <c r="BX77" s="113">
        <f ca="1">IF(BV77="",TODAY()-BU77,BV77-BU77)</f>
        <v>21</v>
      </c>
      <c r="BY77" s="184">
        <f ca="1">IF(AND(ISNUMBER($BX77),$BX77&gt;0),$BX77-$BW77,"")</f>
        <v>19</v>
      </c>
      <c r="BZ77" s="335">
        <f>CE77-$CE$4</f>
        <v>46118</v>
      </c>
      <c r="CA77" s="332">
        <f>IF(_xlfn.XLOOKUP($E77,'[1]Import Eletra'!$B:$B,'[1]Import Eletra'!$BB:$BB,,0,1)=0,"",_xlfn.XLOOKUP($E77,'[1]Import Eletra'!$B:$B,'[1]Import Eletra'!$BB:$BB,,0,1))</f>
        <v>46139</v>
      </c>
      <c r="CB77" s="113">
        <f>$BZ$4</f>
        <v>0</v>
      </c>
      <c r="CC77" s="113">
        <f ca="1">IF(CA77="",TODAY()-BZ77,CA77-BZ77)</f>
        <v>21</v>
      </c>
      <c r="CD77" s="184">
        <f ca="1">CC77-CB77</f>
        <v>21</v>
      </c>
      <c r="CE77" s="362">
        <f>CJ77-$CJ$4</f>
        <v>46118</v>
      </c>
      <c r="CF77" s="332">
        <f>IF(_xlfn.XLOOKUP($E77,'[1]Import Eletra'!$B:$B,'[1]Import Eletra'!$BC:$BC,,0,1)=0,"",_xlfn.XLOOKUP($E77,'[1]Import Eletra'!$B:$B,'[1]Import Eletra'!$BC:$BC,,0,1))</f>
        <v>46139</v>
      </c>
      <c r="CG77" s="113">
        <f>$CE$4</f>
        <v>0</v>
      </c>
      <c r="CH77" s="113">
        <f ca="1">IF(CF77="",TODAY()-CE77,CF77-CE77)</f>
        <v>21</v>
      </c>
      <c r="CI77" s="184">
        <f ca="1">CH77-CG77</f>
        <v>21</v>
      </c>
      <c r="CJ77" s="335">
        <f>CO77-$CO$4</f>
        <v>46118</v>
      </c>
      <c r="CK77" s="332">
        <f>IF(_xlfn.XLOOKUP($E77,'[1]Import Eletra'!$B:$B,'[1]Import Eletra'!$BD:$BD,,0,1)=0,"",_xlfn.XLOOKUP($E77,'[1]Import Eletra'!$B:$B,'[1]Import Eletra'!$BD:$BD,,0,1))</f>
        <v>46139</v>
      </c>
      <c r="CL77" s="113"/>
      <c r="CM77" s="113">
        <f ca="1">IF(CK77="",TODAY()-CJ77,CK77-CJ77)</f>
        <v>21</v>
      </c>
      <c r="CN77" s="184">
        <f ca="1">CM77-CL77</f>
        <v>21</v>
      </c>
      <c r="CO77" s="362">
        <f>CT77-$CT$4</f>
        <v>46118</v>
      </c>
      <c r="CP77" s="332">
        <f>IF(_xlfn.XLOOKUP($E77,'[1]Import Eletra'!$B:$B,'[1]Import Eletra'!$BE:$BE,,0,1)=0,"",_xlfn.XLOOKUP($E77,'[1]Import Eletra'!$B:$B,'[1]Import Eletra'!$BE:$BE,,0,1))</f>
        <v>46139</v>
      </c>
      <c r="CQ77" s="113">
        <f>$CO$4</f>
        <v>0</v>
      </c>
      <c r="CR77" s="113">
        <f ca="1">IF(CP77="",TODAY()-CO77,CP77-CO77)</f>
        <v>21</v>
      </c>
      <c r="CS77" s="184">
        <f ca="1">CR77-CQ77</f>
        <v>21</v>
      </c>
      <c r="CT77" s="335">
        <f>CY77-$CY$4</f>
        <v>46118</v>
      </c>
      <c r="CU77" s="332">
        <f>IF(_xlfn.XLOOKUP($E77,'[1]Import Eletra'!$B:$B,'[1]Import Eletra'!$BF:$BF,,0,1)=0,"",_xlfn.XLOOKUP($E77,'[1]Import Eletra'!$B:$B,'[1]Import Eletra'!$BF:$BF,,0,1))</f>
        <v>46139</v>
      </c>
      <c r="CV77" s="113">
        <f>$CT$4</f>
        <v>0</v>
      </c>
      <c r="CW77" s="113">
        <f ca="1">IF(CU77="",TODAY()-CT77,CU77-CT77)</f>
        <v>21</v>
      </c>
      <c r="CX77" s="184">
        <f ca="1">CW77-CV77</f>
        <v>21</v>
      </c>
      <c r="CY77" s="110">
        <f>DD77-$DD$4</f>
        <v>46118</v>
      </c>
      <c r="CZ77" s="104">
        <f>IF(_xlfn.XLOOKUP($E77,'[1]Import Eletra'!$B:$B,'[1]Import Eletra'!$BF:$BF,,0,1)=0,"",_xlfn.XLOOKUP($E77,'[1]Import Eletra'!$B:$B,'[1]Import Eletra'!$BF:$BF,,0,1))</f>
        <v>46139</v>
      </c>
      <c r="DA77" s="210">
        <f>$CY$4</f>
        <v>0</v>
      </c>
      <c r="DB77" s="113">
        <f ca="1">IF(CZ77="",TODAY()-CY77,CZ77-CY77)</f>
        <v>21</v>
      </c>
      <c r="DC77" s="184">
        <f ca="1">DB77-DA77</f>
        <v>21</v>
      </c>
      <c r="DD77" s="110">
        <f>DI77-$DI$4</f>
        <v>46120</v>
      </c>
      <c r="DE77" s="104">
        <f>IF(_xlfn.XLOOKUP($E77,'[1]Import Eletra'!$B:$B,'[1]Import Eletra'!$BG:$BG,,0,1)=0,"",_xlfn.XLOOKUP($E77,'[1]Import Eletra'!$B:$B,'[1]Import Eletra'!$BG:$BG,0,1))</f>
        <v>46140</v>
      </c>
      <c r="DF77" s="113">
        <f>$DD$4</f>
        <v>2</v>
      </c>
      <c r="DG77" s="113">
        <f ca="1">IF(DE77="",TODAY()-DD77,DE77-DD77)</f>
        <v>20</v>
      </c>
      <c r="DH77" s="184">
        <f ca="1">DG77-DF77</f>
        <v>18</v>
      </c>
      <c r="DI77" s="110">
        <f>DO77-$DN$4</f>
        <v>46121</v>
      </c>
      <c r="DJ77" s="104">
        <f>IF(_xlfn.XLOOKUP($E77,'[1]Import Eletra'!$B:$B,'[1]Import Eletra'!$BH:$BH,,0,1)=0,"",_xlfn.XLOOKUP($E77,'[1]Import Eletra'!$B:$B,'[1]Import Eletra'!$BH:$BH,0,1))</f>
        <v>46140</v>
      </c>
      <c r="DK77" s="113">
        <f>$DI$4</f>
        <v>1</v>
      </c>
      <c r="DL77" s="113">
        <f ca="1">IF(DJ77="",TODAY()-DI77,DJ77-DI77)</f>
        <v>19</v>
      </c>
      <c r="DM77" s="184">
        <f ca="1">IF(AND(ISNUMBER($DL77),$DL77&gt;0),$DL77-$DK77,"")</f>
        <v>18</v>
      </c>
      <c r="DN77" s="64"/>
      <c r="DO77" s="202">
        <f>IF(V77="",N77+DT77,V77+DT77)</f>
        <v>46122</v>
      </c>
      <c r="DP77" s="165">
        <f>IF(_xlfn.XLOOKUP($E77,'[1]Import Eletra'!$B:$B,'[1]Import Eletra'!$O:$O,,0,1)=0,"",_xlfn.XLOOKUP($E77,'[1]Import Eletra'!$B:$B,'[1]Import Eletra'!$O:$O,0,1))</f>
        <v>46141</v>
      </c>
      <c r="DQ77" s="113">
        <f>$DN$4</f>
        <v>1</v>
      </c>
      <c r="DR77" s="113">
        <f ca="1">IF(DP77="",TODAY()-DO77,DP77-DO77)</f>
        <v>19</v>
      </c>
      <c r="DS77" s="184">
        <f ca="1">DR77-DQ77</f>
        <v>18</v>
      </c>
      <c r="DT77" s="143">
        <v>10</v>
      </c>
      <c r="DU77" s="140">
        <f t="shared" ref="DU77:DU86" ca="1" si="270">IF(DP77="",TODAY()-N77,DP77-N77)</f>
        <v>29</v>
      </c>
      <c r="DV77" s="184">
        <f ca="1">DU77-DT77</f>
        <v>19</v>
      </c>
      <c r="DX77" s="427" t="s">
        <v>245</v>
      </c>
      <c r="DY77" s="108" t="str">
        <f>IF(_xlfn.XLOOKUP($E77,'[1]Import Eletra'!$B:$B,'[1]Import Eletra'!$DW:$DW,,0,1)=0,"",_xlfn.XLOOKUP($E77,'[1]Import Eletra'!$B:$B,'[1]Import Eletra'!$DW:$DW,0,1))</f>
        <v/>
      </c>
      <c r="EB77" s="289"/>
      <c r="ED77" s="409">
        <f>IF(_xlfn.XLOOKUP($E77,'[1]Import Eletra'!$B:$B,'[1]Import Eletra'!$BQ:$BQ,,0,1)=0,"",_xlfn.XLOOKUP($E77,'[1]Import Eletra'!$B:$B,'[1]Import Eletra'!$BQ:$BQ,0,1))</f>
        <v>6705.99</v>
      </c>
      <c r="EE77" s="410">
        <f>IF(_xlfn.XLOOKUP($E77,'[1]Import Eletra'!$B:$B,'[1]Import Eletra'!$BR:$BR,,0,1)=0,"",_xlfn.XLOOKUP($E77,'[1]Import Eletra'!$B:$B,'[1]Import Eletra'!$BR:$BR,0,1))</f>
        <v>46141</v>
      </c>
      <c r="EF77" s="409">
        <f>IF(_xlfn.XLOOKUP($E77,'[1]Import Eletra'!$B:$B,'[1]Import Eletra'!$BS:$BS,,0,1)=0,"",_xlfn.XLOOKUP($E77,'[1]Import Eletra'!$B:$B,'[1]Import Eletra'!$BS:$BS,0,1))</f>
        <v>12641.51</v>
      </c>
      <c r="EG77" s="410">
        <f>IF(_xlfn.XLOOKUP($E77,'[1]Import Eletra'!$B:$B,'[1]Import Eletra'!$BT:$BT,,0,1)=0,"",_xlfn.XLOOKUP($E77,'[1]Import Eletra'!$B:$B,'[1]Import Eletra'!$BT:$BT,0,1))</f>
        <v>46216</v>
      </c>
      <c r="EH77" s="409" t="str">
        <f>IF(_xlfn.XLOOKUP($E77,'[1]Import Eletra'!$B:$B,'[1]Import Eletra'!$BU:$BU,,0,1)=0,"",_xlfn.XLOOKUP($E77,'[1]Import Eletra'!$B:$B,'[1]Import Eletra'!$BU:$BU,0,1))</f>
        <v/>
      </c>
      <c r="EI77" s="410" t="str">
        <f>IF(_xlfn.XLOOKUP($E77,'[1]Import Eletra'!$B:$B,'[1]Import Eletra'!$BV:$BV,,0,1)=0,"",_xlfn.XLOOKUP($E77,'[1]Import Eletra'!$B:$B,'[1]Import Eletra'!$BV:$BV,0,1))</f>
        <v/>
      </c>
      <c r="EJ77" s="410">
        <f>IF(_xlfn.XLOOKUP($E77,'[1]Import Eletra'!$B:$B,'[1]Import Eletra'!$CI:$CI,,0,1)=0,"",_xlfn.XLOOKUP($E77,'[1]Import Eletra'!$B:$B,'[1]Import Eletra'!$CI:$CI,0,1))</f>
        <v>46130</v>
      </c>
      <c r="EK77" s="410" t="str">
        <f>IF(_xlfn.XLOOKUP($E77,'[1]Import Eletra'!$B:$B,'[1]Import Eletra'!$CD:$CD,,0,1)=0,"",_xlfn.XLOOKUP($E77,'[1]Import Eletra'!$B:$B,'[1]Import Eletra'!$CD:$CD,0,1))</f>
        <v/>
      </c>
      <c r="EL77" s="410" t="str">
        <f>IF(_xlfn.XLOOKUP($E77,'[1]Import Eletra'!$B:$B,'[1]Import Eletra'!$CE:$CE,,0,1)=0,"",_xlfn.XLOOKUP($E77,'[1]Import Eletra'!$B:$B,'[1]Import Eletra'!$CE:$CE,0,1))</f>
        <v>NÃO</v>
      </c>
      <c r="EM77" s="411" t="str">
        <f>IF(_xlfn.XLOOKUP($E77,'[1]Import Eletra'!$B:$B,'[1]Import Eletra'!$E:$E,,0,1)=0,"",_xlfn.XLOOKUP($E77,'[1]Import Eletra'!$B:$B,'[1]Import Eletra'!$E:$E,0,1))</f>
        <v>LEISIANE</v>
      </c>
      <c r="EN77" s="408" t="str">
        <f>IF(_xlfn.XLOOKUP($E77,'[1]Import Eletra'!$B:$B,'[1]Import Eletra'!$R:$R,,0,1)=0,"",_xlfn.XLOOKUP($E77,'[1]Import Eletra'!$B:$B,'[1]Import Eletra'!$R:$R,0,1))</f>
        <v>PWBR250236-1</v>
      </c>
      <c r="EO77" s="408" t="str">
        <f>IF(_xlfn.XLOOKUP($E77,'[1]Import Eletra'!$B:$B,'[1]Import Eletra'!$P:$P,,0,1)=0,"",_xlfn.XLOOKUP($E77,'[1]Import Eletra'!$B:$B,'[1]Import Eletra'!$P:$P,0,1))</f>
        <v>SYNHGH26SE011439</v>
      </c>
      <c r="EP77" s="408" t="str">
        <f>IF(_xlfn.XLOOKUP($E77,'[1]Import Eletra'!$B:$B,'[1]Import Eletra'!$T:$T,,0,1)=0,"",_xlfn.XLOOKUP($E77,'[1]Import Eletra'!$B:$B,'[1]Import Eletra'!$T:$T,0,1))</f>
        <v>CAIU7199832</v>
      </c>
    </row>
    <row r="78" spans="2:146" ht="30.75">
      <c r="B78" s="281"/>
      <c r="C78" s="280"/>
      <c r="D78" s="104" t="s">
        <v>247</v>
      </c>
      <c r="E78" s="105" t="s">
        <v>314</v>
      </c>
      <c r="F78" s="203" t="str">
        <f>IF(_xlfn.XLOOKUP($E78,'[1]Import Eletra'!$B:$B,'[1]Import Eletra'!$U:$U,,0,1)=0,"",_xlfn.XLOOKUP($E78,'[1]Import Eletra'!$B:$B,'[1]Import Eletra'!$U:$U,,0,1))</f>
        <v/>
      </c>
      <c r="G78" s="199" t="s">
        <v>385</v>
      </c>
      <c r="H78" s="2" t="str">
        <f>_xlfn.XLOOKUP($E78,'[1]Import Eletra'!$B:$B,'[1]Import Eletra'!$F:$F,,0,1)</f>
        <v>DELIVERED</v>
      </c>
      <c r="I78" s="325" t="str">
        <f>_xlfn.XLOOKUP($E78,'[1]Import Eletra'!$B:$B,'[1]Import Eletra'!$G:$G,,0,1)</f>
        <v>COURIER</v>
      </c>
      <c r="J78" s="326"/>
      <c r="K78" s="109"/>
      <c r="L78" s="109"/>
      <c r="M78" s="326">
        <f>IF(_xlfn.XLOOKUP($E78,'[1]Import Eletra'!$B:$B,'[1]Import Eletra'!$J:$J,,0,1)=0,"",_xlfn.XLOOKUP($E78,'[1]Import Eletra'!$B:$B,'[1]Import Eletra'!$J:$J,,0,1))</f>
        <v>46119</v>
      </c>
      <c r="N78" s="332">
        <f>IF(_xlfn.XLOOKUP($E78,'[1]Import Eletra'!$B:$B,'[1]Import Eletra'!$L:$L,,0,1)=0,"",_xlfn.XLOOKUP($E78,'[1]Import Eletra'!$B:$B,'[1]Import Eletra'!$L:$L,,0,1))</f>
        <v>46123</v>
      </c>
      <c r="O78" s="335">
        <f>IF(_xlfn.XLOOKUP($E78,'[1]Import Eletra'!$B:$B,'[1]Import Eletra'!$AK:$AK,,0,1)=0,"",_xlfn.XLOOKUP($E78,'[1]Import Eletra'!$B:$B,'[1]Import Eletra'!$AK:$AK,,0,1))</f>
        <v>46147</v>
      </c>
      <c r="P78" s="326">
        <f>IF(_xlfn.XLOOKUP($E78,'[1]Import Eletra'!$B:$B,'[1]Import Eletra'!$AL:$AL,,0,1)=0,"",_xlfn.XLOOKUP($E78,'[1]Import Eletra'!$B:$B,'[1]Import Eletra'!$AL:$AL,,0,1))</f>
        <v>46147</v>
      </c>
      <c r="Q78" s="326">
        <f>IF(_xlfn.XLOOKUP($E78,'[1]Import Eletra'!$B:$B,'[1]Import Eletra'!$AM:$AM,,0,1)=0,"",_xlfn.XLOOKUP($E78,'[1]Import Eletra'!$B:$B,'[1]Import Eletra'!$AM:$AM,,0,1))</f>
        <v>46153</v>
      </c>
      <c r="R78" s="326">
        <f>IF(_xlfn.XLOOKUP($E78,'[1]Import Eletra'!$B:$B,'[1]Import Eletra'!$AN:$AN,,0,1)=0,"",_xlfn.XLOOKUP($E78,'[1]Import Eletra'!$B:$B,'[1]Import Eletra'!$AN:$AN,,0,1))</f>
        <v>46153</v>
      </c>
      <c r="S78" s="326">
        <f>IF(_xlfn.XLOOKUP($E78,'[1]Import Eletra'!$B:$B,'[1]Import Eletra'!$AO:$AO,,0,1)=0,"",_xlfn.XLOOKUP($E78,'[1]Import Eletra'!$B:$B,'[1]Import Eletra'!$AO:$AO,,0,1))</f>
        <v>46153</v>
      </c>
      <c r="T78" s="326">
        <f>IF(_xlfn.XLOOKUP($E78,'[1]Import Eletra'!$B:$B,'[1]Import Eletra'!$AP:$AP,,0,1)=0,"",_xlfn.XLOOKUP($E78,'[1]Import Eletra'!$B:$B,'[1]Import Eletra'!$AP:$AP,,0,1))</f>
        <v>46153</v>
      </c>
      <c r="U78" s="326">
        <f>IF(_xlfn.XLOOKUP($E78,'[1]Import Eletra'!$B:$B,'[1]Import Eletra'!$AQ:$AQ,,0,1)=0,"",_xlfn.XLOOKUP($E78,'[1]Import Eletra'!$B:$B,'[1]Import Eletra'!$AQ:$AQ,,0,1))</f>
        <v>46155</v>
      </c>
      <c r="V78" s="339">
        <f>IF(_xlfn.XLOOKUP($E78,'[1]Import Eletra'!$B:$B,'[1]Import Eletra'!$AR:$AR,,0,1)=0,"",_xlfn.XLOOKUP($E78,'[1]Import Eletra'!$B:$B,'[1]Import Eletra'!$AR:$AR,,0,1))</f>
        <v>46123</v>
      </c>
      <c r="W78" s="335">
        <f>AB78-$AB$4</f>
        <v>46135</v>
      </c>
      <c r="X78" s="332">
        <f>IF(_xlfn.XLOOKUP($E78,'[1]Import Eletra'!$B:$B,'[1]Import Eletra'!$AS:$AS,,0,1)=0,"",_xlfn.XLOOKUP($E78,'[1]Import Eletra'!$B:$B,'[1]Import Eletra'!$AS:$AS,,0,1))</f>
        <v>46155</v>
      </c>
      <c r="Y78" s="112">
        <f>$W$4</f>
        <v>0</v>
      </c>
      <c r="Z78" s="113">
        <f ca="1">IF(X78="",TODAY()-W78,X78-W78)</f>
        <v>20</v>
      </c>
      <c r="AA78" s="184">
        <f ca="1">IF(AND(ISNUMBER($Z78),$Z78&gt;0),$Z78-$Y78,"")</f>
        <v>20</v>
      </c>
      <c r="AB78" s="346">
        <f>AG78-$AB$4</f>
        <v>46135</v>
      </c>
      <c r="AC78" s="332">
        <f>IF(_xlfn.XLOOKUP($E78,'[1]Import Eletra'!$B:$B,'[1]Import Eletra'!$AD:$AD,,0,1)=0,"",_xlfn.XLOOKUP($E78,'[1]Import Eletra'!$B:$B,'[1]Import Eletra'!$AD:$AD,,0,1))</f>
        <v>46157</v>
      </c>
      <c r="AD78" s="112">
        <f>$AB$4</f>
        <v>0</v>
      </c>
      <c r="AE78" s="112">
        <f ca="1">IF(AC78="",TODAY()-AB78,AC78-AB78)</f>
        <v>22</v>
      </c>
      <c r="AF78" s="184">
        <f ca="1">AE78-AD78</f>
        <v>22</v>
      </c>
      <c r="AG78" s="354">
        <f>AL78-$AL$4</f>
        <v>46135</v>
      </c>
      <c r="AH78" s="332">
        <f>IF(_xlfn.XLOOKUP($E78,'[1]Import Eletra'!$B:$B,'[1]Import Eletra'!$AE:$AE,,0,1)=0,"",_xlfn.XLOOKUP($E78,'[1]Import Eletra'!$B:$B,'[1]Import Eletra'!$AE:$AE,,0,1))</f>
        <v>46160</v>
      </c>
      <c r="AI78" s="112">
        <f>$AG$4</f>
        <v>0</v>
      </c>
      <c r="AJ78" s="112">
        <f ca="1">IF(AH78="",TODAY()-AG78,AH78-AG78)</f>
        <v>25</v>
      </c>
      <c r="AK78" s="184">
        <f ca="1">IF(AND(ISNUMBER($AJ78),$AJ78&gt;0),$AJ78-$AI78,"")</f>
        <v>25</v>
      </c>
      <c r="AL78" s="355">
        <f>AQ78-$AQ$4</f>
        <v>46135</v>
      </c>
      <c r="AM78" s="332">
        <f>IF(_xlfn.XLOOKUP($E78,'[1]Import Eletra'!$B:$B,'[1]Import Eletra'!$AT:$AT,,0,1)=0,"",_xlfn.XLOOKUP($E78,'[1]Import Eletra'!$B:$B,'[1]Import Eletra'!$AT:$AT,,0,1))</f>
        <v>46157</v>
      </c>
      <c r="AN78" s="112">
        <f>$AL$4</f>
        <v>0</v>
      </c>
      <c r="AO78" s="112">
        <f ca="1">IF(AM78="",TODAY()-AL78,AM78-AL78)</f>
        <v>22</v>
      </c>
      <c r="AP78" s="184">
        <f ca="1">IF(AND(ISNUMBER($AO78),$AO78&gt;0),$AO78-$AN78,"")</f>
        <v>22</v>
      </c>
      <c r="AQ78" s="357">
        <f>AV78-$AV$4</f>
        <v>46136</v>
      </c>
      <c r="AR78" s="332">
        <f>IF(_xlfn.XLOOKUP($E78,'[1]Import Eletra'!$B:$B,'[1]Import Eletra'!$AU:$AU,,0,1)=0,"",_xlfn.XLOOKUP($E78,'[1]Import Eletra'!$B:$B,'[1]Import Eletra'!$AU:$AU,,0,1))</f>
        <v>46157</v>
      </c>
      <c r="AS78" s="112">
        <f>$AQ$4</f>
        <v>1</v>
      </c>
      <c r="AT78" s="112">
        <f ca="1">IF(AR78="",TODAY()-AQ78,AR78-AQ78)</f>
        <v>21</v>
      </c>
      <c r="AU78" s="184">
        <f ca="1">IF(AND(ISNUMBER($AT78),$AT78&gt;0),$AT78-$AS78,"")</f>
        <v>20</v>
      </c>
      <c r="AV78" s="355">
        <f>BA78-$BA$4</f>
        <v>46136</v>
      </c>
      <c r="AW78" s="332">
        <f>IF(_xlfn.XLOOKUP($E78,'[1]Import Eletra'!$B:$B,'[1]Import Eletra'!$AU:$AU,,0,1)=0,"",_xlfn.XLOOKUP($E78,'[1]Import Eletra'!$B:$B,'[1]Import Eletra'!$AU:$AU,,0,1))</f>
        <v>46157</v>
      </c>
      <c r="AX78" s="112">
        <f>$AV$4</f>
        <v>0</v>
      </c>
      <c r="AY78" s="113">
        <f ca="1">IF(AW78="",TODAY()-AV78,AW78-AV78)</f>
        <v>21</v>
      </c>
      <c r="AZ78" s="184">
        <f ca="1">IF(AND(ISNUMBER($AY78),$AY78&gt;0),$AY78-$AX78,"")</f>
        <v>21</v>
      </c>
      <c r="BA78" s="357">
        <f>BF78-$BF$4</f>
        <v>46136</v>
      </c>
      <c r="BB78" s="332" t="str">
        <f>IF(_xlfn.XLOOKUP($E78,'[1]Import Eletra'!$B:$B,'[1]Import Eletra'!$AW:$AW,,0,1)=0,"",_xlfn.XLOOKUP($E78,'[1]Import Eletra'!$B:$B,'[1]Import Eletra'!$AW:$AW,,0,1))</f>
        <v/>
      </c>
      <c r="BC78" s="112">
        <f>$BA$4</f>
        <v>0</v>
      </c>
      <c r="BD78" s="112">
        <f ca="1">IF(BB78="",TODAY()-BA78,BB78-BA78)</f>
        <v>75</v>
      </c>
      <c r="BE78" s="184">
        <f ca="1">BD78-BC78</f>
        <v>75</v>
      </c>
      <c r="BF78" s="335">
        <f>BK78-$BK$4</f>
        <v>46136</v>
      </c>
      <c r="BG78" s="332" t="str">
        <f>IF(_xlfn.XLOOKUP($E78,'[1]Import Eletra'!$B:$B,'[1]Import Eletra'!$AX:$AX,,0,1)=0,"",_xlfn.XLOOKUP($E78,'[1]Import Eletra'!$B:$B,'[1]Import Eletra'!$AX:$AX,,0,1))</f>
        <v/>
      </c>
      <c r="BH78" s="112">
        <f>$BF$4</f>
        <v>0</v>
      </c>
      <c r="BI78" s="112">
        <f ca="1">IF(BG78="",TODAY()-BF78,BG78-BF78)</f>
        <v>75</v>
      </c>
      <c r="BJ78" s="184">
        <f ca="1">IF(AND(ISNUMBER($BI78),$BI78&gt;0),$BI78-$BH78,"")</f>
        <v>75</v>
      </c>
      <c r="BK78" s="362">
        <f>BP78-$BP$4</f>
        <v>46136</v>
      </c>
      <c r="BL78" s="332">
        <f>IF(_xlfn.XLOOKUP($E78,'[1]Import Eletra'!$B:$B,'[1]Import Eletra'!$AY:$AY,,0,1)=0,"",_xlfn.XLOOKUP($E78,'[1]Import Eletra'!$B:$B,'[1]Import Eletra'!$AY:$AY,,0,1))</f>
        <v>46157</v>
      </c>
      <c r="BM78" s="112">
        <f>$BK$4</f>
        <v>0</v>
      </c>
      <c r="BN78" s="112">
        <f ca="1">IF(BL78="",TODAY()-BK78,BL78-BK78)</f>
        <v>21</v>
      </c>
      <c r="BO78" s="184">
        <f ca="1">BN78-BM78</f>
        <v>21</v>
      </c>
      <c r="BP78" s="335">
        <f>BU78-$BU$4</f>
        <v>46136</v>
      </c>
      <c r="BQ78" s="332">
        <f>IF(_xlfn.XLOOKUP($E78,'[1]Import Eletra'!$B:$B,'[1]Import Eletra'!$AZ:$AZ,,0,1)=0,"",_xlfn.XLOOKUP($E78,'[1]Import Eletra'!$B:$B,'[1]Import Eletra'!$AZ:$AZ,,0,1))</f>
        <v>46157</v>
      </c>
      <c r="BR78" s="113">
        <f>$BP$4</f>
        <v>0</v>
      </c>
      <c r="BS78" s="113">
        <f ca="1">IF(BQ78="",TODAY()-BP78,BQ78-BP78)</f>
        <v>21</v>
      </c>
      <c r="BT78" s="184">
        <f ca="1">BS78-BR78</f>
        <v>21</v>
      </c>
      <c r="BU78" s="362">
        <f>BZ78-$BZ$4</f>
        <v>46138</v>
      </c>
      <c r="BV78" s="332">
        <f>IF(_xlfn.XLOOKUP($E78,'[1]Import Eletra'!$B:$B,'[1]Import Eletra'!$BA:$BA,,0,1)=0,"",_xlfn.XLOOKUP($E78,'[1]Import Eletra'!$B:$B,'[1]Import Eletra'!$BA:$BA,,0,1))</f>
        <v>46163</v>
      </c>
      <c r="BW78" s="113">
        <f>$BU$4</f>
        <v>2</v>
      </c>
      <c r="BX78" s="113">
        <f ca="1">IF(BV78="",TODAY()-BU78,BV78-BU78)</f>
        <v>25</v>
      </c>
      <c r="BY78" s="184">
        <f ca="1">IF(AND(ISNUMBER($BX78),$BX78&gt;0),$BX78-$BW78,"")</f>
        <v>23</v>
      </c>
      <c r="BZ78" s="335">
        <f>CE78-$CE$4</f>
        <v>46138</v>
      </c>
      <c r="CA78" s="332">
        <f>IF(_xlfn.XLOOKUP($E78,'[1]Import Eletra'!$B:$B,'[1]Import Eletra'!$BB:$BB,,0,1)=0,"",_xlfn.XLOOKUP($E78,'[1]Import Eletra'!$B:$B,'[1]Import Eletra'!$BB:$BB,,0,1))</f>
        <v>46163</v>
      </c>
      <c r="CB78" s="113">
        <f>$BZ$4</f>
        <v>0</v>
      </c>
      <c r="CC78" s="113">
        <f ca="1">IF(CA78="",TODAY()-BZ78,CA78-BZ78)</f>
        <v>25</v>
      </c>
      <c r="CD78" s="184">
        <f ca="1">CC78-CB78</f>
        <v>25</v>
      </c>
      <c r="CE78" s="362">
        <f>CJ78-$CJ$4</f>
        <v>46138</v>
      </c>
      <c r="CF78" s="332">
        <f>IF(_xlfn.XLOOKUP($E78,'[1]Import Eletra'!$B:$B,'[1]Import Eletra'!$BC:$BC,,0,1)=0,"",_xlfn.XLOOKUP($E78,'[1]Import Eletra'!$B:$B,'[1]Import Eletra'!$BC:$BC,,0,1))</f>
        <v>46163</v>
      </c>
      <c r="CG78" s="113">
        <f>$CE$4</f>
        <v>0</v>
      </c>
      <c r="CH78" s="113">
        <f ca="1">IF(CF78="",TODAY()-CE78,CF78-CE78)</f>
        <v>25</v>
      </c>
      <c r="CI78" s="184">
        <f ca="1">CH78-CG78</f>
        <v>25</v>
      </c>
      <c r="CJ78" s="335">
        <f>CO78-$CO$4</f>
        <v>46138</v>
      </c>
      <c r="CK78" s="332">
        <f>IF(_xlfn.XLOOKUP($E78,'[1]Import Eletra'!$B:$B,'[1]Import Eletra'!$BD:$BD,,0,1)=0,"",_xlfn.XLOOKUP($E78,'[1]Import Eletra'!$B:$B,'[1]Import Eletra'!$BD:$BD,,0,1))</f>
        <v>46160</v>
      </c>
      <c r="CL78" s="113"/>
      <c r="CM78" s="113">
        <f ca="1">IF(CK78="",TODAY()-CJ78,CK78-CJ78)</f>
        <v>22</v>
      </c>
      <c r="CN78" s="184">
        <f ca="1">CM78-CL78</f>
        <v>22</v>
      </c>
      <c r="CO78" s="362">
        <f>CT78-$CT$4</f>
        <v>46138</v>
      </c>
      <c r="CP78" s="332">
        <f>IF(_xlfn.XLOOKUP($E78,'[1]Import Eletra'!$B:$B,'[1]Import Eletra'!$BE:$BE,,0,1)=0,"",_xlfn.XLOOKUP($E78,'[1]Import Eletra'!$B:$B,'[1]Import Eletra'!$BE:$BE,,0,1))</f>
        <v>46162</v>
      </c>
      <c r="CQ78" s="113">
        <f>$CO$4</f>
        <v>0</v>
      </c>
      <c r="CR78" s="113">
        <f ca="1">IF(CP78="",TODAY()-CO78,CP78-CO78)</f>
        <v>24</v>
      </c>
      <c r="CS78" s="184">
        <f ca="1">CR78-CQ78</f>
        <v>24</v>
      </c>
      <c r="CT78" s="335">
        <f>CY78-$CY$4</f>
        <v>46138</v>
      </c>
      <c r="CU78" s="332">
        <f>IF(_xlfn.XLOOKUP($E78,'[1]Import Eletra'!$B:$B,'[1]Import Eletra'!$BF:$BF,,0,1)=0,"",_xlfn.XLOOKUP($E78,'[1]Import Eletra'!$B:$B,'[1]Import Eletra'!$BF:$BF,,0,1))</f>
        <v>46162</v>
      </c>
      <c r="CV78" s="113">
        <f>$CT$4</f>
        <v>0</v>
      </c>
      <c r="CW78" s="113">
        <f ca="1">IF(CU78="",TODAY()-CT78,CU78-CT78)</f>
        <v>24</v>
      </c>
      <c r="CX78" s="184">
        <f ca="1">CW78-CV78</f>
        <v>24</v>
      </c>
      <c r="CY78" s="110">
        <f>DD78-$DD$4</f>
        <v>46138</v>
      </c>
      <c r="CZ78" s="104">
        <f>IF(_xlfn.XLOOKUP($E78,'[1]Import Eletra'!$B:$B,'[1]Import Eletra'!$BF:$BF,,0,1)=0,"",_xlfn.XLOOKUP($E78,'[1]Import Eletra'!$B:$B,'[1]Import Eletra'!$BF:$BF,,0,1))</f>
        <v>46162</v>
      </c>
      <c r="DA78" s="210">
        <f>$CY$4</f>
        <v>0</v>
      </c>
      <c r="DB78" s="113">
        <f ca="1">IF(CZ78="",TODAY()-CY78,CZ78-CY78)</f>
        <v>24</v>
      </c>
      <c r="DC78" s="184">
        <f ca="1">DB78-DA78</f>
        <v>24</v>
      </c>
      <c r="DD78" s="110">
        <f>DI78-$DI$4</f>
        <v>46140</v>
      </c>
      <c r="DE78" s="104">
        <f>IF(_xlfn.XLOOKUP($E78,'[1]Import Eletra'!$B:$B,'[1]Import Eletra'!$BG:$BG,,0,1)=0,"",_xlfn.XLOOKUP($E78,'[1]Import Eletra'!$B:$B,'[1]Import Eletra'!$BG:$BG,0,1))</f>
        <v>46163</v>
      </c>
      <c r="DF78" s="113">
        <f>$DD$4</f>
        <v>2</v>
      </c>
      <c r="DG78" s="113">
        <f ca="1">IF(DE78="",TODAY()-DD78,DE78-DD78)</f>
        <v>23</v>
      </c>
      <c r="DH78" s="184">
        <f ca="1">DG78-DF78</f>
        <v>21</v>
      </c>
      <c r="DI78" s="110">
        <f>DO78-$DN$4</f>
        <v>46141</v>
      </c>
      <c r="DJ78" s="104">
        <f>IF(_xlfn.XLOOKUP($E78,'[1]Import Eletra'!$B:$B,'[1]Import Eletra'!$BH:$BH,,0,1)=0,"",_xlfn.XLOOKUP($E78,'[1]Import Eletra'!$B:$B,'[1]Import Eletra'!$BH:$BH,0,1))</f>
        <v>46163</v>
      </c>
      <c r="DK78" s="112">
        <f>$DI$4</f>
        <v>1</v>
      </c>
      <c r="DL78" s="165">
        <f>IF(_xlfn.XLOOKUP($E78,'[1]Import Eletra'!$B:$B,'[1]Import Eletra'!$O:$O,,0,1)=0,"",_xlfn.XLOOKUP($E78,'[1]Import Eletra'!$B:$B,'[1]Import Eletra'!$O:$O,0,1))</f>
        <v>46171</v>
      </c>
      <c r="DM78" s="184">
        <f>DL78-DK78</f>
        <v>46170</v>
      </c>
      <c r="DN78" s="64"/>
      <c r="DO78" s="202">
        <v>46142</v>
      </c>
      <c r="DP78" s="165">
        <f>IF(_xlfn.XLOOKUP($E78,'[1]Import Eletra'!$B:$B,'[1]Import Eletra'!$O:$O,,0,1)=0,"",_xlfn.XLOOKUP($E78,'[1]Import Eletra'!$B:$B,'[1]Import Eletra'!$O:$O,0,1))</f>
        <v>46171</v>
      </c>
      <c r="DQ78" s="112">
        <f>$DN$4</f>
        <v>1</v>
      </c>
      <c r="DR78" s="112">
        <f ca="1">IF(DP78="",TODAY()-DO78,DP78-DO78)</f>
        <v>29</v>
      </c>
      <c r="DS78" s="184">
        <f ca="1">DR78-DQ78</f>
        <v>28</v>
      </c>
      <c r="DT78" s="143">
        <v>10</v>
      </c>
      <c r="DU78" s="140">
        <f t="shared" ca="1" si="270"/>
        <v>48</v>
      </c>
      <c r="DV78" s="184">
        <f ca="1">DU78-DT78</f>
        <v>38</v>
      </c>
      <c r="DX78" s="185" t="s">
        <v>245</v>
      </c>
      <c r="DY78" s="108" t="str">
        <f>IF(_xlfn.XLOOKUP($E78,'[1]Import Eletra'!$B:$B,'[1]Import Eletra'!$DW:$DW,,0,1)=0,"",_xlfn.XLOOKUP($E78,'[1]Import Eletra'!$B:$B,'[1]Import Eletra'!$DW:$DW,0,1))</f>
        <v>LATE RECEIVING OF INFORMATION FROM COMEX TEAM</v>
      </c>
      <c r="EB78" s="289"/>
      <c r="ED78" s="409">
        <f>IF(_xlfn.XLOOKUP($E78,'[1]Import Eletra'!$B:$B,'[1]Import Eletra'!$BQ:$BQ,,0,1)=0,"",_xlfn.XLOOKUP($E78,'[1]Import Eletra'!$B:$B,'[1]Import Eletra'!$BQ:$BQ,0,1))</f>
        <v>2547.2199999999998</v>
      </c>
      <c r="EE78" s="410">
        <f>IF(_xlfn.XLOOKUP($E78,'[1]Import Eletra'!$B:$B,'[1]Import Eletra'!$BR:$BR,,0,1)=0,"",_xlfn.XLOOKUP($E78,'[1]Import Eletra'!$B:$B,'[1]Import Eletra'!$BR:$BR,0,1))</f>
        <v>46174</v>
      </c>
      <c r="EF78" s="409" t="str">
        <f>IF(_xlfn.XLOOKUP($E78,'[1]Import Eletra'!$B:$B,'[1]Import Eletra'!$BS:$BS,,0,1)=0,"",_xlfn.XLOOKUP($E78,'[1]Import Eletra'!$B:$B,'[1]Import Eletra'!$BS:$BS,0,1))</f>
        <v/>
      </c>
      <c r="EG78" s="410" t="str">
        <f>IF(_xlfn.XLOOKUP($E78,'[1]Import Eletra'!$B:$B,'[1]Import Eletra'!$BT:$BT,,0,1)=0,"",_xlfn.XLOOKUP($E78,'[1]Import Eletra'!$B:$B,'[1]Import Eletra'!$BT:$BT,0,1))</f>
        <v/>
      </c>
      <c r="EH78" s="409" t="str">
        <f>IF(_xlfn.XLOOKUP($E78,'[1]Import Eletra'!$B:$B,'[1]Import Eletra'!$BU:$BU,,0,1)=0,"",_xlfn.XLOOKUP($E78,'[1]Import Eletra'!$B:$B,'[1]Import Eletra'!$BU:$BU,0,1))</f>
        <v/>
      </c>
      <c r="EI78" s="410" t="str">
        <f>IF(_xlfn.XLOOKUP($E78,'[1]Import Eletra'!$B:$B,'[1]Import Eletra'!$BV:$BV,,0,1)=0,"",_xlfn.XLOOKUP($E78,'[1]Import Eletra'!$B:$B,'[1]Import Eletra'!$BV:$BV,0,1))</f>
        <v/>
      </c>
      <c r="EJ78" s="410" t="str">
        <f>IF(_xlfn.XLOOKUP($E78,'[1]Import Eletra'!$B:$B,'[1]Import Eletra'!$CI:$CI,,0,1)=0,"",_xlfn.XLOOKUP($E78,'[1]Import Eletra'!$B:$B,'[1]Import Eletra'!$CI:$CI,0,1))</f>
        <v/>
      </c>
      <c r="EK78" s="410" t="str">
        <f>IF(_xlfn.XLOOKUP($E78,'[1]Import Eletra'!$B:$B,'[1]Import Eletra'!$CD:$CD,,0,1)=0,"",_xlfn.XLOOKUP($E78,'[1]Import Eletra'!$B:$B,'[1]Import Eletra'!$CD:$CD,0,1))</f>
        <v/>
      </c>
      <c r="EL78" s="410" t="str">
        <f>IF(_xlfn.XLOOKUP($E78,'[1]Import Eletra'!$B:$B,'[1]Import Eletra'!$CE:$CE,,0,1)=0,"",_xlfn.XLOOKUP($E78,'[1]Import Eletra'!$B:$B,'[1]Import Eletra'!$CE:$CE,0,1))</f>
        <v>NÃO</v>
      </c>
      <c r="EM78" s="411" t="str">
        <f>IF(_xlfn.XLOOKUP($E78,'[1]Import Eletra'!$B:$B,'[1]Import Eletra'!$E:$E,,0,1)=0,"",_xlfn.XLOOKUP($E78,'[1]Import Eletra'!$B:$B,'[1]Import Eletra'!$E:$E,0,1))</f>
        <v>RENATO</v>
      </c>
      <c r="EN78" s="408" t="str">
        <f>IF(_xlfn.XLOOKUP($E78,'[1]Import Eletra'!$B:$B,'[1]Import Eletra'!$R:$R,,0,1)=0,"",_xlfn.XLOOKUP($E78,'[1]Import Eletra'!$B:$B,'[1]Import Eletra'!$R:$R,0,1))</f>
        <v>PWBR260039-A</v>
      </c>
      <c r="EO78" s="408" t="str">
        <f>IF(_xlfn.XLOOKUP($E78,'[1]Import Eletra'!$B:$B,'[1]Import Eletra'!$P:$P,,0,1)=0,"",_xlfn.XLOOKUP($E78,'[1]Import Eletra'!$B:$B,'[1]Import Eletra'!$P:$P,0,1))</f>
        <v>17 2793 4364</v>
      </c>
      <c r="EP78" s="408" t="str">
        <f>IF(_xlfn.XLOOKUP($E78,'[1]Import Eletra'!$B:$B,'[1]Import Eletra'!$T:$T,,0,1)=0,"",_xlfn.XLOOKUP($E78,'[1]Import Eletra'!$B:$B,'[1]Import Eletra'!$T:$T,0,1))</f>
        <v/>
      </c>
    </row>
    <row r="79" spans="2:146" ht="30.75">
      <c r="B79" s="281"/>
      <c r="C79" s="280"/>
      <c r="D79" s="104"/>
      <c r="E79" s="105" t="s">
        <v>308</v>
      </c>
      <c r="F79" s="203" t="str">
        <f>IF(_xlfn.XLOOKUP($E79,'[1]Import Eletra'!$B:$B,'[1]Import Eletra'!$U:$U,,0,1)=0,"",_xlfn.XLOOKUP($E79,'[1]Import Eletra'!$B:$B,'[1]Import Eletra'!$U:$U,,0,1))</f>
        <v/>
      </c>
      <c r="G79" s="301" t="s">
        <v>386</v>
      </c>
      <c r="H79" s="2" t="str">
        <f>_xlfn.XLOOKUP($E79,'[1]Import Eletra'!$B:$B,'[1]Import Eletra'!$F:$F,,0,1)</f>
        <v>DELIVERED</v>
      </c>
      <c r="I79" s="108" t="str">
        <f>_xlfn.XLOOKUP($E79,'[1]Import Eletra'!$B:$B,'[1]Import Eletra'!$G:$G,,0,1)</f>
        <v>AIR</v>
      </c>
      <c r="J79" s="326"/>
      <c r="K79" s="109"/>
      <c r="L79" s="109"/>
      <c r="M79" s="326">
        <f>IF(_xlfn.XLOOKUP($E79,'[1]Import Eletra'!$B:$B,'[1]Import Eletra'!$J:$J,,0,1)=0,"",_xlfn.XLOOKUP($E79,'[1]Import Eletra'!$B:$B,'[1]Import Eletra'!$J:$J,,0,1))</f>
        <v>46119</v>
      </c>
      <c r="N79" s="332">
        <f>IF(_xlfn.XLOOKUP($E79,'[1]Import Eletra'!$B:$B,'[1]Import Eletra'!$L:$L,,0,1)=0,"",_xlfn.XLOOKUP($E79,'[1]Import Eletra'!$B:$B,'[1]Import Eletra'!$L:$L,,0,1))</f>
        <v>46124</v>
      </c>
      <c r="O79" s="335">
        <f>IF(_xlfn.XLOOKUP($E79,'[1]Import Eletra'!$B:$B,'[1]Import Eletra'!$AK:$AK,,0,1)=0,"",_xlfn.XLOOKUP($E79,'[1]Import Eletra'!$B:$B,'[1]Import Eletra'!$AK:$AK,,0,1))</f>
        <v>46139</v>
      </c>
      <c r="P79" s="326">
        <f>IF(_xlfn.XLOOKUP($E79,'[1]Import Eletra'!$B:$B,'[1]Import Eletra'!$AL:$AL,,0,1)=0,"",_xlfn.XLOOKUP($E79,'[1]Import Eletra'!$B:$B,'[1]Import Eletra'!$AL:$AL,,0,1))</f>
        <v>46139</v>
      </c>
      <c r="Q79" s="326">
        <f>IF(_xlfn.XLOOKUP($E79,'[1]Import Eletra'!$B:$B,'[1]Import Eletra'!$AM:$AM,,0,1)=0,"",_xlfn.XLOOKUP($E79,'[1]Import Eletra'!$B:$B,'[1]Import Eletra'!$AM:$AM,,0,1))</f>
        <v>46139</v>
      </c>
      <c r="R79" s="326">
        <f>IF(_xlfn.XLOOKUP($E79,'[1]Import Eletra'!$B:$B,'[1]Import Eletra'!$AN:$AN,,0,1)=0,"",_xlfn.XLOOKUP($E79,'[1]Import Eletra'!$B:$B,'[1]Import Eletra'!$AN:$AN,,0,1))</f>
        <v>46139</v>
      </c>
      <c r="S79" s="326">
        <f>IF(_xlfn.XLOOKUP($E79,'[1]Import Eletra'!$B:$B,'[1]Import Eletra'!$AO:$AO,,0,1)=0,"",_xlfn.XLOOKUP($E79,'[1]Import Eletra'!$B:$B,'[1]Import Eletra'!$AO:$AO,,0,1))</f>
        <v>46139</v>
      </c>
      <c r="T79" s="326">
        <f>IF(_xlfn.XLOOKUP($E79,'[1]Import Eletra'!$B:$B,'[1]Import Eletra'!$AP:$AP,,0,1)=0,"",_xlfn.XLOOKUP($E79,'[1]Import Eletra'!$B:$B,'[1]Import Eletra'!$AP:$AP,,0,1))</f>
        <v>46139</v>
      </c>
      <c r="U79" s="326">
        <f>IF(_xlfn.XLOOKUP($E79,'[1]Import Eletra'!$B:$B,'[1]Import Eletra'!$AQ:$AQ,,0,1)=0,"",_xlfn.XLOOKUP($E79,'[1]Import Eletra'!$B:$B,'[1]Import Eletra'!$AQ:$AQ,,0,1))</f>
        <v>46140</v>
      </c>
      <c r="V79" s="339">
        <f>IF(_xlfn.XLOOKUP($E79,'[1]Import Eletra'!$B:$B,'[1]Import Eletra'!$AR:$AR,,0,1)=0,"",_xlfn.XLOOKUP($E79,'[1]Import Eletra'!$B:$B,'[1]Import Eletra'!$AR:$AR,,0,1))</f>
        <v>46124</v>
      </c>
      <c r="W79" s="335">
        <f>AB79-$AB$4</f>
        <v>46127</v>
      </c>
      <c r="X79" s="332">
        <f>IF(_xlfn.XLOOKUP($E79,'[1]Import Eletra'!$B:$B,'[1]Import Eletra'!$AS:$AS,,0,1)=0,"",_xlfn.XLOOKUP($E79,'[1]Import Eletra'!$B:$B,'[1]Import Eletra'!$AS:$AS,,0,1))</f>
        <v>46140</v>
      </c>
      <c r="Y79" s="112">
        <f>$W$4</f>
        <v>0</v>
      </c>
      <c r="Z79" s="113">
        <f ca="1">IF(X79="",TODAY()-W79,X79-W79)</f>
        <v>13</v>
      </c>
      <c r="AA79" s="184">
        <f ca="1">IF(AND(ISNUMBER($Z79),$Z79&gt;0),$Z79-$Y79,"")</f>
        <v>13</v>
      </c>
      <c r="AB79" s="346">
        <f>AG79-$AB$4</f>
        <v>46127</v>
      </c>
      <c r="AC79" s="332">
        <f>IF(_xlfn.XLOOKUP($E79,'[1]Import Eletra'!$B:$B,'[1]Import Eletra'!$AD:$AD,,0,1)=0,"",_xlfn.XLOOKUP($E79,'[1]Import Eletra'!$B:$B,'[1]Import Eletra'!$AD:$AD,,0,1))</f>
        <v>46141</v>
      </c>
      <c r="AD79" s="112">
        <f>$AB$4</f>
        <v>0</v>
      </c>
      <c r="AE79" s="112">
        <f ca="1">IF(AC79="",TODAY()-AB79,AC79-AB79)</f>
        <v>14</v>
      </c>
      <c r="AF79" s="184">
        <f ca="1">AE79-AD79</f>
        <v>14</v>
      </c>
      <c r="AG79" s="355">
        <f>AL79-$AL$4</f>
        <v>46127</v>
      </c>
      <c r="AH79" s="332">
        <f>IF(_xlfn.XLOOKUP($E79,'[1]Import Eletra'!$B:$B,'[1]Import Eletra'!$AE:$AE,,0,1)=0,"",_xlfn.XLOOKUP($E79,'[1]Import Eletra'!$B:$B,'[1]Import Eletra'!$AE:$AE,,0,1))</f>
        <v>46141</v>
      </c>
      <c r="AI79" s="112">
        <f>$AG$4</f>
        <v>0</v>
      </c>
      <c r="AJ79" s="112">
        <f ca="1">IF(AH79="",TODAY()-AG79,AH79-AG79)</f>
        <v>14</v>
      </c>
      <c r="AK79" s="184">
        <f ca="1">IF(AND(ISNUMBER($AJ79),$AJ79&gt;0),$AJ79-$AI79,"")</f>
        <v>14</v>
      </c>
      <c r="AL79" s="355">
        <f>AQ79-$AQ$4</f>
        <v>46127</v>
      </c>
      <c r="AM79" s="332">
        <f>IF(_xlfn.XLOOKUP($E79,'[1]Import Eletra'!$B:$B,'[1]Import Eletra'!$AT:$AT,,0,1)=0,"",_xlfn.XLOOKUP($E79,'[1]Import Eletra'!$B:$B,'[1]Import Eletra'!$AT:$AT,,0,1))</f>
        <v>46141</v>
      </c>
      <c r="AN79" s="112">
        <f>$AL$4</f>
        <v>0</v>
      </c>
      <c r="AO79" s="112">
        <f ca="1">IF(AM79="",TODAY()-AL79,AM79-AL79)</f>
        <v>14</v>
      </c>
      <c r="AP79" s="184">
        <f ca="1">IF(AND(ISNUMBER($AO79),$AO79&gt;0),$AO79-$AN79,"")</f>
        <v>14</v>
      </c>
      <c r="AQ79" s="357">
        <f>AV79-$AV$4</f>
        <v>46128</v>
      </c>
      <c r="AR79" s="332">
        <f>IF(_xlfn.XLOOKUP($E79,'[1]Import Eletra'!$B:$B,'[1]Import Eletra'!$AU:$AU,,0,1)=0,"",_xlfn.XLOOKUP($E79,'[1]Import Eletra'!$B:$B,'[1]Import Eletra'!$AU:$AU,,0,1))</f>
        <v>46142</v>
      </c>
      <c r="AS79" s="112">
        <f>$AQ$4</f>
        <v>1</v>
      </c>
      <c r="AT79" s="112">
        <f ca="1">IF(AR79="",TODAY()-AQ79,AR79-AQ79)</f>
        <v>14</v>
      </c>
      <c r="AU79" s="184">
        <f ca="1">IF(AND(ISNUMBER($AT79),$AT79&gt;0),$AT79-$AS79,"")</f>
        <v>13</v>
      </c>
      <c r="AV79" s="355">
        <f>BA79-$BA$4</f>
        <v>46128</v>
      </c>
      <c r="AW79" s="332">
        <f>IF(_xlfn.XLOOKUP($E79,'[1]Import Eletra'!$B:$B,'[1]Import Eletra'!$AU:$AU,,0,1)=0,"",_xlfn.XLOOKUP($E79,'[1]Import Eletra'!$B:$B,'[1]Import Eletra'!$AU:$AU,,0,1))</f>
        <v>46142</v>
      </c>
      <c r="AX79" s="112">
        <f>$AV$4</f>
        <v>0</v>
      </c>
      <c r="AY79" s="113">
        <f ca="1">IF(AW79="",TODAY()-AV79,AW79-AV79)</f>
        <v>14</v>
      </c>
      <c r="AZ79" s="184">
        <f ca="1">IF(AND(ISNUMBER($AY79),$AY79&gt;0),$AY79-$AX79,"")</f>
        <v>14</v>
      </c>
      <c r="BA79" s="357">
        <f>BF79-$BF$4</f>
        <v>46128</v>
      </c>
      <c r="BB79" s="332" t="str">
        <f>IF(_xlfn.XLOOKUP($E79,'[1]Import Eletra'!$B:$B,'[1]Import Eletra'!$AW:$AW,,0,1)=0,"",_xlfn.XLOOKUP($E79,'[1]Import Eletra'!$B:$B,'[1]Import Eletra'!$AW:$AW,,0,1))</f>
        <v/>
      </c>
      <c r="BC79" s="112">
        <f>$BA$4</f>
        <v>0</v>
      </c>
      <c r="BD79" s="112">
        <f ca="1">IF(BB79="",TODAY()-BA79,BB79-BA79)</f>
        <v>83</v>
      </c>
      <c r="BE79" s="184">
        <f ca="1">BD79-BC79</f>
        <v>83</v>
      </c>
      <c r="BF79" s="335">
        <f>BK79-$BK$4</f>
        <v>46128</v>
      </c>
      <c r="BG79" s="332" t="str">
        <f>IF(_xlfn.XLOOKUP($E79,'[1]Import Eletra'!$B:$B,'[1]Import Eletra'!$AX:$AX,,0,1)=0,"",_xlfn.XLOOKUP($E79,'[1]Import Eletra'!$B:$B,'[1]Import Eletra'!$AX:$AX,,0,1))</f>
        <v/>
      </c>
      <c r="BH79" s="112">
        <f>$BF$4</f>
        <v>0</v>
      </c>
      <c r="BI79" s="112">
        <f ca="1">IF(BG79="",TODAY()-BF79,BG79-BF79)</f>
        <v>83</v>
      </c>
      <c r="BJ79" s="184">
        <f ca="1">IF(AND(ISNUMBER($BI79),$BI79&gt;0),$BI79-$BH79,"")</f>
        <v>83</v>
      </c>
      <c r="BK79" s="362">
        <f>BP79-$BP$4</f>
        <v>46128</v>
      </c>
      <c r="BL79" s="332">
        <f>IF(_xlfn.XLOOKUP($E79,'[1]Import Eletra'!$B:$B,'[1]Import Eletra'!$AY:$AY,,0,1)=0,"",_xlfn.XLOOKUP($E79,'[1]Import Eletra'!$B:$B,'[1]Import Eletra'!$AY:$AY,,0,1))</f>
        <v>46141</v>
      </c>
      <c r="BM79" s="112">
        <f>$BK$4</f>
        <v>0</v>
      </c>
      <c r="BN79" s="112">
        <f ca="1">IF(BL79="",TODAY()-BK79,BL79-BK79)</f>
        <v>13</v>
      </c>
      <c r="BO79" s="184">
        <f ca="1">BN79-BM79</f>
        <v>13</v>
      </c>
      <c r="BP79" s="335">
        <f>BU79-$BU$4</f>
        <v>46128</v>
      </c>
      <c r="BQ79" s="332">
        <f>IF(_xlfn.XLOOKUP($E79,'[1]Import Eletra'!$B:$B,'[1]Import Eletra'!$AZ:$AZ,,0,1)=0,"",_xlfn.XLOOKUP($E79,'[1]Import Eletra'!$B:$B,'[1]Import Eletra'!$AZ:$AZ,,0,1))</f>
        <v>46141</v>
      </c>
      <c r="BR79" s="112">
        <f>$BP$4</f>
        <v>0</v>
      </c>
      <c r="BS79" s="112">
        <f ca="1">IF(BQ79="",TODAY()-BP79,BQ79-BP79)</f>
        <v>13</v>
      </c>
      <c r="BT79" s="184">
        <f ca="1">BS79-BR79</f>
        <v>13</v>
      </c>
      <c r="BU79" s="362">
        <f>BZ79-$BZ$4</f>
        <v>46130</v>
      </c>
      <c r="BV79" s="332">
        <f>IF(_xlfn.XLOOKUP($E79,'[1]Import Eletra'!$B:$B,'[1]Import Eletra'!$BA:$BA,,0,1)=0,"",_xlfn.XLOOKUP($E79,'[1]Import Eletra'!$B:$B,'[1]Import Eletra'!$BA:$BA,,0,1))</f>
        <v>46146</v>
      </c>
      <c r="BW79" s="112">
        <f>$BU$4</f>
        <v>2</v>
      </c>
      <c r="BX79" s="112">
        <f ca="1">IF(BV79="",TODAY()-BU79,BV79-BU79)</f>
        <v>16</v>
      </c>
      <c r="BY79" s="184">
        <f ca="1">IF(AND(ISNUMBER($BX79),$BX79&gt;0),$BX79-$BW79,"")</f>
        <v>14</v>
      </c>
      <c r="BZ79" s="335">
        <f>CE79-$CE$4</f>
        <v>46130</v>
      </c>
      <c r="CA79" s="332">
        <f>IF(_xlfn.XLOOKUP($E79,'[1]Import Eletra'!$B:$B,'[1]Import Eletra'!$BB:$BB,,0,1)=0,"",_xlfn.XLOOKUP($E79,'[1]Import Eletra'!$B:$B,'[1]Import Eletra'!$BB:$BB,,0,1))</f>
        <v>46146</v>
      </c>
      <c r="CB79" s="112">
        <f>$BZ$4</f>
        <v>0</v>
      </c>
      <c r="CC79" s="112">
        <f ca="1">IF(CA79="",TODAY()-BZ79,CA79-BZ79)</f>
        <v>16</v>
      </c>
      <c r="CD79" s="184">
        <f ca="1">CC79-CB79</f>
        <v>16</v>
      </c>
      <c r="CE79" s="362">
        <f>CJ79-$CJ$4</f>
        <v>46130</v>
      </c>
      <c r="CF79" s="332" t="str">
        <f>IF(_xlfn.XLOOKUP($E79,'[1]Import Eletra'!$B:$B,'[1]Import Eletra'!$BC:$BC,,0,1)=0,"",_xlfn.XLOOKUP($E79,'[1]Import Eletra'!$B:$B,'[1]Import Eletra'!$BC:$BC,,0,1))</f>
        <v/>
      </c>
      <c r="CG79" s="112">
        <f>$CE$4</f>
        <v>0</v>
      </c>
      <c r="CH79" s="112">
        <f ca="1">IF(CF79="",TODAY()-CE79,CF79-CE79)</f>
        <v>81</v>
      </c>
      <c r="CI79" s="184">
        <f ca="1">CH79-CG79</f>
        <v>81</v>
      </c>
      <c r="CJ79" s="335">
        <f>CO79-$CO$4</f>
        <v>46130</v>
      </c>
      <c r="CK79" s="332">
        <f>IF(_xlfn.XLOOKUP($E79,'[1]Import Eletra'!$B:$B,'[1]Import Eletra'!$BD:$BD,,0,1)=0,"",_xlfn.XLOOKUP($E79,'[1]Import Eletra'!$B:$B,'[1]Import Eletra'!$BD:$BD,,0,1))</f>
        <v>46146</v>
      </c>
      <c r="CL79" s="112"/>
      <c r="CM79" s="112">
        <f ca="1">IF(CK79="",TODAY()-CJ79,CK79-CJ79)</f>
        <v>16</v>
      </c>
      <c r="CN79" s="184">
        <f ca="1">CM79-CL79</f>
        <v>16</v>
      </c>
      <c r="CO79" s="362">
        <f>CT79-$CT$4</f>
        <v>46130</v>
      </c>
      <c r="CP79" s="332">
        <f>IF(_xlfn.XLOOKUP($E79,'[1]Import Eletra'!$B:$B,'[1]Import Eletra'!$BE:$BE,,0,1)=0,"",_xlfn.XLOOKUP($E79,'[1]Import Eletra'!$B:$B,'[1]Import Eletra'!$BE:$BE,,0,1))</f>
        <v>46148</v>
      </c>
      <c r="CQ79" s="112">
        <f>$CO$4</f>
        <v>0</v>
      </c>
      <c r="CR79" s="112">
        <f ca="1">IF(CP79="",TODAY()-CO79,CP79-CO79)</f>
        <v>18</v>
      </c>
      <c r="CS79" s="184">
        <f ca="1">CR79-CQ79</f>
        <v>18</v>
      </c>
      <c r="CT79" s="335">
        <f>CY79-$CY$4</f>
        <v>46130</v>
      </c>
      <c r="CU79" s="332">
        <f>IF(_xlfn.XLOOKUP($E79,'[1]Import Eletra'!$B:$B,'[1]Import Eletra'!$BF:$BF,,0,1)=0,"",_xlfn.XLOOKUP($E79,'[1]Import Eletra'!$B:$B,'[1]Import Eletra'!$BF:$BF,,0,1))</f>
        <v>46148</v>
      </c>
      <c r="CV79" s="112">
        <f>$CT$4</f>
        <v>0</v>
      </c>
      <c r="CW79" s="112">
        <f ca="1">IF(CU79="",TODAY()-CT79,CU79-CT79)</f>
        <v>18</v>
      </c>
      <c r="CX79" s="184">
        <f ca="1">CW79-CV79</f>
        <v>18</v>
      </c>
      <c r="CY79" s="110">
        <f>DD79-$DD$4</f>
        <v>46130</v>
      </c>
      <c r="CZ79" s="104">
        <f>IF(_xlfn.XLOOKUP($E79,'[1]Import Eletra'!$B:$B,'[1]Import Eletra'!$BF:$BF,,0,1)=0,"",_xlfn.XLOOKUP($E79,'[1]Import Eletra'!$B:$B,'[1]Import Eletra'!$BF:$BF,,0,1))</f>
        <v>46148</v>
      </c>
      <c r="DA79" s="121">
        <f>$CY$4</f>
        <v>0</v>
      </c>
      <c r="DB79" s="112">
        <f ca="1">IF(CZ79="",TODAY()-CY79,CZ79-CY79)</f>
        <v>18</v>
      </c>
      <c r="DC79" s="184">
        <f ca="1">DB79-DA79</f>
        <v>18</v>
      </c>
      <c r="DD79" s="110">
        <f>DI79-$DI$4</f>
        <v>46132</v>
      </c>
      <c r="DE79" s="104">
        <f>IF(_xlfn.XLOOKUP($E79,'[1]Import Eletra'!$B:$B,'[1]Import Eletra'!$BG:$BG,,0,1)=0,"",_xlfn.XLOOKUP($E79,'[1]Import Eletra'!$B:$B,'[1]Import Eletra'!$BG:$BG,0,1))</f>
        <v>46148</v>
      </c>
      <c r="DF79" s="112">
        <f>$DD$4</f>
        <v>2</v>
      </c>
      <c r="DG79" s="112">
        <f ca="1">IF(DE79="",TODAY()-DD79,DE79-DD79)</f>
        <v>16</v>
      </c>
      <c r="DH79" s="184">
        <f ca="1">DG79-DF79</f>
        <v>14</v>
      </c>
      <c r="DI79" s="110">
        <f>DO79-$DN$4</f>
        <v>46133</v>
      </c>
      <c r="DJ79" s="104">
        <f>IF(_xlfn.XLOOKUP($E79,'[1]Import Eletra'!$B:$B,'[1]Import Eletra'!$BH:$BH,,0,1)=0,"",_xlfn.XLOOKUP($E79,'[1]Import Eletra'!$B:$B,'[1]Import Eletra'!$BH:$BH,0,1))</f>
        <v>46148</v>
      </c>
      <c r="DK79" s="112">
        <f>$DI$4</f>
        <v>1</v>
      </c>
      <c r="DL79" s="112">
        <f ca="1">IF(DJ79="",TODAY()-DI79,DJ79-DI79)</f>
        <v>15</v>
      </c>
      <c r="DM79" s="184">
        <f ca="1">IF(AND(ISNUMBER($DL79),$DL79&gt;0),$DL79-$DK79,"")</f>
        <v>14</v>
      </c>
      <c r="DN79" s="64"/>
      <c r="DO79" s="202">
        <f>IF(V79="",N79+DT79,V79+DT79)</f>
        <v>46134</v>
      </c>
      <c r="DP79" s="165">
        <f>IF(_xlfn.XLOOKUP($E79,'[1]Import Eletra'!$B:$B,'[1]Import Eletra'!$O:$O,,0,1)=0,"",_xlfn.XLOOKUP($E79,'[1]Import Eletra'!$B:$B,'[1]Import Eletra'!$O:$O,0,1))</f>
        <v>46149</v>
      </c>
      <c r="DQ79" s="112">
        <f>$DN$4</f>
        <v>1</v>
      </c>
      <c r="DR79" s="112">
        <f ca="1">IF(DP79="",TODAY()-DO79,DP79-DO79)</f>
        <v>15</v>
      </c>
      <c r="DS79" s="184">
        <f ca="1">DR79-DQ79</f>
        <v>14</v>
      </c>
      <c r="DT79" s="143">
        <v>10</v>
      </c>
      <c r="DU79" s="140">
        <f t="shared" ca="1" si="270"/>
        <v>25</v>
      </c>
      <c r="DV79" s="184">
        <f ca="1">DU79-DT79</f>
        <v>15</v>
      </c>
      <c r="DX79" s="185" t="s">
        <v>245</v>
      </c>
      <c r="DY79" s="108" t="str">
        <f>IF(_xlfn.XLOOKUP($E79,'[1]Import Eletra'!$B:$B,'[1]Import Eletra'!$DW:$DW,,0,1)=0,"",_xlfn.XLOOKUP($E79,'[1]Import Eletra'!$B:$B,'[1]Import Eletra'!$DW:$DW,0,1))</f>
        <v/>
      </c>
      <c r="EB79" s="289"/>
      <c r="ED79" s="409">
        <f>IF(_xlfn.XLOOKUP($E79,'[1]Import Eletra'!$B:$B,'[1]Import Eletra'!$BQ:$BQ,,0,1)=0,"",_xlfn.XLOOKUP($E79,'[1]Import Eletra'!$B:$B,'[1]Import Eletra'!$BQ:$BQ,0,1))</f>
        <v>2190.91</v>
      </c>
      <c r="EE79" s="410">
        <f>IF(_xlfn.XLOOKUP($E79,'[1]Import Eletra'!$B:$B,'[1]Import Eletra'!$BR:$BR,,0,1)=0,"",_xlfn.XLOOKUP($E79,'[1]Import Eletra'!$B:$B,'[1]Import Eletra'!$BR:$BR,0,1))</f>
        <v>46147</v>
      </c>
      <c r="EF79" s="409" t="str">
        <f>IF(_xlfn.XLOOKUP($E79,'[1]Import Eletra'!$B:$B,'[1]Import Eletra'!$BS:$BS,,0,1)=0,"",_xlfn.XLOOKUP($E79,'[1]Import Eletra'!$B:$B,'[1]Import Eletra'!$BS:$BS,0,1))</f>
        <v/>
      </c>
      <c r="EG79" s="410" t="str">
        <f>IF(_xlfn.XLOOKUP($E79,'[1]Import Eletra'!$B:$B,'[1]Import Eletra'!$BT:$BT,,0,1)=0,"",_xlfn.XLOOKUP($E79,'[1]Import Eletra'!$B:$B,'[1]Import Eletra'!$BT:$BT,0,1))</f>
        <v/>
      </c>
      <c r="EH79" s="409" t="str">
        <f>IF(_xlfn.XLOOKUP($E79,'[1]Import Eletra'!$B:$B,'[1]Import Eletra'!$BU:$BU,,0,1)=0,"",_xlfn.XLOOKUP($E79,'[1]Import Eletra'!$B:$B,'[1]Import Eletra'!$BU:$BU,0,1))</f>
        <v/>
      </c>
      <c r="EI79" s="410" t="str">
        <f>IF(_xlfn.XLOOKUP($E79,'[1]Import Eletra'!$B:$B,'[1]Import Eletra'!$BV:$BV,,0,1)=0,"",_xlfn.XLOOKUP($E79,'[1]Import Eletra'!$B:$B,'[1]Import Eletra'!$BV:$BV,0,1))</f>
        <v/>
      </c>
      <c r="EJ79" s="410" t="str">
        <f>IF(_xlfn.XLOOKUP($E79,'[1]Import Eletra'!$B:$B,'[1]Import Eletra'!$CI:$CI,,0,1)=0,"",_xlfn.XLOOKUP($E79,'[1]Import Eletra'!$B:$B,'[1]Import Eletra'!$CI:$CI,0,1))</f>
        <v/>
      </c>
      <c r="EK79" s="410" t="str">
        <f>IF(_xlfn.XLOOKUP($E79,'[1]Import Eletra'!$B:$B,'[1]Import Eletra'!$CD:$CD,,0,1)=0,"",_xlfn.XLOOKUP($E79,'[1]Import Eletra'!$B:$B,'[1]Import Eletra'!$CD:$CD,0,1))</f>
        <v/>
      </c>
      <c r="EL79" s="410" t="str">
        <f>IF(_xlfn.XLOOKUP($E79,'[1]Import Eletra'!$B:$B,'[1]Import Eletra'!$CE:$CE,,0,1)=0,"",_xlfn.XLOOKUP($E79,'[1]Import Eletra'!$B:$B,'[1]Import Eletra'!$CE:$CE,0,1))</f>
        <v>NÃO</v>
      </c>
      <c r="EM79" s="411" t="str">
        <f>IF(_xlfn.XLOOKUP($E79,'[1]Import Eletra'!$B:$B,'[1]Import Eletra'!$E:$E,,0,1)=0,"",_xlfn.XLOOKUP($E79,'[1]Import Eletra'!$B:$B,'[1]Import Eletra'!$E:$E,0,1))</f>
        <v>LEISIANE</v>
      </c>
      <c r="EN79" s="408" t="str">
        <f>IF(_xlfn.XLOOKUP($E79,'[1]Import Eletra'!$B:$B,'[1]Import Eletra'!$R:$R,,0,1)=0,"",_xlfn.XLOOKUP($E79,'[1]Import Eletra'!$B:$B,'[1]Import Eletra'!$R:$R,0,1))</f>
        <v>PWBR2600689</v>
      </c>
      <c r="EO79" s="408" t="str">
        <f>IF(_xlfn.XLOOKUP($E79,'[1]Import Eletra'!$B:$B,'[1]Import Eletra'!$P:$P,,0,1)=0,"",_xlfn.XLOOKUP($E79,'[1]Import Eletra'!$B:$B,'[1]Import Eletra'!$P:$P,0,1))</f>
        <v>TW260403CWB</v>
      </c>
      <c r="EP79" s="408" t="str">
        <f>IF(_xlfn.XLOOKUP($E79,'[1]Import Eletra'!$B:$B,'[1]Import Eletra'!$T:$T,,0,1)=0,"",_xlfn.XLOOKUP($E79,'[1]Import Eletra'!$B:$B,'[1]Import Eletra'!$T:$T,0,1))</f>
        <v/>
      </c>
    </row>
    <row r="80" spans="2:146" ht="30.75">
      <c r="B80" s="281"/>
      <c r="C80" s="280"/>
      <c r="D80" s="104"/>
      <c r="E80" s="105" t="s">
        <v>311</v>
      </c>
      <c r="F80" s="203">
        <f>IF(_xlfn.XLOOKUP($E80,'[1]Import Eletra'!$B:$B,'[1]Import Eletra'!$U:$U,,0,1)=0,"",_xlfn.XLOOKUP($E80,'[1]Import Eletra'!$B:$B,'[1]Import Eletra'!$U:$U,,0,1))</f>
        <v>1</v>
      </c>
      <c r="G80" s="199" t="s">
        <v>385</v>
      </c>
      <c r="H80" s="2" t="str">
        <f>_xlfn.XLOOKUP($E80,'[1]Import Eletra'!$B:$B,'[1]Import Eletra'!$F:$F,,0,1)</f>
        <v>DELIVERED</v>
      </c>
      <c r="I80" s="108" t="str">
        <f>_xlfn.XLOOKUP($E80,'[1]Import Eletra'!$B:$B,'[1]Import Eletra'!$G:$G,,0,1)</f>
        <v>SEA</v>
      </c>
      <c r="J80" s="326"/>
      <c r="K80" s="109"/>
      <c r="L80" s="109"/>
      <c r="M80" s="326">
        <f>IF(_xlfn.XLOOKUP($E80,'[1]Import Eletra'!$B:$B,'[1]Import Eletra'!$J:$J,,0,1)=0,"",_xlfn.XLOOKUP($E80,'[1]Import Eletra'!$B:$B,'[1]Import Eletra'!$J:$J,,0,1))</f>
        <v>46060</v>
      </c>
      <c r="N80" s="332">
        <f>IF(_xlfn.XLOOKUP($E80,'[1]Import Eletra'!$B:$B,'[1]Import Eletra'!$L:$L,,0,1)=0,"",_xlfn.XLOOKUP($E80,'[1]Import Eletra'!$B:$B,'[1]Import Eletra'!$L:$L,,0,1))</f>
        <v>46126</v>
      </c>
      <c r="O80" s="335" t="str">
        <f>IF(_xlfn.XLOOKUP($E80,'[1]Import Eletra'!$B:$B,'[1]Import Eletra'!$AK:$AK,,0,1)=0,"",_xlfn.XLOOKUP($E80,'[1]Import Eletra'!$B:$B,'[1]Import Eletra'!$AK:$AK,,0,1))</f>
        <v/>
      </c>
      <c r="P80" s="326">
        <f>IF(_xlfn.XLOOKUP($E80,'[1]Import Eletra'!$B:$B,'[1]Import Eletra'!$AL:$AL,,0,1)=0,"",_xlfn.XLOOKUP($E80,'[1]Import Eletra'!$B:$B,'[1]Import Eletra'!$AL:$AL,,0,1))</f>
        <v>46140</v>
      </c>
      <c r="Q80" s="326">
        <f>IF(_xlfn.XLOOKUP($E80,'[1]Import Eletra'!$B:$B,'[1]Import Eletra'!$AM:$AM,,0,1)=0,"",_xlfn.XLOOKUP($E80,'[1]Import Eletra'!$B:$B,'[1]Import Eletra'!$AM:$AM,,0,1))</f>
        <v>46141</v>
      </c>
      <c r="R80" s="326">
        <f>IF(_xlfn.XLOOKUP($E80,'[1]Import Eletra'!$B:$B,'[1]Import Eletra'!$AN:$AN,,0,1)=0,"",_xlfn.XLOOKUP($E80,'[1]Import Eletra'!$B:$B,'[1]Import Eletra'!$AN:$AN,,0,1))</f>
        <v>46141</v>
      </c>
      <c r="S80" s="326">
        <f>IF(_xlfn.XLOOKUP($E80,'[1]Import Eletra'!$B:$B,'[1]Import Eletra'!$AO:$AO,,0,1)=0,"",_xlfn.XLOOKUP($E80,'[1]Import Eletra'!$B:$B,'[1]Import Eletra'!$AO:$AO,,0,1))</f>
        <v>46141</v>
      </c>
      <c r="T80" s="326">
        <f>IF(_xlfn.XLOOKUP($E80,'[1]Import Eletra'!$B:$B,'[1]Import Eletra'!$AP:$AP,,0,1)=0,"",_xlfn.XLOOKUP($E80,'[1]Import Eletra'!$B:$B,'[1]Import Eletra'!$AP:$AP,,0,1))</f>
        <v>46141</v>
      </c>
      <c r="U80" s="326">
        <f>IF(_xlfn.XLOOKUP($E80,'[1]Import Eletra'!$B:$B,'[1]Import Eletra'!$AQ:$AQ,,0,1)=0,"",_xlfn.XLOOKUP($E80,'[1]Import Eletra'!$B:$B,'[1]Import Eletra'!$AQ:$AQ,,0,1))</f>
        <v>46142</v>
      </c>
      <c r="V80" s="339">
        <f>IF(_xlfn.XLOOKUP($E80,'[1]Import Eletra'!$B:$B,'[1]Import Eletra'!$AR:$AR,,0,1)=0,"",_xlfn.XLOOKUP($E80,'[1]Import Eletra'!$B:$B,'[1]Import Eletra'!$AR:$AR,,0,1))</f>
        <v>46126</v>
      </c>
      <c r="W80" s="335">
        <f>AB80-$AB$4</f>
        <v>46129</v>
      </c>
      <c r="X80" s="332">
        <f>IF(_xlfn.XLOOKUP($E80,'[1]Import Eletra'!$B:$B,'[1]Import Eletra'!$AS:$AS,,0,1)=0,"",_xlfn.XLOOKUP($E80,'[1]Import Eletra'!$B:$B,'[1]Import Eletra'!$AS:$AS,,0,1))</f>
        <v>46141</v>
      </c>
      <c r="Y80" s="113">
        <f>$W$4</f>
        <v>0</v>
      </c>
      <c r="Z80" s="113">
        <f ca="1">IF(X80="",TODAY()-W80,X80-W80)</f>
        <v>12</v>
      </c>
      <c r="AA80" s="184">
        <f ca="1">IF(AND(ISNUMBER($Z80),$Z80&gt;0),$Z80-$Y80,"")</f>
        <v>12</v>
      </c>
      <c r="AB80" s="348">
        <f>AG80-$AB$4</f>
        <v>46129</v>
      </c>
      <c r="AC80" s="332">
        <f>IF(_xlfn.XLOOKUP($E80,'[1]Import Eletra'!$B:$B,'[1]Import Eletra'!$AD:$AD,,0,1)=0,"",_xlfn.XLOOKUP($E80,'[1]Import Eletra'!$B:$B,'[1]Import Eletra'!$AD:$AD,,0,1))</f>
        <v>46141</v>
      </c>
      <c r="AD80" s="113">
        <f>$AB$4</f>
        <v>0</v>
      </c>
      <c r="AE80" s="113">
        <f ca="1">IF(AC80="",TODAY()-AB80,AC80-AB80)</f>
        <v>12</v>
      </c>
      <c r="AF80" s="184">
        <f ca="1">AE80-AD80</f>
        <v>12</v>
      </c>
      <c r="AG80" s="355">
        <f>AL80-$AL$4</f>
        <v>46129</v>
      </c>
      <c r="AH80" s="332">
        <f>IF(_xlfn.XLOOKUP($E80,'[1]Import Eletra'!$B:$B,'[1]Import Eletra'!$AE:$AE,,0,1)=0,"",_xlfn.XLOOKUP($E80,'[1]Import Eletra'!$B:$B,'[1]Import Eletra'!$AE:$AE,,0,1))</f>
        <v>46142</v>
      </c>
      <c r="AI80" s="113">
        <f>$AG$4</f>
        <v>0</v>
      </c>
      <c r="AJ80" s="113">
        <f ca="1">IF(AH80="",TODAY()-AG80,AH80-AG80)</f>
        <v>13</v>
      </c>
      <c r="AK80" s="184">
        <f ca="1">IF(AND(ISNUMBER($AJ80),$AJ80&gt;0),$AJ80-$AI80,"")</f>
        <v>13</v>
      </c>
      <c r="AL80" s="355">
        <f>AQ80-$AQ$4</f>
        <v>46129</v>
      </c>
      <c r="AM80" s="332">
        <f>IF(_xlfn.XLOOKUP($E80,'[1]Import Eletra'!$B:$B,'[1]Import Eletra'!$AT:$AT,,0,1)=0,"",_xlfn.XLOOKUP($E80,'[1]Import Eletra'!$B:$B,'[1]Import Eletra'!$AT:$AT,,0,1))</f>
        <v>46142</v>
      </c>
      <c r="AN80" s="113">
        <f>$AL$4</f>
        <v>0</v>
      </c>
      <c r="AO80" s="113">
        <f ca="1">IF(AM80="",TODAY()-AL80,AM80-AL80)</f>
        <v>13</v>
      </c>
      <c r="AP80" s="184">
        <f ca="1">IF(AND(ISNUMBER($AO80),$AO80&gt;0),$AO80-$AN80,"")</f>
        <v>13</v>
      </c>
      <c r="AQ80" s="357">
        <f>AV80-$AV$4</f>
        <v>46130</v>
      </c>
      <c r="AR80" s="332">
        <f>IF(_xlfn.XLOOKUP($E80,'[1]Import Eletra'!$B:$B,'[1]Import Eletra'!$AU:$AU,,0,1)=0,"",_xlfn.XLOOKUP($E80,'[1]Import Eletra'!$B:$B,'[1]Import Eletra'!$AU:$AU,,0,1))</f>
        <v>46142</v>
      </c>
      <c r="AS80" s="113">
        <f>$AQ$4</f>
        <v>1</v>
      </c>
      <c r="AT80" s="113">
        <f ca="1">IF(AR80="",TODAY()-AQ80,AR80-AQ80)</f>
        <v>12</v>
      </c>
      <c r="AU80" s="184">
        <f ca="1">IF(AND(ISNUMBER($AT80),$AT80&gt;0),$AT80-$AS80,"")</f>
        <v>11</v>
      </c>
      <c r="AV80" s="355">
        <f>BA80-$BA$4</f>
        <v>46130</v>
      </c>
      <c r="AW80" s="332">
        <f>IF(_xlfn.XLOOKUP($E80,'[1]Import Eletra'!$B:$B,'[1]Import Eletra'!$AU:$AU,,0,1)=0,"",_xlfn.XLOOKUP($E80,'[1]Import Eletra'!$B:$B,'[1]Import Eletra'!$AU:$AU,,0,1))</f>
        <v>46142</v>
      </c>
      <c r="AX80" s="113">
        <f>$AV$4</f>
        <v>0</v>
      </c>
      <c r="AY80" s="113">
        <f ca="1">IF(AW80="",TODAY()-AV80,AW80-AV80)</f>
        <v>12</v>
      </c>
      <c r="AZ80" s="184">
        <f ca="1">IF(AND(ISNUMBER($AY80),$AY80&gt;0),$AY80-$AX80,"")</f>
        <v>12</v>
      </c>
      <c r="BA80" s="357">
        <f>BF80-$BF$4</f>
        <v>46130</v>
      </c>
      <c r="BB80" s="332" t="str">
        <f>IF(_xlfn.XLOOKUP($E80,'[1]Import Eletra'!$B:$B,'[1]Import Eletra'!$AW:$AW,,0,1)=0,"",_xlfn.XLOOKUP($E80,'[1]Import Eletra'!$B:$B,'[1]Import Eletra'!$AW:$AW,,0,1))</f>
        <v/>
      </c>
      <c r="BC80" s="113">
        <f>$BA$4</f>
        <v>0</v>
      </c>
      <c r="BD80" s="113">
        <f ca="1">IF(BB80="",TODAY()-BA80,BB80-BA80)</f>
        <v>81</v>
      </c>
      <c r="BE80" s="184">
        <f ca="1">BD80-BC80</f>
        <v>81</v>
      </c>
      <c r="BF80" s="335">
        <f>BK80-$BK$4</f>
        <v>46130</v>
      </c>
      <c r="BG80" s="332" t="str">
        <f>IF(_xlfn.XLOOKUP($E80,'[1]Import Eletra'!$B:$B,'[1]Import Eletra'!$AX:$AX,,0,1)=0,"",_xlfn.XLOOKUP($E80,'[1]Import Eletra'!$B:$B,'[1]Import Eletra'!$AX:$AX,,0,1))</f>
        <v/>
      </c>
      <c r="BH80" s="113">
        <f>$BF$4</f>
        <v>0</v>
      </c>
      <c r="BI80" s="113">
        <f ca="1">IF(BG80="",TODAY()-BF80,BG80-BF80)</f>
        <v>81</v>
      </c>
      <c r="BJ80" s="184">
        <f ca="1">IF(AND(ISNUMBER($BI80),$BI80&gt;0),$BI80-$BH80,"")</f>
        <v>81</v>
      </c>
      <c r="BK80" s="362">
        <f>BP80-$BP$4</f>
        <v>46130</v>
      </c>
      <c r="BL80" s="332" t="str">
        <f>IF(_xlfn.XLOOKUP($E80,'[1]Import Eletra'!$B:$B,'[1]Import Eletra'!$AY:$AY,,0,1)=0,"",_xlfn.XLOOKUP($E80,'[1]Import Eletra'!$B:$B,'[1]Import Eletra'!$AY:$AY,,0,1))</f>
        <v/>
      </c>
      <c r="BM80" s="113">
        <f>$BK$4</f>
        <v>0</v>
      </c>
      <c r="BN80" s="113">
        <f ca="1">IF(BL80="",TODAY()-BK80,BL80-BK80)</f>
        <v>81</v>
      </c>
      <c r="BO80" s="184">
        <f ca="1">BN80-BM80</f>
        <v>81</v>
      </c>
      <c r="BP80" s="335">
        <f>BU80-$BU$4</f>
        <v>46130</v>
      </c>
      <c r="BQ80" s="332" t="str">
        <f>IF(_xlfn.XLOOKUP($E80,'[1]Import Eletra'!$B:$B,'[1]Import Eletra'!$AZ:$AZ,,0,1)=0,"",_xlfn.XLOOKUP($E80,'[1]Import Eletra'!$B:$B,'[1]Import Eletra'!$AZ:$AZ,,0,1))</f>
        <v/>
      </c>
      <c r="BR80" s="113">
        <f>$BP$4</f>
        <v>0</v>
      </c>
      <c r="BS80" s="113">
        <f ca="1">IF(BQ80="",TODAY()-BP80,BQ80-BP80)</f>
        <v>81</v>
      </c>
      <c r="BT80" s="184">
        <f ca="1">BS80-BR80</f>
        <v>81</v>
      </c>
      <c r="BU80" s="362">
        <f>BZ80-$BZ$4</f>
        <v>46132</v>
      </c>
      <c r="BV80" s="332">
        <f>IF(_xlfn.XLOOKUP($E80,'[1]Import Eletra'!$B:$B,'[1]Import Eletra'!$BA:$BA,,0,1)=0,"",_xlfn.XLOOKUP($E80,'[1]Import Eletra'!$B:$B,'[1]Import Eletra'!$BA:$BA,,0,1))</f>
        <v>46146</v>
      </c>
      <c r="BW80" s="113">
        <f>$BU$4</f>
        <v>2</v>
      </c>
      <c r="BX80" s="113">
        <f ca="1">IF(BV80="",TODAY()-BU80,BV80-BU80)</f>
        <v>14</v>
      </c>
      <c r="BY80" s="184">
        <f ca="1">IF(AND(ISNUMBER($BX80),$BX80&gt;0),$BX80-$BW80,"")</f>
        <v>12</v>
      </c>
      <c r="BZ80" s="335">
        <f>CE80-$CE$4</f>
        <v>46132</v>
      </c>
      <c r="CA80" s="332">
        <f>IF(_xlfn.XLOOKUP($E80,'[1]Import Eletra'!$B:$B,'[1]Import Eletra'!$BB:$BB,,0,1)=0,"",_xlfn.XLOOKUP($E80,'[1]Import Eletra'!$B:$B,'[1]Import Eletra'!$BB:$BB,,0,1))</f>
        <v>46146</v>
      </c>
      <c r="CB80" s="113">
        <f>$BZ$4</f>
        <v>0</v>
      </c>
      <c r="CC80" s="113">
        <f ca="1">IF(CA80="",TODAY()-BZ80,CA80-BZ80)</f>
        <v>14</v>
      </c>
      <c r="CD80" s="184">
        <f ca="1">CC80-CB80</f>
        <v>14</v>
      </c>
      <c r="CE80" s="362">
        <f>CJ80-$CJ$4</f>
        <v>46132</v>
      </c>
      <c r="CF80" s="332">
        <f>IF(_xlfn.XLOOKUP($E80,'[1]Import Eletra'!$B:$B,'[1]Import Eletra'!$BC:$BC,,0,1)=0,"",_xlfn.XLOOKUP($E80,'[1]Import Eletra'!$B:$B,'[1]Import Eletra'!$BC:$BC,,0,1))</f>
        <v>46146</v>
      </c>
      <c r="CG80" s="113">
        <f>$CE$4</f>
        <v>0</v>
      </c>
      <c r="CH80" s="113">
        <f ca="1">IF(CF80="",TODAY()-CE80,CF80-CE80)</f>
        <v>14</v>
      </c>
      <c r="CI80" s="184">
        <f ca="1">CH80-CG80</f>
        <v>14</v>
      </c>
      <c r="CJ80" s="335">
        <f>CO80-$CO$4</f>
        <v>46132</v>
      </c>
      <c r="CK80" s="332">
        <f>IF(_xlfn.XLOOKUP($E80,'[1]Import Eletra'!$B:$B,'[1]Import Eletra'!$BD:$BD,,0,1)=0,"",_xlfn.XLOOKUP($E80,'[1]Import Eletra'!$B:$B,'[1]Import Eletra'!$BD:$BD,,0,1))</f>
        <v>46146</v>
      </c>
      <c r="CL80" s="113"/>
      <c r="CM80" s="113">
        <f ca="1">IF(CK80="",TODAY()-CJ80,CK80-CJ80)</f>
        <v>14</v>
      </c>
      <c r="CN80" s="184">
        <f ca="1">CM80-CL80</f>
        <v>14</v>
      </c>
      <c r="CO80" s="362">
        <f>CT80-$CT$4</f>
        <v>46132</v>
      </c>
      <c r="CP80" s="332">
        <f>IF(_xlfn.XLOOKUP($E80,'[1]Import Eletra'!$B:$B,'[1]Import Eletra'!$BE:$BE,,0,1)=0,"",_xlfn.XLOOKUP($E80,'[1]Import Eletra'!$B:$B,'[1]Import Eletra'!$BE:$BE,,0,1))</f>
        <v>46147</v>
      </c>
      <c r="CQ80" s="113">
        <f>$CO$4</f>
        <v>0</v>
      </c>
      <c r="CR80" s="113">
        <f ca="1">IF(CP80="",TODAY()-CO80,CP80-CO80)</f>
        <v>15</v>
      </c>
      <c r="CS80" s="184">
        <f ca="1">CR80-CQ80</f>
        <v>15</v>
      </c>
      <c r="CT80" s="335">
        <f>CY80-$CY$4</f>
        <v>46132</v>
      </c>
      <c r="CU80" s="332">
        <f>IF(_xlfn.XLOOKUP($E80,'[1]Import Eletra'!$B:$B,'[1]Import Eletra'!$BF:$BF,,0,1)=0,"",_xlfn.XLOOKUP($E80,'[1]Import Eletra'!$B:$B,'[1]Import Eletra'!$BF:$BF,,0,1))</f>
        <v>46147</v>
      </c>
      <c r="CV80" s="113">
        <f>$CT$4</f>
        <v>0</v>
      </c>
      <c r="CW80" s="113">
        <f ca="1">IF(CU80="",TODAY()-CT80,CU80-CT80)</f>
        <v>15</v>
      </c>
      <c r="CX80" s="184">
        <f ca="1">CW80-CV80</f>
        <v>15</v>
      </c>
      <c r="CY80" s="110">
        <f>DD80-$DD$4</f>
        <v>46132</v>
      </c>
      <c r="CZ80" s="104">
        <f>IF(_xlfn.XLOOKUP($E80,'[1]Import Eletra'!$B:$B,'[1]Import Eletra'!$BF:$BF,,0,1)=0,"",_xlfn.XLOOKUP($E80,'[1]Import Eletra'!$B:$B,'[1]Import Eletra'!$BF:$BF,,0,1))</f>
        <v>46147</v>
      </c>
      <c r="DA80" s="210">
        <f>$CY$4</f>
        <v>0</v>
      </c>
      <c r="DB80" s="113">
        <f ca="1">IF(CZ80="",TODAY()-CY80,CZ80-CY80)</f>
        <v>15</v>
      </c>
      <c r="DC80" s="184">
        <f ca="1">DB80-DA80</f>
        <v>15</v>
      </c>
      <c r="DD80" s="110">
        <f>DI80-$DI$4</f>
        <v>46134</v>
      </c>
      <c r="DE80" s="104">
        <f>IF(_xlfn.XLOOKUP($E80,'[1]Import Eletra'!$B:$B,'[1]Import Eletra'!$BG:$BG,,0,1)=0,"",_xlfn.XLOOKUP($E80,'[1]Import Eletra'!$B:$B,'[1]Import Eletra'!$BG:$BG,0,1))</f>
        <v>46148</v>
      </c>
      <c r="DF80" s="113">
        <f>$DD$4</f>
        <v>2</v>
      </c>
      <c r="DG80" s="113">
        <f ca="1">IF(DE80="",TODAY()-DD80,DE80-DD80)</f>
        <v>14</v>
      </c>
      <c r="DH80" s="184">
        <f ca="1">DG80-DF80</f>
        <v>12</v>
      </c>
      <c r="DI80" s="110">
        <f>DO80-$DN$4</f>
        <v>46135</v>
      </c>
      <c r="DJ80" s="104">
        <f>IF(_xlfn.XLOOKUP($E80,'[1]Import Eletra'!$B:$B,'[1]Import Eletra'!$BH:$BH,,0,1)=0,"",_xlfn.XLOOKUP($E80,'[1]Import Eletra'!$B:$B,'[1]Import Eletra'!$BH:$BH,0,1))</f>
        <v>46150</v>
      </c>
      <c r="DK80" s="113">
        <f>$DI$4</f>
        <v>1</v>
      </c>
      <c r="DL80" s="113">
        <f ca="1">IF(DJ80="",TODAY()-DI80,DJ80-DI80)</f>
        <v>15</v>
      </c>
      <c r="DM80" s="184"/>
      <c r="DN80" s="64"/>
      <c r="DO80" s="202">
        <f>IF(V80="",N80+DT80,V80+DT80)</f>
        <v>46136</v>
      </c>
      <c r="DP80" s="165">
        <f>IF(_xlfn.XLOOKUP($E80,'[1]Import Eletra'!$B:$B,'[1]Import Eletra'!$O:$O,,0,1)=0,"",_xlfn.XLOOKUP($E80,'[1]Import Eletra'!$B:$B,'[1]Import Eletra'!$O:$O,0,1))</f>
        <v>46150</v>
      </c>
      <c r="DQ80" s="113">
        <f>$DN$4</f>
        <v>1</v>
      </c>
      <c r="DR80" s="113">
        <f ca="1">IF(DP80="",TODAY()-DO80,DP80-DO80)</f>
        <v>14</v>
      </c>
      <c r="DS80" s="184">
        <f ca="1">DR80-DQ80</f>
        <v>13</v>
      </c>
      <c r="DT80" s="143">
        <v>10</v>
      </c>
      <c r="DU80" s="140">
        <f t="shared" ca="1" si="270"/>
        <v>24</v>
      </c>
      <c r="DV80" s="184">
        <f ca="1">DU80-DT80</f>
        <v>14</v>
      </c>
      <c r="DX80" s="185" t="s">
        <v>245</v>
      </c>
      <c r="DY80" s="108" t="str">
        <f>IF(_xlfn.XLOOKUP($E80,'[1]Import Eletra'!$B:$B,'[1]Import Eletra'!$DW:$DW,,0,1)=0,"",_xlfn.XLOOKUP($E80,'[1]Import Eletra'!$B:$B,'[1]Import Eletra'!$DW:$DW,0,1))</f>
        <v/>
      </c>
      <c r="EB80" s="289"/>
      <c r="ED80" s="409" t="str">
        <f>IF(_xlfn.XLOOKUP($E80,'[1]Import Eletra'!$B:$B,'[1]Import Eletra'!$BQ:$BQ,,0,1)=0,"",_xlfn.XLOOKUP($E80,'[1]Import Eletra'!$B:$B,'[1]Import Eletra'!$BQ:$BQ,0,1))</f>
        <v/>
      </c>
      <c r="EE80" s="410" t="str">
        <f>IF(_xlfn.XLOOKUP($E80,'[1]Import Eletra'!$B:$B,'[1]Import Eletra'!$BR:$BR,,0,1)=0,"",_xlfn.XLOOKUP($E80,'[1]Import Eletra'!$B:$B,'[1]Import Eletra'!$BR:$BR,0,1))</f>
        <v/>
      </c>
      <c r="EF80" s="409" t="str">
        <f>IF(_xlfn.XLOOKUP($E80,'[1]Import Eletra'!$B:$B,'[1]Import Eletra'!$BS:$BS,,0,1)=0,"",_xlfn.XLOOKUP($E80,'[1]Import Eletra'!$B:$B,'[1]Import Eletra'!$BS:$BS,0,1))</f>
        <v/>
      </c>
      <c r="EG80" s="410" t="str">
        <f>IF(_xlfn.XLOOKUP($E80,'[1]Import Eletra'!$B:$B,'[1]Import Eletra'!$BT:$BT,,0,1)=0,"",_xlfn.XLOOKUP($E80,'[1]Import Eletra'!$B:$B,'[1]Import Eletra'!$BT:$BT,0,1))</f>
        <v/>
      </c>
      <c r="EH80" s="409" t="str">
        <f>IF(_xlfn.XLOOKUP($E80,'[1]Import Eletra'!$B:$B,'[1]Import Eletra'!$BU:$BU,,0,1)=0,"",_xlfn.XLOOKUP($E80,'[1]Import Eletra'!$B:$B,'[1]Import Eletra'!$BU:$BU,0,1))</f>
        <v/>
      </c>
      <c r="EI80" s="410" t="str">
        <f>IF(_xlfn.XLOOKUP($E80,'[1]Import Eletra'!$B:$B,'[1]Import Eletra'!$BV:$BV,,0,1)=0,"",_xlfn.XLOOKUP($E80,'[1]Import Eletra'!$B:$B,'[1]Import Eletra'!$BV:$BV,0,1))</f>
        <v/>
      </c>
      <c r="EJ80" s="410">
        <f>IF(_xlfn.XLOOKUP($E80,'[1]Import Eletra'!$B:$B,'[1]Import Eletra'!$CI:$CI,,0,1)=0,"",_xlfn.XLOOKUP($E80,'[1]Import Eletra'!$B:$B,'[1]Import Eletra'!$CI:$CI,0,1))</f>
        <v>46144</v>
      </c>
      <c r="EK80" s="410" t="str">
        <f>IF(_xlfn.XLOOKUP($E80,'[1]Import Eletra'!$B:$B,'[1]Import Eletra'!$CD:$CD,,0,1)=0,"",_xlfn.XLOOKUP($E80,'[1]Import Eletra'!$B:$B,'[1]Import Eletra'!$CD:$CD,0,1))</f>
        <v/>
      </c>
      <c r="EL80" s="410" t="str">
        <f>IF(_xlfn.XLOOKUP($E80,'[1]Import Eletra'!$B:$B,'[1]Import Eletra'!$CE:$CE,,0,1)=0,"",_xlfn.XLOOKUP($E80,'[1]Import Eletra'!$B:$B,'[1]Import Eletra'!$CE:$CE,0,1))</f>
        <v>NÃO</v>
      </c>
      <c r="EM80" s="411" t="str">
        <f>IF(_xlfn.XLOOKUP($E80,'[1]Import Eletra'!$B:$B,'[1]Import Eletra'!$E:$E,,0,1)=0,"",_xlfn.XLOOKUP($E80,'[1]Import Eletra'!$B:$B,'[1]Import Eletra'!$E:$E,0,1))</f>
        <v>RENATO</v>
      </c>
      <c r="EN80" s="408" t="str">
        <f>IF(_xlfn.XLOOKUP($E80,'[1]Import Eletra'!$B:$B,'[1]Import Eletra'!$R:$R,,0,1)=0,"",_xlfn.XLOOKUP($E80,'[1]Import Eletra'!$B:$B,'[1]Import Eletra'!$R:$R,0,1))</f>
        <v>PWBR250206-2</v>
      </c>
      <c r="EO80" s="408" t="str">
        <f>IF(_xlfn.XLOOKUP($E80,'[1]Import Eletra'!$B:$B,'[1]Import Eletra'!$P:$P,,0,1)=0,"",_xlfn.XLOOKUP($E80,'[1]Import Eletra'!$B:$B,'[1]Import Eletra'!$P:$P,0,1))</f>
        <v>SYNHGH26SE011608</v>
      </c>
      <c r="EP80" s="408" t="str">
        <f>IF(_xlfn.XLOOKUP($E80,'[1]Import Eletra'!$B:$B,'[1]Import Eletra'!$T:$T,,0,1)=0,"",_xlfn.XLOOKUP($E80,'[1]Import Eletra'!$B:$B,'[1]Import Eletra'!$T:$T,0,1))</f>
        <v>TIIU6102410</v>
      </c>
    </row>
    <row r="81" spans="1:146" ht="30.75">
      <c r="B81" s="281"/>
      <c r="C81" s="280"/>
      <c r="D81" s="104"/>
      <c r="E81" s="105" t="s">
        <v>312</v>
      </c>
      <c r="F81" s="203">
        <f>IF(_xlfn.XLOOKUP($E81,'[1]Import Eletra'!$B:$B,'[1]Import Eletra'!$U:$U,,0,1)=0,"",_xlfn.XLOOKUP($E81,'[1]Import Eletra'!$B:$B,'[1]Import Eletra'!$U:$U,,0,1))</f>
        <v>1</v>
      </c>
      <c r="G81" s="199" t="s">
        <v>385</v>
      </c>
      <c r="H81" s="2" t="str">
        <f>_xlfn.XLOOKUP($E81,'[1]Import Eletra'!$B:$B,'[1]Import Eletra'!$F:$F,,0,1)</f>
        <v>DELIVERED</v>
      </c>
      <c r="I81" s="108" t="str">
        <f>_xlfn.XLOOKUP($E81,'[1]Import Eletra'!$B:$B,'[1]Import Eletra'!$G:$G,,0,1)</f>
        <v>SEA</v>
      </c>
      <c r="J81" s="326"/>
      <c r="K81" s="109"/>
      <c r="L81" s="109"/>
      <c r="M81" s="326">
        <f>IF(_xlfn.XLOOKUP($E81,'[1]Import Eletra'!$B:$B,'[1]Import Eletra'!$J:$J,,0,1)=0,"",_xlfn.XLOOKUP($E81,'[1]Import Eletra'!$B:$B,'[1]Import Eletra'!$J:$J,,0,1))</f>
        <v>46075</v>
      </c>
      <c r="N81" s="332">
        <f>IF(_xlfn.XLOOKUP($E81,'[1]Import Eletra'!$B:$B,'[1]Import Eletra'!$L:$L,,0,1)=0,"",_xlfn.XLOOKUP($E81,'[1]Import Eletra'!$B:$B,'[1]Import Eletra'!$L:$L,,0,1))</f>
        <v>46126</v>
      </c>
      <c r="O81" s="335">
        <f>IF(_xlfn.XLOOKUP($E81,'[1]Import Eletra'!$B:$B,'[1]Import Eletra'!$AK:$AK,,0,1)=0,"",_xlfn.XLOOKUP($E81,'[1]Import Eletra'!$B:$B,'[1]Import Eletra'!$AK:$AK,,0,1))</f>
        <v>46139</v>
      </c>
      <c r="P81" s="326">
        <f>IF(_xlfn.XLOOKUP($E81,'[1]Import Eletra'!$B:$B,'[1]Import Eletra'!$AL:$AL,,0,1)=0,"",_xlfn.XLOOKUP($E81,'[1]Import Eletra'!$B:$B,'[1]Import Eletra'!$AL:$AL,,0,1))</f>
        <v>46139</v>
      </c>
      <c r="Q81" s="326">
        <f>IF(_xlfn.XLOOKUP($E81,'[1]Import Eletra'!$B:$B,'[1]Import Eletra'!$AM:$AM,,0,1)=0,"",_xlfn.XLOOKUP($E81,'[1]Import Eletra'!$B:$B,'[1]Import Eletra'!$AM:$AM,,0,1))</f>
        <v>46141</v>
      </c>
      <c r="R81" s="326">
        <f>IF(_xlfn.XLOOKUP($E81,'[1]Import Eletra'!$B:$B,'[1]Import Eletra'!$AN:$AN,,0,1)=0,"",_xlfn.XLOOKUP($E81,'[1]Import Eletra'!$B:$B,'[1]Import Eletra'!$AN:$AN,,0,1))</f>
        <v>46141</v>
      </c>
      <c r="S81" s="326">
        <f>IF(_xlfn.XLOOKUP($E81,'[1]Import Eletra'!$B:$B,'[1]Import Eletra'!$AO:$AO,,0,1)=0,"",_xlfn.XLOOKUP($E81,'[1]Import Eletra'!$B:$B,'[1]Import Eletra'!$AO:$AO,,0,1))</f>
        <v>46142</v>
      </c>
      <c r="T81" s="326">
        <f>IF(_xlfn.XLOOKUP($E81,'[1]Import Eletra'!$B:$B,'[1]Import Eletra'!$AP:$AP,,0,1)=0,"",_xlfn.XLOOKUP($E81,'[1]Import Eletra'!$B:$B,'[1]Import Eletra'!$AP:$AP,,0,1))</f>
        <v>46142</v>
      </c>
      <c r="U81" s="326">
        <f>IF(_xlfn.XLOOKUP($E81,'[1]Import Eletra'!$B:$B,'[1]Import Eletra'!$AQ:$AQ,,0,1)=0,"",_xlfn.XLOOKUP($E81,'[1]Import Eletra'!$B:$B,'[1]Import Eletra'!$AQ:$AQ,,0,1))</f>
        <v>46142</v>
      </c>
      <c r="V81" s="339">
        <f>IF(_xlfn.XLOOKUP($E81,'[1]Import Eletra'!$B:$B,'[1]Import Eletra'!$AR:$AR,,0,1)=0,"",_xlfn.XLOOKUP($E81,'[1]Import Eletra'!$B:$B,'[1]Import Eletra'!$AR:$AR,,0,1))</f>
        <v>46126</v>
      </c>
      <c r="W81" s="335">
        <f>AB81-$AB$4</f>
        <v>46129</v>
      </c>
      <c r="X81" s="332">
        <f>IF(_xlfn.XLOOKUP($E81,'[1]Import Eletra'!$B:$B,'[1]Import Eletra'!$AS:$AS,,0,1)=0,"",_xlfn.XLOOKUP($E81,'[1]Import Eletra'!$B:$B,'[1]Import Eletra'!$AS:$AS,,0,1))</f>
        <v>46146</v>
      </c>
      <c r="Y81" s="112">
        <f>$W$4</f>
        <v>0</v>
      </c>
      <c r="Z81" s="113">
        <f ca="1">IF(X81="",TODAY()-W81,X81-W81)</f>
        <v>17</v>
      </c>
      <c r="AA81" s="184">
        <f ca="1">IF(AND(ISNUMBER($Z81),$Z81&gt;0),$Z81-$Y81,"")</f>
        <v>17</v>
      </c>
      <c r="AB81" s="346">
        <f>AG81-$AB$4</f>
        <v>46129</v>
      </c>
      <c r="AC81" s="332">
        <f>IF(_xlfn.XLOOKUP($E81,'[1]Import Eletra'!$B:$B,'[1]Import Eletra'!$AD:$AD,,0,1)=0,"",_xlfn.XLOOKUP($E81,'[1]Import Eletra'!$B:$B,'[1]Import Eletra'!$AD:$AD,,0,1))</f>
        <v>46147</v>
      </c>
      <c r="AD81" s="112">
        <f>$AB$4</f>
        <v>0</v>
      </c>
      <c r="AE81" s="112">
        <f ca="1">IF(AC81="",TODAY()-AB81,AC81-AB81)</f>
        <v>18</v>
      </c>
      <c r="AF81" s="184">
        <f ca="1">AE81-AD81</f>
        <v>18</v>
      </c>
      <c r="AG81" s="354">
        <f>AL81-$AL$4</f>
        <v>46129</v>
      </c>
      <c r="AH81" s="332">
        <f>IF(_xlfn.XLOOKUP($E81,'[1]Import Eletra'!$B:$B,'[1]Import Eletra'!$AE:$AE,,0,1)=0,"",_xlfn.XLOOKUP($E81,'[1]Import Eletra'!$B:$B,'[1]Import Eletra'!$AE:$AE,,0,1))</f>
        <v>46147</v>
      </c>
      <c r="AI81" s="112">
        <f>$AG$4</f>
        <v>0</v>
      </c>
      <c r="AJ81" s="112">
        <f ca="1">IF(AH81="",TODAY()-AG81,AH81-AG81)</f>
        <v>18</v>
      </c>
      <c r="AK81" s="184">
        <f ca="1">IF(AND(ISNUMBER($AJ81),$AJ81&gt;0),$AJ81-$AI81,"")</f>
        <v>18</v>
      </c>
      <c r="AL81" s="355">
        <f>AQ81-$AQ$4</f>
        <v>46129</v>
      </c>
      <c r="AM81" s="332">
        <f>IF(_xlfn.XLOOKUP($E81,'[1]Import Eletra'!$B:$B,'[1]Import Eletra'!$AT:$AT,,0,1)=0,"",_xlfn.XLOOKUP($E81,'[1]Import Eletra'!$B:$B,'[1]Import Eletra'!$AT:$AT,,0,1))</f>
        <v>46147</v>
      </c>
      <c r="AN81" s="112">
        <f>$AL$4</f>
        <v>0</v>
      </c>
      <c r="AO81" s="112">
        <f ca="1">IF(AM81="",TODAY()-AL81,AM81-AL81)</f>
        <v>18</v>
      </c>
      <c r="AP81" s="184">
        <f ca="1">IF(AND(ISNUMBER($AO81),$AO81&gt;0),$AO81-$AN81,"")</f>
        <v>18</v>
      </c>
      <c r="AQ81" s="357">
        <f>AV81-$AV$4</f>
        <v>46130</v>
      </c>
      <c r="AR81" s="332">
        <f>IF(_xlfn.XLOOKUP($E81,'[1]Import Eletra'!$B:$B,'[1]Import Eletra'!$AU:$AU,,0,1)=0,"",_xlfn.XLOOKUP($E81,'[1]Import Eletra'!$B:$B,'[1]Import Eletra'!$AU:$AU,,0,1))</f>
        <v>46147</v>
      </c>
      <c r="AS81" s="112">
        <f>$AQ$4</f>
        <v>1</v>
      </c>
      <c r="AT81" s="112">
        <f ca="1">IF(AR81="",TODAY()-AQ81,AR81-AQ81)</f>
        <v>17</v>
      </c>
      <c r="AU81" s="184">
        <f ca="1">IF(AND(ISNUMBER($AT81),$AT81&gt;0),$AT81-$AS81,"")</f>
        <v>16</v>
      </c>
      <c r="AV81" s="355">
        <f>BA81-$BA$4</f>
        <v>46130</v>
      </c>
      <c r="AW81" s="332">
        <f>IF(_xlfn.XLOOKUP($E81,'[1]Import Eletra'!$B:$B,'[1]Import Eletra'!$AU:$AU,,0,1)=0,"",_xlfn.XLOOKUP($E81,'[1]Import Eletra'!$B:$B,'[1]Import Eletra'!$AU:$AU,,0,1))</f>
        <v>46147</v>
      </c>
      <c r="AX81" s="112">
        <f>$AV$4</f>
        <v>0</v>
      </c>
      <c r="AY81" s="113">
        <f ca="1">IF(AW81="",TODAY()-AV81,AW81-AV81)</f>
        <v>17</v>
      </c>
      <c r="AZ81" s="184">
        <f ca="1">IF(AND(ISNUMBER($AY81),$AY81&gt;0),$AY81-$AX81,"")</f>
        <v>17</v>
      </c>
      <c r="BA81" s="357">
        <f>BF81-$BF$4</f>
        <v>46130</v>
      </c>
      <c r="BB81" s="332" t="str">
        <f>IF(_xlfn.XLOOKUP($E81,'[1]Import Eletra'!$B:$B,'[1]Import Eletra'!$AW:$AW,,0,1)=0,"",_xlfn.XLOOKUP($E81,'[1]Import Eletra'!$B:$B,'[1]Import Eletra'!$AW:$AW,,0,1))</f>
        <v/>
      </c>
      <c r="BC81" s="112">
        <f>$BA$4</f>
        <v>0</v>
      </c>
      <c r="BD81" s="112">
        <f ca="1">IF(BB81="",TODAY()-BA81,BB81-BA81)</f>
        <v>81</v>
      </c>
      <c r="BE81" s="184">
        <f ca="1">BD81-BC81</f>
        <v>81</v>
      </c>
      <c r="BF81" s="335">
        <f>BK81-$BK$4</f>
        <v>46130</v>
      </c>
      <c r="BG81" s="332" t="str">
        <f>IF(_xlfn.XLOOKUP($E81,'[1]Import Eletra'!$B:$B,'[1]Import Eletra'!$AX:$AX,,0,1)=0,"",_xlfn.XLOOKUP($E81,'[1]Import Eletra'!$B:$B,'[1]Import Eletra'!$AX:$AX,,0,1))</f>
        <v/>
      </c>
      <c r="BH81" s="112">
        <f>$BF$4</f>
        <v>0</v>
      </c>
      <c r="BI81" s="112">
        <f ca="1">IF(BG81="",TODAY()-BF81,BG81-BF81)</f>
        <v>81</v>
      </c>
      <c r="BJ81" s="184">
        <f ca="1">IF(AND(ISNUMBER($BI81),$BI81&gt;0),$BI81-$BH81,"")</f>
        <v>81</v>
      </c>
      <c r="BK81" s="362">
        <f>BP81-$BP$4</f>
        <v>46130</v>
      </c>
      <c r="BL81" s="332">
        <f>IF(_xlfn.XLOOKUP($E81,'[1]Import Eletra'!$B:$B,'[1]Import Eletra'!$AY:$AY,,0,1)=0,"",_xlfn.XLOOKUP($E81,'[1]Import Eletra'!$B:$B,'[1]Import Eletra'!$AY:$AY,,0,1))</f>
        <v>46147</v>
      </c>
      <c r="BM81" s="112">
        <f>$BK$4</f>
        <v>0</v>
      </c>
      <c r="BN81" s="112">
        <f ca="1">IF(BL81="",TODAY()-BK81,BL81-BK81)</f>
        <v>17</v>
      </c>
      <c r="BO81" s="184">
        <f ca="1">BN81-BM81</f>
        <v>17</v>
      </c>
      <c r="BP81" s="335">
        <f>BU81-$BU$4</f>
        <v>46130</v>
      </c>
      <c r="BQ81" s="332">
        <f>IF(_xlfn.XLOOKUP($E81,'[1]Import Eletra'!$B:$B,'[1]Import Eletra'!$AZ:$AZ,,0,1)=0,"",_xlfn.XLOOKUP($E81,'[1]Import Eletra'!$B:$B,'[1]Import Eletra'!$AZ:$AZ,,0,1))</f>
        <v>46147</v>
      </c>
      <c r="BR81" s="112">
        <f>$BP$4</f>
        <v>0</v>
      </c>
      <c r="BS81" s="112">
        <f ca="1">IF(BQ81="",TODAY()-BP81,BQ81-BP81)</f>
        <v>17</v>
      </c>
      <c r="BT81" s="184">
        <f ca="1">BS81-BR81</f>
        <v>17</v>
      </c>
      <c r="BU81" s="362">
        <f>BZ81-$BZ$4</f>
        <v>46132</v>
      </c>
      <c r="BV81" s="332">
        <f>IF(_xlfn.XLOOKUP($E81,'[1]Import Eletra'!$B:$B,'[1]Import Eletra'!$BA:$BA,,0,1)=0,"",_xlfn.XLOOKUP($E81,'[1]Import Eletra'!$B:$B,'[1]Import Eletra'!$BA:$BA,,0,1))</f>
        <v>46149</v>
      </c>
      <c r="BW81" s="112">
        <f>$BU$4</f>
        <v>2</v>
      </c>
      <c r="BX81" s="112">
        <f ca="1">IF(BV81="",TODAY()-BU81,BV81-BU81)</f>
        <v>17</v>
      </c>
      <c r="BY81" s="184">
        <f ca="1">IF(AND(ISNUMBER($BX81),$BX81&gt;0),$BX81-$BW81,"")</f>
        <v>15</v>
      </c>
      <c r="BZ81" s="335">
        <f>CE81-$CE$4</f>
        <v>46132</v>
      </c>
      <c r="CA81" s="332">
        <f>IF(_xlfn.XLOOKUP($E81,'[1]Import Eletra'!$B:$B,'[1]Import Eletra'!$BB:$BB,,0,1)=0,"",_xlfn.XLOOKUP($E81,'[1]Import Eletra'!$B:$B,'[1]Import Eletra'!$BB:$BB,,0,1))</f>
        <v>46150</v>
      </c>
      <c r="CB81" s="112">
        <f>$BZ$4</f>
        <v>0</v>
      </c>
      <c r="CC81" s="112">
        <f ca="1">IF(CA81="",TODAY()-BZ81,CA81-BZ81)</f>
        <v>18</v>
      </c>
      <c r="CD81" s="184">
        <f ca="1">CC81-CB81</f>
        <v>18</v>
      </c>
      <c r="CE81" s="362">
        <f>CJ81-$CJ$4</f>
        <v>46132</v>
      </c>
      <c r="CF81" s="332">
        <f>IF(_xlfn.XLOOKUP($E81,'[1]Import Eletra'!$B:$B,'[1]Import Eletra'!$BC:$BC,,0,1)=0,"",_xlfn.XLOOKUP($E81,'[1]Import Eletra'!$B:$B,'[1]Import Eletra'!$BC:$BC,,0,1))</f>
        <v>46150</v>
      </c>
      <c r="CG81" s="112">
        <f>$CE$4</f>
        <v>0</v>
      </c>
      <c r="CH81" s="112">
        <f ca="1">IF(CF81="",TODAY()-CE81,CF81-CE81)</f>
        <v>18</v>
      </c>
      <c r="CI81" s="184">
        <f ca="1">CH81-CG81</f>
        <v>18</v>
      </c>
      <c r="CJ81" s="335">
        <f>CO81-$CO$4</f>
        <v>46132</v>
      </c>
      <c r="CK81" s="332">
        <f>IF(_xlfn.XLOOKUP($E81,'[1]Import Eletra'!$B:$B,'[1]Import Eletra'!$BD:$BD,,0,1)=0,"",_xlfn.XLOOKUP($E81,'[1]Import Eletra'!$B:$B,'[1]Import Eletra'!$BD:$BD,,0,1))</f>
        <v>46150</v>
      </c>
      <c r="CL81" s="112"/>
      <c r="CM81" s="112">
        <f ca="1">IF(CK81="",TODAY()-CJ81,CK81-CJ81)</f>
        <v>18</v>
      </c>
      <c r="CN81" s="184">
        <f ca="1">CM81-CL81</f>
        <v>18</v>
      </c>
      <c r="CO81" s="362">
        <f>CT81-$CT$4</f>
        <v>46132</v>
      </c>
      <c r="CP81" s="332">
        <f>IF(_xlfn.XLOOKUP($E81,'[1]Import Eletra'!$B:$B,'[1]Import Eletra'!$BE:$BE,,0,1)=0,"",_xlfn.XLOOKUP($E81,'[1]Import Eletra'!$B:$B,'[1]Import Eletra'!$BE:$BE,,0,1))</f>
        <v>46150</v>
      </c>
      <c r="CQ81" s="112">
        <f>$CO$4</f>
        <v>0</v>
      </c>
      <c r="CR81" s="112">
        <f ca="1">IF(CP81="",TODAY()-CO81,CP81-CO81)</f>
        <v>18</v>
      </c>
      <c r="CS81" s="184">
        <f ca="1">CR81-CQ81</f>
        <v>18</v>
      </c>
      <c r="CT81" s="335">
        <f>CY81-$CY$4</f>
        <v>46132</v>
      </c>
      <c r="CU81" s="332">
        <f>IF(_xlfn.XLOOKUP($E81,'[1]Import Eletra'!$B:$B,'[1]Import Eletra'!$BF:$BF,,0,1)=0,"",_xlfn.XLOOKUP($E81,'[1]Import Eletra'!$B:$B,'[1]Import Eletra'!$BF:$BF,,0,1))</f>
        <v>46150</v>
      </c>
      <c r="CV81" s="112">
        <f>$CT$4</f>
        <v>0</v>
      </c>
      <c r="CW81" s="112">
        <f ca="1">IF(CU81="",TODAY()-CT81,CU81-CT81)</f>
        <v>18</v>
      </c>
      <c r="CX81" s="184">
        <f ca="1">CW81-CV81</f>
        <v>18</v>
      </c>
      <c r="CY81" s="110">
        <f>DD81-$DD$4</f>
        <v>46132</v>
      </c>
      <c r="CZ81" s="104">
        <f>IF(_xlfn.XLOOKUP($E81,'[1]Import Eletra'!$B:$B,'[1]Import Eletra'!$BF:$BF,,0,1)=0,"",_xlfn.XLOOKUP($E81,'[1]Import Eletra'!$B:$B,'[1]Import Eletra'!$BF:$BF,,0,1))</f>
        <v>46150</v>
      </c>
      <c r="DA81" s="121">
        <f>$CY$4</f>
        <v>0</v>
      </c>
      <c r="DB81" s="112">
        <f ca="1">IF(CZ81="",TODAY()-CY81,CZ81-CY81)</f>
        <v>18</v>
      </c>
      <c r="DC81" s="184">
        <f ca="1">DB81-DA81</f>
        <v>18</v>
      </c>
      <c r="DD81" s="110">
        <f>DI81-$DI$4</f>
        <v>46134</v>
      </c>
      <c r="DE81" s="104">
        <f>IF(_xlfn.XLOOKUP($E81,'[1]Import Eletra'!$B:$B,'[1]Import Eletra'!$BG:$BG,,0,1)=0,"",_xlfn.XLOOKUP($E81,'[1]Import Eletra'!$B:$B,'[1]Import Eletra'!$BG:$BG,0,1))</f>
        <v>46153</v>
      </c>
      <c r="DF81" s="112">
        <f>$DD$4</f>
        <v>2</v>
      </c>
      <c r="DG81" s="112">
        <f ca="1">IF(DE81="",TODAY()-DD81,DE81-DD81)</f>
        <v>19</v>
      </c>
      <c r="DH81" s="184">
        <f ca="1">DG81-DF81</f>
        <v>17</v>
      </c>
      <c r="DI81" s="110">
        <f>DO81-$DN$4</f>
        <v>46135</v>
      </c>
      <c r="DJ81" s="104">
        <f>IF(_xlfn.XLOOKUP($E81,'[1]Import Eletra'!$B:$B,'[1]Import Eletra'!$BH:$BH,,0,1)=0,"",_xlfn.XLOOKUP($E81,'[1]Import Eletra'!$B:$B,'[1]Import Eletra'!$BH:$BH,0,1))</f>
        <v>46153</v>
      </c>
      <c r="DK81" s="112">
        <f>$DI$4</f>
        <v>1</v>
      </c>
      <c r="DL81" s="112">
        <f ca="1">IF(DJ81="",TODAY()-DI81,DJ81-DI81)</f>
        <v>18</v>
      </c>
      <c r="DM81" s="184"/>
      <c r="DN81" s="64"/>
      <c r="DO81" s="202">
        <f>IF(V81="",N81+DT81,V81+DT81)</f>
        <v>46136</v>
      </c>
      <c r="DP81" s="165">
        <f>IF(_xlfn.XLOOKUP($E81,'[1]Import Eletra'!$B:$B,'[1]Import Eletra'!$O:$O,,0,1)=0,"",_xlfn.XLOOKUP($E81,'[1]Import Eletra'!$B:$B,'[1]Import Eletra'!$O:$O,0,1))</f>
        <v>46154</v>
      </c>
      <c r="DQ81" s="112">
        <f>$DN$4</f>
        <v>1</v>
      </c>
      <c r="DR81" s="112">
        <f ca="1">IF(DP81="",TODAY()-DO81,DP81-DO81)</f>
        <v>18</v>
      </c>
      <c r="DS81" s="184">
        <f ca="1">DR81-DQ81</f>
        <v>17</v>
      </c>
      <c r="DT81" s="143">
        <v>10</v>
      </c>
      <c r="DU81" s="140">
        <f t="shared" ca="1" si="270"/>
        <v>28</v>
      </c>
      <c r="DV81" s="184">
        <f ca="1">DU81-DT81</f>
        <v>18</v>
      </c>
      <c r="DX81" s="185" t="s">
        <v>245</v>
      </c>
      <c r="DY81" s="108" t="str">
        <f>IF(_xlfn.XLOOKUP($E81,'[1]Import Eletra'!$B:$B,'[1]Import Eletra'!$DW:$DW,,0,1)=0,"",_xlfn.XLOOKUP($E81,'[1]Import Eletra'!$B:$B,'[1]Import Eletra'!$DW:$DW,0,1))</f>
        <v/>
      </c>
      <c r="EB81" s="289"/>
      <c r="ED81" s="409">
        <f>IF(_xlfn.XLOOKUP($E81,'[1]Import Eletra'!$B:$B,'[1]Import Eletra'!$BQ:$BQ,,0,1)=0,"",_xlfn.XLOOKUP($E81,'[1]Import Eletra'!$B:$B,'[1]Import Eletra'!$BQ:$BQ,0,1))</f>
        <v>660.91</v>
      </c>
      <c r="EE81" s="410">
        <f>IF(_xlfn.XLOOKUP($E81,'[1]Import Eletra'!$B:$B,'[1]Import Eletra'!$BR:$BR,,0,1)=0,"",_xlfn.XLOOKUP($E81,'[1]Import Eletra'!$B:$B,'[1]Import Eletra'!$BR:$BR,0,1))</f>
        <v>46160</v>
      </c>
      <c r="EF81" s="409" t="str">
        <f>IF(_xlfn.XLOOKUP($E81,'[1]Import Eletra'!$B:$B,'[1]Import Eletra'!$BS:$BS,,0,1)=0,"",_xlfn.XLOOKUP($E81,'[1]Import Eletra'!$B:$B,'[1]Import Eletra'!$BS:$BS,0,1))</f>
        <v/>
      </c>
      <c r="EG81" s="410" t="str">
        <f>IF(_xlfn.XLOOKUP($E81,'[1]Import Eletra'!$B:$B,'[1]Import Eletra'!$BT:$BT,,0,1)=0,"",_xlfn.XLOOKUP($E81,'[1]Import Eletra'!$B:$B,'[1]Import Eletra'!$BT:$BT,0,1))</f>
        <v/>
      </c>
      <c r="EH81" s="409" t="str">
        <f>IF(_xlfn.XLOOKUP($E81,'[1]Import Eletra'!$B:$B,'[1]Import Eletra'!$BU:$BU,,0,1)=0,"",_xlfn.XLOOKUP($E81,'[1]Import Eletra'!$B:$B,'[1]Import Eletra'!$BU:$BU,0,1))</f>
        <v/>
      </c>
      <c r="EI81" s="410" t="str">
        <f>IF(_xlfn.XLOOKUP($E81,'[1]Import Eletra'!$B:$B,'[1]Import Eletra'!$BV:$BV,,0,1)=0,"",_xlfn.XLOOKUP($E81,'[1]Import Eletra'!$B:$B,'[1]Import Eletra'!$BV:$BV,0,1))</f>
        <v/>
      </c>
      <c r="EJ81" s="410">
        <f>IF(_xlfn.XLOOKUP($E81,'[1]Import Eletra'!$B:$B,'[1]Import Eletra'!$CI:$CI,,0,1)=0,"",_xlfn.XLOOKUP($E81,'[1]Import Eletra'!$B:$B,'[1]Import Eletra'!$CI:$CI,0,1))</f>
        <v>46144</v>
      </c>
      <c r="EK81" s="410" t="str">
        <f>IF(_xlfn.XLOOKUP($E81,'[1]Import Eletra'!$B:$B,'[1]Import Eletra'!$CD:$CD,,0,1)=0,"",_xlfn.XLOOKUP($E81,'[1]Import Eletra'!$B:$B,'[1]Import Eletra'!$CD:$CD,0,1))</f>
        <v/>
      </c>
      <c r="EL81" s="410" t="str">
        <f>IF(_xlfn.XLOOKUP($E81,'[1]Import Eletra'!$B:$B,'[1]Import Eletra'!$CE:$CE,,0,1)=0,"",_xlfn.XLOOKUP($E81,'[1]Import Eletra'!$B:$B,'[1]Import Eletra'!$CE:$CE,0,1))</f>
        <v>NÃO</v>
      </c>
      <c r="EM81" s="411" t="str">
        <f>IF(_xlfn.XLOOKUP($E81,'[1]Import Eletra'!$B:$B,'[1]Import Eletra'!$E:$E,,0,1)=0,"",_xlfn.XLOOKUP($E81,'[1]Import Eletra'!$B:$B,'[1]Import Eletra'!$E:$E,0,1))</f>
        <v>RENATO</v>
      </c>
      <c r="EN81" s="408" t="str">
        <f>IF(_xlfn.XLOOKUP($E81,'[1]Import Eletra'!$B:$B,'[1]Import Eletra'!$R:$R,,0,1)=0,"",_xlfn.XLOOKUP($E81,'[1]Import Eletra'!$B:$B,'[1]Import Eletra'!$R:$R,0,1))</f>
        <v>PWBR250204</v>
      </c>
      <c r="EO81" s="408" t="str">
        <f>IF(_xlfn.XLOOKUP($E81,'[1]Import Eletra'!$B:$B,'[1]Import Eletra'!$P:$P,,0,1)=0,"",_xlfn.XLOOKUP($E81,'[1]Import Eletra'!$B:$B,'[1]Import Eletra'!$P:$P,0,1))</f>
        <v>SYNHGH26SE021026</v>
      </c>
      <c r="EP81" s="408" t="str">
        <f>IF(_xlfn.XLOOKUP($E81,'[1]Import Eletra'!$B:$B,'[1]Import Eletra'!$T:$T,,0,1)=0,"",_xlfn.XLOOKUP($E81,'[1]Import Eletra'!$B:$B,'[1]Import Eletra'!$T:$T,0,1))</f>
        <v>UETU6146822</v>
      </c>
    </row>
    <row r="82" spans="1:146" ht="30.75">
      <c r="B82" s="281"/>
      <c r="C82" s="280"/>
      <c r="D82" s="104"/>
      <c r="E82" s="105" t="s">
        <v>313</v>
      </c>
      <c r="F82" s="203">
        <f>IF(_xlfn.XLOOKUP($E82,'[1]Import Eletra'!$B:$B,'[1]Import Eletra'!$U:$U,,0,1)=0,"",_xlfn.XLOOKUP($E82,'[1]Import Eletra'!$B:$B,'[1]Import Eletra'!$U:$U,,0,1))</f>
        <v>1</v>
      </c>
      <c r="G82" s="301" t="s">
        <v>386</v>
      </c>
      <c r="H82" s="2" t="str">
        <f>_xlfn.XLOOKUP($E82,'[1]Import Eletra'!$B:$B,'[1]Import Eletra'!$F:$F,,0,1)</f>
        <v>DELIVERED</v>
      </c>
      <c r="I82" s="108" t="str">
        <f>_xlfn.XLOOKUP($E82,'[1]Import Eletra'!$B:$B,'[1]Import Eletra'!$G:$G,,0,1)</f>
        <v>SEA</v>
      </c>
      <c r="J82" s="326"/>
      <c r="K82" s="109"/>
      <c r="L82" s="109"/>
      <c r="M82" s="326">
        <f>IF(_xlfn.XLOOKUP($E82,'[1]Import Eletra'!$B:$B,'[1]Import Eletra'!$J:$J,,0,1)=0,"",_xlfn.XLOOKUP($E82,'[1]Import Eletra'!$B:$B,'[1]Import Eletra'!$J:$J,,0,1))</f>
        <v>46061</v>
      </c>
      <c r="N82" s="332">
        <f>IF(_xlfn.XLOOKUP($E82,'[1]Import Eletra'!$B:$B,'[1]Import Eletra'!$L:$L,,0,1)=0,"",_xlfn.XLOOKUP($E82,'[1]Import Eletra'!$B:$B,'[1]Import Eletra'!$L:$L,,0,1))</f>
        <v>46131</v>
      </c>
      <c r="O82" s="335">
        <f>IF(_xlfn.XLOOKUP($E82,'[1]Import Eletra'!$B:$B,'[1]Import Eletra'!$AK:$AK,,0,1)=0,"",_xlfn.XLOOKUP($E82,'[1]Import Eletra'!$B:$B,'[1]Import Eletra'!$AK:$AK,,0,1))</f>
        <v>46140</v>
      </c>
      <c r="P82" s="326">
        <f>IF(_xlfn.XLOOKUP($E82,'[1]Import Eletra'!$B:$B,'[1]Import Eletra'!$AL:$AL,,0,1)=0,"",_xlfn.XLOOKUP($E82,'[1]Import Eletra'!$B:$B,'[1]Import Eletra'!$AL:$AL,,0,1))</f>
        <v>46091</v>
      </c>
      <c r="Q82" s="326">
        <f>IF(_xlfn.XLOOKUP($E82,'[1]Import Eletra'!$B:$B,'[1]Import Eletra'!$AM:$AM,,0,1)=0,"",_xlfn.XLOOKUP($E82,'[1]Import Eletra'!$B:$B,'[1]Import Eletra'!$AM:$AM,,0,1))</f>
        <v>46091</v>
      </c>
      <c r="R82" s="326">
        <f>IF(_xlfn.XLOOKUP($E82,'[1]Import Eletra'!$B:$B,'[1]Import Eletra'!$AN:$AN,,0,1)=0,"",_xlfn.XLOOKUP($E82,'[1]Import Eletra'!$B:$B,'[1]Import Eletra'!$AN:$AN,,0,1))</f>
        <v>46091</v>
      </c>
      <c r="S82" s="326">
        <f>IF(_xlfn.XLOOKUP($E82,'[1]Import Eletra'!$B:$B,'[1]Import Eletra'!$AO:$AO,,0,1)=0,"",_xlfn.XLOOKUP($E82,'[1]Import Eletra'!$B:$B,'[1]Import Eletra'!$AO:$AO,,0,1))</f>
        <v>46092</v>
      </c>
      <c r="T82" s="326">
        <f>IF(_xlfn.XLOOKUP($E82,'[1]Import Eletra'!$B:$B,'[1]Import Eletra'!$AP:$AP,,0,1)=0,"",_xlfn.XLOOKUP($E82,'[1]Import Eletra'!$B:$B,'[1]Import Eletra'!$AP:$AP,,0,1))</f>
        <v>46092</v>
      </c>
      <c r="U82" s="326">
        <f>IF(_xlfn.XLOOKUP($E82,'[1]Import Eletra'!$B:$B,'[1]Import Eletra'!$AQ:$AQ,,0,1)=0,"",_xlfn.XLOOKUP($E82,'[1]Import Eletra'!$B:$B,'[1]Import Eletra'!$AQ:$AQ,,0,1))</f>
        <v>46092</v>
      </c>
      <c r="V82" s="339">
        <f>IF(_xlfn.XLOOKUP($E82,'[1]Import Eletra'!$B:$B,'[1]Import Eletra'!$AR:$AR,,0,1)=0,"",_xlfn.XLOOKUP($E82,'[1]Import Eletra'!$B:$B,'[1]Import Eletra'!$AR:$AR,,0,1))</f>
        <v>46135</v>
      </c>
      <c r="W82" s="335">
        <f>AB82-$AB$4</f>
        <v>46138</v>
      </c>
      <c r="X82" s="332">
        <f>IF(_xlfn.XLOOKUP($E82,'[1]Import Eletra'!$B:$B,'[1]Import Eletra'!$AS:$AS,,0,1)=0,"",_xlfn.XLOOKUP($E82,'[1]Import Eletra'!$B:$B,'[1]Import Eletra'!$AS:$AS,,0,1))</f>
        <v>46141</v>
      </c>
      <c r="Y82" s="113">
        <f>$W$4</f>
        <v>0</v>
      </c>
      <c r="Z82" s="113">
        <f ca="1">IF(X82="",TODAY()-W82,X82-W82)</f>
        <v>3</v>
      </c>
      <c r="AA82" s="184">
        <f ca="1">IF(AND(ISNUMBER($Z82),$Z82&gt;0),$Z82-$Y82,"")</f>
        <v>3</v>
      </c>
      <c r="AB82" s="348">
        <f>AG82-$AB$4</f>
        <v>46138</v>
      </c>
      <c r="AC82" s="332">
        <f>IF(_xlfn.XLOOKUP($E82,'[1]Import Eletra'!$B:$B,'[1]Import Eletra'!$AD:$AD,,0,1)=0,"",_xlfn.XLOOKUP($E82,'[1]Import Eletra'!$B:$B,'[1]Import Eletra'!$AD:$AD,,0,1))</f>
        <v>46141</v>
      </c>
      <c r="AD82" s="113">
        <f>$AB$4</f>
        <v>0</v>
      </c>
      <c r="AE82" s="113">
        <f ca="1">IF(AC82="",TODAY()-AB82,AC82-AB82)</f>
        <v>3</v>
      </c>
      <c r="AF82" s="184">
        <f ca="1">AE82-AD82</f>
        <v>3</v>
      </c>
      <c r="AG82" s="355">
        <f>AL82-$AL$4</f>
        <v>46138</v>
      </c>
      <c r="AH82" s="332">
        <f>IF(_xlfn.XLOOKUP($E82,'[1]Import Eletra'!$B:$B,'[1]Import Eletra'!$AE:$AE,,0,1)=0,"",_xlfn.XLOOKUP($E82,'[1]Import Eletra'!$B:$B,'[1]Import Eletra'!$AE:$AE,,0,1))</f>
        <v>46142</v>
      </c>
      <c r="AI82" s="113">
        <f>$AG$4</f>
        <v>0</v>
      </c>
      <c r="AJ82" s="113">
        <f ca="1">IF(AH82="",TODAY()-AG82,AH82-AG82)</f>
        <v>4</v>
      </c>
      <c r="AK82" s="184">
        <f ca="1">IF(AND(ISNUMBER($AJ82),$AJ82&gt;0),$AJ82-$AI82,"")</f>
        <v>4</v>
      </c>
      <c r="AL82" s="355">
        <f>AQ82-$AQ$4</f>
        <v>46138</v>
      </c>
      <c r="AM82" s="332">
        <f>IF(_xlfn.XLOOKUP($E82,'[1]Import Eletra'!$B:$B,'[1]Import Eletra'!$AT:$AT,,0,1)=0,"",_xlfn.XLOOKUP($E82,'[1]Import Eletra'!$B:$B,'[1]Import Eletra'!$AT:$AT,,0,1))</f>
        <v>46141</v>
      </c>
      <c r="AN82" s="113">
        <f>$AL$4</f>
        <v>0</v>
      </c>
      <c r="AO82" s="113">
        <f ca="1">IF(AM82="",TODAY()-AL82,AM82-AL82)</f>
        <v>3</v>
      </c>
      <c r="AP82" s="184">
        <f ca="1">IF(AND(ISNUMBER($AO82),$AO82&gt;0),$AO82-$AN82,"")</f>
        <v>3</v>
      </c>
      <c r="AQ82" s="357">
        <f>AV82-$AV$4</f>
        <v>46139</v>
      </c>
      <c r="AR82" s="332">
        <f>IF(_xlfn.XLOOKUP($E82,'[1]Import Eletra'!$B:$B,'[1]Import Eletra'!$AU:$AU,,0,1)=0,"",_xlfn.XLOOKUP($E82,'[1]Import Eletra'!$B:$B,'[1]Import Eletra'!$AU:$AU,,0,1))</f>
        <v>46142</v>
      </c>
      <c r="AS82" s="113">
        <f>$AQ$4</f>
        <v>1</v>
      </c>
      <c r="AT82" s="113">
        <f ca="1">IF(AR82="",TODAY()-AQ82,AR82-AQ82)</f>
        <v>3</v>
      </c>
      <c r="AU82" s="184">
        <f ca="1">IF(AND(ISNUMBER($AT82),$AT82&gt;0),$AT82-$AS82,"")</f>
        <v>2</v>
      </c>
      <c r="AV82" s="355">
        <f>BA82-$BA$4</f>
        <v>46139</v>
      </c>
      <c r="AW82" s="332">
        <f>IF(_xlfn.XLOOKUP($E82,'[1]Import Eletra'!$B:$B,'[1]Import Eletra'!$AU:$AU,,0,1)=0,"",_xlfn.XLOOKUP($E82,'[1]Import Eletra'!$B:$B,'[1]Import Eletra'!$AU:$AU,,0,1))</f>
        <v>46142</v>
      </c>
      <c r="AX82" s="113">
        <f>$AV$4</f>
        <v>0</v>
      </c>
      <c r="AY82" s="113">
        <f ca="1">IF(AW82="",TODAY()-AV82,AW82-AV82)</f>
        <v>3</v>
      </c>
      <c r="AZ82" s="184">
        <f ca="1">IF(AND(ISNUMBER($AY82),$AY82&gt;0),$AY82-$AX82,"")</f>
        <v>3</v>
      </c>
      <c r="BA82" s="357">
        <f>BF82-$BF$4</f>
        <v>46139</v>
      </c>
      <c r="BB82" s="332" t="str">
        <f>IF(_xlfn.XLOOKUP($E82,'[1]Import Eletra'!$B:$B,'[1]Import Eletra'!$AW:$AW,,0,1)=0,"",_xlfn.XLOOKUP($E82,'[1]Import Eletra'!$B:$B,'[1]Import Eletra'!$AW:$AW,,0,1))</f>
        <v/>
      </c>
      <c r="BC82" s="113">
        <f>$BA$4</f>
        <v>0</v>
      </c>
      <c r="BD82" s="113">
        <f ca="1">IF(BB82="",TODAY()-BA82,BB82-BA82)</f>
        <v>72</v>
      </c>
      <c r="BE82" s="184">
        <f ca="1">BD82-BC82</f>
        <v>72</v>
      </c>
      <c r="BF82" s="335">
        <f>BK82-$BK$4</f>
        <v>46139</v>
      </c>
      <c r="BG82" s="332" t="str">
        <f>IF(_xlfn.XLOOKUP($E82,'[1]Import Eletra'!$B:$B,'[1]Import Eletra'!$AX:$AX,,0,1)=0,"",_xlfn.XLOOKUP($E82,'[1]Import Eletra'!$B:$B,'[1]Import Eletra'!$AX:$AX,,0,1))</f>
        <v/>
      </c>
      <c r="BH82" s="113">
        <f>$BF$4</f>
        <v>0</v>
      </c>
      <c r="BI82" s="113">
        <f ca="1">IF(BG82="",TODAY()-BF82,BG82-BF82)</f>
        <v>72</v>
      </c>
      <c r="BJ82" s="184">
        <f ca="1">IF(AND(ISNUMBER($BI82),$BI82&gt;0),$BI82-$BH82,"")</f>
        <v>72</v>
      </c>
      <c r="BK82" s="362">
        <f>BP82-$BP$4</f>
        <v>46139</v>
      </c>
      <c r="BL82" s="332">
        <f>IF(_xlfn.XLOOKUP($E82,'[1]Import Eletra'!$B:$B,'[1]Import Eletra'!$AY:$AY,,0,1)=0,"",_xlfn.XLOOKUP($E82,'[1]Import Eletra'!$B:$B,'[1]Import Eletra'!$AY:$AY,,0,1))</f>
        <v>46141</v>
      </c>
      <c r="BM82" s="113">
        <f>$BK$4</f>
        <v>0</v>
      </c>
      <c r="BN82" s="113">
        <f ca="1">IF(BL82="",TODAY()-BK82,BL82-BK82)</f>
        <v>2</v>
      </c>
      <c r="BO82" s="184">
        <f ca="1">BN82-BM82</f>
        <v>2</v>
      </c>
      <c r="BP82" s="335">
        <f>BU82-$BU$4</f>
        <v>46139</v>
      </c>
      <c r="BQ82" s="332">
        <f>IF(_xlfn.XLOOKUP($E82,'[1]Import Eletra'!$B:$B,'[1]Import Eletra'!$AZ:$AZ,,0,1)=0,"",_xlfn.XLOOKUP($E82,'[1]Import Eletra'!$B:$B,'[1]Import Eletra'!$AZ:$AZ,,0,1))</f>
        <v>46141</v>
      </c>
      <c r="BR82" s="113">
        <f>$BP$4</f>
        <v>0</v>
      </c>
      <c r="BS82" s="113">
        <f ca="1">IF(BQ82="",TODAY()-BP82,BQ82-BP82)</f>
        <v>2</v>
      </c>
      <c r="BT82" s="184">
        <f ca="1">BS82-BR82</f>
        <v>2</v>
      </c>
      <c r="BU82" s="362">
        <f>BZ82-$BZ$4</f>
        <v>46141</v>
      </c>
      <c r="BV82" s="332">
        <f>IF(_xlfn.XLOOKUP($E82,'[1]Import Eletra'!$B:$B,'[1]Import Eletra'!$BA:$BA,,0,1)=0,"",_xlfn.XLOOKUP($E82,'[1]Import Eletra'!$B:$B,'[1]Import Eletra'!$BA:$BA,,0,1))</f>
        <v>46142</v>
      </c>
      <c r="BW82" s="113">
        <f>$BU$4</f>
        <v>2</v>
      </c>
      <c r="BX82" s="113">
        <f ca="1">IF(BV82="",TODAY()-BU82,BV82-BU82)</f>
        <v>1</v>
      </c>
      <c r="BY82" s="184">
        <f ca="1">IF(AND(ISNUMBER($BX82),$BX82&gt;0),$BX82-$BW82,"")</f>
        <v>-1</v>
      </c>
      <c r="BZ82" s="335">
        <f>CE82-$CE$4</f>
        <v>46141</v>
      </c>
      <c r="CA82" s="332">
        <f>IF(_xlfn.XLOOKUP($E82,'[1]Import Eletra'!$B:$B,'[1]Import Eletra'!$BB:$BB,,0,1)=0,"",_xlfn.XLOOKUP($E82,'[1]Import Eletra'!$B:$B,'[1]Import Eletra'!$BB:$BB,,0,1))</f>
        <v>46146</v>
      </c>
      <c r="CB82" s="113">
        <f>$BZ$4</f>
        <v>0</v>
      </c>
      <c r="CC82" s="113">
        <f ca="1">IF(CA82="",TODAY()-BZ82,CA82-BZ82)</f>
        <v>5</v>
      </c>
      <c r="CD82" s="184">
        <f ca="1">CC82-CB82</f>
        <v>5</v>
      </c>
      <c r="CE82" s="362">
        <f>CJ82-$CJ$4</f>
        <v>46141</v>
      </c>
      <c r="CF82" s="332">
        <f>IF(_xlfn.XLOOKUP($E82,'[1]Import Eletra'!$B:$B,'[1]Import Eletra'!$BC:$BC,,0,1)=0,"",_xlfn.XLOOKUP($E82,'[1]Import Eletra'!$B:$B,'[1]Import Eletra'!$BC:$BC,,0,1))</f>
        <v>46146</v>
      </c>
      <c r="CG82" s="113">
        <f>$CE$4</f>
        <v>0</v>
      </c>
      <c r="CH82" s="113">
        <f ca="1">IF(CF82="",TODAY()-CE82,CF82-CE82)</f>
        <v>5</v>
      </c>
      <c r="CI82" s="184">
        <f ca="1">CH82-CG82</f>
        <v>5</v>
      </c>
      <c r="CJ82" s="335">
        <f>CO82-$CO$4</f>
        <v>46141</v>
      </c>
      <c r="CK82" s="332">
        <f>IF(_xlfn.XLOOKUP($E82,'[1]Import Eletra'!$B:$B,'[1]Import Eletra'!$BD:$BD,,0,1)=0,"",_xlfn.XLOOKUP($E82,'[1]Import Eletra'!$B:$B,'[1]Import Eletra'!$BD:$BD,,0,1))</f>
        <v>46146</v>
      </c>
      <c r="CL82" s="113"/>
      <c r="CM82" s="113">
        <f ca="1">IF(CK82="",TODAY()-CJ82,CK82-CJ82)</f>
        <v>5</v>
      </c>
      <c r="CN82" s="184">
        <f ca="1">CM82-CL82</f>
        <v>5</v>
      </c>
      <c r="CO82" s="362">
        <f>CT82-$CT$4</f>
        <v>46141</v>
      </c>
      <c r="CP82" s="332">
        <f>IF(_xlfn.XLOOKUP($E82,'[1]Import Eletra'!$B:$B,'[1]Import Eletra'!$BE:$BE,,0,1)=0,"",_xlfn.XLOOKUP($E82,'[1]Import Eletra'!$B:$B,'[1]Import Eletra'!$BE:$BE,,0,1))</f>
        <v>46146</v>
      </c>
      <c r="CQ82" s="113">
        <f>$CO$4</f>
        <v>0</v>
      </c>
      <c r="CR82" s="113">
        <f ca="1">IF(CP82="",TODAY()-CO82,CP82-CO82)</f>
        <v>5</v>
      </c>
      <c r="CS82" s="184">
        <f ca="1">CR82-CQ82</f>
        <v>5</v>
      </c>
      <c r="CT82" s="335">
        <f>CY82-$CY$4</f>
        <v>46141</v>
      </c>
      <c r="CU82" s="332">
        <f>IF(_xlfn.XLOOKUP($E82,'[1]Import Eletra'!$B:$B,'[1]Import Eletra'!$BF:$BF,,0,1)=0,"",_xlfn.XLOOKUP($E82,'[1]Import Eletra'!$B:$B,'[1]Import Eletra'!$BF:$BF,,0,1))</f>
        <v>46146</v>
      </c>
      <c r="CV82" s="113">
        <f>$CT$4</f>
        <v>0</v>
      </c>
      <c r="CW82" s="113">
        <f ca="1">IF(CU82="",TODAY()-CT82,CU82-CT82)</f>
        <v>5</v>
      </c>
      <c r="CX82" s="184">
        <f ca="1">CW82-CV82</f>
        <v>5</v>
      </c>
      <c r="CY82" s="110">
        <f>DD82-$DD$4</f>
        <v>46141</v>
      </c>
      <c r="CZ82" s="104">
        <f>IF(_xlfn.XLOOKUP($E82,'[1]Import Eletra'!$B:$B,'[1]Import Eletra'!$BF:$BF,,0,1)=0,"",_xlfn.XLOOKUP($E82,'[1]Import Eletra'!$B:$B,'[1]Import Eletra'!$BF:$BF,,0,1))</f>
        <v>46146</v>
      </c>
      <c r="DA82" s="210">
        <f>$CY$4</f>
        <v>0</v>
      </c>
      <c r="DB82" s="113">
        <f ca="1">IF(CZ82="",TODAY()-CY82,CZ82-CY82)</f>
        <v>5</v>
      </c>
      <c r="DC82" s="184">
        <f ca="1">DB82-DA82</f>
        <v>5</v>
      </c>
      <c r="DD82" s="110">
        <f>DI82-$DI$4</f>
        <v>46143</v>
      </c>
      <c r="DE82" s="104" t="str">
        <f>IF(_xlfn.XLOOKUP($E82,'[1]Import Eletra'!$B:$B,'[1]Import Eletra'!$BG:$BG,,0,1)=0,"",_xlfn.XLOOKUP($E82,'[1]Import Eletra'!$B:$B,'[1]Import Eletra'!$BG:$BG,0,1))</f>
        <v/>
      </c>
      <c r="DF82" s="113">
        <f>$DD$4</f>
        <v>2</v>
      </c>
      <c r="DG82" s="113">
        <f ca="1">IF(DE82="",TODAY()-DD82,DE82-DD82)</f>
        <v>68</v>
      </c>
      <c r="DH82" s="184">
        <f ca="1">DG82-DF82</f>
        <v>66</v>
      </c>
      <c r="DI82" s="110">
        <f>DO82-$DN$4</f>
        <v>46144</v>
      </c>
      <c r="DJ82" s="104" t="str">
        <f>IF(_xlfn.XLOOKUP($E82,'[1]Import Eletra'!$B:$B,'[1]Import Eletra'!$BH:$BH,,0,1)=0,"",_xlfn.XLOOKUP($E82,'[1]Import Eletra'!$B:$B,'[1]Import Eletra'!$BH:$BH,0,1))</f>
        <v/>
      </c>
      <c r="DK82" s="113">
        <f>$DI$4</f>
        <v>1</v>
      </c>
      <c r="DL82" s="113">
        <f ca="1">IF(DJ82="",TODAY()-DI82,DJ82-DI82)</f>
        <v>67</v>
      </c>
      <c r="DM82" s="184"/>
      <c r="DN82" s="64"/>
      <c r="DO82" s="202">
        <f>IF(V82="",N82+DT82,V82+DT82)</f>
        <v>46145</v>
      </c>
      <c r="DP82" s="165">
        <f>IF(_xlfn.XLOOKUP($E82,'[1]Import Eletra'!$B:$B,'[1]Import Eletra'!$O:$O,,0,1)=0,"",_xlfn.XLOOKUP($E82,'[1]Import Eletra'!$B:$B,'[1]Import Eletra'!$O:$O,0,1))</f>
        <v>46150</v>
      </c>
      <c r="DQ82" s="113">
        <f>$DN$4</f>
        <v>1</v>
      </c>
      <c r="DR82" s="113">
        <f ca="1">IF(DP82="",TODAY()-DO82,DP82-DO82)</f>
        <v>5</v>
      </c>
      <c r="DS82" s="184">
        <f ca="1">DR82-DQ82</f>
        <v>4</v>
      </c>
      <c r="DT82" s="143">
        <v>10</v>
      </c>
      <c r="DU82" s="140">
        <f t="shared" ca="1" si="270"/>
        <v>19</v>
      </c>
      <c r="DV82" s="184">
        <f ca="1">DU82-DT82</f>
        <v>9</v>
      </c>
      <c r="DX82" s="185" t="s">
        <v>245</v>
      </c>
      <c r="DY82" s="108" t="str">
        <f>IF(_xlfn.XLOOKUP($E82,'[1]Import Eletra'!$B:$B,'[1]Import Eletra'!$DW:$DW,,0,1)=0,"",_xlfn.XLOOKUP($E82,'[1]Import Eletra'!$B:$B,'[1]Import Eletra'!$DW:$DW,0,1))</f>
        <v/>
      </c>
      <c r="EB82" s="289"/>
      <c r="ED82" s="409">
        <f>IF(_xlfn.XLOOKUP($E82,'[1]Import Eletra'!$B:$B,'[1]Import Eletra'!$BQ:$BQ,,0,1)=0,"",_xlfn.XLOOKUP($E82,'[1]Import Eletra'!$B:$B,'[1]Import Eletra'!$BQ:$BQ,0,1))</f>
        <v>14431.96</v>
      </c>
      <c r="EE82" s="410">
        <f>IF(_xlfn.XLOOKUP($E82,'[1]Import Eletra'!$B:$B,'[1]Import Eletra'!$BR:$BR,,0,1)=0,"",_xlfn.XLOOKUP($E82,'[1]Import Eletra'!$B:$B,'[1]Import Eletra'!$BR:$BR,0,1))</f>
        <v>46148</v>
      </c>
      <c r="EF82" s="409" t="str">
        <f>IF(_xlfn.XLOOKUP($E82,'[1]Import Eletra'!$B:$B,'[1]Import Eletra'!$BS:$BS,,0,1)=0,"",_xlfn.XLOOKUP($E82,'[1]Import Eletra'!$B:$B,'[1]Import Eletra'!$BS:$BS,0,1))</f>
        <v/>
      </c>
      <c r="EG82" s="410" t="str">
        <f>IF(_xlfn.XLOOKUP($E82,'[1]Import Eletra'!$B:$B,'[1]Import Eletra'!$BT:$BT,,0,1)=0,"",_xlfn.XLOOKUP($E82,'[1]Import Eletra'!$B:$B,'[1]Import Eletra'!$BT:$BT,0,1))</f>
        <v/>
      </c>
      <c r="EH82" s="409" t="str">
        <f>IF(_xlfn.XLOOKUP($E82,'[1]Import Eletra'!$B:$B,'[1]Import Eletra'!$BU:$BU,,0,1)=0,"",_xlfn.XLOOKUP($E82,'[1]Import Eletra'!$B:$B,'[1]Import Eletra'!$BU:$BU,0,1))</f>
        <v/>
      </c>
      <c r="EI82" s="410" t="str">
        <f>IF(_xlfn.XLOOKUP($E82,'[1]Import Eletra'!$B:$B,'[1]Import Eletra'!$BV:$BV,,0,1)=0,"",_xlfn.XLOOKUP($E82,'[1]Import Eletra'!$B:$B,'[1]Import Eletra'!$BV:$BV,0,1))</f>
        <v/>
      </c>
      <c r="EJ82" s="410">
        <f>IF(_xlfn.XLOOKUP($E82,'[1]Import Eletra'!$B:$B,'[1]Import Eletra'!$CI:$CI,,0,1)=0,"",_xlfn.XLOOKUP($E82,'[1]Import Eletra'!$B:$B,'[1]Import Eletra'!$CI:$CI,0,1))</f>
        <v>46149</v>
      </c>
      <c r="EK82" s="410" t="str">
        <f>IF(_xlfn.XLOOKUP($E82,'[1]Import Eletra'!$B:$B,'[1]Import Eletra'!$CD:$CD,,0,1)=0,"",_xlfn.XLOOKUP($E82,'[1]Import Eletra'!$B:$B,'[1]Import Eletra'!$CD:$CD,0,1))</f>
        <v/>
      </c>
      <c r="EL82" s="410" t="str">
        <f>IF(_xlfn.XLOOKUP($E82,'[1]Import Eletra'!$B:$B,'[1]Import Eletra'!$CE:$CE,,0,1)=0,"",_xlfn.XLOOKUP($E82,'[1]Import Eletra'!$B:$B,'[1]Import Eletra'!$CE:$CE,0,1))</f>
        <v>NÃO</v>
      </c>
      <c r="EM82" s="411" t="str">
        <f>IF(_xlfn.XLOOKUP($E82,'[1]Import Eletra'!$B:$B,'[1]Import Eletra'!$E:$E,,0,1)=0,"",_xlfn.XLOOKUP($E82,'[1]Import Eletra'!$B:$B,'[1]Import Eletra'!$E:$E,0,1))</f>
        <v>LEISIANE</v>
      </c>
      <c r="EN82" s="408" t="str">
        <f>IF(_xlfn.XLOOKUP($E82,'[1]Import Eletra'!$B:$B,'[1]Import Eletra'!$R:$R,,0,1)=0,"",_xlfn.XLOOKUP($E82,'[1]Import Eletra'!$B:$B,'[1]Import Eletra'!$R:$R,0,1))</f>
        <v>PWBR26000356</v>
      </c>
      <c r="EO82" s="408" t="str">
        <f>IF(_xlfn.XLOOKUP($E82,'[1]Import Eletra'!$B:$B,'[1]Import Eletra'!$P:$P,,0,1)=0,"",_xlfn.XLOOKUP($E82,'[1]Import Eletra'!$B:$B,'[1]Import Eletra'!$P:$P,0,1))</f>
        <v/>
      </c>
      <c r="EP82" s="408" t="str">
        <f>IF(_xlfn.XLOOKUP($E82,'[1]Import Eletra'!$B:$B,'[1]Import Eletra'!$T:$T,,0,1)=0,"",_xlfn.XLOOKUP($E82,'[1]Import Eletra'!$B:$B,'[1]Import Eletra'!$T:$T,0,1))</f>
        <v>SEGU6846649</v>
      </c>
    </row>
    <row r="83" spans="1:146" ht="30.75">
      <c r="B83" s="281"/>
      <c r="C83" s="280"/>
      <c r="D83" s="104"/>
      <c r="E83" s="214" t="s">
        <v>315</v>
      </c>
      <c r="F83" s="203">
        <f>IF(_xlfn.XLOOKUP($E83,'[1]Import Eletra'!$B:$B,'[1]Import Eletra'!$U:$U,,0,1)=0,"",_xlfn.XLOOKUP($E83,'[1]Import Eletra'!$B:$B,'[1]Import Eletra'!$U:$U,,0,1))</f>
        <v>1</v>
      </c>
      <c r="G83" s="199" t="s">
        <v>385</v>
      </c>
      <c r="H83" s="2" t="str">
        <f>_xlfn.XLOOKUP($E83,'[1]Import Eletra'!$B:$B,'[1]Import Eletra'!$F:$F,,0,1)</f>
        <v>DELIVERED</v>
      </c>
      <c r="I83" s="108" t="str">
        <f>_xlfn.XLOOKUP($E83,'[1]Import Eletra'!$B:$B,'[1]Import Eletra'!$G:$G,,0,1)</f>
        <v>SEA</v>
      </c>
      <c r="J83" s="326"/>
      <c r="K83" s="109"/>
      <c r="L83" s="109"/>
      <c r="M83" s="326">
        <f>IF(_xlfn.XLOOKUP($E83,'[1]Import Eletra'!$B:$B,'[1]Import Eletra'!$J:$J,,0,1)=0,"",_xlfn.XLOOKUP($E83,'[1]Import Eletra'!$B:$B,'[1]Import Eletra'!$J:$J,,0,1))</f>
        <v>46059</v>
      </c>
      <c r="N83" s="332">
        <f>IF(_xlfn.XLOOKUP($E83,'[1]Import Eletra'!$B:$B,'[1]Import Eletra'!$L:$L,,0,1)=0,"",_xlfn.XLOOKUP($E83,'[1]Import Eletra'!$B:$B,'[1]Import Eletra'!$L:$L,,0,1))</f>
        <v>46139</v>
      </c>
      <c r="O83" s="335">
        <f>IF(_xlfn.XLOOKUP($E83,'[1]Import Eletra'!$B:$B,'[1]Import Eletra'!$AK:$AK,,0,1)=0,"",_xlfn.XLOOKUP($E83,'[1]Import Eletra'!$B:$B,'[1]Import Eletra'!$AK:$AK,,0,1))</f>
        <v>46141</v>
      </c>
      <c r="P83" s="326">
        <f>IF(_xlfn.XLOOKUP($E83,'[1]Import Eletra'!$B:$B,'[1]Import Eletra'!$AL:$AL,,0,1)=0,"",_xlfn.XLOOKUP($E83,'[1]Import Eletra'!$B:$B,'[1]Import Eletra'!$AL:$AL,,0,1))</f>
        <v>46146</v>
      </c>
      <c r="Q83" s="326">
        <f>IF(_xlfn.XLOOKUP($E83,'[1]Import Eletra'!$B:$B,'[1]Import Eletra'!$AM:$AM,,0,1)=0,"",_xlfn.XLOOKUP($E83,'[1]Import Eletra'!$B:$B,'[1]Import Eletra'!$AM:$AM,,0,1))</f>
        <v>46149</v>
      </c>
      <c r="R83" s="326">
        <f>IF(_xlfn.XLOOKUP($E83,'[1]Import Eletra'!$B:$B,'[1]Import Eletra'!$AN:$AN,,0,1)=0,"",_xlfn.XLOOKUP($E83,'[1]Import Eletra'!$B:$B,'[1]Import Eletra'!$AN:$AN,,0,1))</f>
        <v>46149</v>
      </c>
      <c r="S83" s="326">
        <f>IF(_xlfn.XLOOKUP($E83,'[1]Import Eletra'!$B:$B,'[1]Import Eletra'!$AO:$AO,,0,1)=0,"",_xlfn.XLOOKUP($E83,'[1]Import Eletra'!$B:$B,'[1]Import Eletra'!$AO:$AO,,0,1))</f>
        <v>46153</v>
      </c>
      <c r="T83" s="326">
        <f>IF(_xlfn.XLOOKUP($E83,'[1]Import Eletra'!$B:$B,'[1]Import Eletra'!$AP:$AP,,0,1)=0,"",_xlfn.XLOOKUP($E83,'[1]Import Eletra'!$B:$B,'[1]Import Eletra'!$AP:$AP,,0,1))</f>
        <v>46153</v>
      </c>
      <c r="U83" s="337">
        <f>IF(_xlfn.XLOOKUP($E83,'[1]Import Eletra'!$B:$B,'[1]Import Eletra'!$AQ:$AQ,,0,1)=0,"",_xlfn.XLOOKUP($E83,'[1]Import Eletra'!$B:$B,'[1]Import Eletra'!$AQ:$AQ,,0,1))</f>
        <v>46153</v>
      </c>
      <c r="V83" s="339">
        <f>IF(_xlfn.XLOOKUP($E83,'[1]Import Eletra'!$B:$B,'[1]Import Eletra'!$AR:$AR,,0,1)=0,"",_xlfn.XLOOKUP($E83,'[1]Import Eletra'!$B:$B,'[1]Import Eletra'!$AR:$AR,,0,1))</f>
        <v>46140</v>
      </c>
      <c r="W83" s="335">
        <f>AB83-$AB$4</f>
        <v>46143</v>
      </c>
      <c r="X83" s="332">
        <f>IF(_xlfn.XLOOKUP($E83,'[1]Import Eletra'!$B:$B,'[1]Import Eletra'!$AS:$AS,,0,1)=0,"",_xlfn.XLOOKUP($E83,'[1]Import Eletra'!$B:$B,'[1]Import Eletra'!$AS:$AS,,0,1))</f>
        <v>46153</v>
      </c>
      <c r="Y83" s="113">
        <f>$W$4</f>
        <v>0</v>
      </c>
      <c r="Z83" s="113">
        <f ca="1">IF(X83="",TODAY()-W83,X83-W83)</f>
        <v>10</v>
      </c>
      <c r="AA83" s="184">
        <f ca="1">IF(AND(ISNUMBER($Z83),$Z83&gt;0),$Z83-$Y83,"")</f>
        <v>10</v>
      </c>
      <c r="AB83" s="348">
        <f>AG83-$AB$4</f>
        <v>46143</v>
      </c>
      <c r="AC83" s="332">
        <f>IF(_xlfn.XLOOKUP($E83,'[1]Import Eletra'!$B:$B,'[1]Import Eletra'!$AD:$AD,,0,1)=0,"",_xlfn.XLOOKUP($E83,'[1]Import Eletra'!$B:$B,'[1]Import Eletra'!$AD:$AD,,0,1))</f>
        <v>46154</v>
      </c>
      <c r="AD83" s="113">
        <f>$AB$4</f>
        <v>0</v>
      </c>
      <c r="AE83" s="113">
        <f ca="1">IF(AC83="",TODAY()-AB83,AC83-AB83)</f>
        <v>11</v>
      </c>
      <c r="AF83" s="184">
        <f ca="1">AE83-AD83</f>
        <v>11</v>
      </c>
      <c r="AG83" s="355">
        <f>AL83-$AL$4</f>
        <v>46143</v>
      </c>
      <c r="AH83" s="332">
        <f>IF(_xlfn.XLOOKUP($E83,'[1]Import Eletra'!$B:$B,'[1]Import Eletra'!$AE:$AE,,0,1)=0,"",_xlfn.XLOOKUP($E83,'[1]Import Eletra'!$B:$B,'[1]Import Eletra'!$AE:$AE,,0,1))</f>
        <v>46155</v>
      </c>
      <c r="AI83" s="113">
        <f>$AG$4</f>
        <v>0</v>
      </c>
      <c r="AJ83" s="113">
        <f ca="1">IF(AH83="",TODAY()-AG83,AH83-AG83)</f>
        <v>12</v>
      </c>
      <c r="AK83" s="184">
        <f ca="1">IF(AND(ISNUMBER($AJ83),$AJ83&gt;0),$AJ83-$AI83,"")</f>
        <v>12</v>
      </c>
      <c r="AL83" s="355">
        <f>AQ83-$AQ$4</f>
        <v>46143</v>
      </c>
      <c r="AM83" s="332">
        <f>IF(_xlfn.XLOOKUP($E83,'[1]Import Eletra'!$B:$B,'[1]Import Eletra'!$AT:$AT,,0,1)=0,"",_xlfn.XLOOKUP($E83,'[1]Import Eletra'!$B:$B,'[1]Import Eletra'!$AT:$AT,,0,1))</f>
        <v>46154</v>
      </c>
      <c r="AN83" s="113">
        <f>$AL$4</f>
        <v>0</v>
      </c>
      <c r="AO83" s="113">
        <f ca="1">IF(AM83="",TODAY()-AL83,AM83-AL83)</f>
        <v>11</v>
      </c>
      <c r="AP83" s="184">
        <f ca="1">IF(AND(ISNUMBER($AO83),$AO83&gt;0),$AO83-$AN83,"")</f>
        <v>11</v>
      </c>
      <c r="AQ83" s="357">
        <f>AV83-$AV$4</f>
        <v>46144</v>
      </c>
      <c r="AR83" s="332">
        <f>IF(_xlfn.XLOOKUP($E83,'[1]Import Eletra'!$B:$B,'[1]Import Eletra'!$AU:$AU,,0,1)=0,"",_xlfn.XLOOKUP($E83,'[1]Import Eletra'!$B:$B,'[1]Import Eletra'!$AU:$AU,,0,1))</f>
        <v>46155</v>
      </c>
      <c r="AS83" s="113">
        <f>$AQ$4</f>
        <v>1</v>
      </c>
      <c r="AT83" s="113">
        <f ca="1">IF(AR83="",TODAY()-AQ83,AR83-AQ83)</f>
        <v>11</v>
      </c>
      <c r="AU83" s="184">
        <f ca="1">IF(AND(ISNUMBER($AT83),$AT83&gt;0),$AT83-$AS83,"")</f>
        <v>10</v>
      </c>
      <c r="AV83" s="355">
        <f>BA83-$BA$4</f>
        <v>46144</v>
      </c>
      <c r="AW83" s="332">
        <f>IF(_xlfn.XLOOKUP($E83,'[1]Import Eletra'!$B:$B,'[1]Import Eletra'!$AU:$AU,,0,1)=0,"",_xlfn.XLOOKUP($E83,'[1]Import Eletra'!$B:$B,'[1]Import Eletra'!$AU:$AU,,0,1))</f>
        <v>46155</v>
      </c>
      <c r="AX83" s="113">
        <f>$AV$4</f>
        <v>0</v>
      </c>
      <c r="AY83" s="113">
        <f ca="1">IF(AW83="",TODAY()-AV83,AW83-AV83)</f>
        <v>11</v>
      </c>
      <c r="AZ83" s="184">
        <f ca="1">IF(AND(ISNUMBER($AY83),$AY83&gt;0),$AY83-$AX83,"")</f>
        <v>11</v>
      </c>
      <c r="BA83" s="357">
        <f>BF83-$BF$4</f>
        <v>46144</v>
      </c>
      <c r="BB83" s="332" t="str">
        <f>IF(_xlfn.XLOOKUP($E83,'[1]Import Eletra'!$B:$B,'[1]Import Eletra'!$AW:$AW,,0,1)=0,"",_xlfn.XLOOKUP($E83,'[1]Import Eletra'!$B:$B,'[1]Import Eletra'!$AW:$AW,,0,1))</f>
        <v/>
      </c>
      <c r="BC83" s="113">
        <f>$BA$4</f>
        <v>0</v>
      </c>
      <c r="BD83" s="113">
        <f ca="1">IF(BB83="",TODAY()-BA83,BB83-BA83)</f>
        <v>67</v>
      </c>
      <c r="BE83" s="184">
        <f ca="1">BD83-BC83</f>
        <v>67</v>
      </c>
      <c r="BF83" s="335">
        <f>BK83-$BK$4</f>
        <v>46144</v>
      </c>
      <c r="BG83" s="332" t="str">
        <f>IF(_xlfn.XLOOKUP($E83,'[1]Import Eletra'!$B:$B,'[1]Import Eletra'!$AX:$AX,,0,1)=0,"",_xlfn.XLOOKUP($E83,'[1]Import Eletra'!$B:$B,'[1]Import Eletra'!$AX:$AX,,0,1))</f>
        <v/>
      </c>
      <c r="BH83" s="113">
        <f>$BF$4</f>
        <v>0</v>
      </c>
      <c r="BI83" s="113">
        <f ca="1">IF(BG83="",TODAY()-BF83,BG83-BF83)</f>
        <v>67</v>
      </c>
      <c r="BJ83" s="184">
        <f ca="1">IF(AND(ISNUMBER($BI83),$BI83&gt;0),$BI83-$BH83,"")</f>
        <v>67</v>
      </c>
      <c r="BK83" s="362">
        <f>BP83-$BP$4</f>
        <v>46144</v>
      </c>
      <c r="BL83" s="332">
        <f>IF(_xlfn.XLOOKUP($E83,'[1]Import Eletra'!$B:$B,'[1]Import Eletra'!$AY:$AY,,0,1)=0,"",_xlfn.XLOOKUP($E83,'[1]Import Eletra'!$B:$B,'[1]Import Eletra'!$AY:$AY,,0,1))</f>
        <v>46154</v>
      </c>
      <c r="BM83" s="113">
        <f>$BK$4</f>
        <v>0</v>
      </c>
      <c r="BN83" s="113">
        <f ca="1">IF(BL83="",TODAY()-BK83,BL83-BK83)</f>
        <v>10</v>
      </c>
      <c r="BO83" s="184">
        <f ca="1">BN83-BM83</f>
        <v>10</v>
      </c>
      <c r="BP83" s="335">
        <f>BU83-$BU$4</f>
        <v>46144</v>
      </c>
      <c r="BQ83" s="332">
        <f>IF(_xlfn.XLOOKUP($E83,'[1]Import Eletra'!$B:$B,'[1]Import Eletra'!$AZ:$AZ,,0,1)=0,"",_xlfn.XLOOKUP($E83,'[1]Import Eletra'!$B:$B,'[1]Import Eletra'!$AZ:$AZ,,0,1))</f>
        <v>46154</v>
      </c>
      <c r="BR83" s="113">
        <f>$BP$4</f>
        <v>0</v>
      </c>
      <c r="BS83" s="113">
        <f ca="1">IF(BQ83="",TODAY()-BP83,BQ83-BP83)</f>
        <v>10</v>
      </c>
      <c r="BT83" s="184">
        <f ca="1">BS83-BR83</f>
        <v>10</v>
      </c>
      <c r="BU83" s="362">
        <f>BZ83-$BZ$4</f>
        <v>46146</v>
      </c>
      <c r="BV83" s="332">
        <f>IF(_xlfn.XLOOKUP($E83,'[1]Import Eletra'!$B:$B,'[1]Import Eletra'!$BA:$BA,,0,1)=0,"",_xlfn.XLOOKUP($E83,'[1]Import Eletra'!$B:$B,'[1]Import Eletra'!$BA:$BA,,0,1))</f>
        <v>46155</v>
      </c>
      <c r="BW83" s="113">
        <f>$BU$4</f>
        <v>2</v>
      </c>
      <c r="BX83" s="113">
        <f ca="1">IF(BV83="",TODAY()-BU83,BV83-BU83)</f>
        <v>9</v>
      </c>
      <c r="BY83" s="184">
        <f ca="1">IF(AND(ISNUMBER($BX83),$BX83&gt;0),$BX83-$BW83,"")</f>
        <v>7</v>
      </c>
      <c r="BZ83" s="335">
        <f>CE83-$CE$4</f>
        <v>46146</v>
      </c>
      <c r="CA83" s="332">
        <f>IF(_xlfn.XLOOKUP($E83,'[1]Import Eletra'!$B:$B,'[1]Import Eletra'!$BB:$BB,,0,1)=0,"",_xlfn.XLOOKUP($E83,'[1]Import Eletra'!$B:$B,'[1]Import Eletra'!$BB:$BB,,0,1))</f>
        <v>46155</v>
      </c>
      <c r="CB83" s="113">
        <f>$BZ$4</f>
        <v>0</v>
      </c>
      <c r="CC83" s="113">
        <f ca="1">IF(CA83="",TODAY()-BZ83,CA83-BZ83)</f>
        <v>9</v>
      </c>
      <c r="CD83" s="184">
        <f ca="1">CC83-CB83</f>
        <v>9</v>
      </c>
      <c r="CE83" s="362">
        <f>CJ83-$CJ$4</f>
        <v>46146</v>
      </c>
      <c r="CF83" s="332">
        <f>IF(_xlfn.XLOOKUP($E83,'[1]Import Eletra'!$B:$B,'[1]Import Eletra'!$BC:$BC,,0,1)=0,"",_xlfn.XLOOKUP($E83,'[1]Import Eletra'!$B:$B,'[1]Import Eletra'!$BC:$BC,,0,1))</f>
        <v>46155</v>
      </c>
      <c r="CG83" s="113">
        <f>$CE$4</f>
        <v>0</v>
      </c>
      <c r="CH83" s="113">
        <f ca="1">IF(CF83="",TODAY()-CE83,CF83-CE83)</f>
        <v>9</v>
      </c>
      <c r="CI83" s="184">
        <f ca="1">CH83-CG83</f>
        <v>9</v>
      </c>
      <c r="CJ83" s="335">
        <f>CO83-$CO$4</f>
        <v>46146</v>
      </c>
      <c r="CK83" s="332">
        <f>IF(_xlfn.XLOOKUP($E83,'[1]Import Eletra'!$B:$B,'[1]Import Eletra'!$BD:$BD,,0,1)=0,"",_xlfn.XLOOKUP($E83,'[1]Import Eletra'!$B:$B,'[1]Import Eletra'!$BD:$BD,,0,1))</f>
        <v>46155</v>
      </c>
      <c r="CL83" s="113"/>
      <c r="CM83" s="113">
        <f ca="1">IF(CK83="",TODAY()-CJ83,CK83-CJ83)</f>
        <v>9</v>
      </c>
      <c r="CN83" s="184">
        <f ca="1">CM83-CL83</f>
        <v>9</v>
      </c>
      <c r="CO83" s="362">
        <f>CT83-$CT$4</f>
        <v>46146</v>
      </c>
      <c r="CP83" s="332">
        <f>IF(_xlfn.XLOOKUP($E83,'[1]Import Eletra'!$B:$B,'[1]Import Eletra'!$BE:$BE,,0,1)=0,"",_xlfn.XLOOKUP($E83,'[1]Import Eletra'!$B:$B,'[1]Import Eletra'!$BE:$BE,,0,1))</f>
        <v>46155</v>
      </c>
      <c r="CQ83" s="113">
        <f>$CO$4</f>
        <v>0</v>
      </c>
      <c r="CR83" s="113">
        <f ca="1">IF(CP83="",TODAY()-CO83,CP83-CO83)</f>
        <v>9</v>
      </c>
      <c r="CS83" s="184">
        <f ca="1">CR83-CQ83</f>
        <v>9</v>
      </c>
      <c r="CT83" s="335">
        <f>CY83-$CY$4</f>
        <v>46146</v>
      </c>
      <c r="CU83" s="332">
        <f>IF(_xlfn.XLOOKUP($E83,'[1]Import Eletra'!$B:$B,'[1]Import Eletra'!$BF:$BF,,0,1)=0,"",_xlfn.XLOOKUP($E83,'[1]Import Eletra'!$B:$B,'[1]Import Eletra'!$BF:$BF,,0,1))</f>
        <v>46155</v>
      </c>
      <c r="CV83" s="113">
        <f>$CT$4</f>
        <v>0</v>
      </c>
      <c r="CW83" s="113">
        <f ca="1">IF(CU83="",TODAY()-CT83,CU83-CT83)</f>
        <v>9</v>
      </c>
      <c r="CX83" s="184">
        <f ca="1">CW83-CV83</f>
        <v>9</v>
      </c>
      <c r="CY83" s="110">
        <f>DD83-$DD$4</f>
        <v>46146</v>
      </c>
      <c r="CZ83" s="104">
        <f>IF(_xlfn.XLOOKUP($E83,'[1]Import Eletra'!$B:$B,'[1]Import Eletra'!$BF:$BF,,0,1)=0,"",_xlfn.XLOOKUP($E83,'[1]Import Eletra'!$B:$B,'[1]Import Eletra'!$BF:$BF,,0,1))</f>
        <v>46155</v>
      </c>
      <c r="DA83" s="210">
        <f>$CY$4</f>
        <v>0</v>
      </c>
      <c r="DB83" s="113">
        <f ca="1">IF(CZ83="",TODAY()-CY83,CZ83-CY83)</f>
        <v>9</v>
      </c>
      <c r="DC83" s="184">
        <f ca="1">DB83-DA83</f>
        <v>9</v>
      </c>
      <c r="DD83" s="110">
        <f>DI83-$DI$4</f>
        <v>46148</v>
      </c>
      <c r="DE83" s="104">
        <f>IF(_xlfn.XLOOKUP($E83,'[1]Import Eletra'!$B:$B,'[1]Import Eletra'!$BG:$BG,,0,1)=0,"",_xlfn.XLOOKUP($E83,'[1]Import Eletra'!$B:$B,'[1]Import Eletra'!$BG:$BG,0,1))</f>
        <v>46156</v>
      </c>
      <c r="DF83" s="113">
        <f>$DD$4</f>
        <v>2</v>
      </c>
      <c r="DG83" s="113">
        <f ca="1">IF(DE83="",TODAY()-DD83,DE83-DD83)</f>
        <v>8</v>
      </c>
      <c r="DH83" s="184">
        <f ca="1">DG83-DF83</f>
        <v>6</v>
      </c>
      <c r="DI83" s="110">
        <f>DO83-$DN$4</f>
        <v>46149</v>
      </c>
      <c r="DJ83" s="104">
        <f>IF(_xlfn.XLOOKUP($E83,'[1]Import Eletra'!$B:$B,'[1]Import Eletra'!$BH:$BH,,0,1)=0,"",_xlfn.XLOOKUP($E83,'[1]Import Eletra'!$B:$B,'[1]Import Eletra'!$BH:$BH,0,1))</f>
        <v>46156</v>
      </c>
      <c r="DK83" s="113">
        <f>$DI$4</f>
        <v>1</v>
      </c>
      <c r="DL83" s="113">
        <f ca="1">IF(DJ83="",TODAY()-DI83,DJ83-DI83)</f>
        <v>7</v>
      </c>
      <c r="DM83" s="184"/>
      <c r="DN83" s="64"/>
      <c r="DO83" s="202">
        <f>IF(V83="",N83+DT83,V83+DT83)</f>
        <v>46150</v>
      </c>
      <c r="DP83" s="165">
        <f>IF(_xlfn.XLOOKUP($E83,'[1]Import Eletra'!$B:$B,'[1]Import Eletra'!$O:$O,,0,1)=0,"",_xlfn.XLOOKUP($E83,'[1]Import Eletra'!$B:$B,'[1]Import Eletra'!$O:$O,0,1))</f>
        <v>46157</v>
      </c>
      <c r="DQ83" s="113">
        <f>$DN$4</f>
        <v>1</v>
      </c>
      <c r="DR83" s="113">
        <f ca="1">IF(DP83="",TODAY()-DO83,DP83-DO83)</f>
        <v>7</v>
      </c>
      <c r="DS83" s="184">
        <f ca="1">DR83-DQ83</f>
        <v>6</v>
      </c>
      <c r="DT83" s="143">
        <v>10</v>
      </c>
      <c r="DU83" s="140">
        <f t="shared" ca="1" si="270"/>
        <v>18</v>
      </c>
      <c r="DV83" s="184">
        <f ca="1">DU83-DT83</f>
        <v>8</v>
      </c>
      <c r="DX83" s="185" t="s">
        <v>245</v>
      </c>
      <c r="DY83" s="108" t="str">
        <f>IF(_xlfn.XLOOKUP($E83,'[1]Import Eletra'!$B:$B,'[1]Import Eletra'!$DW:$DW,,0,1)=0,"",_xlfn.XLOOKUP($E83,'[1]Import Eletra'!$B:$B,'[1]Import Eletra'!$DW:$DW,0,1))</f>
        <v/>
      </c>
      <c r="EB83" s="289"/>
      <c r="ED83" s="409">
        <f>IF(_xlfn.XLOOKUP($E83,'[1]Import Eletra'!$B:$B,'[1]Import Eletra'!$BQ:$BQ,,0,1)=0,"",_xlfn.XLOOKUP($E83,'[1]Import Eletra'!$B:$B,'[1]Import Eletra'!$BQ:$BQ,0,1))</f>
        <v>818.29</v>
      </c>
      <c r="EE83" s="410">
        <f>IF(_xlfn.XLOOKUP($E83,'[1]Import Eletra'!$B:$B,'[1]Import Eletra'!$BR:$BR,,0,1)=0,"",_xlfn.XLOOKUP($E83,'[1]Import Eletra'!$B:$B,'[1]Import Eletra'!$BR:$BR,0,1))</f>
        <v>46160</v>
      </c>
      <c r="EF83" s="409" t="str">
        <f>IF(_xlfn.XLOOKUP($E83,'[1]Import Eletra'!$B:$B,'[1]Import Eletra'!$BS:$BS,,0,1)=0,"",_xlfn.XLOOKUP($E83,'[1]Import Eletra'!$B:$B,'[1]Import Eletra'!$BS:$BS,0,1))</f>
        <v/>
      </c>
      <c r="EG83" s="410" t="str">
        <f>IF(_xlfn.XLOOKUP($E83,'[1]Import Eletra'!$B:$B,'[1]Import Eletra'!$BT:$BT,,0,1)=0,"",_xlfn.XLOOKUP($E83,'[1]Import Eletra'!$B:$B,'[1]Import Eletra'!$BT:$BT,0,1))</f>
        <v/>
      </c>
      <c r="EH83" s="409" t="str">
        <f>IF(_xlfn.XLOOKUP($E83,'[1]Import Eletra'!$B:$B,'[1]Import Eletra'!$BU:$BU,,0,1)=0,"",_xlfn.XLOOKUP($E83,'[1]Import Eletra'!$B:$B,'[1]Import Eletra'!$BU:$BU,0,1))</f>
        <v/>
      </c>
      <c r="EI83" s="410" t="str">
        <f>IF(_xlfn.XLOOKUP($E83,'[1]Import Eletra'!$B:$B,'[1]Import Eletra'!$BV:$BV,,0,1)=0,"",_xlfn.XLOOKUP($E83,'[1]Import Eletra'!$B:$B,'[1]Import Eletra'!$BV:$BV,0,1))</f>
        <v/>
      </c>
      <c r="EJ83" s="410">
        <f>IF(_xlfn.XLOOKUP($E83,'[1]Import Eletra'!$B:$B,'[1]Import Eletra'!$CI:$CI,,0,1)=0,"",_xlfn.XLOOKUP($E83,'[1]Import Eletra'!$B:$B,'[1]Import Eletra'!$CI:$CI,0,1))</f>
        <v>46157</v>
      </c>
      <c r="EK83" s="410">
        <f>IF(_xlfn.XLOOKUP($E83,'[1]Import Eletra'!$B:$B,'[1]Import Eletra'!$CD:$CD,,0,1)=0,"",_xlfn.XLOOKUP($E83,'[1]Import Eletra'!$B:$B,'[1]Import Eletra'!$CD:$CD,0,1))</f>
        <v>46158</v>
      </c>
      <c r="EL83" s="410" t="str">
        <f>IF(_xlfn.XLOOKUP($E83,'[1]Import Eletra'!$B:$B,'[1]Import Eletra'!$CE:$CE,,0,1)=0,"",_xlfn.XLOOKUP($E83,'[1]Import Eletra'!$B:$B,'[1]Import Eletra'!$CE:$CE,0,1))</f>
        <v>SIM  1 dias</v>
      </c>
      <c r="EM83" s="411" t="str">
        <f>IF(_xlfn.XLOOKUP($E83,'[1]Import Eletra'!$B:$B,'[1]Import Eletra'!$E:$E,,0,1)=0,"",_xlfn.XLOOKUP($E83,'[1]Import Eletra'!$B:$B,'[1]Import Eletra'!$E:$E,0,1))</f>
        <v>RENATO</v>
      </c>
      <c r="EN83" s="408" t="str">
        <f>IF(_xlfn.XLOOKUP($E83,'[1]Import Eletra'!$B:$B,'[1]Import Eletra'!$R:$R,,0,1)=0,"",_xlfn.XLOOKUP($E83,'[1]Import Eletra'!$B:$B,'[1]Import Eletra'!$R:$R,0,1))</f>
        <v>PWBR250206</v>
      </c>
      <c r="EO83" s="408" t="str">
        <f>IF(_xlfn.XLOOKUP($E83,'[1]Import Eletra'!$B:$B,'[1]Import Eletra'!$P:$P,,0,1)=0,"",_xlfn.XLOOKUP($E83,'[1]Import Eletra'!$B:$B,'[1]Import Eletra'!$P:$P,0,1))</f>
        <v>SYNHGH26SE020428</v>
      </c>
      <c r="EP83" s="408" t="str">
        <f>IF(_xlfn.XLOOKUP($E83,'[1]Import Eletra'!$B:$B,'[1]Import Eletra'!$T:$T,,0,1)=0,"",_xlfn.XLOOKUP($E83,'[1]Import Eletra'!$B:$B,'[1]Import Eletra'!$T:$T,0,1))</f>
        <v>MTSU9640992</v>
      </c>
    </row>
    <row r="84" spans="1:146" ht="30.75">
      <c r="B84" s="281"/>
      <c r="C84" s="280"/>
      <c r="D84" s="104"/>
      <c r="E84" s="214" t="s">
        <v>316</v>
      </c>
      <c r="F84" s="203">
        <f>IF(_xlfn.XLOOKUP($E84,'[1]Import Eletra'!$B:$B,'[1]Import Eletra'!$U:$U,,0,1)=0,"",_xlfn.XLOOKUP($E84,'[1]Import Eletra'!$B:$B,'[1]Import Eletra'!$U:$U,,0,1))</f>
        <v>3</v>
      </c>
      <c r="G84" s="199" t="s">
        <v>385</v>
      </c>
      <c r="H84" s="2" t="str">
        <f>_xlfn.XLOOKUP($E84,'[1]Import Eletra'!$B:$B,'[1]Import Eletra'!$F:$F,,0,1)</f>
        <v>DELIVERED</v>
      </c>
      <c r="I84" s="108" t="str">
        <f>_xlfn.XLOOKUP($E84,'[1]Import Eletra'!$B:$B,'[1]Import Eletra'!$G:$G,,0,1)</f>
        <v>SEA</v>
      </c>
      <c r="J84" s="326"/>
      <c r="K84" s="109"/>
      <c r="L84" s="109"/>
      <c r="M84" s="326">
        <f>IF(_xlfn.XLOOKUP($E84,'[1]Import Eletra'!$B:$B,'[1]Import Eletra'!$J:$J,,0,1)=0,"",_xlfn.XLOOKUP($E84,'[1]Import Eletra'!$B:$B,'[1]Import Eletra'!$J:$J,,0,1))</f>
        <v>46090</v>
      </c>
      <c r="N84" s="332">
        <f>IF(_xlfn.XLOOKUP($E84,'[1]Import Eletra'!$B:$B,'[1]Import Eletra'!$L:$L,,0,1)=0,"",_xlfn.XLOOKUP($E84,'[1]Import Eletra'!$B:$B,'[1]Import Eletra'!$L:$L,,0,1))</f>
        <v>46140</v>
      </c>
      <c r="O84" s="335">
        <f>IF(_xlfn.XLOOKUP($E84,'[1]Import Eletra'!$B:$B,'[1]Import Eletra'!$AK:$AK,,0,1)=0,"",_xlfn.XLOOKUP($E84,'[1]Import Eletra'!$B:$B,'[1]Import Eletra'!$AK:$AK,,0,1))</f>
        <v>46147</v>
      </c>
      <c r="P84" s="326">
        <f>IF(_xlfn.XLOOKUP($E84,'[1]Import Eletra'!$B:$B,'[1]Import Eletra'!$AL:$AL,,0,1)=0,"",_xlfn.XLOOKUP($E84,'[1]Import Eletra'!$B:$B,'[1]Import Eletra'!$AL:$AL,,0,1))</f>
        <v>46148</v>
      </c>
      <c r="Q84" s="326">
        <f>IF(_xlfn.XLOOKUP($E84,'[1]Import Eletra'!$B:$B,'[1]Import Eletra'!$AM:$AM,,0,1)=0,"",_xlfn.XLOOKUP($E84,'[1]Import Eletra'!$B:$B,'[1]Import Eletra'!$AM:$AM,,0,1))</f>
        <v>46150</v>
      </c>
      <c r="R84" s="326">
        <f>IF(_xlfn.XLOOKUP($E84,'[1]Import Eletra'!$B:$B,'[1]Import Eletra'!$AN:$AN,,0,1)=0,"",_xlfn.XLOOKUP($E84,'[1]Import Eletra'!$B:$B,'[1]Import Eletra'!$AN:$AN,,0,1))</f>
        <v>46150</v>
      </c>
      <c r="S84" s="326">
        <f>IF(_xlfn.XLOOKUP($E84,'[1]Import Eletra'!$B:$B,'[1]Import Eletra'!$AO:$AO,,0,1)=0,"",_xlfn.XLOOKUP($E84,'[1]Import Eletra'!$B:$B,'[1]Import Eletra'!$AO:$AO,,0,1))</f>
        <v>46150</v>
      </c>
      <c r="T84" s="326">
        <f>IF(_xlfn.XLOOKUP($E84,'[1]Import Eletra'!$B:$B,'[1]Import Eletra'!$AP:$AP,,0,1)=0,"",_xlfn.XLOOKUP($E84,'[1]Import Eletra'!$B:$B,'[1]Import Eletra'!$AP:$AP,,0,1))</f>
        <v>46150</v>
      </c>
      <c r="U84" s="337">
        <f>IF(_xlfn.XLOOKUP($E84,'[1]Import Eletra'!$B:$B,'[1]Import Eletra'!$AQ:$AQ,,0,1)=0,"",_xlfn.XLOOKUP($E84,'[1]Import Eletra'!$B:$B,'[1]Import Eletra'!$AQ:$AQ,,0,1))</f>
        <v>46150</v>
      </c>
      <c r="V84" s="339">
        <f>IF(_xlfn.XLOOKUP($E84,'[1]Import Eletra'!$B:$B,'[1]Import Eletra'!$AR:$AR,,0,1)=0,"",_xlfn.XLOOKUP($E84,'[1]Import Eletra'!$B:$B,'[1]Import Eletra'!$AR:$AR,,0,1))</f>
        <v>46141</v>
      </c>
      <c r="W84" s="335">
        <f>AB84-$AB$4</f>
        <v>46144</v>
      </c>
      <c r="X84" s="332">
        <f>IF(_xlfn.XLOOKUP($E84,'[1]Import Eletra'!$B:$B,'[1]Import Eletra'!$AS:$AS,,0,1)=0,"",_xlfn.XLOOKUP($E84,'[1]Import Eletra'!$B:$B,'[1]Import Eletra'!$AS:$AS,,0,1))</f>
        <v>46153</v>
      </c>
      <c r="Y84" s="112">
        <f>$W$4</f>
        <v>0</v>
      </c>
      <c r="Z84" s="113">
        <f ca="1">IF(X84="",TODAY()-W84,X84-W84)</f>
        <v>9</v>
      </c>
      <c r="AA84" s="184">
        <f ca="1">IF(AND(ISNUMBER($Z84),$Z84&gt;0),$Z84-$Y84,"")</f>
        <v>9</v>
      </c>
      <c r="AB84" s="346">
        <f>AG84-$AB$4</f>
        <v>46144</v>
      </c>
      <c r="AC84" s="332">
        <f>IF(_xlfn.XLOOKUP($E84,'[1]Import Eletra'!$B:$B,'[1]Import Eletra'!$AD:$AD,,0,1)=0,"",_xlfn.XLOOKUP($E84,'[1]Import Eletra'!$B:$B,'[1]Import Eletra'!$AD:$AD,,0,1))</f>
        <v>46153</v>
      </c>
      <c r="AD84" s="112">
        <f>$AB$4</f>
        <v>0</v>
      </c>
      <c r="AE84" s="112">
        <f ca="1">IF(AC84="",TODAY()-AB84,AC84-AB84)</f>
        <v>9</v>
      </c>
      <c r="AF84" s="184">
        <f ca="1">AE84-AD84</f>
        <v>9</v>
      </c>
      <c r="AG84" s="354">
        <f>AL84-$AL$4</f>
        <v>46144</v>
      </c>
      <c r="AH84" s="332">
        <f>IF(_xlfn.XLOOKUP($E84,'[1]Import Eletra'!$B:$B,'[1]Import Eletra'!$AE:$AE,,0,1)=0,"",_xlfn.XLOOKUP($E84,'[1]Import Eletra'!$B:$B,'[1]Import Eletra'!$AE:$AE,,0,1))</f>
        <v>46154</v>
      </c>
      <c r="AI84" s="112">
        <f>$AG$4</f>
        <v>0</v>
      </c>
      <c r="AJ84" s="112">
        <f ca="1">IF(AH84="",TODAY()-AG84,AH84-AG84)</f>
        <v>10</v>
      </c>
      <c r="AK84" s="184">
        <f ca="1">IF(AND(ISNUMBER($AJ84),$AJ84&gt;0),$AJ84-$AI84,"")</f>
        <v>10</v>
      </c>
      <c r="AL84" s="355">
        <f>AQ84-$AQ$4</f>
        <v>46144</v>
      </c>
      <c r="AM84" s="332">
        <f>IF(_xlfn.XLOOKUP($E84,'[1]Import Eletra'!$B:$B,'[1]Import Eletra'!$AT:$AT,,0,1)=0,"",_xlfn.XLOOKUP($E84,'[1]Import Eletra'!$B:$B,'[1]Import Eletra'!$AT:$AT,,0,1))</f>
        <v>46154</v>
      </c>
      <c r="AN84" s="112">
        <f>$AL$4</f>
        <v>0</v>
      </c>
      <c r="AO84" s="112">
        <f ca="1">IF(AM84="",TODAY()-AL84,AM84-AL84)</f>
        <v>10</v>
      </c>
      <c r="AP84" s="184">
        <f ca="1">IF(AND(ISNUMBER($AO84),$AO84&gt;0),$AO84-$AN84,"")</f>
        <v>10</v>
      </c>
      <c r="AQ84" s="357">
        <f>AV84-$AV$4</f>
        <v>46145</v>
      </c>
      <c r="AR84" s="332">
        <f>IF(_xlfn.XLOOKUP($E84,'[1]Import Eletra'!$B:$B,'[1]Import Eletra'!$AU:$AU,,0,1)=0,"",_xlfn.XLOOKUP($E84,'[1]Import Eletra'!$B:$B,'[1]Import Eletra'!$AU:$AU,,0,1))</f>
        <v>46155</v>
      </c>
      <c r="AS84" s="112">
        <f>$AQ$4</f>
        <v>1</v>
      </c>
      <c r="AT84" s="112">
        <f ca="1">IF(AR84="",TODAY()-AQ84,AR84-AQ84)</f>
        <v>10</v>
      </c>
      <c r="AU84" s="184">
        <f ca="1">IF(AND(ISNUMBER($AT84),$AT84&gt;0),$AT84-$AS84,"")</f>
        <v>9</v>
      </c>
      <c r="AV84" s="355">
        <f>BA84-$BA$4</f>
        <v>46145</v>
      </c>
      <c r="AW84" s="332">
        <f>IF(_xlfn.XLOOKUP($E84,'[1]Import Eletra'!$B:$B,'[1]Import Eletra'!$AU:$AU,,0,1)=0,"",_xlfn.XLOOKUP($E84,'[1]Import Eletra'!$B:$B,'[1]Import Eletra'!$AU:$AU,,0,1))</f>
        <v>46155</v>
      </c>
      <c r="AX84" s="112">
        <f>$AV$4</f>
        <v>0</v>
      </c>
      <c r="AY84" s="113">
        <f ca="1">IF(AW84="",TODAY()-AV84,AW84-AV84)</f>
        <v>10</v>
      </c>
      <c r="AZ84" s="184">
        <f ca="1">IF(AND(ISNUMBER($AY84),$AY84&gt;0),$AY84-$AX84,"")</f>
        <v>10</v>
      </c>
      <c r="BA84" s="357">
        <f>BF84-$BF$4</f>
        <v>46145</v>
      </c>
      <c r="BB84" s="332" t="str">
        <f>IF(_xlfn.XLOOKUP($E84,'[1]Import Eletra'!$B:$B,'[1]Import Eletra'!$AW:$AW,,0,1)=0,"",_xlfn.XLOOKUP($E84,'[1]Import Eletra'!$B:$B,'[1]Import Eletra'!$AW:$AW,,0,1))</f>
        <v/>
      </c>
      <c r="BC84" s="112">
        <f>$BA$4</f>
        <v>0</v>
      </c>
      <c r="BD84" s="112">
        <f ca="1">IF(BB84="",TODAY()-BA84,BB84-BA84)</f>
        <v>66</v>
      </c>
      <c r="BE84" s="184">
        <f ca="1">BD84-BC84</f>
        <v>66</v>
      </c>
      <c r="BF84" s="335">
        <f>BK84-$BK$4</f>
        <v>46145</v>
      </c>
      <c r="BG84" s="332" t="str">
        <f>IF(_xlfn.XLOOKUP($E84,'[1]Import Eletra'!$B:$B,'[1]Import Eletra'!$AX:$AX,,0,1)=0,"",_xlfn.XLOOKUP($E84,'[1]Import Eletra'!$B:$B,'[1]Import Eletra'!$AX:$AX,,0,1))</f>
        <v/>
      </c>
      <c r="BH84" s="112">
        <f>$BF$4</f>
        <v>0</v>
      </c>
      <c r="BI84" s="112">
        <f ca="1">IF(BG84="",TODAY()-BF84,BG84-BF84)</f>
        <v>66</v>
      </c>
      <c r="BJ84" s="184">
        <f ca="1">IF(AND(ISNUMBER($BI84),$BI84&gt;0),$BI84-$BH84,"")</f>
        <v>66</v>
      </c>
      <c r="BK84" s="362">
        <f>BP84-$BP$4</f>
        <v>46145</v>
      </c>
      <c r="BL84" s="332">
        <f>IF(_xlfn.XLOOKUP($E84,'[1]Import Eletra'!$B:$B,'[1]Import Eletra'!$AY:$AY,,0,1)=0,"",_xlfn.XLOOKUP($E84,'[1]Import Eletra'!$B:$B,'[1]Import Eletra'!$AY:$AY,,0,1))</f>
        <v>46154</v>
      </c>
      <c r="BM84" s="112">
        <f>$BK$4</f>
        <v>0</v>
      </c>
      <c r="BN84" s="112">
        <f ca="1">IF(BL84="",TODAY()-BK84,BL84-BK84)</f>
        <v>9</v>
      </c>
      <c r="BO84" s="184">
        <f ca="1">BN84-BM84</f>
        <v>9</v>
      </c>
      <c r="BP84" s="335">
        <f>BU84-$BU$4</f>
        <v>46145</v>
      </c>
      <c r="BQ84" s="332">
        <f>IF(_xlfn.XLOOKUP($E84,'[1]Import Eletra'!$B:$B,'[1]Import Eletra'!$AZ:$AZ,,0,1)=0,"",_xlfn.XLOOKUP($E84,'[1]Import Eletra'!$B:$B,'[1]Import Eletra'!$AZ:$AZ,,0,1))</f>
        <v>46154</v>
      </c>
      <c r="BR84" s="112">
        <f>$BP$4</f>
        <v>0</v>
      </c>
      <c r="BS84" s="112">
        <f ca="1">IF(BQ84="",TODAY()-BP84,BQ84-BP84)</f>
        <v>9</v>
      </c>
      <c r="BT84" s="184">
        <f ca="1">BS84-BR84</f>
        <v>9</v>
      </c>
      <c r="BU84" s="362">
        <f>BZ84-$BZ$4</f>
        <v>46147</v>
      </c>
      <c r="BV84" s="332">
        <f>IF(_xlfn.XLOOKUP($E84,'[1]Import Eletra'!$B:$B,'[1]Import Eletra'!$BA:$BA,,0,1)=0,"",_xlfn.XLOOKUP($E84,'[1]Import Eletra'!$B:$B,'[1]Import Eletra'!$BA:$BA,,0,1))</f>
        <v>46155</v>
      </c>
      <c r="BW84" s="112">
        <f>$BU$4</f>
        <v>2</v>
      </c>
      <c r="BX84" s="112">
        <f ca="1">IF(BV84="",TODAY()-BU84,BV84-BU84)</f>
        <v>8</v>
      </c>
      <c r="BY84" s="184">
        <f ca="1">IF(AND(ISNUMBER($BX84),$BX84&gt;0),$BX84-$BW84,"")</f>
        <v>6</v>
      </c>
      <c r="BZ84" s="335">
        <f>CE84-$CE$4</f>
        <v>46147</v>
      </c>
      <c r="CA84" s="332">
        <f>IF(_xlfn.XLOOKUP($E84,'[1]Import Eletra'!$B:$B,'[1]Import Eletra'!$BB:$BB,,0,1)=0,"",_xlfn.XLOOKUP($E84,'[1]Import Eletra'!$B:$B,'[1]Import Eletra'!$BB:$BB,,0,1))</f>
        <v>46155</v>
      </c>
      <c r="CB84" s="112">
        <f>$BZ$4</f>
        <v>0</v>
      </c>
      <c r="CC84" s="112">
        <f ca="1">IF(CA84="",TODAY()-BZ84,CA84-BZ84)</f>
        <v>8</v>
      </c>
      <c r="CD84" s="184">
        <f ca="1">CC84-CB84</f>
        <v>8</v>
      </c>
      <c r="CE84" s="362">
        <f>CJ84-$CJ$4</f>
        <v>46147</v>
      </c>
      <c r="CF84" s="332">
        <f>IF(_xlfn.XLOOKUP($E84,'[1]Import Eletra'!$B:$B,'[1]Import Eletra'!$BC:$BC,,0,1)=0,"",_xlfn.XLOOKUP($E84,'[1]Import Eletra'!$B:$B,'[1]Import Eletra'!$BC:$BC,,0,1))</f>
        <v>46155</v>
      </c>
      <c r="CG84" s="112">
        <f>$CE$4</f>
        <v>0</v>
      </c>
      <c r="CH84" s="112">
        <f ca="1">IF(CF84="",TODAY()-CE84,CF84-CE84)</f>
        <v>8</v>
      </c>
      <c r="CI84" s="184">
        <f ca="1">CH84-CG84</f>
        <v>8</v>
      </c>
      <c r="CJ84" s="335">
        <f>CO84-$CO$4</f>
        <v>46147</v>
      </c>
      <c r="CK84" s="332">
        <f>IF(_xlfn.XLOOKUP($E84,'[1]Import Eletra'!$B:$B,'[1]Import Eletra'!$BD:$BD,,0,1)=0,"",_xlfn.XLOOKUP($E84,'[1]Import Eletra'!$B:$B,'[1]Import Eletra'!$BD:$BD,,0,1))</f>
        <v>46155</v>
      </c>
      <c r="CL84" s="112"/>
      <c r="CM84" s="112">
        <f ca="1">IF(CK84="",TODAY()-CJ84,CK84-CJ84)</f>
        <v>8</v>
      </c>
      <c r="CN84" s="184">
        <f ca="1">CM84-CL84</f>
        <v>8</v>
      </c>
      <c r="CO84" s="362">
        <f>CT84-$CT$4</f>
        <v>46147</v>
      </c>
      <c r="CP84" s="332">
        <f>IF(_xlfn.XLOOKUP($E84,'[1]Import Eletra'!$B:$B,'[1]Import Eletra'!$BE:$BE,,0,1)=0,"",_xlfn.XLOOKUP($E84,'[1]Import Eletra'!$B:$B,'[1]Import Eletra'!$BE:$BE,,0,1))</f>
        <v>46155</v>
      </c>
      <c r="CQ84" s="112">
        <f>$CO$4</f>
        <v>0</v>
      </c>
      <c r="CR84" s="112">
        <f ca="1">IF(CP84="",TODAY()-CO84,CP84-CO84)</f>
        <v>8</v>
      </c>
      <c r="CS84" s="184">
        <f ca="1">CR84-CQ84</f>
        <v>8</v>
      </c>
      <c r="CT84" s="335">
        <f>CY84-$CY$4</f>
        <v>46147</v>
      </c>
      <c r="CU84" s="332">
        <f>IF(_xlfn.XLOOKUP($E84,'[1]Import Eletra'!$B:$B,'[1]Import Eletra'!$BF:$BF,,0,1)=0,"",_xlfn.XLOOKUP($E84,'[1]Import Eletra'!$B:$B,'[1]Import Eletra'!$BF:$BF,,0,1))</f>
        <v>46155</v>
      </c>
      <c r="CV84" s="112">
        <f>$CT$4</f>
        <v>0</v>
      </c>
      <c r="CW84" s="112">
        <f ca="1">IF(CU84="",TODAY()-CT84,CU84-CT84)</f>
        <v>8</v>
      </c>
      <c r="CX84" s="184">
        <f ca="1">CW84-CV84</f>
        <v>8</v>
      </c>
      <c r="CY84" s="110">
        <f>DD84-$DD$4</f>
        <v>46147</v>
      </c>
      <c r="CZ84" s="104">
        <f>IF(_xlfn.XLOOKUP($E84,'[1]Import Eletra'!$B:$B,'[1]Import Eletra'!$BF:$BF,,0,1)=0,"",_xlfn.XLOOKUP($E84,'[1]Import Eletra'!$B:$B,'[1]Import Eletra'!$BF:$BF,,0,1))</f>
        <v>46155</v>
      </c>
      <c r="DA84" s="121">
        <f>$CY$4</f>
        <v>0</v>
      </c>
      <c r="DB84" s="112">
        <f ca="1">IF(CZ84="",TODAY()-CY84,CZ84-CY84)</f>
        <v>8</v>
      </c>
      <c r="DC84" s="184">
        <f ca="1">DB84-DA84</f>
        <v>8</v>
      </c>
      <c r="DD84" s="110">
        <f>DI84-$DI$4</f>
        <v>46149</v>
      </c>
      <c r="DE84" s="104">
        <f>IF(_xlfn.XLOOKUP($E84,'[1]Import Eletra'!$B:$B,'[1]Import Eletra'!$BG:$BG,,0,1)=0,"",_xlfn.XLOOKUP($E84,'[1]Import Eletra'!$B:$B,'[1]Import Eletra'!$BG:$BG,0,1))</f>
        <v>46156</v>
      </c>
      <c r="DF84" s="112">
        <f>$DD$4</f>
        <v>2</v>
      </c>
      <c r="DG84" s="112">
        <f ca="1">IF(DE84="",TODAY()-DD84,DE84-DD84)</f>
        <v>7</v>
      </c>
      <c r="DH84" s="184">
        <f ca="1">DG84-DF84</f>
        <v>5</v>
      </c>
      <c r="DI84" s="110">
        <f>DO84-$DN$4</f>
        <v>46150</v>
      </c>
      <c r="DJ84" s="104">
        <f>IF(_xlfn.XLOOKUP($E84,'[1]Import Eletra'!$B:$B,'[1]Import Eletra'!$BH:$BH,,0,1)=0,"",_xlfn.XLOOKUP($E84,'[1]Import Eletra'!$B:$B,'[1]Import Eletra'!$BH:$BH,0,1))</f>
        <v>46156</v>
      </c>
      <c r="DK84" s="112">
        <f>$DI$4</f>
        <v>1</v>
      </c>
      <c r="DL84" s="112">
        <f ca="1">IF(DJ84="",TODAY()-DI84,DJ84-DI84)</f>
        <v>6</v>
      </c>
      <c r="DM84" s="184"/>
      <c r="DN84" s="64"/>
      <c r="DO84" s="202">
        <f>IF(V84="",N84+DT84,V84+DT84)</f>
        <v>46151</v>
      </c>
      <c r="DP84" s="165">
        <f>IF(_xlfn.XLOOKUP($E84,'[1]Import Eletra'!$B:$B,'[1]Import Eletra'!$O:$O,,0,1)=0,"",_xlfn.XLOOKUP($E84,'[1]Import Eletra'!$B:$B,'[1]Import Eletra'!$O:$O,0,1))</f>
        <v>46157</v>
      </c>
      <c r="DQ84" s="112">
        <f>$DN$4</f>
        <v>1</v>
      </c>
      <c r="DR84" s="112">
        <f ca="1">IF(DP84="",TODAY()-DO84,DP84-DO84)</f>
        <v>6</v>
      </c>
      <c r="DS84" s="184">
        <f ca="1">DR84-DQ84</f>
        <v>5</v>
      </c>
      <c r="DT84" s="143">
        <v>10</v>
      </c>
      <c r="DU84" s="140">
        <f t="shared" ca="1" si="270"/>
        <v>17</v>
      </c>
      <c r="DV84" s="184">
        <f ca="1">DU84-DT84</f>
        <v>7</v>
      </c>
      <c r="DX84" s="185" t="s">
        <v>245</v>
      </c>
      <c r="DY84" s="108" t="str">
        <f>IF(_xlfn.XLOOKUP($E84,'[1]Import Eletra'!$B:$B,'[1]Import Eletra'!$DW:$DW,,0,1)=0,"",_xlfn.XLOOKUP($E84,'[1]Import Eletra'!$B:$B,'[1]Import Eletra'!$DW:$DW,0,1))</f>
        <v/>
      </c>
      <c r="EB84" s="289"/>
      <c r="ED84" s="409">
        <f>IF(_xlfn.XLOOKUP($E84,'[1]Import Eletra'!$B:$B,'[1]Import Eletra'!$BQ:$BQ,,0,1)=0,"",_xlfn.XLOOKUP($E84,'[1]Import Eletra'!$B:$B,'[1]Import Eletra'!$BQ:$BQ,0,1))</f>
        <v>4025.76</v>
      </c>
      <c r="EE84" s="410">
        <f>IF(_xlfn.XLOOKUP($E84,'[1]Import Eletra'!$B:$B,'[1]Import Eletra'!$BR:$BR,,0,1)=0,"",_xlfn.XLOOKUP($E84,'[1]Import Eletra'!$B:$B,'[1]Import Eletra'!$BR:$BR,0,1))</f>
        <v>46160</v>
      </c>
      <c r="EF84" s="409" t="str">
        <f>IF(_xlfn.XLOOKUP($E84,'[1]Import Eletra'!$B:$B,'[1]Import Eletra'!$BS:$BS,,0,1)=0,"",_xlfn.XLOOKUP($E84,'[1]Import Eletra'!$B:$B,'[1]Import Eletra'!$BS:$BS,0,1))</f>
        <v/>
      </c>
      <c r="EG84" s="410" t="str">
        <f>IF(_xlfn.XLOOKUP($E84,'[1]Import Eletra'!$B:$B,'[1]Import Eletra'!$BT:$BT,,0,1)=0,"",_xlfn.XLOOKUP($E84,'[1]Import Eletra'!$B:$B,'[1]Import Eletra'!$BT:$BT,0,1))</f>
        <v/>
      </c>
      <c r="EH84" s="409" t="str">
        <f>IF(_xlfn.XLOOKUP($E84,'[1]Import Eletra'!$B:$B,'[1]Import Eletra'!$BU:$BU,,0,1)=0,"",_xlfn.XLOOKUP($E84,'[1]Import Eletra'!$B:$B,'[1]Import Eletra'!$BU:$BU,0,1))</f>
        <v/>
      </c>
      <c r="EI84" s="410" t="str">
        <f>IF(_xlfn.XLOOKUP($E84,'[1]Import Eletra'!$B:$B,'[1]Import Eletra'!$BV:$BV,,0,1)=0,"",_xlfn.XLOOKUP($E84,'[1]Import Eletra'!$B:$B,'[1]Import Eletra'!$BV:$BV,0,1))</f>
        <v/>
      </c>
      <c r="EJ84" s="410">
        <f>IF(_xlfn.XLOOKUP($E84,'[1]Import Eletra'!$B:$B,'[1]Import Eletra'!$CI:$CI,,0,1)=0,"",_xlfn.XLOOKUP($E84,'[1]Import Eletra'!$B:$B,'[1]Import Eletra'!$CI:$CI,0,1))</f>
        <v>46158</v>
      </c>
      <c r="EK84" s="410">
        <f>IF(_xlfn.XLOOKUP($E84,'[1]Import Eletra'!$B:$B,'[1]Import Eletra'!$CD:$CD,,0,1)=0,"",_xlfn.XLOOKUP($E84,'[1]Import Eletra'!$B:$B,'[1]Import Eletra'!$CD:$CD,0,1))</f>
        <v>46158</v>
      </c>
      <c r="EL84" s="410" t="str">
        <f>IF(_xlfn.XLOOKUP($E84,'[1]Import Eletra'!$B:$B,'[1]Import Eletra'!$CE:$CE,,0,1)=0,"",_xlfn.XLOOKUP($E84,'[1]Import Eletra'!$B:$B,'[1]Import Eletra'!$CE:$CE,0,1))</f>
        <v>SIM  0 dias</v>
      </c>
      <c r="EM84" s="411" t="str">
        <f>IF(_xlfn.XLOOKUP($E84,'[1]Import Eletra'!$B:$B,'[1]Import Eletra'!$E:$E,,0,1)=0,"",_xlfn.XLOOKUP($E84,'[1]Import Eletra'!$B:$B,'[1]Import Eletra'!$E:$E,0,1))</f>
        <v>RENATO</v>
      </c>
      <c r="EN84" s="408" t="str">
        <f>IF(_xlfn.XLOOKUP($E84,'[1]Import Eletra'!$B:$B,'[1]Import Eletra'!$R:$R,,0,1)=0,"",_xlfn.XLOOKUP($E84,'[1]Import Eletra'!$B:$B,'[1]Import Eletra'!$R:$R,0,1))</f>
        <v>PWBR250204-2</v>
      </c>
      <c r="EO84" s="408" t="str">
        <f>IF(_xlfn.XLOOKUP($E84,'[1]Import Eletra'!$B:$B,'[1]Import Eletra'!$P:$P,,0,1)=0,"",_xlfn.XLOOKUP($E84,'[1]Import Eletra'!$B:$B,'[1]Import Eletra'!$P:$P,0,1))</f>
        <v>SYNHGH26SE030051</v>
      </c>
      <c r="EP84" s="408" t="str">
        <f>IF(_xlfn.XLOOKUP($E84,'[1]Import Eletra'!$B:$B,'[1]Import Eletra'!$T:$T,,0,1)=0,"",_xlfn.XLOOKUP($E84,'[1]Import Eletra'!$B:$B,'[1]Import Eletra'!$T:$T,0,1))</f>
        <v>CMAU0437968, ECMU2962443, TCKU3756034</v>
      </c>
    </row>
    <row r="85" spans="1:146" ht="30.75">
      <c r="B85" s="281"/>
      <c r="C85" s="280"/>
      <c r="D85" s="104" t="s">
        <v>251</v>
      </c>
      <c r="E85" s="214" t="s">
        <v>318</v>
      </c>
      <c r="F85" s="204">
        <f>IF(_xlfn.XLOOKUP($E85,'[1]Import Eletra'!$B:$B,'[1]Import Eletra'!$U:$U,,0,1)=0,"",_xlfn.XLOOKUP($E85,'[1]Import Eletra'!$B:$B,'[1]Import Eletra'!$U:$U,,0,1))</f>
        <v>1</v>
      </c>
      <c r="G85" s="301" t="s">
        <v>386</v>
      </c>
      <c r="H85" s="2" t="str">
        <f>_xlfn.XLOOKUP($E85,'[1]Import Eletra'!$B:$B,'[1]Import Eletra'!$F:$F,,0,1)</f>
        <v>DELIVERED</v>
      </c>
      <c r="I85" s="108" t="str">
        <f>_xlfn.XLOOKUP($E85,'[1]Import Eletra'!$B:$B,'[1]Import Eletra'!$G:$G,,0,1)</f>
        <v>SEA</v>
      </c>
      <c r="J85" s="326"/>
      <c r="K85" s="109"/>
      <c r="L85" s="109"/>
      <c r="M85" s="326">
        <f>IF(_xlfn.XLOOKUP($E85,'[1]Import Eletra'!$B:$B,'[1]Import Eletra'!$J:$J,,0,1)=0,"",_xlfn.XLOOKUP($E85,'[1]Import Eletra'!$B:$B,'[1]Import Eletra'!$J:$J,,0,1))</f>
        <v>46097</v>
      </c>
      <c r="N85" s="332">
        <f>IF(_xlfn.XLOOKUP($E85,'[1]Import Eletra'!$B:$B,'[1]Import Eletra'!$L:$L,,0,1)=0,"",_xlfn.XLOOKUP($E85,'[1]Import Eletra'!$B:$B,'[1]Import Eletra'!$L:$L,,0,1))</f>
        <v>46154</v>
      </c>
      <c r="O85" s="335">
        <f>IF(_xlfn.XLOOKUP($E85,'[1]Import Eletra'!$B:$B,'[1]Import Eletra'!$AK:$AK,,0,1)=0,"",_xlfn.XLOOKUP($E85,'[1]Import Eletra'!$B:$B,'[1]Import Eletra'!$AK:$AK,,0,1))</f>
        <v>46154</v>
      </c>
      <c r="P85" s="326">
        <f>IF(_xlfn.XLOOKUP($E85,'[1]Import Eletra'!$B:$B,'[1]Import Eletra'!$AL:$AL,,0,1)=0,"",_xlfn.XLOOKUP($E85,'[1]Import Eletra'!$B:$B,'[1]Import Eletra'!$AL:$AL,,0,1))</f>
        <v>46154</v>
      </c>
      <c r="Q85" s="326">
        <f>IF(_xlfn.XLOOKUP($E85,'[1]Import Eletra'!$B:$B,'[1]Import Eletra'!$AM:$AM,,0,1)=0,"",_xlfn.XLOOKUP($E85,'[1]Import Eletra'!$B:$B,'[1]Import Eletra'!$AM:$AM,,0,1))</f>
        <v>46156</v>
      </c>
      <c r="R85" s="326">
        <f>IF(_xlfn.XLOOKUP($E85,'[1]Import Eletra'!$B:$B,'[1]Import Eletra'!$AN:$AN,,0,1)=0,"",_xlfn.XLOOKUP($E85,'[1]Import Eletra'!$B:$B,'[1]Import Eletra'!$AN:$AN,,0,1))</f>
        <v>46156</v>
      </c>
      <c r="S85" s="326">
        <f>IF(_xlfn.XLOOKUP($E85,'[1]Import Eletra'!$B:$B,'[1]Import Eletra'!$AO:$AO,,0,1)=0,"",_xlfn.XLOOKUP($E85,'[1]Import Eletra'!$B:$B,'[1]Import Eletra'!$AO:$AO,,0,1))</f>
        <v>46157</v>
      </c>
      <c r="T85" s="326">
        <f>IF(_xlfn.XLOOKUP($E85,'[1]Import Eletra'!$B:$B,'[1]Import Eletra'!$AP:$AP,,0,1)=0,"",_xlfn.XLOOKUP($E85,'[1]Import Eletra'!$B:$B,'[1]Import Eletra'!$AP:$AP,,0,1))</f>
        <v>46157</v>
      </c>
      <c r="U85" s="337">
        <f>IF(_xlfn.XLOOKUP($E85,'[1]Import Eletra'!$B:$B,'[1]Import Eletra'!$AQ:$AQ,,0,1)=0,"",_xlfn.XLOOKUP($E85,'[1]Import Eletra'!$B:$B,'[1]Import Eletra'!$AQ:$AQ,,0,1))</f>
        <v>46160</v>
      </c>
      <c r="V85" s="339">
        <f>IF(_xlfn.XLOOKUP($E85,'[1]Import Eletra'!$B:$B,'[1]Import Eletra'!$AR:$AR,,0,1)=0,"",_xlfn.XLOOKUP($E85,'[1]Import Eletra'!$B:$B,'[1]Import Eletra'!$AR:$AR,,0,1))</f>
        <v>46154</v>
      </c>
      <c r="W85" s="335">
        <f>AB85-$AB$4</f>
        <v>46157</v>
      </c>
      <c r="X85" s="332">
        <f>IF(_xlfn.XLOOKUP($E85,'[1]Import Eletra'!$B:$B,'[1]Import Eletra'!$AS:$AS,,0,1)=0,"",_xlfn.XLOOKUP($E85,'[1]Import Eletra'!$B:$B,'[1]Import Eletra'!$AS:$AS,,0,1))</f>
        <v>46160</v>
      </c>
      <c r="Y85" s="112">
        <f>$W$4</f>
        <v>0</v>
      </c>
      <c r="Z85" s="113">
        <f ca="1">IF(X85="",TODAY()-W85,X85-W85)</f>
        <v>3</v>
      </c>
      <c r="AA85" s="184">
        <f ca="1">IF(AND(ISNUMBER($Z85),$Z85&gt;0),$Z85-$Y85,"")</f>
        <v>3</v>
      </c>
      <c r="AB85" s="346">
        <f>AG85-$AB$4</f>
        <v>46157</v>
      </c>
      <c r="AC85" s="332">
        <f>IF(_xlfn.XLOOKUP($E85,'[1]Import Eletra'!$B:$B,'[1]Import Eletra'!$AD:$AD,,0,1)=0,"",_xlfn.XLOOKUP($E85,'[1]Import Eletra'!$B:$B,'[1]Import Eletra'!$AD:$AD,,0,1))</f>
        <v>46160</v>
      </c>
      <c r="AD85" s="112">
        <f>$AB$4</f>
        <v>0</v>
      </c>
      <c r="AE85" s="112">
        <f ca="1">IF(AC85="",TODAY()-AB85,AC85-AB85)</f>
        <v>3</v>
      </c>
      <c r="AF85" s="184">
        <f ca="1">AE85-AD85</f>
        <v>3</v>
      </c>
      <c r="AG85" s="354">
        <f>AL85-$AL$4</f>
        <v>46157</v>
      </c>
      <c r="AH85" s="332">
        <f>IF(_xlfn.XLOOKUP($E85,'[1]Import Eletra'!$B:$B,'[1]Import Eletra'!$AE:$AE,,0,1)=0,"",_xlfn.XLOOKUP($E85,'[1]Import Eletra'!$B:$B,'[1]Import Eletra'!$AE:$AE,,0,1))</f>
        <v>46161</v>
      </c>
      <c r="AI85" s="112">
        <f>$AG$4</f>
        <v>0</v>
      </c>
      <c r="AJ85" s="112">
        <f ca="1">IF(AH85="",TODAY()-AG85,AH85-AG85)</f>
        <v>4</v>
      </c>
      <c r="AK85" s="184">
        <f ca="1">IF(AND(ISNUMBER($AJ85),$AJ85&gt;0),$AJ85-$AI85,"")</f>
        <v>4</v>
      </c>
      <c r="AL85" s="355">
        <f>AQ85-$AQ$4</f>
        <v>46157</v>
      </c>
      <c r="AM85" s="332">
        <f>IF(_xlfn.XLOOKUP($E85,'[1]Import Eletra'!$B:$B,'[1]Import Eletra'!$AT:$AT,,0,1)=0,"",_xlfn.XLOOKUP($E85,'[1]Import Eletra'!$B:$B,'[1]Import Eletra'!$AT:$AT,,0,1))</f>
        <v>46160</v>
      </c>
      <c r="AN85" s="112">
        <f>$AL$4</f>
        <v>0</v>
      </c>
      <c r="AO85" s="112">
        <f ca="1">IF(AM85="",TODAY()-AL85,AM85-AL85)</f>
        <v>3</v>
      </c>
      <c r="AP85" s="184">
        <f ca="1">IF(AND(ISNUMBER($AO85),$AO85&gt;0),$AO85-$AN85,"")</f>
        <v>3</v>
      </c>
      <c r="AQ85" s="357">
        <f>AV85-$AV$4</f>
        <v>46158</v>
      </c>
      <c r="AR85" s="332">
        <f>IF(_xlfn.XLOOKUP($E85,'[1]Import Eletra'!$B:$B,'[1]Import Eletra'!$AU:$AU,,0,1)=0,"",_xlfn.XLOOKUP($E85,'[1]Import Eletra'!$B:$B,'[1]Import Eletra'!$AU:$AU,,0,1))</f>
        <v>46160</v>
      </c>
      <c r="AS85" s="112">
        <f>$AQ$4</f>
        <v>1</v>
      </c>
      <c r="AT85" s="112">
        <f ca="1">IF(AR85="",TODAY()-AQ85,AR85-AQ85)</f>
        <v>2</v>
      </c>
      <c r="AU85" s="184">
        <f ca="1">IF(AND(ISNUMBER($AT85),$AT85&gt;0),$AT85-$AS85,"")</f>
        <v>1</v>
      </c>
      <c r="AV85" s="355">
        <f>BA85-$BA$4</f>
        <v>46158</v>
      </c>
      <c r="AW85" s="332">
        <f>IF(_xlfn.XLOOKUP($E85,'[1]Import Eletra'!$B:$B,'[1]Import Eletra'!$AU:$AU,,0,1)=0,"",_xlfn.XLOOKUP($E85,'[1]Import Eletra'!$B:$B,'[1]Import Eletra'!$AU:$AU,,0,1))</f>
        <v>46160</v>
      </c>
      <c r="AX85" s="112">
        <f>$AV$4</f>
        <v>0</v>
      </c>
      <c r="AY85" s="113">
        <f ca="1">IF(AW85="",TODAY()-AV85,AW85-AV85)</f>
        <v>2</v>
      </c>
      <c r="AZ85" s="184">
        <f ca="1">IF(AND(ISNUMBER($AY85),$AY85&gt;0),$AY85-$AX85,"")</f>
        <v>2</v>
      </c>
      <c r="BA85" s="357">
        <f>BF85-$BF$4</f>
        <v>46158</v>
      </c>
      <c r="BB85" s="332" t="str">
        <f>IF(_xlfn.XLOOKUP($E85,'[1]Import Eletra'!$B:$B,'[1]Import Eletra'!$AW:$AW,,0,1)=0,"",_xlfn.XLOOKUP($E85,'[1]Import Eletra'!$B:$B,'[1]Import Eletra'!$AW:$AW,,0,1))</f>
        <v/>
      </c>
      <c r="BC85" s="112">
        <f>$BA$4</f>
        <v>0</v>
      </c>
      <c r="BD85" s="112">
        <f ca="1">IF(BB85="",TODAY()-BA85,BB85-BA85)</f>
        <v>53</v>
      </c>
      <c r="BE85" s="184">
        <f ca="1">BD85-BC85</f>
        <v>53</v>
      </c>
      <c r="BF85" s="335">
        <f>BK85-$BK$4</f>
        <v>46158</v>
      </c>
      <c r="BG85" s="332" t="str">
        <f>IF(_xlfn.XLOOKUP($E85,'[1]Import Eletra'!$B:$B,'[1]Import Eletra'!$AX:$AX,,0,1)=0,"",_xlfn.XLOOKUP($E85,'[1]Import Eletra'!$B:$B,'[1]Import Eletra'!$AX:$AX,,0,1))</f>
        <v/>
      </c>
      <c r="BH85" s="112">
        <f>$BF$4</f>
        <v>0</v>
      </c>
      <c r="BI85" s="112">
        <f ca="1">IF(BG85="",TODAY()-BF85,BG85-BF85)</f>
        <v>53</v>
      </c>
      <c r="BJ85" s="184">
        <f ca="1">IF(AND(ISNUMBER($BI85),$BI85&gt;0),$BI85-$BH85,"")</f>
        <v>53</v>
      </c>
      <c r="BK85" s="362">
        <f>BP85-$BP$4</f>
        <v>46158</v>
      </c>
      <c r="BL85" s="332" t="str">
        <f>IF(_xlfn.XLOOKUP($E85,'[1]Import Eletra'!$B:$B,'[1]Import Eletra'!$AY:$AY,,0,1)=0,"",_xlfn.XLOOKUP($E85,'[1]Import Eletra'!$B:$B,'[1]Import Eletra'!$AY:$AY,,0,1))</f>
        <v/>
      </c>
      <c r="BM85" s="112">
        <f>$BK$4</f>
        <v>0</v>
      </c>
      <c r="BN85" s="112">
        <f ca="1">IF(BL85="",TODAY()-BK85,BL85-BK85)</f>
        <v>53</v>
      </c>
      <c r="BO85" s="184">
        <f ca="1">BN85-BM85</f>
        <v>53</v>
      </c>
      <c r="BP85" s="335">
        <f>BU85-$BU$4</f>
        <v>46158</v>
      </c>
      <c r="BQ85" s="332" t="str">
        <f>IF(_xlfn.XLOOKUP($E85,'[1]Import Eletra'!$B:$B,'[1]Import Eletra'!$AZ:$AZ,,0,1)=0,"",_xlfn.XLOOKUP($E85,'[1]Import Eletra'!$B:$B,'[1]Import Eletra'!$AZ:$AZ,,0,1))</f>
        <v/>
      </c>
      <c r="BR85" s="112">
        <f>$BP$4</f>
        <v>0</v>
      </c>
      <c r="BS85" s="112">
        <f ca="1">IF(BQ85="",TODAY()-BP85,BQ85-BP85)</f>
        <v>53</v>
      </c>
      <c r="BT85" s="184">
        <f ca="1">BS85-BR85</f>
        <v>53</v>
      </c>
      <c r="BU85" s="362">
        <f>BZ85-$BZ$4</f>
        <v>46160</v>
      </c>
      <c r="BV85" s="332" t="str">
        <f>IF(_xlfn.XLOOKUP($E85,'[1]Import Eletra'!$B:$B,'[1]Import Eletra'!$BA:$BA,,0,1)=0,"",_xlfn.XLOOKUP($E85,'[1]Import Eletra'!$B:$B,'[1]Import Eletra'!$BA:$BA,,0,1))</f>
        <v/>
      </c>
      <c r="BW85" s="112">
        <f>$BU$4</f>
        <v>2</v>
      </c>
      <c r="BX85" s="112">
        <f ca="1">IF(BV85="",TODAY()-BU85,BV85-BU85)</f>
        <v>51</v>
      </c>
      <c r="BY85" s="184">
        <f ca="1">IF(AND(ISNUMBER($BX85),$BX85&gt;0),$BX85-$BW85,"")</f>
        <v>49</v>
      </c>
      <c r="BZ85" s="335">
        <f>CE85-$CE$4</f>
        <v>46160</v>
      </c>
      <c r="CA85" s="332" t="str">
        <f>IF(_xlfn.XLOOKUP($E85,'[1]Import Eletra'!$B:$B,'[1]Import Eletra'!$BB:$BB,,0,1)=0,"",_xlfn.XLOOKUP($E85,'[1]Import Eletra'!$B:$B,'[1]Import Eletra'!$BB:$BB,,0,1))</f>
        <v/>
      </c>
      <c r="CB85" s="112">
        <f>$BZ$4</f>
        <v>0</v>
      </c>
      <c r="CC85" s="112">
        <f ca="1">IF(CA85="",TODAY()-BZ85,CA85-BZ85)</f>
        <v>51</v>
      </c>
      <c r="CD85" s="184">
        <f ca="1">CC85-CB85</f>
        <v>51</v>
      </c>
      <c r="CE85" s="362">
        <f>CJ85-$CJ$4</f>
        <v>46160</v>
      </c>
      <c r="CF85" s="332" t="str">
        <f>IF(_xlfn.XLOOKUP($E85,'[1]Import Eletra'!$B:$B,'[1]Import Eletra'!$BC:$BC,,0,1)=0,"",_xlfn.XLOOKUP($E85,'[1]Import Eletra'!$B:$B,'[1]Import Eletra'!$BC:$BC,,0,1))</f>
        <v/>
      </c>
      <c r="CG85" s="112">
        <f>$CE$4</f>
        <v>0</v>
      </c>
      <c r="CH85" s="112">
        <f ca="1">IF(CF85="",TODAY()-CE85,CF85-CE85)</f>
        <v>51</v>
      </c>
      <c r="CI85" s="184">
        <f ca="1">CH85-CG85</f>
        <v>51</v>
      </c>
      <c r="CJ85" s="335">
        <f>CO85-$CO$4</f>
        <v>46160</v>
      </c>
      <c r="CK85" s="332">
        <f>IF(_xlfn.XLOOKUP($E85,'[1]Import Eletra'!$B:$B,'[1]Import Eletra'!$BD:$BD,,0,1)=0,"",_xlfn.XLOOKUP($E85,'[1]Import Eletra'!$B:$B,'[1]Import Eletra'!$BD:$BD,,0,1))</f>
        <v>46160</v>
      </c>
      <c r="CL85" s="112"/>
      <c r="CM85" s="112">
        <f ca="1">IF(CK85="",TODAY()-CJ85,CK85-CJ85)</f>
        <v>0</v>
      </c>
      <c r="CN85" s="184">
        <f ca="1">CM85-CL85</f>
        <v>0</v>
      </c>
      <c r="CO85" s="362">
        <f>CT85-$CT$4</f>
        <v>46160</v>
      </c>
      <c r="CP85" s="332">
        <f>IF(_xlfn.XLOOKUP($E85,'[1]Import Eletra'!$B:$B,'[1]Import Eletra'!$BE:$BE,,0,1)=0,"",_xlfn.XLOOKUP($E85,'[1]Import Eletra'!$B:$B,'[1]Import Eletra'!$BE:$BE,,0,1))</f>
        <v>46161</v>
      </c>
      <c r="CQ85" s="112">
        <f>$CO$4</f>
        <v>0</v>
      </c>
      <c r="CR85" s="112">
        <f ca="1">IF(CP85="",TODAY()-CO85,CP85-CO85)</f>
        <v>1</v>
      </c>
      <c r="CS85" s="184">
        <f ca="1">CR85-CQ85</f>
        <v>1</v>
      </c>
      <c r="CT85" s="335">
        <f>CY85-$CY$4</f>
        <v>46160</v>
      </c>
      <c r="CU85" s="332">
        <f>IF(_xlfn.XLOOKUP($E85,'[1]Import Eletra'!$B:$B,'[1]Import Eletra'!$BF:$BF,,0,1)=0,"",_xlfn.XLOOKUP($E85,'[1]Import Eletra'!$B:$B,'[1]Import Eletra'!$BF:$BF,,0,1))</f>
        <v>46161</v>
      </c>
      <c r="CV85" s="112">
        <f>$CT$4</f>
        <v>0</v>
      </c>
      <c r="CW85" s="112">
        <f ca="1">IF(CU85="",TODAY()-CT85,CU85-CT85)</f>
        <v>1</v>
      </c>
      <c r="CX85" s="184">
        <f ca="1">CW85-CV85</f>
        <v>1</v>
      </c>
      <c r="CY85" s="110">
        <f>DD85-$DD$4</f>
        <v>46160</v>
      </c>
      <c r="CZ85" s="104">
        <f>IF(_xlfn.XLOOKUP($E85,'[1]Import Eletra'!$B:$B,'[1]Import Eletra'!$BF:$BF,,0,1)=0,"",_xlfn.XLOOKUP($E85,'[1]Import Eletra'!$B:$B,'[1]Import Eletra'!$BF:$BF,,0,1))</f>
        <v>46161</v>
      </c>
      <c r="DA85" s="121">
        <f>$CY$4</f>
        <v>0</v>
      </c>
      <c r="DB85" s="112">
        <f ca="1">IF(CZ85="",TODAY()-CY85,CZ85-CY85)</f>
        <v>1</v>
      </c>
      <c r="DC85" s="184">
        <f ca="1">DB85-DA85</f>
        <v>1</v>
      </c>
      <c r="DD85" s="110">
        <f>DI85-$DI$4</f>
        <v>46162</v>
      </c>
      <c r="DE85" s="104" t="str">
        <f>IF(_xlfn.XLOOKUP($E85,'[1]Import Eletra'!$B:$B,'[1]Import Eletra'!$BG:$BG,,0,1)=0,"",_xlfn.XLOOKUP($E85,'[1]Import Eletra'!$B:$B,'[1]Import Eletra'!$BG:$BG,0,1))</f>
        <v/>
      </c>
      <c r="DF85" s="112">
        <f>$DD$4</f>
        <v>2</v>
      </c>
      <c r="DG85" s="112">
        <f ca="1">IF(DE85="",TODAY()-DD85,DE85-DD85)</f>
        <v>49</v>
      </c>
      <c r="DH85" s="184">
        <f ca="1">DG85-DF85</f>
        <v>47</v>
      </c>
      <c r="DI85" s="110">
        <f>DO85-$DN$4</f>
        <v>46163</v>
      </c>
      <c r="DJ85" s="104" t="str">
        <f>IF(_xlfn.XLOOKUP($E85,'[1]Import Eletra'!$B:$B,'[1]Import Eletra'!$BH:$BH,,0,1)=0,"",_xlfn.XLOOKUP($E85,'[1]Import Eletra'!$B:$B,'[1]Import Eletra'!$BH:$BH,0,1))</f>
        <v/>
      </c>
      <c r="DK85" s="112">
        <f>$DI$4</f>
        <v>1</v>
      </c>
      <c r="DL85" s="112">
        <f ca="1">IF(DJ85="",TODAY()-DI85,DJ85-DI85)</f>
        <v>48</v>
      </c>
      <c r="DM85" s="184"/>
      <c r="DN85" s="64"/>
      <c r="DO85" s="202">
        <f>IF(V85="",N85+DT85,V85+DT85)</f>
        <v>46164</v>
      </c>
      <c r="DP85" s="165">
        <f>IF(_xlfn.XLOOKUP($E85,'[1]Import Eletra'!$B:$B,'[1]Import Eletra'!$O:$O,,0,1)=0,"",_xlfn.XLOOKUP($E85,'[1]Import Eletra'!$B:$B,'[1]Import Eletra'!$O:$O,0,1))</f>
        <v>46164</v>
      </c>
      <c r="DQ85" s="112">
        <f>$DN$4</f>
        <v>1</v>
      </c>
      <c r="DR85" s="112">
        <f ca="1">IF(DP85="",TODAY()-DO85,DP85-DO85)</f>
        <v>0</v>
      </c>
      <c r="DS85" s="184">
        <f ca="1">DR85-DQ85</f>
        <v>-1</v>
      </c>
      <c r="DT85" s="143">
        <v>10</v>
      </c>
      <c r="DU85" s="140">
        <f t="shared" ca="1" si="270"/>
        <v>10</v>
      </c>
      <c r="DV85" s="184">
        <f ca="1">DU85-DT85</f>
        <v>0</v>
      </c>
      <c r="DX85" s="185" t="s">
        <v>245</v>
      </c>
      <c r="DY85" s="108" t="str">
        <f>IF(_xlfn.XLOOKUP($E85,'[1]Import Eletra'!$B:$B,'[1]Import Eletra'!$DW:$DW,,0,1)=0,"",_xlfn.XLOOKUP($E85,'[1]Import Eletra'!$B:$B,'[1]Import Eletra'!$DW:$DW,0,1))</f>
        <v/>
      </c>
      <c r="EB85" s="289"/>
      <c r="ED85" s="409">
        <f>IF(_xlfn.XLOOKUP($E85,'[1]Import Eletra'!$B:$B,'[1]Import Eletra'!$BQ:$BQ,,0,1)=0,"",_xlfn.XLOOKUP($E85,'[1]Import Eletra'!$B:$B,'[1]Import Eletra'!$BQ:$BQ,0,1))</f>
        <v>3244.34</v>
      </c>
      <c r="EE85" s="410">
        <f>IF(_xlfn.XLOOKUP($E85,'[1]Import Eletra'!$B:$B,'[1]Import Eletra'!$BR:$BR,,0,1)=0,"",_xlfn.XLOOKUP($E85,'[1]Import Eletra'!$B:$B,'[1]Import Eletra'!$BR:$BR,0,1))</f>
        <v>46170</v>
      </c>
      <c r="EF85" s="409" t="str">
        <f>IF(_xlfn.XLOOKUP($E85,'[1]Import Eletra'!$B:$B,'[1]Import Eletra'!$BS:$BS,,0,1)=0,"",_xlfn.XLOOKUP($E85,'[1]Import Eletra'!$B:$B,'[1]Import Eletra'!$BS:$BS,0,1))</f>
        <v/>
      </c>
      <c r="EG85" s="410" t="str">
        <f>IF(_xlfn.XLOOKUP($E85,'[1]Import Eletra'!$B:$B,'[1]Import Eletra'!$BT:$BT,,0,1)=0,"",_xlfn.XLOOKUP($E85,'[1]Import Eletra'!$B:$B,'[1]Import Eletra'!$BT:$BT,0,1))</f>
        <v/>
      </c>
      <c r="EH85" s="409" t="str">
        <f>IF(_xlfn.XLOOKUP($E85,'[1]Import Eletra'!$B:$B,'[1]Import Eletra'!$BU:$BU,,0,1)=0,"",_xlfn.XLOOKUP($E85,'[1]Import Eletra'!$B:$B,'[1]Import Eletra'!$BU:$BU,0,1))</f>
        <v/>
      </c>
      <c r="EI85" s="410" t="str">
        <f>IF(_xlfn.XLOOKUP($E85,'[1]Import Eletra'!$B:$B,'[1]Import Eletra'!$BV:$BV,,0,1)=0,"",_xlfn.XLOOKUP($E85,'[1]Import Eletra'!$B:$B,'[1]Import Eletra'!$BV:$BV,0,1))</f>
        <v/>
      </c>
      <c r="EJ85" s="410">
        <f>IF(_xlfn.XLOOKUP($E85,'[1]Import Eletra'!$B:$B,'[1]Import Eletra'!$CI:$CI,,0,1)=0,"",_xlfn.XLOOKUP($E85,'[1]Import Eletra'!$B:$B,'[1]Import Eletra'!$CI:$CI,0,1))</f>
        <v>46172</v>
      </c>
      <c r="EK85" s="410" t="str">
        <f>IF(_xlfn.XLOOKUP($E85,'[1]Import Eletra'!$B:$B,'[1]Import Eletra'!$CD:$CD,,0,1)=0,"",_xlfn.XLOOKUP($E85,'[1]Import Eletra'!$B:$B,'[1]Import Eletra'!$CD:$CD,0,1))</f>
        <v/>
      </c>
      <c r="EL85" s="410" t="str">
        <f>IF(_xlfn.XLOOKUP($E85,'[1]Import Eletra'!$B:$B,'[1]Import Eletra'!$CE:$CE,,0,1)=0,"",_xlfn.XLOOKUP($E85,'[1]Import Eletra'!$B:$B,'[1]Import Eletra'!$CE:$CE,0,1))</f>
        <v>NÃO</v>
      </c>
      <c r="EM85" s="411" t="str">
        <f>IF(_xlfn.XLOOKUP($E85,'[1]Import Eletra'!$B:$B,'[1]Import Eletra'!$E:$E,,0,1)=0,"",_xlfn.XLOOKUP($E85,'[1]Import Eletra'!$B:$B,'[1]Import Eletra'!$E:$E,0,1))</f>
        <v>RENATO</v>
      </c>
      <c r="EN85" s="408" t="str">
        <f>IF(_xlfn.XLOOKUP($E85,'[1]Import Eletra'!$B:$B,'[1]Import Eletra'!$R:$R,,0,1)=0,"",_xlfn.XLOOKUP($E85,'[1]Import Eletra'!$B:$B,'[1]Import Eletra'!$R:$R,0,1))</f>
        <v>SBR2600008-10</v>
      </c>
      <c r="EO85" s="408" t="str">
        <f>IF(_xlfn.XLOOKUP($E85,'[1]Import Eletra'!$B:$B,'[1]Import Eletra'!$P:$P,,0,1)=0,"",_xlfn.XLOOKUP($E85,'[1]Import Eletra'!$B:$B,'[1]Import Eletra'!$P:$P,0,1))</f>
        <v>NBHKG26012345</v>
      </c>
      <c r="EP85" s="408" t="str">
        <f>IF(_xlfn.XLOOKUP($E85,'[1]Import Eletra'!$B:$B,'[1]Import Eletra'!$T:$T,,0,1)=0,"",_xlfn.XLOOKUP($E85,'[1]Import Eletra'!$B:$B,'[1]Import Eletra'!$T:$T,0,1))</f>
        <v>TLLU8809111</v>
      </c>
    </row>
    <row r="86" spans="1:146" ht="30.75">
      <c r="B86" s="281"/>
      <c r="C86" s="280"/>
      <c r="D86" s="104" t="s">
        <v>247</v>
      </c>
      <c r="E86" s="214" t="s">
        <v>317</v>
      </c>
      <c r="F86" s="203">
        <f>IF(_xlfn.XLOOKUP($E86,'[1]Import Eletra'!$B:$B,'[1]Import Eletra'!$U:$U,,0,1)=0,"",_xlfn.XLOOKUP($E86,'[1]Import Eletra'!$B:$B,'[1]Import Eletra'!$U:$U,,0,1))</f>
        <v>2</v>
      </c>
      <c r="G86" s="199" t="s">
        <v>385</v>
      </c>
      <c r="H86" s="2" t="str">
        <f>_xlfn.XLOOKUP($E86,'[1]Import Eletra'!$B:$B,'[1]Import Eletra'!$F:$F,,0,1)</f>
        <v>DELIVERED</v>
      </c>
      <c r="I86" s="108" t="str">
        <f>_xlfn.XLOOKUP($E86,'[1]Import Eletra'!$B:$B,'[1]Import Eletra'!$G:$G,,0,1)</f>
        <v>SEA</v>
      </c>
      <c r="J86" s="326"/>
      <c r="K86" s="109"/>
      <c r="L86" s="109"/>
      <c r="M86" s="326">
        <f>IF(_xlfn.XLOOKUP($E86,'[1]Import Eletra'!$B:$B,'[1]Import Eletra'!$J:$J,,0,1)=0,"",_xlfn.XLOOKUP($E86,'[1]Import Eletra'!$B:$B,'[1]Import Eletra'!$J:$J,,0,1))</f>
        <v>46105</v>
      </c>
      <c r="N86" s="332">
        <f>IF(_xlfn.XLOOKUP($E86,'[1]Import Eletra'!$B:$B,'[1]Import Eletra'!$L:$L,,0,1)=0,"",_xlfn.XLOOKUP($E86,'[1]Import Eletra'!$B:$B,'[1]Import Eletra'!$L:$L,,0,1))</f>
        <v>46161</v>
      </c>
      <c r="O86" s="335">
        <f>IF(_xlfn.XLOOKUP($E86,'[1]Import Eletra'!$B:$B,'[1]Import Eletra'!$AK:$AK,,0,1)=0,"",_xlfn.XLOOKUP($E86,'[1]Import Eletra'!$B:$B,'[1]Import Eletra'!$AK:$AK,,0,1))</f>
        <v>46149</v>
      </c>
      <c r="P86" s="326">
        <f>IF(_xlfn.XLOOKUP($E86,'[1]Import Eletra'!$B:$B,'[1]Import Eletra'!$AL:$AL,,0,1)=0,"",_xlfn.XLOOKUP($E86,'[1]Import Eletra'!$B:$B,'[1]Import Eletra'!$AL:$AL,,0,1))</f>
        <v>46149</v>
      </c>
      <c r="Q86" s="326">
        <f>IF(_xlfn.XLOOKUP($E86,'[1]Import Eletra'!$B:$B,'[1]Import Eletra'!$AM:$AM,,0,1)=0,"",_xlfn.XLOOKUP($E86,'[1]Import Eletra'!$B:$B,'[1]Import Eletra'!$AM:$AM,,0,1))</f>
        <v>46157</v>
      </c>
      <c r="R86" s="326">
        <f>IF(_xlfn.XLOOKUP($E86,'[1]Import Eletra'!$B:$B,'[1]Import Eletra'!$AN:$AN,,0,1)=0,"",_xlfn.XLOOKUP($E86,'[1]Import Eletra'!$B:$B,'[1]Import Eletra'!$AN:$AN,,0,1))</f>
        <v>46157</v>
      </c>
      <c r="S86" s="326">
        <f>IF(_xlfn.XLOOKUP($E86,'[1]Import Eletra'!$B:$B,'[1]Import Eletra'!$AO:$AO,,0,1)=0,"",_xlfn.XLOOKUP($E86,'[1]Import Eletra'!$B:$B,'[1]Import Eletra'!$AO:$AO,,0,1))</f>
        <v>46162</v>
      </c>
      <c r="T86" s="326">
        <f>IF(_xlfn.XLOOKUP($E86,'[1]Import Eletra'!$B:$B,'[1]Import Eletra'!$AP:$AP,,0,1)=0,"",_xlfn.XLOOKUP($E86,'[1]Import Eletra'!$B:$B,'[1]Import Eletra'!$AP:$AP,,0,1))</f>
        <v>46162</v>
      </c>
      <c r="U86" s="337">
        <f>IF(_xlfn.XLOOKUP($E86,'[1]Import Eletra'!$B:$B,'[1]Import Eletra'!$AQ:$AQ,,0,1)=0,"",_xlfn.XLOOKUP($E86,'[1]Import Eletra'!$B:$B,'[1]Import Eletra'!$AQ:$AQ,,0,1))</f>
        <v>46162</v>
      </c>
      <c r="V86" s="339">
        <f>IF(_xlfn.XLOOKUP($E86,'[1]Import Eletra'!$B:$B,'[1]Import Eletra'!$AR:$AR,,0,1)=0,"",_xlfn.XLOOKUP($E86,'[1]Import Eletra'!$B:$B,'[1]Import Eletra'!$AR:$AR,,0,1))</f>
        <v>46162</v>
      </c>
      <c r="W86" s="335">
        <f>AB86-$AB$4</f>
        <v>46165</v>
      </c>
      <c r="X86" s="332">
        <f>IF(_xlfn.XLOOKUP($E86,'[1]Import Eletra'!$B:$B,'[1]Import Eletra'!$AS:$AS,,0,1)=0,"",_xlfn.XLOOKUP($E86,'[1]Import Eletra'!$B:$B,'[1]Import Eletra'!$AS:$AS,,0,1))</f>
        <v>46163</v>
      </c>
      <c r="Y86" s="112">
        <f>$W$4</f>
        <v>0</v>
      </c>
      <c r="Z86" s="113">
        <f ca="1">IF(X86="",TODAY()-W86,X86-W86)</f>
        <v>-2</v>
      </c>
      <c r="AA86" s="184" t="str">
        <f ca="1">IF(AND(ISNUMBER($Z86),$Z86&gt;0),$Z86-$Y86,"")</f>
        <v/>
      </c>
      <c r="AB86" s="346">
        <f>AG86-$AB$4</f>
        <v>46165</v>
      </c>
      <c r="AC86" s="332">
        <f>IF(_xlfn.XLOOKUP($E86,'[1]Import Eletra'!$B:$B,'[1]Import Eletra'!$AD:$AD,,0,1)=0,"",_xlfn.XLOOKUP($E86,'[1]Import Eletra'!$B:$B,'[1]Import Eletra'!$AD:$AD,,0,1))</f>
        <v>46163</v>
      </c>
      <c r="AD86" s="112">
        <f>$AB$4</f>
        <v>0</v>
      </c>
      <c r="AE86" s="112">
        <f ca="1">IF(AC86="",TODAY()-AB86,AC86-AB86)</f>
        <v>-2</v>
      </c>
      <c r="AF86" s="184">
        <f ca="1">AE86-AD86</f>
        <v>-2</v>
      </c>
      <c r="AG86" s="354">
        <f>AL86-$AL$4</f>
        <v>46165</v>
      </c>
      <c r="AH86" s="332">
        <f>IF(_xlfn.XLOOKUP($E86,'[1]Import Eletra'!$B:$B,'[1]Import Eletra'!$AE:$AE,,0,1)=0,"",_xlfn.XLOOKUP($E86,'[1]Import Eletra'!$B:$B,'[1]Import Eletra'!$AE:$AE,,0,1))</f>
        <v>46163</v>
      </c>
      <c r="AI86" s="112">
        <f>$AG$4</f>
        <v>0</v>
      </c>
      <c r="AJ86" s="112">
        <f ca="1">IF(AH86="",TODAY()-AG86,AH86-AG86)</f>
        <v>-2</v>
      </c>
      <c r="AK86" s="184" t="str">
        <f ca="1">IF(AND(ISNUMBER($AJ86),$AJ86&gt;0),$AJ86-$AI86,"")</f>
        <v/>
      </c>
      <c r="AL86" s="355">
        <f>AQ86-$AQ$4</f>
        <v>46165</v>
      </c>
      <c r="AM86" s="332">
        <f>IF(_xlfn.XLOOKUP($E86,'[1]Import Eletra'!$B:$B,'[1]Import Eletra'!$AT:$AT,,0,1)=0,"",_xlfn.XLOOKUP($E86,'[1]Import Eletra'!$B:$B,'[1]Import Eletra'!$AT:$AT,,0,1))</f>
        <v>46163</v>
      </c>
      <c r="AN86" s="112">
        <f>$AL$4</f>
        <v>0</v>
      </c>
      <c r="AO86" s="112">
        <f ca="1">IF(AM86="",TODAY()-AL86,AM86-AL86)</f>
        <v>-2</v>
      </c>
      <c r="AP86" s="184" t="str">
        <f ca="1">IF(AND(ISNUMBER($AO86),$AO86&gt;0),$AO86-$AN86,"")</f>
        <v/>
      </c>
      <c r="AQ86" s="357">
        <f>AV86-$AV$4</f>
        <v>46166</v>
      </c>
      <c r="AR86" s="332">
        <f>IF(_xlfn.XLOOKUP($E86,'[1]Import Eletra'!$B:$B,'[1]Import Eletra'!$AU:$AU,,0,1)=0,"",_xlfn.XLOOKUP($E86,'[1]Import Eletra'!$B:$B,'[1]Import Eletra'!$AU:$AU,,0,1))</f>
        <v>46163</v>
      </c>
      <c r="AS86" s="112">
        <f>$AQ$4</f>
        <v>1</v>
      </c>
      <c r="AT86" s="112">
        <f ca="1">IF(AR86="",TODAY()-AQ86,AR86-AQ86)</f>
        <v>-3</v>
      </c>
      <c r="AU86" s="184" t="str">
        <f ca="1">IF(AND(ISNUMBER($AT86),$AT86&gt;0),$AT86-$AS86,"")</f>
        <v/>
      </c>
      <c r="AV86" s="355">
        <f>BA86-$BA$4</f>
        <v>46166</v>
      </c>
      <c r="AW86" s="332">
        <f>IF(_xlfn.XLOOKUP($E86,'[1]Import Eletra'!$B:$B,'[1]Import Eletra'!$AU:$AU,,0,1)=0,"",_xlfn.XLOOKUP($E86,'[1]Import Eletra'!$B:$B,'[1]Import Eletra'!$AU:$AU,,0,1))</f>
        <v>46163</v>
      </c>
      <c r="AX86" s="112">
        <f>$AV$4</f>
        <v>0</v>
      </c>
      <c r="AY86" s="113">
        <f ca="1">IF(AW86="",TODAY()-AV86,AW86-AV86)</f>
        <v>-3</v>
      </c>
      <c r="AZ86" s="184" t="str">
        <f ca="1">IF(AND(ISNUMBER($AY86),$AY86&gt;0),$AY86-$AX86,"")</f>
        <v/>
      </c>
      <c r="BA86" s="357">
        <f>BF86-$BF$4</f>
        <v>46166</v>
      </c>
      <c r="BB86" s="332">
        <f>IF(_xlfn.XLOOKUP($E86,'[1]Import Eletra'!$B:$B,'[1]Import Eletra'!$AW:$AW,,0,1)=0,"",_xlfn.XLOOKUP($E86,'[1]Import Eletra'!$B:$B,'[1]Import Eletra'!$AW:$AW,,0,1))</f>
        <v>46163</v>
      </c>
      <c r="BC86" s="112">
        <f>$BA$4</f>
        <v>0</v>
      </c>
      <c r="BD86" s="112">
        <f ca="1">IF(BB86="",TODAY()-BA86,BB86-BA86)</f>
        <v>-3</v>
      </c>
      <c r="BE86" s="184">
        <f ca="1">BD86-BC86</f>
        <v>-3</v>
      </c>
      <c r="BF86" s="335">
        <f>BK86-$BK$4</f>
        <v>46166</v>
      </c>
      <c r="BG86" s="332">
        <f>IF(_xlfn.XLOOKUP($E86,'[1]Import Eletra'!$B:$B,'[1]Import Eletra'!$AX:$AX,,0,1)=0,"",_xlfn.XLOOKUP($E86,'[1]Import Eletra'!$B:$B,'[1]Import Eletra'!$AX:$AX,,0,1))</f>
        <v>46163</v>
      </c>
      <c r="BH86" s="112">
        <f>$BF$4</f>
        <v>0</v>
      </c>
      <c r="BI86" s="112">
        <f ca="1">IF(BG86="",TODAY()-BF86,BG86-BF86)</f>
        <v>-3</v>
      </c>
      <c r="BJ86" s="184" t="str">
        <f ca="1">IF(AND(ISNUMBER($BI86),$BI86&gt;0),$BI86-$BH86,"")</f>
        <v/>
      </c>
      <c r="BK86" s="362">
        <f>BP86-$BP$4</f>
        <v>46166</v>
      </c>
      <c r="BL86" s="332">
        <f>IF(_xlfn.XLOOKUP($E86,'[1]Import Eletra'!$B:$B,'[1]Import Eletra'!$AY:$AY,,0,1)=0,"",_xlfn.XLOOKUP($E86,'[1]Import Eletra'!$B:$B,'[1]Import Eletra'!$AY:$AY,,0,1))</f>
        <v>46157</v>
      </c>
      <c r="BM86" s="112">
        <f>$BK$4</f>
        <v>0</v>
      </c>
      <c r="BN86" s="112">
        <f ca="1">IF(BL86="",TODAY()-BK86,BL86-BK86)</f>
        <v>-9</v>
      </c>
      <c r="BO86" s="184">
        <f ca="1">BN86-BM86</f>
        <v>-9</v>
      </c>
      <c r="BP86" s="335">
        <f>BU86-$BU$4</f>
        <v>46166</v>
      </c>
      <c r="BQ86" s="332">
        <f>IF(_xlfn.XLOOKUP($E86,'[1]Import Eletra'!$B:$B,'[1]Import Eletra'!$AZ:$AZ,,0,1)=0,"",_xlfn.XLOOKUP($E86,'[1]Import Eletra'!$B:$B,'[1]Import Eletra'!$AZ:$AZ,,0,1))</f>
        <v>46162</v>
      </c>
      <c r="BR86" s="112">
        <f>$BP$4</f>
        <v>0</v>
      </c>
      <c r="BS86" s="112">
        <f ca="1">IF(BQ86="",TODAY()-BP86,BQ86-BP86)</f>
        <v>-4</v>
      </c>
      <c r="BT86" s="184">
        <f ca="1">BS86-BR86</f>
        <v>-4</v>
      </c>
      <c r="BU86" s="362">
        <f>BZ86-$BZ$4</f>
        <v>46168</v>
      </c>
      <c r="BV86" s="332" t="str">
        <f>IF(_xlfn.XLOOKUP($E86,'[1]Import Eletra'!$B:$B,'[1]Import Eletra'!$BA:$BA,,0,1)=0,"",_xlfn.XLOOKUP($E86,'[1]Import Eletra'!$B:$B,'[1]Import Eletra'!$BA:$BA,,0,1))</f>
        <v/>
      </c>
      <c r="BW86" s="112">
        <f>$BU$4</f>
        <v>2</v>
      </c>
      <c r="BX86" s="112">
        <f ca="1">IF(BV86="",TODAY()-BU86,BV86-BU86)</f>
        <v>43</v>
      </c>
      <c r="BY86" s="184">
        <f ca="1">IF(AND(ISNUMBER($BX86),$BX86&gt;0),$BX86-$BW86,"")</f>
        <v>41</v>
      </c>
      <c r="BZ86" s="335">
        <f>CE86-$CE$4</f>
        <v>46168</v>
      </c>
      <c r="CA86" s="332" t="str">
        <f>IF(_xlfn.XLOOKUP($E86,'[1]Import Eletra'!$B:$B,'[1]Import Eletra'!$BB:$BB,,0,1)=0,"",_xlfn.XLOOKUP($E86,'[1]Import Eletra'!$B:$B,'[1]Import Eletra'!$BB:$BB,,0,1))</f>
        <v/>
      </c>
      <c r="CB86" s="112">
        <f>$BZ$4</f>
        <v>0</v>
      </c>
      <c r="CC86" s="112">
        <f ca="1">IF(CA86="",TODAY()-BZ86,CA86-BZ86)</f>
        <v>43</v>
      </c>
      <c r="CD86" s="184">
        <f ca="1">CC86-CB86</f>
        <v>43</v>
      </c>
      <c r="CE86" s="362">
        <f>CJ86-$CJ$4</f>
        <v>46168</v>
      </c>
      <c r="CF86" s="332" t="str">
        <f>IF(_xlfn.XLOOKUP($E86,'[1]Import Eletra'!$B:$B,'[1]Import Eletra'!$BC:$BC,,0,1)=0,"",_xlfn.XLOOKUP($E86,'[1]Import Eletra'!$B:$B,'[1]Import Eletra'!$BC:$BC,,0,1))</f>
        <v/>
      </c>
      <c r="CG86" s="112">
        <f>$CE$4</f>
        <v>0</v>
      </c>
      <c r="CH86" s="112">
        <f ca="1">IF(CF86="",TODAY()-CE86,CF86-CE86)</f>
        <v>43</v>
      </c>
      <c r="CI86" s="184">
        <f ca="1">CH86-CG86</f>
        <v>43</v>
      </c>
      <c r="CJ86" s="335">
        <f>CO86-$CO$4</f>
        <v>46168</v>
      </c>
      <c r="CK86" s="332">
        <f>IF(_xlfn.XLOOKUP($E86,'[1]Import Eletra'!$B:$B,'[1]Import Eletra'!$BD:$BD,,0,1)=0,"",_xlfn.XLOOKUP($E86,'[1]Import Eletra'!$B:$B,'[1]Import Eletra'!$BD:$BD,,0,1))</f>
        <v>46163</v>
      </c>
      <c r="CL86" s="112"/>
      <c r="CM86" s="112">
        <f ca="1">IF(CK86="",TODAY()-CJ86,CK86-CJ86)</f>
        <v>-5</v>
      </c>
      <c r="CN86" s="184">
        <f ca="1">CM86-CL86</f>
        <v>-5</v>
      </c>
      <c r="CO86" s="362">
        <f>CT86-$CT$4</f>
        <v>46168</v>
      </c>
      <c r="CP86" s="332">
        <f>IF(_xlfn.XLOOKUP($E86,'[1]Import Eletra'!$B:$B,'[1]Import Eletra'!$BE:$BE,,0,1)=0,"",_xlfn.XLOOKUP($E86,'[1]Import Eletra'!$B:$B,'[1]Import Eletra'!$BE:$BE,,0,1))</f>
        <v>46164</v>
      </c>
      <c r="CQ86" s="112">
        <f>$CO$4</f>
        <v>0</v>
      </c>
      <c r="CR86" s="112">
        <f ca="1">IF(CP86="",TODAY()-CO86,CP86-CO86)</f>
        <v>-4</v>
      </c>
      <c r="CS86" s="184">
        <f ca="1">CR86-CQ86</f>
        <v>-4</v>
      </c>
      <c r="CT86" s="335">
        <f>CY86-$CY$4</f>
        <v>46168</v>
      </c>
      <c r="CU86" s="332">
        <f>IF(_xlfn.XLOOKUP($E86,'[1]Import Eletra'!$B:$B,'[1]Import Eletra'!$BF:$BF,,0,1)=0,"",_xlfn.XLOOKUP($E86,'[1]Import Eletra'!$B:$B,'[1]Import Eletra'!$BF:$BF,,0,1))</f>
        <v>46164</v>
      </c>
      <c r="CV86" s="112">
        <f>$CT$4</f>
        <v>0</v>
      </c>
      <c r="CW86" s="112">
        <f ca="1">IF(CU86="",TODAY()-CT86,CU86-CT86)</f>
        <v>-4</v>
      </c>
      <c r="CX86" s="184">
        <f ca="1">CW86-CV86</f>
        <v>-4</v>
      </c>
      <c r="CY86" s="110">
        <f>DD86-$DD$4</f>
        <v>46168</v>
      </c>
      <c r="CZ86" s="104">
        <f>IF(_xlfn.XLOOKUP($E86,'[1]Import Eletra'!$B:$B,'[1]Import Eletra'!$BF:$BF,,0,1)=0,"",_xlfn.XLOOKUP($E86,'[1]Import Eletra'!$B:$B,'[1]Import Eletra'!$BF:$BF,,0,1))</f>
        <v>46164</v>
      </c>
      <c r="DA86" s="121">
        <f>$CY$4</f>
        <v>0</v>
      </c>
      <c r="DB86" s="112">
        <f ca="1">IF(CZ86="",TODAY()-CY86,CZ86-CY86)</f>
        <v>-4</v>
      </c>
      <c r="DC86" s="184">
        <f ca="1">DB86-DA86</f>
        <v>-4</v>
      </c>
      <c r="DD86" s="110">
        <f>DI86-$DI$4</f>
        <v>46170</v>
      </c>
      <c r="DE86" s="104">
        <f>IF(_xlfn.XLOOKUP($E86,'[1]Import Eletra'!$B:$B,'[1]Import Eletra'!$BG:$BG,,0,1)=0,"",_xlfn.XLOOKUP($E86,'[1]Import Eletra'!$B:$B,'[1]Import Eletra'!$BG:$BG,0,1))</f>
        <v>46169</v>
      </c>
      <c r="DF86" s="112">
        <f>$DD$4</f>
        <v>2</v>
      </c>
      <c r="DG86" s="112">
        <f ca="1">IF(DE86="",TODAY()-DD86,DE86-DD86)</f>
        <v>-1</v>
      </c>
      <c r="DH86" s="184">
        <f ca="1">DG86-DF86</f>
        <v>-3</v>
      </c>
      <c r="DI86" s="110">
        <f>DO86-$DN$4</f>
        <v>46171</v>
      </c>
      <c r="DJ86" s="104">
        <f>IF(_xlfn.XLOOKUP($E86,'[1]Import Eletra'!$B:$B,'[1]Import Eletra'!$BH:$BH,,0,1)=0,"",_xlfn.XLOOKUP($E86,'[1]Import Eletra'!$B:$B,'[1]Import Eletra'!$BH:$BH,0,1))</f>
        <v>46169</v>
      </c>
      <c r="DK86" s="113">
        <f>$DI$4</f>
        <v>1</v>
      </c>
      <c r="DL86" s="113">
        <f ca="1">IF(DJ86="",TODAY()-DI86,DJ86-DI86)</f>
        <v>-2</v>
      </c>
      <c r="DM86" s="184">
        <f ca="1">DL86-DK86</f>
        <v>-3</v>
      </c>
      <c r="DN86" s="64"/>
      <c r="DO86" s="202">
        <f>IF(V86="",N86+DT86,V86+DT86)</f>
        <v>46172</v>
      </c>
      <c r="DP86" s="165">
        <f>IF(_xlfn.XLOOKUP($E86,'[1]Import Eletra'!$B:$B,'[1]Import Eletra'!$O:$O,,0,1)=0,"",_xlfn.XLOOKUP($E86,'[1]Import Eletra'!$B:$B,'[1]Import Eletra'!$O:$O,0,1))</f>
        <v>46170</v>
      </c>
      <c r="DQ86" s="113">
        <f>$DN$4</f>
        <v>1</v>
      </c>
      <c r="DR86" s="113">
        <f ca="1">IF(DP86="",TODAY()-DO86,DP86-DO86)</f>
        <v>-2</v>
      </c>
      <c r="DS86" s="184">
        <f ca="1">DR86-DQ86</f>
        <v>-3</v>
      </c>
      <c r="DT86" s="143">
        <v>10</v>
      </c>
      <c r="DU86" s="140">
        <f t="shared" ca="1" si="270"/>
        <v>9</v>
      </c>
      <c r="DV86" s="184">
        <f ca="1">DU86-DT86</f>
        <v>-1</v>
      </c>
      <c r="DX86" s="424" t="s">
        <v>245</v>
      </c>
      <c r="DY86" s="108" t="str">
        <f>IF(_xlfn.XLOOKUP($E86,'[1]Import Eletra'!$B:$B,'[1]Import Eletra'!$DW:$DW,,0,1)=0,"",_xlfn.XLOOKUP($E86,'[1]Import Eletra'!$B:$B,'[1]Import Eletra'!$DW:$DW,0,1))</f>
        <v/>
      </c>
      <c r="EB86" s="289"/>
      <c r="ED86" s="409" t="str">
        <f>IF(_xlfn.XLOOKUP($E86,'[1]Import Eletra'!$B:$B,'[1]Import Eletra'!$BQ:$BQ,,0,1)=0,"",_xlfn.XLOOKUP($E86,'[1]Import Eletra'!$B:$B,'[1]Import Eletra'!$BQ:$BQ,0,1))</f>
        <v/>
      </c>
      <c r="EE86" s="410" t="str">
        <f>IF(_xlfn.XLOOKUP($E86,'[1]Import Eletra'!$B:$B,'[1]Import Eletra'!$BR:$BR,,0,1)=0,"",_xlfn.XLOOKUP($E86,'[1]Import Eletra'!$B:$B,'[1]Import Eletra'!$BR:$BR,0,1))</f>
        <v/>
      </c>
      <c r="EF86" s="409" t="str">
        <f>IF(_xlfn.XLOOKUP($E86,'[1]Import Eletra'!$B:$B,'[1]Import Eletra'!$BS:$BS,,0,1)=0,"",_xlfn.XLOOKUP($E86,'[1]Import Eletra'!$B:$B,'[1]Import Eletra'!$BS:$BS,0,1))</f>
        <v/>
      </c>
      <c r="EG86" s="410" t="str">
        <f>IF(_xlfn.XLOOKUP($E86,'[1]Import Eletra'!$B:$B,'[1]Import Eletra'!$BT:$BT,,0,1)=0,"",_xlfn.XLOOKUP($E86,'[1]Import Eletra'!$B:$B,'[1]Import Eletra'!$BT:$BT,0,1))</f>
        <v/>
      </c>
      <c r="EH86" s="409" t="str">
        <f>IF(_xlfn.XLOOKUP($E86,'[1]Import Eletra'!$B:$B,'[1]Import Eletra'!$BU:$BU,,0,1)=0,"",_xlfn.XLOOKUP($E86,'[1]Import Eletra'!$B:$B,'[1]Import Eletra'!$BU:$BU,0,1))</f>
        <v/>
      </c>
      <c r="EI86" s="410" t="str">
        <f>IF(_xlfn.XLOOKUP($E86,'[1]Import Eletra'!$B:$B,'[1]Import Eletra'!$BV:$BV,,0,1)=0,"",_xlfn.XLOOKUP($E86,'[1]Import Eletra'!$B:$B,'[1]Import Eletra'!$BV:$BV,0,1))</f>
        <v/>
      </c>
      <c r="EJ86" s="410">
        <f>IF(_xlfn.XLOOKUP($E86,'[1]Import Eletra'!$B:$B,'[1]Import Eletra'!$CI:$CI,,0,1)=0,"",_xlfn.XLOOKUP($E86,'[1]Import Eletra'!$B:$B,'[1]Import Eletra'!$CI:$CI,0,1))</f>
        <v>46179</v>
      </c>
      <c r="EK86" s="410" t="str">
        <f>IF(_xlfn.XLOOKUP($E86,'[1]Import Eletra'!$B:$B,'[1]Import Eletra'!$CD:$CD,,0,1)=0,"",_xlfn.XLOOKUP($E86,'[1]Import Eletra'!$B:$B,'[1]Import Eletra'!$CD:$CD,0,1))</f>
        <v/>
      </c>
      <c r="EL86" s="410" t="str">
        <f>IF(_xlfn.XLOOKUP($E86,'[1]Import Eletra'!$B:$B,'[1]Import Eletra'!$CE:$CE,,0,1)=0,"",_xlfn.XLOOKUP($E86,'[1]Import Eletra'!$B:$B,'[1]Import Eletra'!$CE:$CE,0,1))</f>
        <v>NÃO</v>
      </c>
      <c r="EM86" s="411" t="str">
        <f>IF(_xlfn.XLOOKUP($E86,'[1]Import Eletra'!$B:$B,'[1]Import Eletra'!$E:$E,,0,1)=0,"",_xlfn.XLOOKUP($E86,'[1]Import Eletra'!$B:$B,'[1]Import Eletra'!$E:$E,0,1))</f>
        <v>RENATO</v>
      </c>
      <c r="EN86" s="408" t="str">
        <f>IF(_xlfn.XLOOKUP($E86,'[1]Import Eletra'!$B:$B,'[1]Import Eletra'!$R:$R,,0,1)=0,"",_xlfn.XLOOKUP($E86,'[1]Import Eletra'!$B:$B,'[1]Import Eletra'!$R:$R,0,1))</f>
        <v>SBR2600003</v>
      </c>
      <c r="EO86" s="408" t="str">
        <f>IF(_xlfn.XLOOKUP($E86,'[1]Import Eletra'!$B:$B,'[1]Import Eletra'!$P:$P,,0,1)=0,"",_xlfn.XLOOKUP($E86,'[1]Import Eletra'!$B:$B,'[1]Import Eletra'!$P:$P,0,1))</f>
        <v>SYNHGH26SE030930</v>
      </c>
      <c r="EP86" s="408" t="str">
        <f>IF(_xlfn.XLOOKUP($E86,'[1]Import Eletra'!$B:$B,'[1]Import Eletra'!$T:$T,,0,1)=0,"",_xlfn.XLOOKUP($E86,'[1]Import Eletra'!$B:$B,'[1]Import Eletra'!$T:$T,0,1))</f>
        <v>GCXU6105315, TRHU3790633</v>
      </c>
    </row>
    <row r="87" spans="1:146" ht="30" customHeight="1">
      <c r="B87" s="371" t="s">
        <v>336</v>
      </c>
      <c r="C87" s="369"/>
      <c r="D87" s="104" t="str">
        <f>IF(_xlfn.XLOOKUP($E87,'[1]Import Eletra'!$B:$B,'[1]Import Eletra'!$A:$A,,0,1)=0,"",_xlfn.XLOOKUP($E87,'[1]Import Eletra'!$B:$B,'[1]Import Eletra'!$A:$A,,0,1))</f>
        <v>JUN_2026</v>
      </c>
      <c r="E87" s="219" t="s">
        <v>387</v>
      </c>
      <c r="F87" s="203">
        <f>IF(_xlfn.XLOOKUP($E87,'[1]Import Eletra'!$B:$B,'[1]Import Eletra'!$U:$U,,0,1)=0,"",_xlfn.XLOOKUP($E87,'[1]Import Eletra'!$B:$B,'[1]Import Eletra'!$U:$U,,0,1))</f>
        <v>2</v>
      </c>
      <c r="G87" s="199" t="s">
        <v>385</v>
      </c>
      <c r="H87" s="2" t="str">
        <f>_xlfn.XLOOKUP($E87,'[1]Import Eletra'!$B:$B,'[1]Import Eletra'!$F:$F,,0,1)</f>
        <v>DELIVERED</v>
      </c>
      <c r="I87" s="108" t="str">
        <f>_xlfn.XLOOKUP($E87,'[1]Import Eletra'!$B:$B,'[1]Import Eletra'!$G:$G,,0,1)</f>
        <v>SEA</v>
      </c>
      <c r="J87" s="326"/>
      <c r="K87" s="109"/>
      <c r="L87" s="109"/>
      <c r="M87" s="326">
        <f>IF(_xlfn.XLOOKUP($E87,'[1]Import Eletra'!$B:$B,'[1]Import Eletra'!$J:$J,,0,1)=0,"",_xlfn.XLOOKUP($E87,'[1]Import Eletra'!$B:$B,'[1]Import Eletra'!$J:$J,,0,1))</f>
        <v>46134</v>
      </c>
      <c r="N87" s="332">
        <f>IF(_xlfn.XLOOKUP($E87,'[1]Import Eletra'!$B:$B,'[1]Import Eletra'!$L:$L,,0,1)=0,"",_xlfn.XLOOKUP($E87,'[1]Import Eletra'!$B:$B,'[1]Import Eletra'!$L:$L,,0,1))</f>
        <v>46182</v>
      </c>
      <c r="O87" s="374">
        <f>IF(_xlfn.XLOOKUP($E87,'[1]Import Eletra'!$B:$B,'[1]Import Eletra'!$AK:$AK,,0,1)=0,"",_xlfn.XLOOKUP($E87,'[1]Import Eletra'!$B:$B,'[1]Import Eletra'!$AK:$AK,,0,1))</f>
        <v>46176</v>
      </c>
      <c r="P87" s="326">
        <f>IF(_xlfn.XLOOKUP($E87,'[1]Import Eletra'!$B:$B,'[1]Import Eletra'!$AL:$AL,,0,1)=0,"",_xlfn.XLOOKUP($E87,'[1]Import Eletra'!$B:$B,'[1]Import Eletra'!$AL:$AL,,0,1))</f>
        <v>46178</v>
      </c>
      <c r="Q87" s="326">
        <f>IF(_xlfn.XLOOKUP($E87,'[1]Import Eletra'!$B:$B,'[1]Import Eletra'!$AM:$AM,,0,1)=0,"",_xlfn.XLOOKUP($E87,'[1]Import Eletra'!$B:$B,'[1]Import Eletra'!$AM:$AM,,0,1))</f>
        <v>46182</v>
      </c>
      <c r="R87" s="326">
        <f>IF(_xlfn.XLOOKUP($E87,'[1]Import Eletra'!$B:$B,'[1]Import Eletra'!$AN:$AN,,0,1)=0,"",_xlfn.XLOOKUP($E87,'[1]Import Eletra'!$B:$B,'[1]Import Eletra'!$AN:$AN,,0,1))</f>
        <v>46182</v>
      </c>
      <c r="S87" s="326">
        <f>IF(_xlfn.XLOOKUP($E87,'[1]Import Eletra'!$B:$B,'[1]Import Eletra'!$AO:$AO,,0,1)=0,"",_xlfn.XLOOKUP($E87,'[1]Import Eletra'!$B:$B,'[1]Import Eletra'!$AO:$AO,,0,1))</f>
        <v>46182</v>
      </c>
      <c r="T87" s="326">
        <f>IF(_xlfn.XLOOKUP($E87,'[1]Import Eletra'!$B:$B,'[1]Import Eletra'!$AP:$AP,,0,1)=0,"",_xlfn.XLOOKUP($E87,'[1]Import Eletra'!$B:$B,'[1]Import Eletra'!$AP:$AP,,0,1))</f>
        <v>46182</v>
      </c>
      <c r="U87" s="337">
        <f>IF(_xlfn.XLOOKUP($E87,'[1]Import Eletra'!$B:$B,'[1]Import Eletra'!$AQ:$AQ,,0,1)=0,"",_xlfn.XLOOKUP($E87,'[1]Import Eletra'!$B:$B,'[1]Import Eletra'!$AQ:$AQ,,0,1))</f>
        <v>46183</v>
      </c>
      <c r="V87" s="343">
        <f>IF(_xlfn.XLOOKUP($E87,'[1]Import Eletra'!$B:$B,'[1]Import Eletra'!$AR:$AR,,0,1)=0,"",_xlfn.XLOOKUP($E87,'[1]Import Eletra'!$B:$B,'[1]Import Eletra'!$AR:$AR,,0,1))</f>
        <v>46183</v>
      </c>
      <c r="W87" s="335">
        <f>AB87-$AB$4</f>
        <v>46186</v>
      </c>
      <c r="X87" s="332">
        <f>IF(_xlfn.XLOOKUP($E87,'[1]Import Eletra'!$B:$B,'[1]Import Eletra'!$AS:$AS,,0,1)=0,"",_xlfn.XLOOKUP($E87,'[1]Import Eletra'!$B:$B,'[1]Import Eletra'!$AS:$AS,,0,1))</f>
        <v>46184</v>
      </c>
      <c r="Y87" s="113">
        <f>$W$4</f>
        <v>0</v>
      </c>
      <c r="Z87" s="113">
        <f ca="1">IF(X87="",TODAY()-W87,X87-W87)</f>
        <v>-2</v>
      </c>
      <c r="AA87" s="184" t="str">
        <f ca="1">IF(AND(ISNUMBER($Z87),$Z87&gt;0),$Z87-$Y87,"")</f>
        <v/>
      </c>
      <c r="AB87" s="348">
        <f>AG87-$AB$4</f>
        <v>46186</v>
      </c>
      <c r="AC87" s="332">
        <f>IF(_xlfn.XLOOKUP($E87,'[1]Import Eletra'!$B:$B,'[1]Import Eletra'!$AD:$AD,,0,1)=0,"",_xlfn.XLOOKUP($E87,'[1]Import Eletra'!$B:$B,'[1]Import Eletra'!$AD:$AD,,0,1))</f>
        <v>46184</v>
      </c>
      <c r="AD87" s="113">
        <f>$AB$4</f>
        <v>0</v>
      </c>
      <c r="AE87" s="113">
        <f ca="1">IF(AC87="",TODAY()-AB87,AC87-AB87)</f>
        <v>-2</v>
      </c>
      <c r="AF87" s="184">
        <f ca="1">AE87-AD87</f>
        <v>-2</v>
      </c>
      <c r="AG87" s="355">
        <f>AL87-$AL$4</f>
        <v>46186</v>
      </c>
      <c r="AH87" s="332">
        <f>IF(_xlfn.XLOOKUP($E87,'[1]Import Eletra'!$B:$B,'[1]Import Eletra'!$AE:$AE,,0,1)=0,"",_xlfn.XLOOKUP($E87,'[1]Import Eletra'!$B:$B,'[1]Import Eletra'!$AE:$AE,,0,1))</f>
        <v>46184</v>
      </c>
      <c r="AI87" s="113">
        <f>$AG$4</f>
        <v>0</v>
      </c>
      <c r="AJ87" s="113">
        <f ca="1">IF(AH87="",TODAY()-AG87,AH87-AG87)</f>
        <v>-2</v>
      </c>
      <c r="AK87" s="184" t="str">
        <f ca="1">IF(AND(ISNUMBER($AJ87),$AJ87&gt;0),$AJ87-$AI87,"")</f>
        <v/>
      </c>
      <c r="AL87" s="355">
        <f>AQ87-$AQ$4</f>
        <v>46186</v>
      </c>
      <c r="AM87" s="332">
        <f>IF(_xlfn.XLOOKUP($E87,'[1]Import Eletra'!$B:$B,'[1]Import Eletra'!$AT:$AT,,0,1)=0,"",_xlfn.XLOOKUP($E87,'[1]Import Eletra'!$B:$B,'[1]Import Eletra'!$AT:$AT,,0,1))</f>
        <v>46184</v>
      </c>
      <c r="AN87" s="113">
        <f>$AL$4</f>
        <v>0</v>
      </c>
      <c r="AO87" s="113">
        <f ca="1">IF(AM87="",TODAY()-AL87,AM87-AL87)</f>
        <v>-2</v>
      </c>
      <c r="AP87" s="184" t="str">
        <f ca="1">IF(AND(ISNUMBER($AO87),$AO87&gt;0),$AO87-$AN87,"")</f>
        <v/>
      </c>
      <c r="AQ87" s="357">
        <f>AV87-$AV$4</f>
        <v>46187</v>
      </c>
      <c r="AR87" s="332">
        <f>IF(_xlfn.XLOOKUP($E87,'[1]Import Eletra'!$B:$B,'[1]Import Eletra'!$AU:$AU,,0,1)=0,"",_xlfn.XLOOKUP($E87,'[1]Import Eletra'!$B:$B,'[1]Import Eletra'!$AU:$AU,,0,1))</f>
        <v>46184</v>
      </c>
      <c r="AS87" s="113">
        <f>$AQ$4</f>
        <v>1</v>
      </c>
      <c r="AT87" s="113">
        <f ca="1">IF(AR87="",TODAY()-AQ87,AR87-AQ87)</f>
        <v>-3</v>
      </c>
      <c r="AU87" s="184" t="str">
        <f ca="1">IF(AND(ISNUMBER($AT87),$AT87&gt;0),$AT87-$AS87,"")</f>
        <v/>
      </c>
      <c r="AV87" s="355">
        <f>BA87-$BA$4</f>
        <v>46187</v>
      </c>
      <c r="AW87" s="332">
        <f>IF(_xlfn.XLOOKUP($E87,'[1]Import Eletra'!$B:$B,'[1]Import Eletra'!$AU:$AU,,0,1)=0,"",_xlfn.XLOOKUP($E87,'[1]Import Eletra'!$B:$B,'[1]Import Eletra'!$AU:$AU,,0,1))</f>
        <v>46184</v>
      </c>
      <c r="AX87" s="113">
        <f>$AV$4</f>
        <v>0</v>
      </c>
      <c r="AY87" s="113">
        <f ca="1">IF(AW87="",TODAY()-AV87,AW87-AV87)</f>
        <v>-3</v>
      </c>
      <c r="AZ87" s="184" t="str">
        <f ca="1">IF(AND(ISNUMBER($AY87),$AY87&gt;0),$AY87-$AX87,"")</f>
        <v/>
      </c>
      <c r="BA87" s="357">
        <f>BF87-$BF$4</f>
        <v>46187</v>
      </c>
      <c r="BB87" s="332">
        <f>IF(_xlfn.XLOOKUP($E87,'[1]Import Eletra'!$B:$B,'[1]Import Eletra'!$AW:$AW,,0,1)=0,"",_xlfn.XLOOKUP($E87,'[1]Import Eletra'!$B:$B,'[1]Import Eletra'!$AW:$AW,,0,1))</f>
        <v>46184</v>
      </c>
      <c r="BC87" s="113">
        <f>$BA$4</f>
        <v>0</v>
      </c>
      <c r="BD87" s="113">
        <f ca="1">IF(BB87="",TODAY()-BA87,BB87-BA87)</f>
        <v>-3</v>
      </c>
      <c r="BE87" s="184">
        <f ca="1">BD87-BC87</f>
        <v>-3</v>
      </c>
      <c r="BF87" s="335">
        <f>BK87-$BK$4</f>
        <v>46187</v>
      </c>
      <c r="BG87" s="345">
        <f>IF(_xlfn.XLOOKUP($E87,'[1]Import Eletra'!$B:$B,'[1]Import Eletra'!$AX:$AX,,0,1)=0,"",_xlfn.XLOOKUP($E87,'[1]Import Eletra'!$B:$B,'[1]Import Eletra'!$AX:$AX,,0,1))</f>
        <v>46184</v>
      </c>
      <c r="BH87" s="113">
        <f>$BF$4</f>
        <v>0</v>
      </c>
      <c r="BI87" s="113">
        <f ca="1">IF(BG87="",TODAY()-BF87,BG87-BF87)</f>
        <v>-3</v>
      </c>
      <c r="BJ87" s="184" t="str">
        <f ca="1">IF(AND(ISNUMBER($BI87),$BI87&gt;0),$BI87-$BH87,"")</f>
        <v/>
      </c>
      <c r="BK87" s="362">
        <f>BP87-$BP$4</f>
        <v>46187</v>
      </c>
      <c r="BL87" s="332" t="str">
        <f>IF(_xlfn.XLOOKUP($E87,'[1]Import Eletra'!$B:$B,'[1]Import Eletra'!$AY:$AY,,0,1)=0,"",_xlfn.XLOOKUP($E87,'[1]Import Eletra'!$B:$B,'[1]Import Eletra'!$AY:$AY,,0,1))</f>
        <v/>
      </c>
      <c r="BM87" s="113">
        <f>$BK$4</f>
        <v>0</v>
      </c>
      <c r="BN87" s="113">
        <f ca="1">IF(BL87="",TODAY()-BK87,BL87-BK87)</f>
        <v>24</v>
      </c>
      <c r="BO87" s="184">
        <f ca="1">BN87-BM87</f>
        <v>24</v>
      </c>
      <c r="BP87" s="335">
        <f>BU87-$BU$4</f>
        <v>46187</v>
      </c>
      <c r="BQ87" s="332" t="str">
        <f>IF(_xlfn.XLOOKUP($E87,'[1]Import Eletra'!$B:$B,'[1]Import Eletra'!$AZ:$AZ,,0,1)=0,"",_xlfn.XLOOKUP($E87,'[1]Import Eletra'!$B:$B,'[1]Import Eletra'!$AZ:$AZ,,0,1))</f>
        <v/>
      </c>
      <c r="BR87" s="113">
        <f>$BP$4</f>
        <v>0</v>
      </c>
      <c r="BS87" s="113">
        <f ca="1">IF(BQ87="",TODAY()-BP87,BQ87-BP87)</f>
        <v>24</v>
      </c>
      <c r="BT87" s="184">
        <f ca="1">BS87-BR87</f>
        <v>24</v>
      </c>
      <c r="BU87" s="362">
        <f>BZ87-$BZ$4</f>
        <v>46189</v>
      </c>
      <c r="BV87" s="332">
        <f>IF(_xlfn.XLOOKUP($E87,'[1]Import Eletra'!$B:$B,'[1]Import Eletra'!$BA:$BA,,0,1)=0,"",_xlfn.XLOOKUP($E87,'[1]Import Eletra'!$B:$B,'[1]Import Eletra'!$BA:$BA,,0,1))</f>
        <v>46204</v>
      </c>
      <c r="BW87" s="113">
        <f>$BU$4</f>
        <v>2</v>
      </c>
      <c r="BX87" s="113">
        <f ca="1">IF(BV87="",TODAY()-BU87,BV87-BU87)</f>
        <v>15</v>
      </c>
      <c r="BY87" s="184">
        <f ca="1">IF(AND(ISNUMBER($BX87),$BX87&gt;0),$BX87-$BW87,"")</f>
        <v>13</v>
      </c>
      <c r="BZ87" s="335">
        <f>CE87-$CE$4</f>
        <v>46189</v>
      </c>
      <c r="CA87" s="332" t="str">
        <f>IF(_xlfn.XLOOKUP($E87,'[1]Import Eletra'!$B:$B,'[1]Import Eletra'!$BB:$BB,,0,1)=0,"",_xlfn.XLOOKUP($E87,'[1]Import Eletra'!$B:$B,'[1]Import Eletra'!$BB:$BB,,0,1))</f>
        <v/>
      </c>
      <c r="CB87" s="113">
        <f>$BZ$4</f>
        <v>0</v>
      </c>
      <c r="CC87" s="113">
        <f ca="1">IF(CA87="",TODAY()-BZ87,CA87-BZ87)</f>
        <v>22</v>
      </c>
      <c r="CD87" s="184">
        <f ca="1">CC87-CB87</f>
        <v>22</v>
      </c>
      <c r="CE87" s="362">
        <f>CJ87-$CJ$4</f>
        <v>46189</v>
      </c>
      <c r="CF87" s="332" t="str">
        <f>IF(_xlfn.XLOOKUP($E87,'[1]Import Eletra'!$B:$B,'[1]Import Eletra'!$BC:$BC,,0,1)=0,"",_xlfn.XLOOKUP($E87,'[1]Import Eletra'!$B:$B,'[1]Import Eletra'!$BC:$BC,,0,1))</f>
        <v/>
      </c>
      <c r="CG87" s="113">
        <f>$CE$4</f>
        <v>0</v>
      </c>
      <c r="CH87" s="113">
        <f ca="1">IF(CF87="",TODAY()-CE87,CF87-CE87)</f>
        <v>22</v>
      </c>
      <c r="CI87" s="184">
        <f ca="1">CH87-CG87</f>
        <v>22</v>
      </c>
      <c r="CJ87" s="335">
        <f>CO87-$CO$4</f>
        <v>46189</v>
      </c>
      <c r="CK87" s="332">
        <f>IF(_xlfn.XLOOKUP($E87,'[1]Import Eletra'!$B:$B,'[1]Import Eletra'!$BD:$BD,,0,1)=0,"",_xlfn.XLOOKUP($E87,'[1]Import Eletra'!$B:$B,'[1]Import Eletra'!$BD:$BD,,0,1))</f>
        <v>46190</v>
      </c>
      <c r="CL87" s="113"/>
      <c r="CM87" s="113">
        <f ca="1">IF(CK87="",TODAY()-CJ87,CK87-CJ87)</f>
        <v>1</v>
      </c>
      <c r="CN87" s="184">
        <f ca="1">CM87-CL87</f>
        <v>1</v>
      </c>
      <c r="CO87" s="362">
        <f>CT87-$CT$4</f>
        <v>46189</v>
      </c>
      <c r="CP87" s="332">
        <f>IF(_xlfn.XLOOKUP($E87,'[1]Import Eletra'!$B:$B,'[1]Import Eletra'!$BE:$BE,,0,1)=0,"",_xlfn.XLOOKUP($E87,'[1]Import Eletra'!$B:$B,'[1]Import Eletra'!$BE:$BE,,0,1))</f>
        <v>46197</v>
      </c>
      <c r="CQ87" s="113">
        <f>$CO$4</f>
        <v>0</v>
      </c>
      <c r="CR87" s="113">
        <f ca="1">IF(CP87="",TODAY()-CO87,CP87-CO87)</f>
        <v>8</v>
      </c>
      <c r="CS87" s="184">
        <f ca="1">CR87-CQ87</f>
        <v>8</v>
      </c>
      <c r="CT87" s="335">
        <f>CY87-$CY$4</f>
        <v>46189</v>
      </c>
      <c r="CU87" s="332">
        <f>IF(_xlfn.XLOOKUP($E87,'[1]Import Eletra'!$B:$B,'[1]Import Eletra'!$BF:$BF,,0,1)=0,"",_xlfn.XLOOKUP($E87,'[1]Import Eletra'!$B:$B,'[1]Import Eletra'!$BF:$BF,,0,1))</f>
        <v>46197</v>
      </c>
      <c r="CV87" s="113">
        <f>$CT$4</f>
        <v>0</v>
      </c>
      <c r="CW87" s="113">
        <f ca="1">IF(CU87="",TODAY()-CT87,CU87-CT87)</f>
        <v>8</v>
      </c>
      <c r="CX87" s="184">
        <f ca="1">CW87-CV87</f>
        <v>8</v>
      </c>
      <c r="CY87" s="110">
        <f>DD87-$DD$4</f>
        <v>46189</v>
      </c>
      <c r="CZ87" s="247">
        <f>IF(_xlfn.XLOOKUP($E87,'[1]Import Eletra'!$B:$B,'[1]Import Eletra'!$BF:$BF,,0,1)=0,"",_xlfn.XLOOKUP($E87,'[1]Import Eletra'!$B:$B,'[1]Import Eletra'!$BF:$BF,,0,1))</f>
        <v>46197</v>
      </c>
      <c r="DA87" s="210">
        <f>$CY$4</f>
        <v>0</v>
      </c>
      <c r="DB87" s="113">
        <f ca="1">IF(CZ87="",TODAY()-CY87,CZ87-CY87)</f>
        <v>8</v>
      </c>
      <c r="DC87" s="184">
        <f ca="1">DB87-DA87</f>
        <v>8</v>
      </c>
      <c r="DD87" s="110">
        <f>DI87-$DI$4</f>
        <v>46191</v>
      </c>
      <c r="DE87" s="247">
        <f>IF(_xlfn.XLOOKUP($E87,'[1]Import Eletra'!$B:$B,'[1]Import Eletra'!$BG:$BG,,0,1)=0,"",_xlfn.XLOOKUP($E87,'[1]Import Eletra'!$B:$B,'[1]Import Eletra'!$BG:$BG,0,1))</f>
        <v>46204</v>
      </c>
      <c r="DF87" s="113">
        <f>$DD$4</f>
        <v>2</v>
      </c>
      <c r="DG87" s="113">
        <f ca="1">IF(DE87="",TODAY()-DD87,DE87-DD87)</f>
        <v>13</v>
      </c>
      <c r="DH87" s="184">
        <f ca="1">DG87-DF87</f>
        <v>11</v>
      </c>
      <c r="DI87" s="110">
        <f>DO87-$DN$4</f>
        <v>46192</v>
      </c>
      <c r="DJ87" s="247">
        <f>IF(_xlfn.XLOOKUP($E87,'[1]Import Eletra'!$B:$B,'[1]Import Eletra'!$BH:$BH,,0,1)=0,"",_xlfn.XLOOKUP($E87,'[1]Import Eletra'!$B:$B,'[1]Import Eletra'!$BH:$BH,0,1))</f>
        <v>46204</v>
      </c>
      <c r="DK87" s="113">
        <f>$DI$4</f>
        <v>1</v>
      </c>
      <c r="DL87" s="113">
        <f ca="1">IF(DJ87="",TODAY()-DI87,DJ87-DI87)</f>
        <v>12</v>
      </c>
      <c r="DM87" s="184">
        <f ca="1">DL87-DK87</f>
        <v>11</v>
      </c>
      <c r="DN87" s="64"/>
      <c r="DO87" s="202">
        <f>IF(V87="",N87+DT87,V87+DT87)</f>
        <v>46193</v>
      </c>
      <c r="DP87" s="298">
        <f>IF(_xlfn.XLOOKUP($E87,'[1]Import Eletra'!$B:$B,'[1]Import Eletra'!$O:$O,,0,1)=0,"",_xlfn.XLOOKUP($E87,'[1]Import Eletra'!$B:$B,'[1]Import Eletra'!$O:$O,0,1))</f>
        <v>46204</v>
      </c>
      <c r="DQ87" s="113">
        <f>$DN$4</f>
        <v>1</v>
      </c>
      <c r="DR87" s="113">
        <f ca="1">IF(DP87="",TODAY()-DO87,DP87-DO87)</f>
        <v>11</v>
      </c>
      <c r="DS87" s="184">
        <f ca="1">DR87-DQ87</f>
        <v>10</v>
      </c>
      <c r="DT87" s="143">
        <v>10</v>
      </c>
      <c r="DU87" s="140">
        <f ca="1">IF(DP87="",TODAY()-N87,DP87-N87)</f>
        <v>22</v>
      </c>
      <c r="DV87" s="184">
        <f ca="1">DU87-DT87</f>
        <v>12</v>
      </c>
      <c r="DX87" s="422"/>
      <c r="DY87" s="120" t="str">
        <f>IF(_xlfn.XLOOKUP($E87,'[1]Import Eletra'!$B:$B,'[1]Import Eletra'!$DW:$DW,,0,1)=0,"",_xlfn.XLOOKUP($E87,'[1]Import Eletra'!$B:$B,'[1]Import Eletra'!$DW:$DW,0,1))</f>
        <v>DELAY IN ISSUANCE/NF ERROR</v>
      </c>
      <c r="EB87" s="289"/>
      <c r="ED87" s="409">
        <f>IF(_xlfn.XLOOKUP($E87,'[1]Import Eletra'!$B:$B,'[1]Import Eletra'!$BQ:$BQ,,0,1)=0,"",_xlfn.XLOOKUP($E87,'[1]Import Eletra'!$B:$B,'[1]Import Eletra'!$BQ:$BQ,0,1))</f>
        <v>9284.26</v>
      </c>
      <c r="EE87" s="410">
        <f>IF(_xlfn.XLOOKUP($E87,'[1]Import Eletra'!$B:$B,'[1]Import Eletra'!$BR:$BR,,0,1)=0,"",_xlfn.XLOOKUP($E87,'[1]Import Eletra'!$B:$B,'[1]Import Eletra'!$BR:$BR,0,1))</f>
        <v>46204</v>
      </c>
      <c r="EF87" s="409" t="str">
        <f>IF(_xlfn.XLOOKUP($E87,'[1]Import Eletra'!$B:$B,'[1]Import Eletra'!$BS:$BS,,0,1)=0,"",_xlfn.XLOOKUP($E87,'[1]Import Eletra'!$B:$B,'[1]Import Eletra'!$BS:$BS,0,1))</f>
        <v/>
      </c>
      <c r="EG87" s="410" t="str">
        <f>IF(_xlfn.XLOOKUP($E87,'[1]Import Eletra'!$B:$B,'[1]Import Eletra'!$BT:$BT,,0,1)=0,"",_xlfn.XLOOKUP($E87,'[1]Import Eletra'!$B:$B,'[1]Import Eletra'!$BT:$BT,0,1))</f>
        <v/>
      </c>
      <c r="EH87" s="409" t="str">
        <f>IF(_xlfn.XLOOKUP($E87,'[1]Import Eletra'!$B:$B,'[1]Import Eletra'!$BU:$BU,,0,1)=0,"",_xlfn.XLOOKUP($E87,'[1]Import Eletra'!$B:$B,'[1]Import Eletra'!$BU:$BU,0,1))</f>
        <v/>
      </c>
      <c r="EI87" s="410" t="str">
        <f>IF(_xlfn.XLOOKUP($E87,'[1]Import Eletra'!$B:$B,'[1]Import Eletra'!$BV:$BV,,0,1)=0,"",_xlfn.XLOOKUP($E87,'[1]Import Eletra'!$B:$B,'[1]Import Eletra'!$BV:$BV,0,1))</f>
        <v/>
      </c>
      <c r="EJ87" s="410">
        <f>IF(_xlfn.XLOOKUP($E87,'[1]Import Eletra'!$B:$B,'[1]Import Eletra'!$CI:$CI,,0,1)=0,"",_xlfn.XLOOKUP($E87,'[1]Import Eletra'!$B:$B,'[1]Import Eletra'!$CI:$CI,0,1))</f>
        <v>46200</v>
      </c>
      <c r="EK87" s="410" t="str">
        <f>IF(_xlfn.XLOOKUP($E87,'[1]Import Eletra'!$B:$B,'[1]Import Eletra'!$CD:$CD,,0,1)=0,"",_xlfn.XLOOKUP($E87,'[1]Import Eletra'!$B:$B,'[1]Import Eletra'!$CD:$CD,0,1))</f>
        <v/>
      </c>
      <c r="EL87" s="410" t="str">
        <f>IF(_xlfn.XLOOKUP($E87,'[1]Import Eletra'!$B:$B,'[1]Import Eletra'!$CE:$CE,,0,1)=0,"",_xlfn.XLOOKUP($E87,'[1]Import Eletra'!$B:$B,'[1]Import Eletra'!$CE:$CE,0,1))</f>
        <v>NÃO</v>
      </c>
      <c r="EM87" s="411" t="str">
        <f>IF(_xlfn.XLOOKUP($E87,'[1]Import Eletra'!$B:$B,'[1]Import Eletra'!$E:$E,,0,1)=0,"",_xlfn.XLOOKUP($E87,'[1]Import Eletra'!$B:$B,'[1]Import Eletra'!$E:$E,0,1))</f>
        <v>LEISIANE</v>
      </c>
      <c r="EN87" s="408" t="str">
        <f>IF(_xlfn.XLOOKUP($E87,'[1]Import Eletra'!$B:$B,'[1]Import Eletra'!$R:$R,,0,1)=0,"",_xlfn.XLOOKUP($E87,'[1]Import Eletra'!$B:$B,'[1]Import Eletra'!$R:$R,0,1))</f>
        <v>PWBR26003940</v>
      </c>
      <c r="EO87" s="408" t="str">
        <f>IF(_xlfn.XLOOKUP($E87,'[1]Import Eletra'!$B:$B,'[1]Import Eletra'!$P:$P,,0,1)=0,"",_xlfn.XLOOKUP($E87,'[1]Import Eletra'!$B:$B,'[1]Import Eletra'!$P:$P,0,1))</f>
        <v>SYNHGH26SE040966A</v>
      </c>
      <c r="EP87" s="408" t="str">
        <f>IF(_xlfn.XLOOKUP($E87,'[1]Import Eletra'!$B:$B,'[1]Import Eletra'!$T:$T,,0,1)=0,"",_xlfn.XLOOKUP($E87,'[1]Import Eletra'!$B:$B,'[1]Import Eletra'!$T:$T,0,1))</f>
        <v>TCKU6297617, TLLU5099438</v>
      </c>
    </row>
    <row r="88" spans="1:146" ht="30" customHeight="1">
      <c r="B88" s="371"/>
      <c r="C88" s="369"/>
      <c r="D88" s="104" t="str">
        <f>IF(_xlfn.XLOOKUP($E88,'[1]Import Eletra'!$B:$B,'[1]Import Eletra'!$A:$A,,0,1)=0,"",_xlfn.XLOOKUP($E88,'[1]Import Eletra'!$B:$B,'[1]Import Eletra'!$A:$A,,0,1))</f>
        <v>SEP_2026</v>
      </c>
      <c r="E88" s="214" t="s">
        <v>388</v>
      </c>
      <c r="F88" s="203">
        <f>IF(_xlfn.XLOOKUP($E88,'[1]Import Eletra'!$B:$B,'[1]Import Eletra'!$U:$U,,0,1)=0,"",_xlfn.XLOOKUP($E88,'[1]Import Eletra'!$B:$B,'[1]Import Eletra'!$U:$U,,0,1))</f>
        <v>1</v>
      </c>
      <c r="G88" s="199" t="s">
        <v>385</v>
      </c>
      <c r="H88" s="2" t="str">
        <f>_xlfn.XLOOKUP($E88,'[1]Import Eletra'!$B:$B,'[1]Import Eletra'!$F:$F,,0,1)</f>
        <v>WAITING ARRIVAL</v>
      </c>
      <c r="I88" s="108" t="str">
        <f>_xlfn.XLOOKUP($E88,'[1]Import Eletra'!$B:$B,'[1]Import Eletra'!$G:$G,,0,1)</f>
        <v>SEA</v>
      </c>
      <c r="J88" s="326"/>
      <c r="K88" s="109"/>
      <c r="L88" s="109"/>
      <c r="M88" s="326">
        <f>IF(_xlfn.XLOOKUP($E88,'[1]Import Eletra'!$B:$B,'[1]Import Eletra'!$J:$J,,0,1)=0,"",_xlfn.XLOOKUP($E88,'[1]Import Eletra'!$B:$B,'[1]Import Eletra'!$J:$J,,0,1))</f>
        <v>46191</v>
      </c>
      <c r="N88" s="333">
        <f>IF(_xlfn.XLOOKUP($E88,'[1]Import Eletra'!$B:$B,'[1]Import Eletra'!$L:$L,,0,1)=0,"",_xlfn.XLOOKUP($E88,'[1]Import Eletra'!$B:$B,'[1]Import Eletra'!$L:$L,,0,1))</f>
        <v>46236</v>
      </c>
      <c r="O88" s="336" t="str">
        <f>IF(_xlfn.XLOOKUP($E88,'[1]Import Eletra'!$B:$B,'[1]Import Eletra'!$AK:$AK,,0,1)=0,"",_xlfn.XLOOKUP($E88,'[1]Import Eletra'!$B:$B,'[1]Import Eletra'!$AK:$AK,,0,1))</f>
        <v/>
      </c>
      <c r="P88" s="326" t="str">
        <f>IF(_xlfn.XLOOKUP($E88,'[1]Import Eletra'!$B:$B,'[1]Import Eletra'!$AL:$AL,,0,1)=0,"",_xlfn.XLOOKUP($E88,'[1]Import Eletra'!$B:$B,'[1]Import Eletra'!$AL:$AL,,0,1))</f>
        <v/>
      </c>
      <c r="Q88" s="326" t="str">
        <f>IF(_xlfn.XLOOKUP($E88,'[1]Import Eletra'!$B:$B,'[1]Import Eletra'!$AM:$AM,,0,1)=0,"",_xlfn.XLOOKUP($E88,'[1]Import Eletra'!$B:$B,'[1]Import Eletra'!$AM:$AM,,0,1))</f>
        <v/>
      </c>
      <c r="R88" s="326" t="str">
        <f>IF(_xlfn.XLOOKUP($E88,'[1]Import Eletra'!$B:$B,'[1]Import Eletra'!$AN:$AN,,0,1)=0,"",_xlfn.XLOOKUP($E88,'[1]Import Eletra'!$B:$B,'[1]Import Eletra'!$AN:$AN,,0,1))</f>
        <v/>
      </c>
      <c r="S88" s="326" t="str">
        <f>IF(_xlfn.XLOOKUP($E88,'[1]Import Eletra'!$B:$B,'[1]Import Eletra'!$AO:$AO,,0,1)=0,"",_xlfn.XLOOKUP($E88,'[1]Import Eletra'!$B:$B,'[1]Import Eletra'!$AO:$AO,,0,1))</f>
        <v/>
      </c>
      <c r="T88" s="326" t="str">
        <f>IF(_xlfn.XLOOKUP($E88,'[1]Import Eletra'!$B:$B,'[1]Import Eletra'!$AP:$AP,,0,1)=0,"",_xlfn.XLOOKUP($E88,'[1]Import Eletra'!$B:$B,'[1]Import Eletra'!$AP:$AP,,0,1))</f>
        <v/>
      </c>
      <c r="U88" s="337" t="str">
        <f>IF(_xlfn.XLOOKUP($E88,'[1]Import Eletra'!$B:$B,'[1]Import Eletra'!$AQ:$AQ,,0,1)=0,"",_xlfn.XLOOKUP($E88,'[1]Import Eletra'!$B:$B,'[1]Import Eletra'!$AQ:$AQ,,0,1))</f>
        <v/>
      </c>
      <c r="V88" s="339"/>
      <c r="W88" s="335"/>
      <c r="X88" s="332"/>
      <c r="Y88" s="113"/>
      <c r="Z88" s="113"/>
      <c r="AA88" s="184"/>
      <c r="AB88" s="348"/>
      <c r="AC88" s="332" t="str">
        <f>IF(_xlfn.XLOOKUP($E88,'[1]Import Eletra'!$B:$B,'[1]Import Eletra'!$AD:$AD,,0,1)=0,"",_xlfn.XLOOKUP($E88,'[1]Import Eletra'!$B:$B,'[1]Import Eletra'!$AD:$AD,,0,1))</f>
        <v/>
      </c>
      <c r="AD88" s="113"/>
      <c r="AE88" s="113"/>
      <c r="AF88" s="184"/>
      <c r="AG88" s="355"/>
      <c r="AH88" s="332" t="str">
        <f>IF(_xlfn.XLOOKUP($E88,'[1]Import Eletra'!$B:$B,'[1]Import Eletra'!$AE:$AE,,0,1)=0,"",_xlfn.XLOOKUP($E88,'[1]Import Eletra'!$B:$B,'[1]Import Eletra'!$AE:$AE,,0,1))</f>
        <v/>
      </c>
      <c r="AI88" s="113"/>
      <c r="AJ88" s="113"/>
      <c r="AK88" s="184"/>
      <c r="AL88" s="355"/>
      <c r="AM88" s="332" t="str">
        <f>IF(_xlfn.XLOOKUP($E88,'[1]Import Eletra'!$B:$B,'[1]Import Eletra'!$AT:$AT,,0,1)=0,"",_xlfn.XLOOKUP($E88,'[1]Import Eletra'!$B:$B,'[1]Import Eletra'!$AT:$AT,,0,1))</f>
        <v/>
      </c>
      <c r="AN88" s="113"/>
      <c r="AO88" s="113"/>
      <c r="AP88" s="184"/>
      <c r="AQ88" s="357"/>
      <c r="AR88" s="332" t="str">
        <f>IF(_xlfn.XLOOKUP($E88,'[1]Import Eletra'!$B:$B,'[1]Import Eletra'!$AU:$AU,,0,1)=0,"",_xlfn.XLOOKUP($E88,'[1]Import Eletra'!$B:$B,'[1]Import Eletra'!$AU:$AU,,0,1))</f>
        <v/>
      </c>
      <c r="AS88" s="113"/>
      <c r="AT88" s="113"/>
      <c r="AU88" s="184"/>
      <c r="AV88" s="355"/>
      <c r="AW88" s="332"/>
      <c r="AX88" s="113"/>
      <c r="AY88" s="113"/>
      <c r="AZ88" s="184"/>
      <c r="BA88" s="357"/>
      <c r="BB88" s="332" t="str">
        <f>IF(_xlfn.XLOOKUP($E88,'[1]Import Eletra'!$B:$B,'[1]Import Eletra'!$AW:$AW,,0,1)=0,"",_xlfn.XLOOKUP($E88,'[1]Import Eletra'!$B:$B,'[1]Import Eletra'!$AW:$AW,,0,1))</f>
        <v/>
      </c>
      <c r="BC88" s="113"/>
      <c r="BD88" s="113"/>
      <c r="BE88" s="184"/>
      <c r="BF88" s="335"/>
      <c r="BG88" s="332" t="str">
        <f>IF(_xlfn.XLOOKUP($E88,'[1]Import Eletra'!$B:$B,'[1]Import Eletra'!$AX:$AX,,0,1)=0,"",_xlfn.XLOOKUP($E88,'[1]Import Eletra'!$B:$B,'[1]Import Eletra'!$AX:$AX,,0,1))</f>
        <v/>
      </c>
      <c r="BH88" s="113"/>
      <c r="BI88" s="113"/>
      <c r="BJ88" s="184"/>
      <c r="BK88" s="362"/>
      <c r="BL88" s="332" t="str">
        <f>IF(_xlfn.XLOOKUP($E88,'[1]Import Eletra'!$B:$B,'[1]Import Eletra'!$AY:$AY,,0,1)=0,"",_xlfn.XLOOKUP($E88,'[1]Import Eletra'!$B:$B,'[1]Import Eletra'!$AY:$AY,,0,1))</f>
        <v/>
      </c>
      <c r="BM88" s="113"/>
      <c r="BN88" s="113"/>
      <c r="BO88" s="184"/>
      <c r="BP88" s="335"/>
      <c r="BQ88" s="332" t="str">
        <f>IF(_xlfn.XLOOKUP($E88,'[1]Import Eletra'!$B:$B,'[1]Import Eletra'!$AZ:$AZ,,0,1)=0,"",_xlfn.XLOOKUP($E88,'[1]Import Eletra'!$B:$B,'[1]Import Eletra'!$AZ:$AZ,,0,1))</f>
        <v/>
      </c>
      <c r="BR88" s="113"/>
      <c r="BS88" s="113"/>
      <c r="BT88" s="184"/>
      <c r="BU88" s="362"/>
      <c r="BV88" s="332"/>
      <c r="BW88" s="113"/>
      <c r="BX88" s="113"/>
      <c r="BY88" s="184"/>
      <c r="BZ88" s="335"/>
      <c r="CA88" s="332"/>
      <c r="CB88" s="113"/>
      <c r="CC88" s="113"/>
      <c r="CD88" s="184"/>
      <c r="CE88" s="362"/>
      <c r="CF88" s="332"/>
      <c r="CG88" s="113"/>
      <c r="CH88" s="113"/>
      <c r="CI88" s="184"/>
      <c r="CJ88" s="335"/>
      <c r="CK88" s="332"/>
      <c r="CL88" s="113"/>
      <c r="CM88" s="113"/>
      <c r="CN88" s="184"/>
      <c r="CO88" s="362"/>
      <c r="CP88" s="332"/>
      <c r="CQ88" s="113"/>
      <c r="CR88" s="113"/>
      <c r="CS88" s="184"/>
      <c r="CT88" s="335"/>
      <c r="CU88" s="332"/>
      <c r="CV88" s="113"/>
      <c r="CW88" s="113"/>
      <c r="CX88" s="184"/>
      <c r="CY88" s="110"/>
      <c r="CZ88" s="247"/>
      <c r="DA88" s="210"/>
      <c r="DB88" s="113"/>
      <c r="DC88" s="184"/>
      <c r="DD88" s="110"/>
      <c r="DE88" s="247"/>
      <c r="DF88" s="113"/>
      <c r="DG88" s="113"/>
      <c r="DH88" s="184"/>
      <c r="DI88" s="110"/>
      <c r="DJ88" s="247"/>
      <c r="DK88" s="113"/>
      <c r="DL88" s="113"/>
      <c r="DM88" s="184"/>
      <c r="DN88" s="64"/>
      <c r="DO88" s="202"/>
      <c r="DP88" s="298" t="str">
        <f>IF(_xlfn.XLOOKUP($E88,'[1]Import Eletra'!$B:$B,'[1]Import Eletra'!$O:$O,,0,1)=0,"",_xlfn.XLOOKUP($E88,'[1]Import Eletra'!$B:$B,'[1]Import Eletra'!$O:$O,0,1))</f>
        <v/>
      </c>
      <c r="DQ88" s="113"/>
      <c r="DR88" s="113"/>
      <c r="DS88" s="184">
        <f>DR88-DQ88</f>
        <v>0</v>
      </c>
      <c r="DT88" s="143">
        <v>10</v>
      </c>
      <c r="DU88" s="140"/>
      <c r="DV88" s="184">
        <f>DU88-DT88</f>
        <v>-10</v>
      </c>
      <c r="DX88" s="423"/>
      <c r="DY88" s="108" t="str">
        <f>IF(_xlfn.XLOOKUP($E88,'[1]Import Eletra'!$B:$B,'[1]Import Eletra'!$DW:$DW,,0,1)=0,"",_xlfn.XLOOKUP($E88,'[1]Import Eletra'!$B:$B,'[1]Import Eletra'!$DW:$DW,0,1))</f>
        <v/>
      </c>
      <c r="EB88" s="289"/>
      <c r="ED88" s="409" t="str">
        <f>IF(_xlfn.XLOOKUP($E88,'[1]Import Eletra'!$B:$B,'[1]Import Eletra'!$BQ:$BQ,,0,1)=0,"",_xlfn.XLOOKUP($E88,'[1]Import Eletra'!$B:$B,'[1]Import Eletra'!$BQ:$BQ,0,1))</f>
        <v/>
      </c>
      <c r="EE88" s="410" t="str">
        <f>IF(_xlfn.XLOOKUP($E88,'[1]Import Eletra'!$B:$B,'[1]Import Eletra'!$BR:$BR,,0,1)=0,"",_xlfn.XLOOKUP($E88,'[1]Import Eletra'!$B:$B,'[1]Import Eletra'!$BR:$BR,0,1))</f>
        <v/>
      </c>
      <c r="EF88" s="409" t="str">
        <f>IF(_xlfn.XLOOKUP($E88,'[1]Import Eletra'!$B:$B,'[1]Import Eletra'!$BS:$BS,,0,1)=0,"",_xlfn.XLOOKUP($E88,'[1]Import Eletra'!$B:$B,'[1]Import Eletra'!$BS:$BS,0,1))</f>
        <v/>
      </c>
      <c r="EG88" s="410" t="str">
        <f>IF(_xlfn.XLOOKUP($E88,'[1]Import Eletra'!$B:$B,'[1]Import Eletra'!$BT:$BT,,0,1)=0,"",_xlfn.XLOOKUP($E88,'[1]Import Eletra'!$B:$B,'[1]Import Eletra'!$BT:$BT,0,1))</f>
        <v/>
      </c>
      <c r="EH88" s="409" t="str">
        <f>IF(_xlfn.XLOOKUP($E88,'[1]Import Eletra'!$B:$B,'[1]Import Eletra'!$BU:$BU,,0,1)=0,"",_xlfn.XLOOKUP($E88,'[1]Import Eletra'!$B:$B,'[1]Import Eletra'!$BU:$BU,0,1))</f>
        <v/>
      </c>
      <c r="EI88" s="410" t="str">
        <f>IF(_xlfn.XLOOKUP($E88,'[1]Import Eletra'!$B:$B,'[1]Import Eletra'!$BV:$BV,,0,1)=0,"",_xlfn.XLOOKUP($E88,'[1]Import Eletra'!$B:$B,'[1]Import Eletra'!$BV:$BV,0,1))</f>
        <v/>
      </c>
      <c r="EJ88" s="410">
        <f>IF(_xlfn.XLOOKUP($E88,'[1]Import Eletra'!$B:$B,'[1]Import Eletra'!$CI:$CI,,0,1)=0,"",_xlfn.XLOOKUP($E88,'[1]Import Eletra'!$B:$B,'[1]Import Eletra'!$CI:$CI,0,1))</f>
        <v>46254</v>
      </c>
      <c r="EK88" s="410" t="str">
        <f>IF(_xlfn.XLOOKUP($E88,'[1]Import Eletra'!$B:$B,'[1]Import Eletra'!$CD:$CD,,0,1)=0,"",_xlfn.XLOOKUP($E88,'[1]Import Eletra'!$B:$B,'[1]Import Eletra'!$CD:$CD,0,1))</f>
        <v/>
      </c>
      <c r="EL88" s="410" t="str">
        <f>IF(_xlfn.XLOOKUP($E88,'[1]Import Eletra'!$B:$B,'[1]Import Eletra'!$CE:$CE,,0,1)=0,"",_xlfn.XLOOKUP($E88,'[1]Import Eletra'!$B:$B,'[1]Import Eletra'!$CE:$CE,0,1))</f>
        <v>NÃO</v>
      </c>
      <c r="EM88" s="411" t="str">
        <f>IF(_xlfn.XLOOKUP($E88,'[1]Import Eletra'!$B:$B,'[1]Import Eletra'!$E:$E,,0,1)=0,"",_xlfn.XLOOKUP($E88,'[1]Import Eletra'!$B:$B,'[1]Import Eletra'!$E:$E,0,1))</f>
        <v>NATHALIA</v>
      </c>
      <c r="EN88" s="408" t="str">
        <f>IF(_xlfn.XLOOKUP($E88,'[1]Import Eletra'!$B:$B,'[1]Import Eletra'!$R:$R,,0,1)=0,"",_xlfn.XLOOKUP($E88,'[1]Import Eletra'!$B:$B,'[1]Import Eletra'!$R:$R,0,1))</f>
        <v>PWBR260040</v>
      </c>
      <c r="EO88" s="408" t="str">
        <f>IF(_xlfn.XLOOKUP($E88,'[1]Import Eletra'!$B:$B,'[1]Import Eletra'!$P:$P,,0,1)=0,"",_xlfn.XLOOKUP($E88,'[1]Import Eletra'!$B:$B,'[1]Import Eletra'!$P:$P,0,1))</f>
        <v>SYNHGH26SE051110</v>
      </c>
      <c r="EP88" s="408" t="str">
        <f>IF(_xlfn.XLOOKUP($E88,'[1]Import Eletra'!$B:$B,'[1]Import Eletra'!$T:$T,,0,1)=0,"",_xlfn.XLOOKUP($E88,'[1]Import Eletra'!$B:$B,'[1]Import Eletra'!$T:$T,0,1))</f>
        <v>TIIU8095476</v>
      </c>
    </row>
    <row r="89" spans="1:146" ht="30" customHeight="1">
      <c r="B89" s="371"/>
      <c r="C89" s="369"/>
      <c r="D89" s="104" t="str">
        <f>IF(_xlfn.XLOOKUP($E89,'[1]Import Eletra'!$B:$B,'[1]Import Eletra'!$A:$A,,0,1)=0,"",_xlfn.XLOOKUP($E89,'[1]Import Eletra'!$B:$B,'[1]Import Eletra'!$A:$A,,0,1))</f>
        <v>MAY_2026</v>
      </c>
      <c r="E89" s="214" t="s">
        <v>389</v>
      </c>
      <c r="F89" s="203" t="str">
        <f>IF(_xlfn.XLOOKUP($E89,'[1]Import Eletra'!$B:$B,'[1]Import Eletra'!$U:$U,,0,1)=0,"",_xlfn.XLOOKUP($E89,'[1]Import Eletra'!$B:$B,'[1]Import Eletra'!$U:$U,,0,1))</f>
        <v/>
      </c>
      <c r="G89" s="199" t="s">
        <v>385</v>
      </c>
      <c r="H89" s="2" t="str">
        <f>_xlfn.XLOOKUP($E89,'[1]Import Eletra'!$B:$B,'[1]Import Eletra'!$F:$F,,0,1)</f>
        <v>WAITING SHIPMENT</v>
      </c>
      <c r="I89" s="108" t="str">
        <f>_xlfn.XLOOKUP($E89,'[1]Import Eletra'!$B:$B,'[1]Import Eletra'!$G:$G,,0,1)</f>
        <v>SEA</v>
      </c>
      <c r="J89" s="326"/>
      <c r="K89" s="109"/>
      <c r="L89" s="109"/>
      <c r="M89" s="326" t="str">
        <f>IF(_xlfn.XLOOKUP($E89,'[1]Import Eletra'!$B:$B,'[1]Import Eletra'!$J:$J,,0,1)=0,"",_xlfn.XLOOKUP($E89,'[1]Import Eletra'!$B:$B,'[1]Import Eletra'!$J:$J,,0,1))</f>
        <v/>
      </c>
      <c r="N89" s="333" t="str">
        <f>IF(_xlfn.XLOOKUP($E89,'[1]Import Eletra'!$B:$B,'[1]Import Eletra'!$L:$L,,0,1)=0,"",_xlfn.XLOOKUP($E89,'[1]Import Eletra'!$B:$B,'[1]Import Eletra'!$L:$L,,0,1))</f>
        <v/>
      </c>
      <c r="O89" s="336" t="str">
        <f>IF(_xlfn.XLOOKUP($E89,'[1]Import Eletra'!$B:$B,'[1]Import Eletra'!$AK:$AK,,0,1)=0,"",_xlfn.XLOOKUP($E89,'[1]Import Eletra'!$B:$B,'[1]Import Eletra'!$AK:$AK,,0,1))</f>
        <v/>
      </c>
      <c r="P89" s="326" t="str">
        <f>IF(_xlfn.XLOOKUP($E89,'[1]Import Eletra'!$B:$B,'[1]Import Eletra'!$AL:$AL,,0,1)=0,"",_xlfn.XLOOKUP($E89,'[1]Import Eletra'!$B:$B,'[1]Import Eletra'!$AL:$AL,,0,1))</f>
        <v/>
      </c>
      <c r="Q89" s="326" t="str">
        <f>IF(_xlfn.XLOOKUP($E89,'[1]Import Eletra'!$B:$B,'[1]Import Eletra'!$AM:$AM,,0,1)=0,"",_xlfn.XLOOKUP($E89,'[1]Import Eletra'!$B:$B,'[1]Import Eletra'!$AM:$AM,,0,1))</f>
        <v/>
      </c>
      <c r="R89" s="326" t="str">
        <f>IF(_xlfn.XLOOKUP($E89,'[1]Import Eletra'!$B:$B,'[1]Import Eletra'!$AN:$AN,,0,1)=0,"",_xlfn.XLOOKUP($E89,'[1]Import Eletra'!$B:$B,'[1]Import Eletra'!$AN:$AN,,0,1))</f>
        <v/>
      </c>
      <c r="S89" s="326" t="str">
        <f>IF(_xlfn.XLOOKUP($E89,'[1]Import Eletra'!$B:$B,'[1]Import Eletra'!$AO:$AO,,0,1)=0,"",_xlfn.XLOOKUP($E89,'[1]Import Eletra'!$B:$B,'[1]Import Eletra'!$AO:$AO,,0,1))</f>
        <v/>
      </c>
      <c r="T89" s="326" t="str">
        <f>IF(_xlfn.XLOOKUP($E89,'[1]Import Eletra'!$B:$B,'[1]Import Eletra'!$AP:$AP,,0,1)=0,"",_xlfn.XLOOKUP($E89,'[1]Import Eletra'!$B:$B,'[1]Import Eletra'!$AP:$AP,,0,1))</f>
        <v/>
      </c>
      <c r="U89" s="337" t="str">
        <f>IF(_xlfn.XLOOKUP($E89,'[1]Import Eletra'!$B:$B,'[1]Import Eletra'!$AQ:$AQ,,0,1)=0,"",_xlfn.XLOOKUP($E89,'[1]Import Eletra'!$B:$B,'[1]Import Eletra'!$AQ:$AQ,,0,1))</f>
        <v/>
      </c>
      <c r="V89" s="339"/>
      <c r="W89" s="335"/>
      <c r="X89" s="332"/>
      <c r="Y89" s="113"/>
      <c r="Z89" s="113"/>
      <c r="AA89" s="184"/>
      <c r="AB89" s="348"/>
      <c r="AC89" s="332" t="str">
        <f>IF(_xlfn.XLOOKUP($E89,'[1]Import Eletra'!$B:$B,'[1]Import Eletra'!$AD:$AD,,0,1)=0,"",_xlfn.XLOOKUP($E89,'[1]Import Eletra'!$B:$B,'[1]Import Eletra'!$AD:$AD,,0,1))</f>
        <v/>
      </c>
      <c r="AD89" s="113"/>
      <c r="AE89" s="113"/>
      <c r="AF89" s="184"/>
      <c r="AG89" s="355"/>
      <c r="AH89" s="332" t="str">
        <f>IF(_xlfn.XLOOKUP($E89,'[1]Import Eletra'!$B:$B,'[1]Import Eletra'!$AE:$AE,,0,1)=0,"",_xlfn.XLOOKUP($E89,'[1]Import Eletra'!$B:$B,'[1]Import Eletra'!$AE:$AE,,0,1))</f>
        <v/>
      </c>
      <c r="AI89" s="113"/>
      <c r="AJ89" s="113"/>
      <c r="AK89" s="184"/>
      <c r="AL89" s="355"/>
      <c r="AM89" s="332" t="str">
        <f>IF(_xlfn.XLOOKUP($E89,'[1]Import Eletra'!$B:$B,'[1]Import Eletra'!$AT:$AT,,0,1)=0,"",_xlfn.XLOOKUP($E89,'[1]Import Eletra'!$B:$B,'[1]Import Eletra'!$AT:$AT,,0,1))</f>
        <v/>
      </c>
      <c r="AN89" s="113"/>
      <c r="AO89" s="113"/>
      <c r="AP89" s="184"/>
      <c r="AQ89" s="357"/>
      <c r="AR89" s="332" t="str">
        <f>IF(_xlfn.XLOOKUP($E89,'[1]Import Eletra'!$B:$B,'[1]Import Eletra'!$AU:$AU,,0,1)=0,"",_xlfn.XLOOKUP($E89,'[1]Import Eletra'!$B:$B,'[1]Import Eletra'!$AU:$AU,,0,1))</f>
        <v/>
      </c>
      <c r="AS89" s="113"/>
      <c r="AT89" s="113"/>
      <c r="AU89" s="184"/>
      <c r="AV89" s="355"/>
      <c r="AW89" s="332"/>
      <c r="AX89" s="113"/>
      <c r="AY89" s="113"/>
      <c r="AZ89" s="184"/>
      <c r="BA89" s="357"/>
      <c r="BB89" s="332" t="str">
        <f>IF(_xlfn.XLOOKUP($E89,'[1]Import Eletra'!$B:$B,'[1]Import Eletra'!$AW:$AW,,0,1)=0,"",_xlfn.XLOOKUP($E89,'[1]Import Eletra'!$B:$B,'[1]Import Eletra'!$AW:$AW,,0,1))</f>
        <v/>
      </c>
      <c r="BC89" s="113"/>
      <c r="BD89" s="113"/>
      <c r="BE89" s="184"/>
      <c r="BF89" s="335"/>
      <c r="BG89" s="332" t="str">
        <f>IF(_xlfn.XLOOKUP($E89,'[1]Import Eletra'!$B:$B,'[1]Import Eletra'!$AX:$AX,,0,1)=0,"",_xlfn.XLOOKUP($E89,'[1]Import Eletra'!$B:$B,'[1]Import Eletra'!$AX:$AX,,0,1))</f>
        <v/>
      </c>
      <c r="BH89" s="113"/>
      <c r="BI89" s="113"/>
      <c r="BJ89" s="184"/>
      <c r="BK89" s="362"/>
      <c r="BL89" s="332" t="str">
        <f>IF(_xlfn.XLOOKUP($E89,'[1]Import Eletra'!$B:$B,'[1]Import Eletra'!$AY:$AY,,0,1)=0,"",_xlfn.XLOOKUP($E89,'[1]Import Eletra'!$B:$B,'[1]Import Eletra'!$AY:$AY,,0,1))</f>
        <v/>
      </c>
      <c r="BM89" s="113"/>
      <c r="BN89" s="113"/>
      <c r="BO89" s="184"/>
      <c r="BP89" s="335"/>
      <c r="BQ89" s="332" t="str">
        <f>IF(_xlfn.XLOOKUP($E89,'[1]Import Eletra'!$B:$B,'[1]Import Eletra'!$AZ:$AZ,,0,1)=0,"",_xlfn.XLOOKUP($E89,'[1]Import Eletra'!$B:$B,'[1]Import Eletra'!$AZ:$AZ,,0,1))</f>
        <v/>
      </c>
      <c r="BR89" s="113"/>
      <c r="BS89" s="113"/>
      <c r="BT89" s="184"/>
      <c r="BU89" s="362"/>
      <c r="BV89" s="332"/>
      <c r="BW89" s="113"/>
      <c r="BX89" s="113"/>
      <c r="BY89" s="184"/>
      <c r="BZ89" s="335"/>
      <c r="CA89" s="332"/>
      <c r="CB89" s="113"/>
      <c r="CC89" s="113"/>
      <c r="CD89" s="184"/>
      <c r="CE89" s="362"/>
      <c r="CF89" s="332"/>
      <c r="CG89" s="113"/>
      <c r="CH89" s="113"/>
      <c r="CI89" s="184"/>
      <c r="CJ89" s="335"/>
      <c r="CK89" s="332"/>
      <c r="CL89" s="113"/>
      <c r="CM89" s="113"/>
      <c r="CN89" s="184"/>
      <c r="CO89" s="362"/>
      <c r="CP89" s="332"/>
      <c r="CQ89" s="113"/>
      <c r="CR89" s="113"/>
      <c r="CS89" s="184"/>
      <c r="CT89" s="335"/>
      <c r="CU89" s="332"/>
      <c r="CV89" s="113"/>
      <c r="CW89" s="113"/>
      <c r="CX89" s="184"/>
      <c r="CY89" s="110"/>
      <c r="CZ89" s="247"/>
      <c r="DA89" s="210"/>
      <c r="DB89" s="113"/>
      <c r="DC89" s="184"/>
      <c r="DD89" s="110"/>
      <c r="DE89" s="247"/>
      <c r="DF89" s="113"/>
      <c r="DG89" s="113"/>
      <c r="DH89" s="184"/>
      <c r="DI89" s="110"/>
      <c r="DJ89" s="247"/>
      <c r="DK89" s="113"/>
      <c r="DL89" s="113"/>
      <c r="DM89" s="184"/>
      <c r="DN89" s="64"/>
      <c r="DO89" s="202"/>
      <c r="DP89" s="298" t="str">
        <f>IF(_xlfn.XLOOKUP($E89,'[1]Import Eletra'!$B:$B,'[1]Import Eletra'!$O:$O,,0,1)=0,"",_xlfn.XLOOKUP($E89,'[1]Import Eletra'!$B:$B,'[1]Import Eletra'!$O:$O,0,1))</f>
        <v/>
      </c>
      <c r="DQ89" s="113"/>
      <c r="DR89" s="113"/>
      <c r="DS89" s="184">
        <f t="shared" ref="DS89:DS90" si="271">DR89-DQ89</f>
        <v>0</v>
      </c>
      <c r="DT89" s="143">
        <v>10</v>
      </c>
      <c r="DU89" s="140"/>
      <c r="DV89" s="184">
        <f t="shared" ref="DV89:DV90" si="272">DU89-DT89</f>
        <v>-10</v>
      </c>
      <c r="DX89" s="142"/>
      <c r="DY89" s="108" t="str">
        <f>IF(_xlfn.XLOOKUP($E89,'[1]Import Eletra'!$B:$B,'[1]Import Eletra'!$DW:$DW,,0,1)=0,"",_xlfn.XLOOKUP($E89,'[1]Import Eletra'!$B:$B,'[1]Import Eletra'!$DW:$DW,0,1))</f>
        <v/>
      </c>
      <c r="EB89" s="289"/>
      <c r="ED89" s="409" t="str">
        <f>IF(_xlfn.XLOOKUP($E89,'[1]Import Eletra'!$B:$B,'[1]Import Eletra'!$BQ:$BQ,,0,1)=0,"",_xlfn.XLOOKUP($E89,'[1]Import Eletra'!$B:$B,'[1]Import Eletra'!$BQ:$BQ,0,1))</f>
        <v/>
      </c>
      <c r="EE89" s="410" t="str">
        <f>IF(_xlfn.XLOOKUP($E89,'[1]Import Eletra'!$B:$B,'[1]Import Eletra'!$BR:$BR,,0,1)=0,"",_xlfn.XLOOKUP($E89,'[1]Import Eletra'!$B:$B,'[1]Import Eletra'!$BR:$BR,0,1))</f>
        <v/>
      </c>
      <c r="EF89" s="409" t="str">
        <f>IF(_xlfn.XLOOKUP($E89,'[1]Import Eletra'!$B:$B,'[1]Import Eletra'!$BS:$BS,,0,1)=0,"",_xlfn.XLOOKUP($E89,'[1]Import Eletra'!$B:$B,'[1]Import Eletra'!$BS:$BS,0,1))</f>
        <v/>
      </c>
      <c r="EG89" s="410" t="str">
        <f>IF(_xlfn.XLOOKUP($E89,'[1]Import Eletra'!$B:$B,'[1]Import Eletra'!$BT:$BT,,0,1)=0,"",_xlfn.XLOOKUP($E89,'[1]Import Eletra'!$B:$B,'[1]Import Eletra'!$BT:$BT,0,1))</f>
        <v/>
      </c>
      <c r="EH89" s="409" t="str">
        <f>IF(_xlfn.XLOOKUP($E89,'[1]Import Eletra'!$B:$B,'[1]Import Eletra'!$BU:$BU,,0,1)=0,"",_xlfn.XLOOKUP($E89,'[1]Import Eletra'!$B:$B,'[1]Import Eletra'!$BU:$BU,0,1))</f>
        <v/>
      </c>
      <c r="EI89" s="410" t="str">
        <f>IF(_xlfn.XLOOKUP($E89,'[1]Import Eletra'!$B:$B,'[1]Import Eletra'!$BV:$BV,,0,1)=0,"",_xlfn.XLOOKUP($E89,'[1]Import Eletra'!$B:$B,'[1]Import Eletra'!$BV:$BV,0,1))</f>
        <v/>
      </c>
      <c r="EJ89" s="410" t="str">
        <f>IF(_xlfn.XLOOKUP($E89,'[1]Import Eletra'!$B:$B,'[1]Import Eletra'!$CI:$CI,,0,1)=0,"",_xlfn.XLOOKUP($E89,'[1]Import Eletra'!$B:$B,'[1]Import Eletra'!$CI:$CI,0,1))</f>
        <v/>
      </c>
      <c r="EK89" s="410" t="str">
        <f>IF(_xlfn.XLOOKUP($E89,'[1]Import Eletra'!$B:$B,'[1]Import Eletra'!$CD:$CD,,0,1)=0,"",_xlfn.XLOOKUP($E89,'[1]Import Eletra'!$B:$B,'[1]Import Eletra'!$CD:$CD,0,1))</f>
        <v/>
      </c>
      <c r="EL89" s="410" t="str">
        <f>IF(_xlfn.XLOOKUP($E89,'[1]Import Eletra'!$B:$B,'[1]Import Eletra'!$CE:$CE,,0,1)=0,"",_xlfn.XLOOKUP($E89,'[1]Import Eletra'!$B:$B,'[1]Import Eletra'!$CE:$CE,0,1))</f>
        <v/>
      </c>
      <c r="EM89" s="411" t="str">
        <f>IF(_xlfn.XLOOKUP($E89,'[1]Import Eletra'!$B:$B,'[1]Import Eletra'!$E:$E,,0,1)=0,"",_xlfn.XLOOKUP($E89,'[1]Import Eletra'!$B:$B,'[1]Import Eletra'!$E:$E,0,1))</f>
        <v>NATHALIA</v>
      </c>
      <c r="EN89" s="408" t="str">
        <f>IF(_xlfn.XLOOKUP($E89,'[1]Import Eletra'!$B:$B,'[1]Import Eletra'!$R:$R,,0,1)=0,"",_xlfn.XLOOKUP($E89,'[1]Import Eletra'!$B:$B,'[1]Import Eletra'!$R:$R,0,1))</f>
        <v/>
      </c>
      <c r="EO89" s="408" t="str">
        <f>IF(_xlfn.XLOOKUP($E89,'[1]Import Eletra'!$B:$B,'[1]Import Eletra'!$P:$P,,0,1)=0,"",_xlfn.XLOOKUP($E89,'[1]Import Eletra'!$B:$B,'[1]Import Eletra'!$P:$P,0,1))</f>
        <v/>
      </c>
      <c r="EP89" s="408" t="str">
        <f>IF(_xlfn.XLOOKUP($E89,'[1]Import Eletra'!$B:$B,'[1]Import Eletra'!$T:$T,,0,1)=0,"",_xlfn.XLOOKUP($E89,'[1]Import Eletra'!$B:$B,'[1]Import Eletra'!$T:$T,0,1))</f>
        <v/>
      </c>
    </row>
    <row r="90" spans="1:146" ht="30" customHeight="1">
      <c r="B90" s="371"/>
      <c r="C90" s="369"/>
      <c r="D90" s="104" t="str">
        <f>IF(_xlfn.XLOOKUP($E90,'[1]Import Eletra'!$B:$B,'[1]Import Eletra'!$A:$A,,0,1)=0,"",_xlfn.XLOOKUP($E90,'[1]Import Eletra'!$B:$B,'[1]Import Eletra'!$A:$A,,0,1))</f>
        <v>JUNE_2026</v>
      </c>
      <c r="E90" s="214" t="s">
        <v>390</v>
      </c>
      <c r="F90" s="203" t="str">
        <f>IF(_xlfn.XLOOKUP($E90,'[1]Import Eletra'!$B:$B,'[1]Import Eletra'!$U:$U,,0,1)=0,"",_xlfn.XLOOKUP($E90,'[1]Import Eletra'!$B:$B,'[1]Import Eletra'!$U:$U,,0,1))</f>
        <v/>
      </c>
      <c r="G90" s="199" t="s">
        <v>385</v>
      </c>
      <c r="H90" s="2" t="str">
        <f>_xlfn.XLOOKUP($E90,'[1]Import Eletra'!$B:$B,'[1]Import Eletra'!$F:$F,,0,1)</f>
        <v>DELIVERED</v>
      </c>
      <c r="I90" s="108" t="str">
        <f>_xlfn.XLOOKUP($E90,'[1]Import Eletra'!$B:$B,'[1]Import Eletra'!$G:$G,,0,1)</f>
        <v>AIR</v>
      </c>
      <c r="J90" s="326"/>
      <c r="K90" s="109"/>
      <c r="L90" s="109"/>
      <c r="M90" s="326">
        <f>IF(_xlfn.XLOOKUP($E90,'[1]Import Eletra'!$B:$B,'[1]Import Eletra'!$J:$J,,0,1)=0,"",_xlfn.XLOOKUP($E90,'[1]Import Eletra'!$B:$B,'[1]Import Eletra'!$J:$J,,0,1))</f>
        <v>46189</v>
      </c>
      <c r="N90" s="333">
        <f>IF(_xlfn.XLOOKUP($E90,'[1]Import Eletra'!$B:$B,'[1]Import Eletra'!$L:$L,,0,1)=0,"",_xlfn.XLOOKUP($E90,'[1]Import Eletra'!$B:$B,'[1]Import Eletra'!$L:$L,,0,1))</f>
        <v>46193</v>
      </c>
      <c r="O90" s="336">
        <f>IF(_xlfn.XLOOKUP($E90,'[1]Import Eletra'!$B:$B,'[1]Import Eletra'!$AK:$AK,,0,1)=0,"",_xlfn.XLOOKUP($E90,'[1]Import Eletra'!$B:$B,'[1]Import Eletra'!$AK:$AK,,0,1))</f>
        <v>46195</v>
      </c>
      <c r="P90" s="326">
        <f>IF(_xlfn.XLOOKUP($E90,'[1]Import Eletra'!$B:$B,'[1]Import Eletra'!$AL:$AL,,0,1)=0,"",_xlfn.XLOOKUP($E90,'[1]Import Eletra'!$B:$B,'[1]Import Eletra'!$AL:$AL,,0,1))</f>
        <v>46195</v>
      </c>
      <c r="Q90" s="326">
        <f>IF(_xlfn.XLOOKUP($E90,'[1]Import Eletra'!$B:$B,'[1]Import Eletra'!$AM:$AM,,0,1)=0,"",_xlfn.XLOOKUP($E90,'[1]Import Eletra'!$B:$B,'[1]Import Eletra'!$AM:$AM,,0,1))</f>
        <v>46195</v>
      </c>
      <c r="R90" s="326">
        <f>IF(_xlfn.XLOOKUP($E90,'[1]Import Eletra'!$B:$B,'[1]Import Eletra'!$AN:$AN,,0,1)=0,"",_xlfn.XLOOKUP($E90,'[1]Import Eletra'!$B:$B,'[1]Import Eletra'!$AN:$AN,,0,1))</f>
        <v>46195</v>
      </c>
      <c r="S90" s="326">
        <f>IF(_xlfn.XLOOKUP($E90,'[1]Import Eletra'!$B:$B,'[1]Import Eletra'!$AO:$AO,,0,1)=0,"",_xlfn.XLOOKUP($E90,'[1]Import Eletra'!$B:$B,'[1]Import Eletra'!$AO:$AO,,0,1))</f>
        <v>46195</v>
      </c>
      <c r="T90" s="326">
        <f>IF(_xlfn.XLOOKUP($E90,'[1]Import Eletra'!$B:$B,'[1]Import Eletra'!$AP:$AP,,0,1)=0,"",_xlfn.XLOOKUP($E90,'[1]Import Eletra'!$B:$B,'[1]Import Eletra'!$AP:$AP,,0,1))</f>
        <v>46195</v>
      </c>
      <c r="U90" s="337">
        <f>IF(_xlfn.XLOOKUP($E90,'[1]Import Eletra'!$B:$B,'[1]Import Eletra'!$AQ:$AQ,,0,1)=0,"",_xlfn.XLOOKUP($E90,'[1]Import Eletra'!$B:$B,'[1]Import Eletra'!$AQ:$AQ,,0,1))</f>
        <v>46196</v>
      </c>
      <c r="V90" s="343">
        <f>IF(_xlfn.XLOOKUP($E90,'[1]Import Eletra'!$B:$B,'[1]Import Eletra'!$AR:$AR,,0,1)=0,"",_xlfn.XLOOKUP($E90,'[1]Import Eletra'!$B:$B,'[1]Import Eletra'!$AR:$AR,,0,1))</f>
        <v>46195</v>
      </c>
      <c r="W90" s="335">
        <f>AB90-$AB$4</f>
        <v>46198</v>
      </c>
      <c r="X90" s="332">
        <f>IF(_xlfn.XLOOKUP($E90,'[1]Import Eletra'!$B:$B,'[1]Import Eletra'!$AS:$AS,,0,1)=0,"",_xlfn.XLOOKUP($E90,'[1]Import Eletra'!$B:$B,'[1]Import Eletra'!$AS:$AS,,0,1))</f>
        <v>46196</v>
      </c>
      <c r="Y90" s="113">
        <f>$W$4</f>
        <v>0</v>
      </c>
      <c r="Z90" s="113">
        <f ca="1">IF(X90="",TODAY()-W90,X90-W90)</f>
        <v>-2</v>
      </c>
      <c r="AA90" s="184" t="str">
        <f ca="1">IF(AND(ISNUMBER($Z90),$Z90&gt;0),$Z90-$Y90,"")</f>
        <v/>
      </c>
      <c r="AB90" s="348">
        <f>AG90-$AB$4</f>
        <v>46198</v>
      </c>
      <c r="AC90" s="332">
        <f>IF(_xlfn.XLOOKUP($E90,'[1]Import Eletra'!$B:$B,'[1]Import Eletra'!$AD:$AD,,0,1)=0,"",_xlfn.XLOOKUP($E90,'[1]Import Eletra'!$B:$B,'[1]Import Eletra'!$AD:$AD,,0,1))</f>
        <v>46196</v>
      </c>
      <c r="AD90" s="113">
        <f>$AB$4</f>
        <v>0</v>
      </c>
      <c r="AE90" s="113">
        <f ca="1">IF(AC90="",TODAY()-AB90,AC90-AB90)</f>
        <v>-2</v>
      </c>
      <c r="AF90" s="184">
        <f ca="1">AE90-AD90</f>
        <v>-2</v>
      </c>
      <c r="AG90" s="355">
        <f>AL90-$AL$4</f>
        <v>46198</v>
      </c>
      <c r="AH90" s="332">
        <f>IF(_xlfn.XLOOKUP($E90,'[1]Import Eletra'!$B:$B,'[1]Import Eletra'!$AE:$AE,,0,1)=0,"",_xlfn.XLOOKUP($E90,'[1]Import Eletra'!$B:$B,'[1]Import Eletra'!$AE:$AE,,0,1))</f>
        <v>46196</v>
      </c>
      <c r="AI90" s="113">
        <f>$AG$4</f>
        <v>0</v>
      </c>
      <c r="AJ90" s="113">
        <f ca="1">IF(AH90="",TODAY()-AG90,AH90-AG90)</f>
        <v>-2</v>
      </c>
      <c r="AK90" s="184" t="str">
        <f ca="1">IF(AND(ISNUMBER($AJ90),$AJ90&gt;0),$AJ90-$AI90,"")</f>
        <v/>
      </c>
      <c r="AL90" s="355">
        <f>AQ90-$AQ$4</f>
        <v>46198</v>
      </c>
      <c r="AM90" s="332">
        <f>IF(_xlfn.XLOOKUP($E90,'[1]Import Eletra'!$B:$B,'[1]Import Eletra'!$AT:$AT,,0,1)=0,"",_xlfn.XLOOKUP($E90,'[1]Import Eletra'!$B:$B,'[1]Import Eletra'!$AT:$AT,,0,1))</f>
        <v>46196</v>
      </c>
      <c r="AN90" s="113">
        <f>$AL$4</f>
        <v>0</v>
      </c>
      <c r="AO90" s="113">
        <f ca="1">IF(AM90="",TODAY()-AL90,AM90-AL90)</f>
        <v>-2</v>
      </c>
      <c r="AP90" s="184" t="str">
        <f ca="1">IF(AND(ISNUMBER($AO90),$AO90&gt;0),$AO90-$AN90,"")</f>
        <v/>
      </c>
      <c r="AQ90" s="357">
        <f>AV90-$AV$4</f>
        <v>46199</v>
      </c>
      <c r="AR90" s="332">
        <f>IF(_xlfn.XLOOKUP($E90,'[1]Import Eletra'!$B:$B,'[1]Import Eletra'!$AU:$AU,,0,1)=0,"",_xlfn.XLOOKUP($E90,'[1]Import Eletra'!$B:$B,'[1]Import Eletra'!$AU:$AU,,0,1))</f>
        <v>46196</v>
      </c>
      <c r="AS90" s="113">
        <f>$AQ$4</f>
        <v>1</v>
      </c>
      <c r="AT90" s="113">
        <f ca="1">IF(AR90="",TODAY()-AQ90,AR90-AQ90)</f>
        <v>-3</v>
      </c>
      <c r="AU90" s="184" t="str">
        <f ca="1">IF(AND(ISNUMBER($AT90),$AT90&gt;0),$AT90-$AS90,"")</f>
        <v/>
      </c>
      <c r="AV90" s="355">
        <f>BA90-$BA$4</f>
        <v>46199</v>
      </c>
      <c r="AW90" s="332">
        <f>IF(_xlfn.XLOOKUP($E90,'[1]Import Eletra'!$B:$B,'[1]Import Eletra'!$AU:$AU,,0,1)=0,"",_xlfn.XLOOKUP($E90,'[1]Import Eletra'!$B:$B,'[1]Import Eletra'!$AU:$AU,,0,1))</f>
        <v>46196</v>
      </c>
      <c r="AX90" s="113">
        <f>$AV$4</f>
        <v>0</v>
      </c>
      <c r="AY90" s="113">
        <f ca="1">IF(AW90="",TODAY()-AV90,AW90-AV90)</f>
        <v>-3</v>
      </c>
      <c r="AZ90" s="184" t="str">
        <f ca="1">IF(AND(ISNUMBER($AY90),$AY90&gt;0),$AY90-$AX90,"")</f>
        <v/>
      </c>
      <c r="BA90" s="357">
        <f>BF90-$BF$4</f>
        <v>46199</v>
      </c>
      <c r="BB90" s="332" t="str">
        <f>IF(_xlfn.XLOOKUP($E90,'[1]Import Eletra'!$B:$B,'[1]Import Eletra'!$AW:$AW,,0,1)=0,"",_xlfn.XLOOKUP($E90,'[1]Import Eletra'!$B:$B,'[1]Import Eletra'!$AW:$AW,,0,1))</f>
        <v/>
      </c>
      <c r="BC90" s="113">
        <f>$BA$4</f>
        <v>0</v>
      </c>
      <c r="BD90" s="113">
        <f ca="1">IF(BB90="",TODAY()-BA90,BB90-BA90)</f>
        <v>12</v>
      </c>
      <c r="BE90" s="184">
        <f ca="1">BD90-BC90</f>
        <v>12</v>
      </c>
      <c r="BF90" s="335">
        <f>BK90-$BK$4</f>
        <v>46199</v>
      </c>
      <c r="BG90" s="345" t="str">
        <f>IF(_xlfn.XLOOKUP($E90,'[1]Import Eletra'!$B:$B,'[1]Import Eletra'!$AX:$AX,,0,1)=0,"",_xlfn.XLOOKUP($E90,'[1]Import Eletra'!$B:$B,'[1]Import Eletra'!$AX:$AX,,0,1))</f>
        <v/>
      </c>
      <c r="BH90" s="113">
        <f>$BF$4</f>
        <v>0</v>
      </c>
      <c r="BI90" s="113">
        <f ca="1">IF(BG90="",TODAY()-BF90,BG90-BF90)</f>
        <v>12</v>
      </c>
      <c r="BJ90" s="184">
        <f ca="1">IF(AND(ISNUMBER($BI90),$BI90&gt;0),$BI90-$BH90,"")</f>
        <v>12</v>
      </c>
      <c r="BK90" s="362">
        <f>BP90-$BP$4</f>
        <v>46199</v>
      </c>
      <c r="BL90" s="332" t="str">
        <f>IF(_xlfn.XLOOKUP($E90,'[1]Import Eletra'!$B:$B,'[1]Import Eletra'!$AY:$AY,,0,1)=0,"",_xlfn.XLOOKUP($E90,'[1]Import Eletra'!$B:$B,'[1]Import Eletra'!$AY:$AY,,0,1))</f>
        <v/>
      </c>
      <c r="BM90" s="113">
        <f>$BK$4</f>
        <v>0</v>
      </c>
      <c r="BN90" s="113">
        <f ca="1">IF(BL90="",TODAY()-BK90,BL90-BK90)</f>
        <v>12</v>
      </c>
      <c r="BO90" s="184">
        <f ca="1">BN90-BM90</f>
        <v>12</v>
      </c>
      <c r="BP90" s="335">
        <f>BU90-$BU$4</f>
        <v>46199</v>
      </c>
      <c r="BQ90" s="332" t="str">
        <f>IF(_xlfn.XLOOKUP($E90,'[1]Import Eletra'!$B:$B,'[1]Import Eletra'!$AZ:$AZ,,0,1)=0,"",_xlfn.XLOOKUP($E90,'[1]Import Eletra'!$B:$B,'[1]Import Eletra'!$AZ:$AZ,,0,1))</f>
        <v/>
      </c>
      <c r="BR90" s="113">
        <f>$BP$4</f>
        <v>0</v>
      </c>
      <c r="BS90" s="113">
        <f ca="1">IF(BQ90="",TODAY()-BP90,BQ90-BP90)</f>
        <v>12</v>
      </c>
      <c r="BT90" s="184">
        <f ca="1">BS90-BR90</f>
        <v>12</v>
      </c>
      <c r="BU90" s="362">
        <f>BZ90-$BZ$4</f>
        <v>46201</v>
      </c>
      <c r="BV90" s="332">
        <f>IF(_xlfn.XLOOKUP($E90,'[1]Import Eletra'!$B:$B,'[1]Import Eletra'!$BA:$BA,,0,1)=0,"",_xlfn.XLOOKUP($E90,'[1]Import Eletra'!$B:$B,'[1]Import Eletra'!$BA:$BA,,0,1))</f>
        <v>46199</v>
      </c>
      <c r="BW90" s="113">
        <f>$BU$4</f>
        <v>2</v>
      </c>
      <c r="BX90" s="113">
        <f ca="1">IF(BV90="",TODAY()-BU90,BV90-BU90)</f>
        <v>-2</v>
      </c>
      <c r="BY90" s="184" t="str">
        <f ca="1">IF(AND(ISNUMBER($BX90),$BX90&gt;0),$BX90-$BW90,"")</f>
        <v/>
      </c>
      <c r="BZ90" s="335">
        <f>CE90-$CE$4</f>
        <v>46201</v>
      </c>
      <c r="CA90" s="332">
        <f>IF(_xlfn.XLOOKUP($E90,'[1]Import Eletra'!$B:$B,'[1]Import Eletra'!$BB:$BB,,0,1)=0,"",_xlfn.XLOOKUP($E90,'[1]Import Eletra'!$B:$B,'[1]Import Eletra'!$BB:$BB,,0,1))</f>
        <v>46199</v>
      </c>
      <c r="CB90" s="113">
        <f>$BZ$4</f>
        <v>0</v>
      </c>
      <c r="CC90" s="113">
        <f ca="1">IF(CA90="",TODAY()-BZ90,CA90-BZ90)</f>
        <v>-2</v>
      </c>
      <c r="CD90" s="184">
        <f ca="1">CC90-CB90</f>
        <v>-2</v>
      </c>
      <c r="CE90" s="362">
        <f>CJ90-$CJ$4</f>
        <v>46201</v>
      </c>
      <c r="CF90" s="332" t="str">
        <f>IF(_xlfn.XLOOKUP($E90,'[1]Import Eletra'!$B:$B,'[1]Import Eletra'!$BC:$BC,,0,1)=0,"",_xlfn.XLOOKUP($E90,'[1]Import Eletra'!$B:$B,'[1]Import Eletra'!$BC:$BC,,0,1))</f>
        <v/>
      </c>
      <c r="CG90" s="113">
        <f>$CE$4</f>
        <v>0</v>
      </c>
      <c r="CH90" s="113">
        <f ca="1">IF(CF90="",TODAY()-CE90,CF90-CE90)</f>
        <v>10</v>
      </c>
      <c r="CI90" s="184">
        <f ca="1">CH90-CG90</f>
        <v>10</v>
      </c>
      <c r="CJ90" s="335">
        <f>CO90-$CO$4</f>
        <v>46201</v>
      </c>
      <c r="CK90" s="332">
        <f>IF(_xlfn.XLOOKUP($E90,'[1]Import Eletra'!$B:$B,'[1]Import Eletra'!$BD:$BD,,0,1)=0,"",_xlfn.XLOOKUP($E90,'[1]Import Eletra'!$B:$B,'[1]Import Eletra'!$BD:$BD,,0,1))</f>
        <v>46196</v>
      </c>
      <c r="CL90" s="113"/>
      <c r="CM90" s="113">
        <f ca="1">IF(CK90="",TODAY()-CJ90,CK90-CJ90)</f>
        <v>-5</v>
      </c>
      <c r="CN90" s="184">
        <f ca="1">CM90-CL90</f>
        <v>-5</v>
      </c>
      <c r="CO90" s="362">
        <f>CT90-$CT$4</f>
        <v>46201</v>
      </c>
      <c r="CP90" s="332">
        <f>IF(_xlfn.XLOOKUP($E90,'[1]Import Eletra'!$B:$B,'[1]Import Eletra'!$BE:$BE,,0,1)=0,"",_xlfn.XLOOKUP($E90,'[1]Import Eletra'!$B:$B,'[1]Import Eletra'!$BE:$BE,,0,1))</f>
        <v>46197</v>
      </c>
      <c r="CQ90" s="113">
        <f>$CO$4</f>
        <v>0</v>
      </c>
      <c r="CR90" s="113">
        <f ca="1">IF(CP90="",TODAY()-CO90,CP90-CO90)</f>
        <v>-4</v>
      </c>
      <c r="CS90" s="184">
        <f ca="1">CR90-CQ90</f>
        <v>-4</v>
      </c>
      <c r="CT90" s="335">
        <f>CY90-$CY$4</f>
        <v>46201</v>
      </c>
      <c r="CU90" s="332">
        <f>IF(_xlfn.XLOOKUP($E90,'[1]Import Eletra'!$B:$B,'[1]Import Eletra'!$BF:$BF,,0,1)=0,"",_xlfn.XLOOKUP($E90,'[1]Import Eletra'!$B:$B,'[1]Import Eletra'!$BF:$BF,,0,1))</f>
        <v>46197</v>
      </c>
      <c r="CV90" s="113">
        <f>$CT$4</f>
        <v>0</v>
      </c>
      <c r="CW90" s="113">
        <f ca="1">IF(CU90="",TODAY()-CT90,CU90-CT90)</f>
        <v>-4</v>
      </c>
      <c r="CX90" s="184">
        <f ca="1">CW90-CV90</f>
        <v>-4</v>
      </c>
      <c r="CY90" s="110">
        <f>DD90-$DD$4</f>
        <v>46201</v>
      </c>
      <c r="CZ90" s="247">
        <f>IF(_xlfn.XLOOKUP($E90,'[1]Import Eletra'!$B:$B,'[1]Import Eletra'!$BF:$BF,,0,1)=0,"",_xlfn.XLOOKUP($E90,'[1]Import Eletra'!$B:$B,'[1]Import Eletra'!$BF:$BF,,0,1))</f>
        <v>46197</v>
      </c>
      <c r="DA90" s="210">
        <f>$CY$4</f>
        <v>0</v>
      </c>
      <c r="DB90" s="113">
        <f ca="1">IF(CZ90="",TODAY()-CY90,CZ90-CY90)</f>
        <v>-4</v>
      </c>
      <c r="DC90" s="184">
        <f ca="1">DB90-DA90</f>
        <v>-4</v>
      </c>
      <c r="DD90" s="110">
        <f>DI90-$DI$4</f>
        <v>46203</v>
      </c>
      <c r="DE90" s="247">
        <f>IF(_xlfn.XLOOKUP($E90,'[1]Import Eletra'!$B:$B,'[1]Import Eletra'!$BG:$BG,,0,1)=0,"",_xlfn.XLOOKUP($E90,'[1]Import Eletra'!$B:$B,'[1]Import Eletra'!$BG:$BG,0,1))</f>
        <v>46199</v>
      </c>
      <c r="DF90" s="113">
        <f>$DD$4</f>
        <v>2</v>
      </c>
      <c r="DG90" s="113">
        <f ca="1">IF(DE90="",TODAY()-DD90,DE90-DD90)</f>
        <v>-4</v>
      </c>
      <c r="DH90" s="184">
        <f ca="1">DG90-DF90</f>
        <v>-6</v>
      </c>
      <c r="DI90" s="110">
        <f>DO90-$DN$4</f>
        <v>46204</v>
      </c>
      <c r="DJ90" s="247">
        <f>IF(_xlfn.XLOOKUP($E90,'[1]Import Eletra'!$B:$B,'[1]Import Eletra'!$BH:$BH,,0,1)=0,"",_xlfn.XLOOKUP($E90,'[1]Import Eletra'!$B:$B,'[1]Import Eletra'!$BH:$BH,0,1))</f>
        <v>46199</v>
      </c>
      <c r="DK90" s="113">
        <f>$DI$4</f>
        <v>1</v>
      </c>
      <c r="DL90" s="113">
        <f ca="1">IF(DJ90="",TODAY()-DI90,DJ90-DI90)</f>
        <v>-5</v>
      </c>
      <c r="DM90" s="184">
        <f ca="1">DL90-DK90</f>
        <v>-6</v>
      </c>
      <c r="DN90" s="64"/>
      <c r="DO90" s="202">
        <f>IF(V90="",N90+DT90,V90+DT90)</f>
        <v>46205</v>
      </c>
      <c r="DP90" s="298">
        <f>IF(_xlfn.XLOOKUP($E90,'[1]Import Eletra'!$B:$B,'[1]Import Eletra'!$O:$O,,0,1)=0,"",_xlfn.XLOOKUP($E90,'[1]Import Eletra'!$B:$B,'[1]Import Eletra'!$O:$O,0,1))</f>
        <v>46199</v>
      </c>
      <c r="DQ90" s="113">
        <f>$DN$4</f>
        <v>1</v>
      </c>
      <c r="DR90" s="113">
        <f ca="1">IF(DP90="",TODAY()-DO90,DP90-DO90)</f>
        <v>-6</v>
      </c>
      <c r="DS90" s="184">
        <f ca="1">DR90-DQ90</f>
        <v>-7</v>
      </c>
      <c r="DT90" s="143">
        <v>10</v>
      </c>
      <c r="DU90" s="140">
        <f ca="1">IF(DP90="",TODAY()-N90,DP90-N90)</f>
        <v>6</v>
      </c>
      <c r="DV90" s="184">
        <f ca="1">DU90-DT90</f>
        <v>-4</v>
      </c>
      <c r="DX90" s="422" t="s">
        <v>391</v>
      </c>
      <c r="DY90" s="120" t="str">
        <f>IF(_xlfn.XLOOKUP($E90,'[1]Import Eletra'!$B:$B,'[1]Import Eletra'!$DW:$DW,,0,1)=0,"",_xlfn.XLOOKUP($E90,'[1]Import Eletra'!$B:$B,'[1]Import Eletra'!$DW:$DW,0,1))</f>
        <v/>
      </c>
      <c r="EB90" s="289"/>
      <c r="ED90" s="409" t="str">
        <f>IF(_xlfn.XLOOKUP($E90,'[1]Import Eletra'!$B:$B,'[1]Import Eletra'!$BQ:$BQ,,0,1)=0,"",_xlfn.XLOOKUP($E90,'[1]Import Eletra'!$B:$B,'[1]Import Eletra'!$BQ:$BQ,0,1))</f>
        <v/>
      </c>
      <c r="EE90" s="410" t="str">
        <f>IF(_xlfn.XLOOKUP($E90,'[1]Import Eletra'!$B:$B,'[1]Import Eletra'!$BR:$BR,,0,1)=0,"",_xlfn.XLOOKUP($E90,'[1]Import Eletra'!$B:$B,'[1]Import Eletra'!$BR:$BR,0,1))</f>
        <v/>
      </c>
      <c r="EF90" s="409" t="str">
        <f>IF(_xlfn.XLOOKUP($E90,'[1]Import Eletra'!$B:$B,'[1]Import Eletra'!$BS:$BS,,0,1)=0,"",_xlfn.XLOOKUP($E90,'[1]Import Eletra'!$B:$B,'[1]Import Eletra'!$BS:$BS,0,1))</f>
        <v/>
      </c>
      <c r="EG90" s="410" t="str">
        <f>IF(_xlfn.XLOOKUP($E90,'[1]Import Eletra'!$B:$B,'[1]Import Eletra'!$BT:$BT,,0,1)=0,"",_xlfn.XLOOKUP($E90,'[1]Import Eletra'!$B:$B,'[1]Import Eletra'!$BT:$BT,0,1))</f>
        <v/>
      </c>
      <c r="EH90" s="409" t="str">
        <f>IF(_xlfn.XLOOKUP($E90,'[1]Import Eletra'!$B:$B,'[1]Import Eletra'!$BU:$BU,,0,1)=0,"",_xlfn.XLOOKUP($E90,'[1]Import Eletra'!$B:$B,'[1]Import Eletra'!$BU:$BU,0,1))</f>
        <v/>
      </c>
      <c r="EI90" s="410" t="str">
        <f>IF(_xlfn.XLOOKUP($E90,'[1]Import Eletra'!$B:$B,'[1]Import Eletra'!$BV:$BV,,0,1)=0,"",_xlfn.XLOOKUP($E90,'[1]Import Eletra'!$B:$B,'[1]Import Eletra'!$BV:$BV,0,1))</f>
        <v/>
      </c>
      <c r="EJ90" s="410" t="str">
        <f>IF(_xlfn.XLOOKUP($E90,'[1]Import Eletra'!$B:$B,'[1]Import Eletra'!$CI:$CI,,0,1)=0,"",_xlfn.XLOOKUP($E90,'[1]Import Eletra'!$B:$B,'[1]Import Eletra'!$CI:$CI,0,1))</f>
        <v/>
      </c>
      <c r="EK90" s="410" t="str">
        <f>IF(_xlfn.XLOOKUP($E90,'[1]Import Eletra'!$B:$B,'[1]Import Eletra'!$CD:$CD,,0,1)=0,"",_xlfn.XLOOKUP($E90,'[1]Import Eletra'!$B:$B,'[1]Import Eletra'!$CD:$CD,0,1))</f>
        <v/>
      </c>
      <c r="EL90" s="410" t="str">
        <f>IF(_xlfn.XLOOKUP($E90,'[1]Import Eletra'!$B:$B,'[1]Import Eletra'!$CE:$CE,,0,1)=0,"",_xlfn.XLOOKUP($E90,'[1]Import Eletra'!$B:$B,'[1]Import Eletra'!$CE:$CE,0,1))</f>
        <v/>
      </c>
      <c r="EM90" s="411" t="str">
        <f>IF(_xlfn.XLOOKUP($E90,'[1]Import Eletra'!$B:$B,'[1]Import Eletra'!$E:$E,,0,1)=0,"",_xlfn.XLOOKUP($E90,'[1]Import Eletra'!$B:$B,'[1]Import Eletra'!$E:$E,0,1))</f>
        <v>LEISIANE</v>
      </c>
      <c r="EN90" s="408" t="str">
        <f>IF(_xlfn.XLOOKUP($E90,'[1]Import Eletra'!$B:$B,'[1]Import Eletra'!$R:$R,,0,1)=0,"",_xlfn.XLOOKUP($E90,'[1]Import Eletra'!$B:$B,'[1]Import Eletra'!$R:$R,0,1))</f>
        <v>PWBR260131-20</v>
      </c>
      <c r="EO90" s="408" t="str">
        <f>IF(_xlfn.XLOOKUP($E90,'[1]Import Eletra'!$B:$B,'[1]Import Eletra'!$P:$P,,0,1)=0,"",_xlfn.XLOOKUP($E90,'[1]Import Eletra'!$B:$B,'[1]Import Eletra'!$P:$P,0,1))</f>
        <v>DTW260612FOR</v>
      </c>
      <c r="EP90" s="408" t="str">
        <f>IF(_xlfn.XLOOKUP($E90,'[1]Import Eletra'!$B:$B,'[1]Import Eletra'!$T:$T,,0,1)=0,"",_xlfn.XLOOKUP($E90,'[1]Import Eletra'!$B:$B,'[1]Import Eletra'!$T:$T,0,1))</f>
        <v/>
      </c>
    </row>
    <row r="91" spans="1:146" ht="30" customHeight="1">
      <c r="B91" s="371"/>
      <c r="C91" s="369"/>
      <c r="D91" s="104" t="str">
        <f>IF(_xlfn.XLOOKUP($E91,'[1]Import Eletra'!$B:$B,'[1]Import Eletra'!$A:$A,,0,1)=0,"",_xlfn.XLOOKUP($E91,'[1]Import Eletra'!$B:$B,'[1]Import Eletra'!$A:$A,,0,1))</f>
        <v>SEP_2026</v>
      </c>
      <c r="E91" s="214" t="s">
        <v>392</v>
      </c>
      <c r="F91" s="203" t="str">
        <f>IF(_xlfn.XLOOKUP($E91,'[1]Import Eletra'!$B:$B,'[1]Import Eletra'!$U:$U,,0,1)=0,"",_xlfn.XLOOKUP($E91,'[1]Import Eletra'!$B:$B,'[1]Import Eletra'!$U:$U,,0,1))</f>
        <v/>
      </c>
      <c r="G91" s="301" t="s">
        <v>244</v>
      </c>
      <c r="H91" s="2" t="str">
        <f>_xlfn.XLOOKUP($E91,'[1]Import Eletra'!$B:$B,'[1]Import Eletra'!$F:$F,,0,1)</f>
        <v>WAITING ARRIVAL</v>
      </c>
      <c r="I91" s="108" t="str">
        <f>_xlfn.XLOOKUP($E91,'[1]Import Eletra'!$B:$B,'[1]Import Eletra'!$G:$G,,0,1)</f>
        <v>SEA</v>
      </c>
      <c r="J91" s="326"/>
      <c r="K91" s="109"/>
      <c r="L91" s="109"/>
      <c r="M91" s="326" t="str">
        <f>IF(_xlfn.XLOOKUP($E91,'[1]Import Eletra'!$B:$B,'[1]Import Eletra'!$J:$J,,0,1)=0,"",_xlfn.XLOOKUP($E91,'[1]Import Eletra'!$B:$B,'[1]Import Eletra'!$J:$J,,0,1))</f>
        <v/>
      </c>
      <c r="N91" s="333" t="str">
        <f>IF(_xlfn.XLOOKUP($E91,'[1]Import Eletra'!$B:$B,'[1]Import Eletra'!$L:$L,,0,1)=0,"",_xlfn.XLOOKUP($E91,'[1]Import Eletra'!$B:$B,'[1]Import Eletra'!$L:$L,,0,1))</f>
        <v/>
      </c>
      <c r="O91" s="336" t="str">
        <f>IF(_xlfn.XLOOKUP($E91,'[1]Import Eletra'!$B:$B,'[1]Import Eletra'!$AK:$AK,,0,1)=0,"",_xlfn.XLOOKUP($E91,'[1]Import Eletra'!$B:$B,'[1]Import Eletra'!$AK:$AK,,0,1))</f>
        <v/>
      </c>
      <c r="P91" s="326" t="str">
        <f>IF(_xlfn.XLOOKUP($E91,'[1]Import Eletra'!$B:$B,'[1]Import Eletra'!$AL:$AL,,0,1)=0,"",_xlfn.XLOOKUP($E91,'[1]Import Eletra'!$B:$B,'[1]Import Eletra'!$AL:$AL,,0,1))</f>
        <v/>
      </c>
      <c r="Q91" s="326" t="str">
        <f>IF(_xlfn.XLOOKUP($E91,'[1]Import Eletra'!$B:$B,'[1]Import Eletra'!$AM:$AM,,0,1)=0,"",_xlfn.XLOOKUP($E91,'[1]Import Eletra'!$B:$B,'[1]Import Eletra'!$AM:$AM,,0,1))</f>
        <v/>
      </c>
      <c r="R91" s="326" t="str">
        <f>IF(_xlfn.XLOOKUP($E91,'[1]Import Eletra'!$B:$B,'[1]Import Eletra'!$AN:$AN,,0,1)=0,"",_xlfn.XLOOKUP($E91,'[1]Import Eletra'!$B:$B,'[1]Import Eletra'!$AN:$AN,,0,1))</f>
        <v/>
      </c>
      <c r="S91" s="326" t="str">
        <f>IF(_xlfn.XLOOKUP($E91,'[1]Import Eletra'!$B:$B,'[1]Import Eletra'!$AO:$AO,,0,1)=0,"",_xlfn.XLOOKUP($E91,'[1]Import Eletra'!$B:$B,'[1]Import Eletra'!$AO:$AO,,0,1))</f>
        <v/>
      </c>
      <c r="T91" s="326" t="str">
        <f>IF(_xlfn.XLOOKUP($E91,'[1]Import Eletra'!$B:$B,'[1]Import Eletra'!$AP:$AP,,0,1)=0,"",_xlfn.XLOOKUP($E91,'[1]Import Eletra'!$B:$B,'[1]Import Eletra'!$AP:$AP,,0,1))</f>
        <v/>
      </c>
      <c r="U91" s="337" t="str">
        <f>IF(_xlfn.XLOOKUP($E91,'[1]Import Eletra'!$B:$B,'[1]Import Eletra'!$AQ:$AQ,,0,1)=0,"",_xlfn.XLOOKUP($E91,'[1]Import Eletra'!$B:$B,'[1]Import Eletra'!$AQ:$AQ,,0,1))</f>
        <v/>
      </c>
      <c r="V91" s="343" t="str">
        <f>IF(_xlfn.XLOOKUP($E91,'[1]Import Eletra'!$B:$B,'[1]Import Eletra'!$AR:$AR,,0,1)=0,"",_xlfn.XLOOKUP($E91,'[1]Import Eletra'!$B:$B,'[1]Import Eletra'!$AR:$AR,,0,1))</f>
        <v/>
      </c>
      <c r="W91" s="335" t="e">
        <f>AB91-$AB$4</f>
        <v>#VALUE!</v>
      </c>
      <c r="X91" s="332" t="str">
        <f>IF(_xlfn.XLOOKUP($E91,'[1]Import Eletra'!$B:$B,'[1]Import Eletra'!$AS:$AS,,0,1)=0,"",_xlfn.XLOOKUP($E91,'[1]Import Eletra'!$B:$B,'[1]Import Eletra'!$AS:$AS,,0,1))</f>
        <v/>
      </c>
      <c r="Y91" s="113">
        <f t="shared" ref="Y91:Y93" si="273">$W$4</f>
        <v>0</v>
      </c>
      <c r="Z91" s="113" t="e">
        <f t="shared" ref="Z91:Z93" ca="1" si="274">IF(X91="",TODAY()-W91,X91-W91)</f>
        <v>#VALUE!</v>
      </c>
      <c r="AA91" s="184" t="e">
        <f t="shared" ref="AA91:AA93" ca="1" si="275">IF(AND(ISNUMBER($Z91),$Z91&gt;0),$Z91-$Y91,"")</f>
        <v>#VALUE!</v>
      </c>
      <c r="AB91" s="348" t="e">
        <f>AG91-$AB$4</f>
        <v>#VALUE!</v>
      </c>
      <c r="AC91" s="332" t="str">
        <f>IF(_xlfn.XLOOKUP($E91,'[1]Import Eletra'!$B:$B,'[1]Import Eletra'!$AD:$AD,,0,1)=0,"",_xlfn.XLOOKUP($E91,'[1]Import Eletra'!$B:$B,'[1]Import Eletra'!$AD:$AD,,0,1))</f>
        <v/>
      </c>
      <c r="AD91" s="113">
        <f t="shared" ref="AD91:AD93" si="276">$AB$4</f>
        <v>0</v>
      </c>
      <c r="AE91" s="113" t="e">
        <f t="shared" ref="AE91:AE93" ca="1" si="277">IF(AC91="",TODAY()-AB91,AC91-AB91)</f>
        <v>#VALUE!</v>
      </c>
      <c r="AF91" s="184" t="e">
        <f t="shared" ref="AF91:AF93" ca="1" si="278">AE91-AD91</f>
        <v>#VALUE!</v>
      </c>
      <c r="AG91" s="355" t="e">
        <f t="shared" ref="AG91:AG93" si="279">AL91-$AL$4</f>
        <v>#VALUE!</v>
      </c>
      <c r="AH91" s="332" t="str">
        <f>IF(_xlfn.XLOOKUP($E91,'[1]Import Eletra'!$B:$B,'[1]Import Eletra'!$AE:$AE,,0,1)=0,"",_xlfn.XLOOKUP($E91,'[1]Import Eletra'!$B:$B,'[1]Import Eletra'!$AE:$AE,,0,1))</f>
        <v/>
      </c>
      <c r="AI91" s="113">
        <f t="shared" ref="AI91:AI93" si="280">$AG$4</f>
        <v>0</v>
      </c>
      <c r="AJ91" s="113" t="e">
        <f t="shared" ref="AJ91:AJ93" ca="1" si="281">IF(AH91="",TODAY()-AG91,AH91-AG91)</f>
        <v>#VALUE!</v>
      </c>
      <c r="AK91" s="184" t="e">
        <f t="shared" ref="AK91:AK93" ca="1" si="282">IF(AND(ISNUMBER($AJ91),$AJ91&gt;0),$AJ91-$AI91,"")</f>
        <v>#VALUE!</v>
      </c>
      <c r="AL91" s="355" t="e">
        <f t="shared" ref="AL91:AL93" si="283">AQ91-$AQ$4</f>
        <v>#VALUE!</v>
      </c>
      <c r="AM91" s="332" t="str">
        <f>IF(_xlfn.XLOOKUP($E91,'[1]Import Eletra'!$B:$B,'[1]Import Eletra'!$AT:$AT,,0,1)=0,"",_xlfn.XLOOKUP($E91,'[1]Import Eletra'!$B:$B,'[1]Import Eletra'!$AT:$AT,,0,1))</f>
        <v/>
      </c>
      <c r="AN91" s="113">
        <f t="shared" ref="AN91:AN93" si="284">$AL$4</f>
        <v>0</v>
      </c>
      <c r="AO91" s="113" t="e">
        <f t="shared" ref="AO91:AO93" ca="1" si="285">IF(AM91="",TODAY()-AL91,AM91-AL91)</f>
        <v>#VALUE!</v>
      </c>
      <c r="AP91" s="184" t="e">
        <f t="shared" ref="AP91:AP93" ca="1" si="286">IF(AND(ISNUMBER($AO91),$AO91&gt;0),$AO91-$AN91,"")</f>
        <v>#VALUE!</v>
      </c>
      <c r="AQ91" s="357" t="e">
        <f t="shared" ref="AQ91:AQ93" si="287">AV91-$AV$4</f>
        <v>#VALUE!</v>
      </c>
      <c r="AR91" s="332" t="str">
        <f>IF(_xlfn.XLOOKUP($E91,'[1]Import Eletra'!$B:$B,'[1]Import Eletra'!$AU:$AU,,0,1)=0,"",_xlfn.XLOOKUP($E91,'[1]Import Eletra'!$B:$B,'[1]Import Eletra'!$AU:$AU,,0,1))</f>
        <v/>
      </c>
      <c r="AS91" s="113">
        <f t="shared" ref="AS91:AS93" si="288">$AQ$4</f>
        <v>1</v>
      </c>
      <c r="AT91" s="113" t="e">
        <f t="shared" ref="AT91:AT93" ca="1" si="289">IF(AR91="",TODAY()-AQ91,AR91-AQ91)</f>
        <v>#VALUE!</v>
      </c>
      <c r="AU91" s="184" t="e">
        <f t="shared" ref="AU91:AU93" ca="1" si="290">IF(AND(ISNUMBER($AT91),$AT91&gt;0),$AT91-$AS91,"")</f>
        <v>#VALUE!</v>
      </c>
      <c r="AV91" s="355" t="e">
        <f t="shared" ref="AV91:AV93" si="291">BA91-$BA$4</f>
        <v>#VALUE!</v>
      </c>
      <c r="AW91" s="332" t="str">
        <f>IF(_xlfn.XLOOKUP($E91,'[1]Import Eletra'!$B:$B,'[1]Import Eletra'!$AU:$AU,,0,1)=0,"",_xlfn.XLOOKUP($E91,'[1]Import Eletra'!$B:$B,'[1]Import Eletra'!$AU:$AU,,0,1))</f>
        <v/>
      </c>
      <c r="AX91" s="113">
        <f t="shared" ref="AX91:AX93" si="292">$AV$4</f>
        <v>0</v>
      </c>
      <c r="AY91" s="113" t="e">
        <f t="shared" ref="AY91:AY93" ca="1" si="293">IF(AW91="",TODAY()-AV91,AW91-AV91)</f>
        <v>#VALUE!</v>
      </c>
      <c r="AZ91" s="184" t="e">
        <f t="shared" ref="AZ91:AZ93" ca="1" si="294">IF(AND(ISNUMBER($AY91),$AY91&gt;0),$AY91-$AX91,"")</f>
        <v>#VALUE!</v>
      </c>
      <c r="BA91" s="357" t="e">
        <f t="shared" ref="BA91:BA93" si="295">BF91-$BF$4</f>
        <v>#VALUE!</v>
      </c>
      <c r="BB91" s="332" t="str">
        <f>IF(_xlfn.XLOOKUP($E91,'[1]Import Eletra'!$B:$B,'[1]Import Eletra'!$AW:$AW,,0,1)=0,"",_xlfn.XLOOKUP($E91,'[1]Import Eletra'!$B:$B,'[1]Import Eletra'!$AW:$AW,,0,1))</f>
        <v/>
      </c>
      <c r="BC91" s="113">
        <f t="shared" ref="BC91:BC93" si="296">$BA$4</f>
        <v>0</v>
      </c>
      <c r="BD91" s="113" t="e">
        <f t="shared" ref="BD91:BD93" ca="1" si="297">IF(BB91="",TODAY()-BA91,BB91-BA91)</f>
        <v>#VALUE!</v>
      </c>
      <c r="BE91" s="184" t="e">
        <f t="shared" ref="BE91:BE93" ca="1" si="298">BD91-BC91</f>
        <v>#VALUE!</v>
      </c>
      <c r="BF91" s="335" t="e">
        <f t="shared" ref="BF91:BF93" si="299">BK91-$BK$4</f>
        <v>#VALUE!</v>
      </c>
      <c r="BG91" s="345" t="str">
        <f>IF(_xlfn.XLOOKUP($E91,'[1]Import Eletra'!$B:$B,'[1]Import Eletra'!$AX:$AX,,0,1)=0,"",_xlfn.XLOOKUP($E91,'[1]Import Eletra'!$B:$B,'[1]Import Eletra'!$AX:$AX,,0,1))</f>
        <v/>
      </c>
      <c r="BH91" s="113">
        <f t="shared" ref="BH91:BH93" si="300">$BF$4</f>
        <v>0</v>
      </c>
      <c r="BI91" s="113" t="e">
        <f t="shared" ref="BI91:BI93" ca="1" si="301">IF(BG91="",TODAY()-BF91,BG91-BF91)</f>
        <v>#VALUE!</v>
      </c>
      <c r="BJ91" s="184" t="e">
        <f t="shared" ref="BJ91:BJ93" ca="1" si="302">IF(AND(ISNUMBER($BI91),$BI91&gt;0),$BI91-$BH91,"")</f>
        <v>#VALUE!</v>
      </c>
      <c r="BK91" s="362" t="e">
        <f t="shared" ref="BK91:BK93" si="303">BP91-$BP$4</f>
        <v>#VALUE!</v>
      </c>
      <c r="BL91" s="332" t="str">
        <f>IF(_xlfn.XLOOKUP($E91,'[1]Import Eletra'!$B:$B,'[1]Import Eletra'!$AY:$AY,,0,1)=0,"",_xlfn.XLOOKUP($E91,'[1]Import Eletra'!$B:$B,'[1]Import Eletra'!$AY:$AY,,0,1))</f>
        <v/>
      </c>
      <c r="BM91" s="113">
        <f t="shared" ref="BM91:BM93" si="304">$BK$4</f>
        <v>0</v>
      </c>
      <c r="BN91" s="113" t="e">
        <f t="shared" ref="BN91:BN93" ca="1" si="305">IF(BL91="",TODAY()-BK91,BL91-BK91)</f>
        <v>#VALUE!</v>
      </c>
      <c r="BO91" s="184" t="e">
        <f t="shared" ref="BO91:BO93" ca="1" si="306">BN91-BM91</f>
        <v>#VALUE!</v>
      </c>
      <c r="BP91" s="335" t="e">
        <f t="shared" ref="BP91:BP93" si="307">BU91-$BU$4</f>
        <v>#VALUE!</v>
      </c>
      <c r="BQ91" s="332" t="str">
        <f>IF(_xlfn.XLOOKUP($E91,'[1]Import Eletra'!$B:$B,'[1]Import Eletra'!$AZ:$AZ,,0,1)=0,"",_xlfn.XLOOKUP($E91,'[1]Import Eletra'!$B:$B,'[1]Import Eletra'!$AZ:$AZ,,0,1))</f>
        <v/>
      </c>
      <c r="BR91" s="113">
        <f t="shared" ref="BR91:BR93" si="308">$BP$4</f>
        <v>0</v>
      </c>
      <c r="BS91" s="113" t="e">
        <f t="shared" ref="BS91:BS93" ca="1" si="309">IF(BQ91="",TODAY()-BP91,BQ91-BP91)</f>
        <v>#VALUE!</v>
      </c>
      <c r="BT91" s="184" t="e">
        <f t="shared" ref="BT91:BT93" ca="1" si="310">BS91-BR91</f>
        <v>#VALUE!</v>
      </c>
      <c r="BU91" s="362" t="e">
        <f t="shared" ref="BU91:BU93" si="311">BZ91-$BZ$4</f>
        <v>#VALUE!</v>
      </c>
      <c r="BV91" s="332" t="str">
        <f>IF(_xlfn.XLOOKUP($E91,'[1]Import Eletra'!$B:$B,'[1]Import Eletra'!$BA:$BA,,0,1)=0,"",_xlfn.XLOOKUP($E91,'[1]Import Eletra'!$B:$B,'[1]Import Eletra'!$BA:$BA,,0,1))</f>
        <v/>
      </c>
      <c r="BW91" s="113">
        <f t="shared" ref="BW91:BW93" si="312">$BU$4</f>
        <v>2</v>
      </c>
      <c r="BX91" s="113" t="e">
        <f t="shared" ref="BX91:BX93" ca="1" si="313">IF(BV91="",TODAY()-BU91,BV91-BU91)</f>
        <v>#VALUE!</v>
      </c>
      <c r="BY91" s="184" t="e">
        <f t="shared" ref="BY91:BY93" ca="1" si="314">IF(AND(ISNUMBER($BX91),$BX91&gt;0),$BX91-$BW91,"")</f>
        <v>#VALUE!</v>
      </c>
      <c r="BZ91" s="335" t="e">
        <f t="shared" ref="BZ91:BZ93" si="315">CE91-$CE$4</f>
        <v>#VALUE!</v>
      </c>
      <c r="CA91" s="332" t="str">
        <f>IF(_xlfn.XLOOKUP($E91,'[1]Import Eletra'!$B:$B,'[1]Import Eletra'!$BB:$BB,,0,1)=0,"",_xlfn.XLOOKUP($E91,'[1]Import Eletra'!$B:$B,'[1]Import Eletra'!$BB:$BB,,0,1))</f>
        <v/>
      </c>
      <c r="CB91" s="113">
        <f t="shared" ref="CB91:CB93" si="316">$BZ$4</f>
        <v>0</v>
      </c>
      <c r="CC91" s="113" t="e">
        <f t="shared" ref="CC91:CC93" ca="1" si="317">IF(CA91="",TODAY()-BZ91,CA91-BZ91)</f>
        <v>#VALUE!</v>
      </c>
      <c r="CD91" s="184" t="e">
        <f t="shared" ref="CD91:CD93" ca="1" si="318">CC91-CB91</f>
        <v>#VALUE!</v>
      </c>
      <c r="CE91" s="362" t="e">
        <f t="shared" ref="CE91:CE93" si="319">CJ91-$CJ$4</f>
        <v>#VALUE!</v>
      </c>
      <c r="CF91" s="332" t="str">
        <f>IF(_xlfn.XLOOKUP($E91,'[1]Import Eletra'!$B:$B,'[1]Import Eletra'!$BC:$BC,,0,1)=0,"",_xlfn.XLOOKUP($E91,'[1]Import Eletra'!$B:$B,'[1]Import Eletra'!$BC:$BC,,0,1))</f>
        <v/>
      </c>
      <c r="CG91" s="113">
        <f t="shared" ref="CG91:CG93" si="320">$CE$4</f>
        <v>0</v>
      </c>
      <c r="CH91" s="113" t="e">
        <f t="shared" ref="CH91:CH93" ca="1" si="321">IF(CF91="",TODAY()-CE91,CF91-CE91)</f>
        <v>#VALUE!</v>
      </c>
      <c r="CI91" s="184" t="e">
        <f t="shared" ref="CI91:CI93" ca="1" si="322">CH91-CG91</f>
        <v>#VALUE!</v>
      </c>
      <c r="CJ91" s="335" t="e">
        <f t="shared" ref="CJ91:CJ93" si="323">CO91-$CO$4</f>
        <v>#VALUE!</v>
      </c>
      <c r="CK91" s="332" t="str">
        <f>IF(_xlfn.XLOOKUP($E91,'[1]Import Eletra'!$B:$B,'[1]Import Eletra'!$BD:$BD,,0,1)=0,"",_xlfn.XLOOKUP($E91,'[1]Import Eletra'!$B:$B,'[1]Import Eletra'!$BD:$BD,,0,1))</f>
        <v/>
      </c>
      <c r="CL91" s="113"/>
      <c r="CM91" s="113" t="e">
        <f t="shared" ref="CM91:CM93" ca="1" si="324">IF(CK91="",TODAY()-CJ91,CK91-CJ91)</f>
        <v>#VALUE!</v>
      </c>
      <c r="CN91" s="184" t="e">
        <f t="shared" ref="CN91:CN93" ca="1" si="325">CM91-CL91</f>
        <v>#VALUE!</v>
      </c>
      <c r="CO91" s="362" t="e">
        <f t="shared" ref="CO91:CO93" si="326">CT91-$CT$4</f>
        <v>#VALUE!</v>
      </c>
      <c r="CP91" s="332" t="str">
        <f>IF(_xlfn.XLOOKUP($E91,'[1]Import Eletra'!$B:$B,'[1]Import Eletra'!$BE:$BE,,0,1)=0,"",_xlfn.XLOOKUP($E91,'[1]Import Eletra'!$B:$B,'[1]Import Eletra'!$BE:$BE,,0,1))</f>
        <v/>
      </c>
      <c r="CQ91" s="113">
        <f t="shared" ref="CQ91:CQ93" si="327">$CO$4</f>
        <v>0</v>
      </c>
      <c r="CR91" s="113" t="e">
        <f t="shared" ref="CR91:CR93" ca="1" si="328">IF(CP91="",TODAY()-CO91,CP91-CO91)</f>
        <v>#VALUE!</v>
      </c>
      <c r="CS91" s="184" t="e">
        <f t="shared" ref="CS91:CS93" ca="1" si="329">CR91-CQ91</f>
        <v>#VALUE!</v>
      </c>
      <c r="CT91" s="335" t="e">
        <f t="shared" ref="CT91:CT93" si="330">CY91-$CY$4</f>
        <v>#VALUE!</v>
      </c>
      <c r="CU91" s="332" t="str">
        <f>IF(_xlfn.XLOOKUP($E91,'[1]Import Eletra'!$B:$B,'[1]Import Eletra'!$BF:$BF,,0,1)=0,"",_xlfn.XLOOKUP($E91,'[1]Import Eletra'!$B:$B,'[1]Import Eletra'!$BF:$BF,,0,1))</f>
        <v/>
      </c>
      <c r="CV91" s="113">
        <f t="shared" ref="CV91:CV93" si="331">$CT$4</f>
        <v>0</v>
      </c>
      <c r="CW91" s="113" t="e">
        <f t="shared" ref="CW91:CW93" ca="1" si="332">IF(CU91="",TODAY()-CT91,CU91-CT91)</f>
        <v>#VALUE!</v>
      </c>
      <c r="CX91" s="184" t="e">
        <f t="shared" ref="CX91:CX93" ca="1" si="333">CW91-CV91</f>
        <v>#VALUE!</v>
      </c>
      <c r="CY91" s="110" t="e">
        <f t="shared" ref="CY91:CY93" si="334">DD91-$DD$4</f>
        <v>#VALUE!</v>
      </c>
      <c r="CZ91" s="247" t="str">
        <f>IF(_xlfn.XLOOKUP($E91,'[1]Import Eletra'!$B:$B,'[1]Import Eletra'!$BF:$BF,,0,1)=0,"",_xlfn.XLOOKUP($E91,'[1]Import Eletra'!$B:$B,'[1]Import Eletra'!$BF:$BF,,0,1))</f>
        <v/>
      </c>
      <c r="DA91" s="210">
        <f t="shared" ref="DA91:DA93" si="335">$CY$4</f>
        <v>0</v>
      </c>
      <c r="DB91" s="113" t="e">
        <f t="shared" ref="DB91:DB93" ca="1" si="336">IF(CZ91="",TODAY()-CY91,CZ91-CY91)</f>
        <v>#VALUE!</v>
      </c>
      <c r="DC91" s="184" t="e">
        <f t="shared" ref="DC91:DC93" ca="1" si="337">DB91-DA91</f>
        <v>#VALUE!</v>
      </c>
      <c r="DD91" s="110" t="e">
        <f t="shared" ref="DD91:DD93" si="338">DI91-$DI$4</f>
        <v>#VALUE!</v>
      </c>
      <c r="DE91" s="247" t="str">
        <f>IF(_xlfn.XLOOKUP($E91,'[1]Import Eletra'!$B:$B,'[1]Import Eletra'!$BG:$BG,,0,1)=0,"",_xlfn.XLOOKUP($E91,'[1]Import Eletra'!$B:$B,'[1]Import Eletra'!$BG:$BG,0,1))</f>
        <v/>
      </c>
      <c r="DF91" s="113">
        <f t="shared" ref="DF91:DF93" si="339">$DD$4</f>
        <v>2</v>
      </c>
      <c r="DG91" s="113" t="e">
        <f t="shared" ref="DG91:DG93" ca="1" si="340">IF(DE91="",TODAY()-DD91,DE91-DD91)</f>
        <v>#VALUE!</v>
      </c>
      <c r="DH91" s="184" t="e">
        <f t="shared" ref="DH91:DH93" ca="1" si="341">DG91-DF91</f>
        <v>#VALUE!</v>
      </c>
      <c r="DI91" s="110" t="e">
        <f t="shared" ref="DI91:DI93" si="342">DO91-$DN$4</f>
        <v>#VALUE!</v>
      </c>
      <c r="DJ91" s="247" t="str">
        <f>IF(_xlfn.XLOOKUP($E91,'[1]Import Eletra'!$B:$B,'[1]Import Eletra'!$BH:$BH,,0,1)=0,"",_xlfn.XLOOKUP($E91,'[1]Import Eletra'!$B:$B,'[1]Import Eletra'!$BH:$BH,0,1))</f>
        <v/>
      </c>
      <c r="DK91" s="113">
        <f t="shared" ref="DK91:DK93" si="343">$DI$4</f>
        <v>1</v>
      </c>
      <c r="DL91" s="113" t="e">
        <f t="shared" ref="DL91:DL93" ca="1" si="344">IF(DJ91="",TODAY()-DI91,DJ91-DI91)</f>
        <v>#VALUE!</v>
      </c>
      <c r="DM91" s="184" t="e">
        <f t="shared" ref="DM91:DM93" ca="1" si="345">DL91-DK91</f>
        <v>#VALUE!</v>
      </c>
      <c r="DN91" s="64"/>
      <c r="DO91" s="202" t="e">
        <f t="shared" ref="DO91:DO93" si="346">IF(V91="",N91+DT91,V91+DT91)</f>
        <v>#VALUE!</v>
      </c>
      <c r="DP91" s="298" t="str">
        <f>IF(_xlfn.XLOOKUP($E91,'[1]Import Eletra'!$B:$B,'[1]Import Eletra'!$O:$O,,0,1)=0,"",_xlfn.XLOOKUP($E91,'[1]Import Eletra'!$B:$B,'[1]Import Eletra'!$O:$O,0,1))</f>
        <v/>
      </c>
      <c r="DQ91" s="113">
        <f t="shared" ref="DQ91:DQ93" si="347">$DN$4</f>
        <v>1</v>
      </c>
      <c r="DR91" s="113" t="e">
        <f t="shared" ref="DR91:DR93" ca="1" si="348">IF(DP91="",TODAY()-DO91,DP91-DO91)</f>
        <v>#VALUE!</v>
      </c>
      <c r="DS91" s="184" t="e">
        <f t="shared" ref="DS91:DS93" ca="1" si="349">DR91-DQ91</f>
        <v>#VALUE!</v>
      </c>
      <c r="DT91" s="143">
        <v>10</v>
      </c>
      <c r="DU91" s="140"/>
      <c r="DV91" s="184">
        <f t="shared" ref="DV91:DV93" si="350">DU91-DT91</f>
        <v>-10</v>
      </c>
      <c r="DX91" s="422" t="s">
        <v>391</v>
      </c>
      <c r="DY91" s="120" t="str">
        <f>IF(_xlfn.XLOOKUP($E91,'[1]Import Eletra'!$B:$B,'[1]Import Eletra'!$DW:$DW,,0,1)=0,"",_xlfn.XLOOKUP($E91,'[1]Import Eletra'!$B:$B,'[1]Import Eletra'!$DW:$DW,0,1))</f>
        <v/>
      </c>
      <c r="EB91" s="289"/>
      <c r="ED91" s="409" t="str">
        <f>IF(_xlfn.XLOOKUP($E91,'[1]Import Eletra'!$B:$B,'[1]Import Eletra'!$BQ:$BQ,,0,1)=0,"",_xlfn.XLOOKUP($E91,'[1]Import Eletra'!$B:$B,'[1]Import Eletra'!$BQ:$BQ,0,1))</f>
        <v/>
      </c>
      <c r="EE91" s="410" t="str">
        <f>IF(_xlfn.XLOOKUP($E91,'[1]Import Eletra'!$B:$B,'[1]Import Eletra'!$BR:$BR,,0,1)=0,"",_xlfn.XLOOKUP($E91,'[1]Import Eletra'!$B:$B,'[1]Import Eletra'!$BR:$BR,0,1))</f>
        <v/>
      </c>
      <c r="EF91" s="409" t="str">
        <f>IF(_xlfn.XLOOKUP($E91,'[1]Import Eletra'!$B:$B,'[1]Import Eletra'!$BS:$BS,,0,1)=0,"",_xlfn.XLOOKUP($E91,'[1]Import Eletra'!$B:$B,'[1]Import Eletra'!$BS:$BS,0,1))</f>
        <v/>
      </c>
      <c r="EG91" s="410" t="str">
        <f>IF(_xlfn.XLOOKUP($E91,'[1]Import Eletra'!$B:$B,'[1]Import Eletra'!$BT:$BT,,0,1)=0,"",_xlfn.XLOOKUP($E91,'[1]Import Eletra'!$B:$B,'[1]Import Eletra'!$BT:$BT,0,1))</f>
        <v/>
      </c>
      <c r="EH91" s="409" t="str">
        <f>IF(_xlfn.XLOOKUP($E91,'[1]Import Eletra'!$B:$B,'[1]Import Eletra'!$BU:$BU,,0,1)=0,"",_xlfn.XLOOKUP($E91,'[1]Import Eletra'!$B:$B,'[1]Import Eletra'!$BU:$BU,0,1))</f>
        <v/>
      </c>
      <c r="EI91" s="410" t="str">
        <f>IF(_xlfn.XLOOKUP($E91,'[1]Import Eletra'!$B:$B,'[1]Import Eletra'!$BV:$BV,,0,1)=0,"",_xlfn.XLOOKUP($E91,'[1]Import Eletra'!$B:$B,'[1]Import Eletra'!$BV:$BV,0,1))</f>
        <v/>
      </c>
      <c r="EJ91" s="410" t="str">
        <f>IF(_xlfn.XLOOKUP($E91,'[1]Import Eletra'!$B:$B,'[1]Import Eletra'!$CI:$CI,,0,1)=0,"",_xlfn.XLOOKUP($E91,'[1]Import Eletra'!$B:$B,'[1]Import Eletra'!$CI:$CI,0,1))</f>
        <v/>
      </c>
      <c r="EK91" s="410" t="str">
        <f>IF(_xlfn.XLOOKUP($E91,'[1]Import Eletra'!$B:$B,'[1]Import Eletra'!$CD:$CD,,0,1)=0,"",_xlfn.XLOOKUP($E91,'[1]Import Eletra'!$B:$B,'[1]Import Eletra'!$CD:$CD,0,1))</f>
        <v/>
      </c>
      <c r="EL91" s="410" t="str">
        <f>IF(_xlfn.XLOOKUP($E91,'[1]Import Eletra'!$B:$B,'[1]Import Eletra'!$CE:$CE,,0,1)=0,"",_xlfn.XLOOKUP($E91,'[1]Import Eletra'!$B:$B,'[1]Import Eletra'!$CE:$CE,0,1))</f>
        <v/>
      </c>
      <c r="EM91" s="411" t="str">
        <f>IF(_xlfn.XLOOKUP($E91,'[1]Import Eletra'!$B:$B,'[1]Import Eletra'!$E:$E,,0,1)=0,"",_xlfn.XLOOKUP($E91,'[1]Import Eletra'!$B:$B,'[1]Import Eletra'!$E:$E,0,1))</f>
        <v>CATARINA</v>
      </c>
      <c r="EN91" s="408" t="str">
        <f>IF(_xlfn.XLOOKUP($E91,'[1]Import Eletra'!$B:$B,'[1]Import Eletra'!$R:$R,,0,1)=0,"",_xlfn.XLOOKUP($E91,'[1]Import Eletra'!$B:$B,'[1]Import Eletra'!$R:$R,0,1))</f>
        <v>PWBR260121-90</v>
      </c>
      <c r="EO91" s="408" t="str">
        <f>IF(_xlfn.XLOOKUP($E91,'[1]Import Eletra'!$B:$B,'[1]Import Eletra'!$P:$P,,0,1)=0,"",_xlfn.XLOOKUP($E91,'[1]Import Eletra'!$B:$B,'[1]Import Eletra'!$P:$P,0,1))</f>
        <v/>
      </c>
      <c r="EP91" s="408" t="str">
        <f>IF(_xlfn.XLOOKUP($E91,'[1]Import Eletra'!$B:$B,'[1]Import Eletra'!$T:$T,,0,1)=0,"",_xlfn.XLOOKUP($E91,'[1]Import Eletra'!$B:$B,'[1]Import Eletra'!$T:$T,0,1))</f>
        <v/>
      </c>
    </row>
    <row r="92" spans="1:146" ht="30" customHeight="1">
      <c r="B92" s="371"/>
      <c r="C92" s="369"/>
      <c r="D92" s="104" t="str">
        <f>IF(_xlfn.XLOOKUP($E92,'[1]Import Eletra'!$B:$B,'[1]Import Eletra'!$A:$A,,0,1)=0,"",_xlfn.XLOOKUP($E92,'[1]Import Eletra'!$B:$B,'[1]Import Eletra'!$A:$A,,0,1))</f>
        <v/>
      </c>
      <c r="E92" s="214" t="s">
        <v>393</v>
      </c>
      <c r="F92" s="203" t="str">
        <f>IF(_xlfn.XLOOKUP($E92,'[1]Import Eletra'!$B:$B,'[1]Import Eletra'!$U:$U,,0,1)=0,"",_xlfn.XLOOKUP($E92,'[1]Import Eletra'!$B:$B,'[1]Import Eletra'!$U:$U,,0,1))</f>
        <v/>
      </c>
      <c r="G92" s="301" t="s">
        <v>244</v>
      </c>
      <c r="H92" s="2" t="str">
        <f>_xlfn.XLOOKUP($E92,'[1]Import Eletra'!$B:$B,'[1]Import Eletra'!$F:$F,,0,1)</f>
        <v>CUSTOMS CLEARANCE</v>
      </c>
      <c r="I92" s="108" t="str">
        <f>_xlfn.XLOOKUP($E92,'[1]Import Eletra'!$B:$B,'[1]Import Eletra'!$G:$G,,0,1)</f>
        <v>COURIER</v>
      </c>
      <c r="J92" s="326"/>
      <c r="K92" s="109"/>
      <c r="L92" s="109"/>
      <c r="M92" s="326">
        <f>IF(_xlfn.XLOOKUP($E92,'[1]Import Eletra'!$B:$B,'[1]Import Eletra'!$J:$J,,0,1)=0,"",_xlfn.XLOOKUP($E92,'[1]Import Eletra'!$B:$B,'[1]Import Eletra'!$J:$J,,0,1))</f>
        <v>46206</v>
      </c>
      <c r="N92" s="333">
        <f>IF(_xlfn.XLOOKUP($E92,'[1]Import Eletra'!$B:$B,'[1]Import Eletra'!$L:$L,,0,1)=0,"",_xlfn.XLOOKUP($E92,'[1]Import Eletra'!$B:$B,'[1]Import Eletra'!$L:$L,,0,1))</f>
        <v>46216</v>
      </c>
      <c r="O92" s="336" t="str">
        <f>IF(_xlfn.XLOOKUP($E92,'[1]Import Eletra'!$B:$B,'[1]Import Eletra'!$AK:$AK,,0,1)=0,"",_xlfn.XLOOKUP($E92,'[1]Import Eletra'!$B:$B,'[1]Import Eletra'!$AK:$AK,,0,1))</f>
        <v/>
      </c>
      <c r="P92" s="326" t="str">
        <f>IF(_xlfn.XLOOKUP($E92,'[1]Import Eletra'!$B:$B,'[1]Import Eletra'!$AL:$AL,,0,1)=0,"",_xlfn.XLOOKUP($E92,'[1]Import Eletra'!$B:$B,'[1]Import Eletra'!$AL:$AL,,0,1))</f>
        <v/>
      </c>
      <c r="Q92" s="326" t="str">
        <f>IF(_xlfn.XLOOKUP($E92,'[1]Import Eletra'!$B:$B,'[1]Import Eletra'!$AM:$AM,,0,1)=0,"",_xlfn.XLOOKUP($E92,'[1]Import Eletra'!$B:$B,'[1]Import Eletra'!$AM:$AM,,0,1))</f>
        <v/>
      </c>
      <c r="R92" s="326" t="str">
        <f>IF(_xlfn.XLOOKUP($E92,'[1]Import Eletra'!$B:$B,'[1]Import Eletra'!$AN:$AN,,0,1)=0,"",_xlfn.XLOOKUP($E92,'[1]Import Eletra'!$B:$B,'[1]Import Eletra'!$AN:$AN,,0,1))</f>
        <v/>
      </c>
      <c r="S92" s="326" t="str">
        <f>IF(_xlfn.XLOOKUP($E92,'[1]Import Eletra'!$B:$B,'[1]Import Eletra'!$AO:$AO,,0,1)=0,"",_xlfn.XLOOKUP($E92,'[1]Import Eletra'!$B:$B,'[1]Import Eletra'!$AO:$AO,,0,1))</f>
        <v/>
      </c>
      <c r="T92" s="326" t="str">
        <f>IF(_xlfn.XLOOKUP($E92,'[1]Import Eletra'!$B:$B,'[1]Import Eletra'!$AP:$AP,,0,1)=0,"",_xlfn.XLOOKUP($E92,'[1]Import Eletra'!$B:$B,'[1]Import Eletra'!$AP:$AP,,0,1))</f>
        <v/>
      </c>
      <c r="U92" s="337" t="str">
        <f>IF(_xlfn.XLOOKUP($E92,'[1]Import Eletra'!$B:$B,'[1]Import Eletra'!$AQ:$AQ,,0,1)=0,"",_xlfn.XLOOKUP($E92,'[1]Import Eletra'!$B:$B,'[1]Import Eletra'!$AQ:$AQ,,0,1))</f>
        <v/>
      </c>
      <c r="V92" s="343" t="str">
        <f>IF(_xlfn.XLOOKUP($E92,'[1]Import Eletra'!$B:$B,'[1]Import Eletra'!$AR:$AR,,0,1)=0,"",_xlfn.XLOOKUP($E92,'[1]Import Eletra'!$B:$B,'[1]Import Eletra'!$AR:$AR,,0,1))</f>
        <v/>
      </c>
      <c r="W92" s="335">
        <f t="shared" ref="W91:W93" si="351">AB92-$AB$4</f>
        <v>46219</v>
      </c>
      <c r="X92" s="332" t="str">
        <f>IF(_xlfn.XLOOKUP($E92,'[1]Import Eletra'!$B:$B,'[1]Import Eletra'!$AS:$AS,,0,1)=0,"",_xlfn.XLOOKUP($E92,'[1]Import Eletra'!$B:$B,'[1]Import Eletra'!$AS:$AS,,0,1))</f>
        <v/>
      </c>
      <c r="Y92" s="113">
        <f t="shared" si="273"/>
        <v>0</v>
      </c>
      <c r="Z92" s="113">
        <f t="shared" ca="1" si="274"/>
        <v>-8</v>
      </c>
      <c r="AA92" s="184" t="str">
        <f t="shared" ca="1" si="275"/>
        <v/>
      </c>
      <c r="AB92" s="348">
        <f t="shared" ref="AB91:AB92" si="352">AG92-$AB$4</f>
        <v>46219</v>
      </c>
      <c r="AC92" s="332" t="str">
        <f>IF(_xlfn.XLOOKUP($E92,'[1]Import Eletra'!$B:$B,'[1]Import Eletra'!$AD:$AD,,0,1)=0,"",_xlfn.XLOOKUP($E92,'[1]Import Eletra'!$B:$B,'[1]Import Eletra'!$AD:$AD,,0,1))</f>
        <v/>
      </c>
      <c r="AD92" s="113">
        <f t="shared" si="276"/>
        <v>0</v>
      </c>
      <c r="AE92" s="113">
        <f t="shared" ca="1" si="277"/>
        <v>-8</v>
      </c>
      <c r="AF92" s="184">
        <f t="shared" ca="1" si="278"/>
        <v>-8</v>
      </c>
      <c r="AG92" s="355">
        <f t="shared" si="279"/>
        <v>46219</v>
      </c>
      <c r="AH92" s="332" t="str">
        <f>IF(_xlfn.XLOOKUP($E92,'[1]Import Eletra'!$B:$B,'[1]Import Eletra'!$AE:$AE,,0,1)=0,"",_xlfn.XLOOKUP($E92,'[1]Import Eletra'!$B:$B,'[1]Import Eletra'!$AE:$AE,,0,1))</f>
        <v/>
      </c>
      <c r="AI92" s="113">
        <f t="shared" si="280"/>
        <v>0</v>
      </c>
      <c r="AJ92" s="113">
        <f t="shared" ca="1" si="281"/>
        <v>-8</v>
      </c>
      <c r="AK92" s="184" t="str">
        <f t="shared" ca="1" si="282"/>
        <v/>
      </c>
      <c r="AL92" s="355">
        <f t="shared" si="283"/>
        <v>46219</v>
      </c>
      <c r="AM92" s="332" t="str">
        <f>IF(_xlfn.XLOOKUP($E92,'[1]Import Eletra'!$B:$B,'[1]Import Eletra'!$AT:$AT,,0,1)=0,"",_xlfn.XLOOKUP($E92,'[1]Import Eletra'!$B:$B,'[1]Import Eletra'!$AT:$AT,,0,1))</f>
        <v/>
      </c>
      <c r="AN92" s="113">
        <f t="shared" si="284"/>
        <v>0</v>
      </c>
      <c r="AO92" s="113">
        <f t="shared" ca="1" si="285"/>
        <v>-8</v>
      </c>
      <c r="AP92" s="184" t="str">
        <f t="shared" ca="1" si="286"/>
        <v/>
      </c>
      <c r="AQ92" s="357">
        <f t="shared" si="287"/>
        <v>46220</v>
      </c>
      <c r="AR92" s="332" t="str">
        <f>IF(_xlfn.XLOOKUP($E92,'[1]Import Eletra'!$B:$B,'[1]Import Eletra'!$AU:$AU,,0,1)=0,"",_xlfn.XLOOKUP($E92,'[1]Import Eletra'!$B:$B,'[1]Import Eletra'!$AU:$AU,,0,1))</f>
        <v/>
      </c>
      <c r="AS92" s="113">
        <f t="shared" si="288"/>
        <v>1</v>
      </c>
      <c r="AT92" s="113">
        <f t="shared" ca="1" si="289"/>
        <v>-9</v>
      </c>
      <c r="AU92" s="184" t="str">
        <f t="shared" ca="1" si="290"/>
        <v/>
      </c>
      <c r="AV92" s="355">
        <f t="shared" si="291"/>
        <v>46220</v>
      </c>
      <c r="AW92" s="332" t="str">
        <f>IF(_xlfn.XLOOKUP($E92,'[1]Import Eletra'!$B:$B,'[1]Import Eletra'!$AU:$AU,,0,1)=0,"",_xlfn.XLOOKUP($E92,'[1]Import Eletra'!$B:$B,'[1]Import Eletra'!$AU:$AU,,0,1))</f>
        <v/>
      </c>
      <c r="AX92" s="113">
        <f t="shared" si="292"/>
        <v>0</v>
      </c>
      <c r="AY92" s="113">
        <f t="shared" ca="1" si="293"/>
        <v>-9</v>
      </c>
      <c r="AZ92" s="184" t="str">
        <f t="shared" ca="1" si="294"/>
        <v/>
      </c>
      <c r="BA92" s="357">
        <f t="shared" si="295"/>
        <v>46220</v>
      </c>
      <c r="BB92" s="332" t="str">
        <f>IF(_xlfn.XLOOKUP($E92,'[1]Import Eletra'!$B:$B,'[1]Import Eletra'!$AW:$AW,,0,1)=0,"",_xlfn.XLOOKUP($E92,'[1]Import Eletra'!$B:$B,'[1]Import Eletra'!$AW:$AW,,0,1))</f>
        <v/>
      </c>
      <c r="BC92" s="113">
        <f t="shared" si="296"/>
        <v>0</v>
      </c>
      <c r="BD92" s="113">
        <f t="shared" ca="1" si="297"/>
        <v>-9</v>
      </c>
      <c r="BE92" s="184">
        <f t="shared" ca="1" si="298"/>
        <v>-9</v>
      </c>
      <c r="BF92" s="335">
        <f t="shared" si="299"/>
        <v>46220</v>
      </c>
      <c r="BG92" s="345" t="str">
        <f>IF(_xlfn.XLOOKUP($E92,'[1]Import Eletra'!$B:$B,'[1]Import Eletra'!$AX:$AX,,0,1)=0,"",_xlfn.XLOOKUP($E92,'[1]Import Eletra'!$B:$B,'[1]Import Eletra'!$AX:$AX,,0,1))</f>
        <v/>
      </c>
      <c r="BH92" s="113">
        <f t="shared" si="300"/>
        <v>0</v>
      </c>
      <c r="BI92" s="113">
        <f t="shared" ca="1" si="301"/>
        <v>-9</v>
      </c>
      <c r="BJ92" s="184" t="str">
        <f t="shared" ca="1" si="302"/>
        <v/>
      </c>
      <c r="BK92" s="362">
        <f t="shared" si="303"/>
        <v>46220</v>
      </c>
      <c r="BL92" s="332" t="str">
        <f>IF(_xlfn.XLOOKUP($E92,'[1]Import Eletra'!$B:$B,'[1]Import Eletra'!$AY:$AY,,0,1)=0,"",_xlfn.XLOOKUP($E92,'[1]Import Eletra'!$B:$B,'[1]Import Eletra'!$AY:$AY,,0,1))</f>
        <v/>
      </c>
      <c r="BM92" s="113">
        <f t="shared" si="304"/>
        <v>0</v>
      </c>
      <c r="BN92" s="113">
        <f t="shared" ca="1" si="305"/>
        <v>-9</v>
      </c>
      <c r="BO92" s="184">
        <f t="shared" ca="1" si="306"/>
        <v>-9</v>
      </c>
      <c r="BP92" s="335">
        <f t="shared" si="307"/>
        <v>46220</v>
      </c>
      <c r="BQ92" s="332" t="str">
        <f>IF(_xlfn.XLOOKUP($E92,'[1]Import Eletra'!$B:$B,'[1]Import Eletra'!$AZ:$AZ,,0,1)=0,"",_xlfn.XLOOKUP($E92,'[1]Import Eletra'!$B:$B,'[1]Import Eletra'!$AZ:$AZ,,0,1))</f>
        <v/>
      </c>
      <c r="BR92" s="113">
        <f t="shared" si="308"/>
        <v>0</v>
      </c>
      <c r="BS92" s="113">
        <f t="shared" ca="1" si="309"/>
        <v>-9</v>
      </c>
      <c r="BT92" s="184">
        <f t="shared" ca="1" si="310"/>
        <v>-9</v>
      </c>
      <c r="BU92" s="362">
        <f t="shared" si="311"/>
        <v>46222</v>
      </c>
      <c r="BV92" s="332" t="str">
        <f>IF(_xlfn.XLOOKUP($E92,'[1]Import Eletra'!$B:$B,'[1]Import Eletra'!$BA:$BA,,0,1)=0,"",_xlfn.XLOOKUP($E92,'[1]Import Eletra'!$B:$B,'[1]Import Eletra'!$BA:$BA,,0,1))</f>
        <v/>
      </c>
      <c r="BW92" s="113">
        <f t="shared" si="312"/>
        <v>2</v>
      </c>
      <c r="BX92" s="113">
        <f t="shared" ca="1" si="313"/>
        <v>-11</v>
      </c>
      <c r="BY92" s="184" t="str">
        <f t="shared" ca="1" si="314"/>
        <v/>
      </c>
      <c r="BZ92" s="335">
        <f t="shared" si="315"/>
        <v>46222</v>
      </c>
      <c r="CA92" s="332" t="str">
        <f>IF(_xlfn.XLOOKUP($E92,'[1]Import Eletra'!$B:$B,'[1]Import Eletra'!$BB:$BB,,0,1)=0,"",_xlfn.XLOOKUP($E92,'[1]Import Eletra'!$B:$B,'[1]Import Eletra'!$BB:$BB,,0,1))</f>
        <v/>
      </c>
      <c r="CB92" s="113">
        <f t="shared" si="316"/>
        <v>0</v>
      </c>
      <c r="CC92" s="113">
        <f t="shared" ca="1" si="317"/>
        <v>-11</v>
      </c>
      <c r="CD92" s="184">
        <f t="shared" ca="1" si="318"/>
        <v>-11</v>
      </c>
      <c r="CE92" s="362">
        <f t="shared" si="319"/>
        <v>46222</v>
      </c>
      <c r="CF92" s="332" t="str">
        <f>IF(_xlfn.XLOOKUP($E92,'[1]Import Eletra'!$B:$B,'[1]Import Eletra'!$BC:$BC,,0,1)=0,"",_xlfn.XLOOKUP($E92,'[1]Import Eletra'!$B:$B,'[1]Import Eletra'!$BC:$BC,,0,1))</f>
        <v/>
      </c>
      <c r="CG92" s="113">
        <f t="shared" si="320"/>
        <v>0</v>
      </c>
      <c r="CH92" s="113">
        <f t="shared" ca="1" si="321"/>
        <v>-11</v>
      </c>
      <c r="CI92" s="184">
        <f t="shared" ca="1" si="322"/>
        <v>-11</v>
      </c>
      <c r="CJ92" s="335">
        <f t="shared" si="323"/>
        <v>46222</v>
      </c>
      <c r="CK92" s="332" t="str">
        <f>IF(_xlfn.XLOOKUP($E92,'[1]Import Eletra'!$B:$B,'[1]Import Eletra'!$BD:$BD,,0,1)=0,"",_xlfn.XLOOKUP($E92,'[1]Import Eletra'!$B:$B,'[1]Import Eletra'!$BD:$BD,,0,1))</f>
        <v/>
      </c>
      <c r="CL92" s="113"/>
      <c r="CM92" s="113">
        <f t="shared" ca="1" si="324"/>
        <v>-11</v>
      </c>
      <c r="CN92" s="184">
        <f t="shared" ca="1" si="325"/>
        <v>-11</v>
      </c>
      <c r="CO92" s="362">
        <f t="shared" si="326"/>
        <v>46222</v>
      </c>
      <c r="CP92" s="332" t="str">
        <f>IF(_xlfn.XLOOKUP($E92,'[1]Import Eletra'!$B:$B,'[1]Import Eletra'!$BE:$BE,,0,1)=0,"",_xlfn.XLOOKUP($E92,'[1]Import Eletra'!$B:$B,'[1]Import Eletra'!$BE:$BE,,0,1))</f>
        <v/>
      </c>
      <c r="CQ92" s="113">
        <f t="shared" si="327"/>
        <v>0</v>
      </c>
      <c r="CR92" s="113">
        <f t="shared" ca="1" si="328"/>
        <v>-11</v>
      </c>
      <c r="CS92" s="184">
        <f t="shared" ca="1" si="329"/>
        <v>-11</v>
      </c>
      <c r="CT92" s="335">
        <f t="shared" si="330"/>
        <v>46222</v>
      </c>
      <c r="CU92" s="332" t="str">
        <f>IF(_xlfn.XLOOKUP($E92,'[1]Import Eletra'!$B:$B,'[1]Import Eletra'!$BF:$BF,,0,1)=0,"",_xlfn.XLOOKUP($E92,'[1]Import Eletra'!$B:$B,'[1]Import Eletra'!$BF:$BF,,0,1))</f>
        <v/>
      </c>
      <c r="CV92" s="113">
        <f t="shared" si="331"/>
        <v>0</v>
      </c>
      <c r="CW92" s="113">
        <f t="shared" ca="1" si="332"/>
        <v>-11</v>
      </c>
      <c r="CX92" s="184">
        <f t="shared" ca="1" si="333"/>
        <v>-11</v>
      </c>
      <c r="CY92" s="110">
        <f t="shared" si="334"/>
        <v>46222</v>
      </c>
      <c r="CZ92" s="247" t="str">
        <f>IF(_xlfn.XLOOKUP($E92,'[1]Import Eletra'!$B:$B,'[1]Import Eletra'!$BF:$BF,,0,1)=0,"",_xlfn.XLOOKUP($E92,'[1]Import Eletra'!$B:$B,'[1]Import Eletra'!$BF:$BF,,0,1))</f>
        <v/>
      </c>
      <c r="DA92" s="210">
        <f t="shared" si="335"/>
        <v>0</v>
      </c>
      <c r="DB92" s="113">
        <f t="shared" ca="1" si="336"/>
        <v>-11</v>
      </c>
      <c r="DC92" s="184">
        <f t="shared" ca="1" si="337"/>
        <v>-11</v>
      </c>
      <c r="DD92" s="110">
        <f t="shared" si="338"/>
        <v>46224</v>
      </c>
      <c r="DE92" s="247" t="str">
        <f>IF(_xlfn.XLOOKUP($E92,'[1]Import Eletra'!$B:$B,'[1]Import Eletra'!$BG:$BG,,0,1)=0,"",_xlfn.XLOOKUP($E92,'[1]Import Eletra'!$B:$B,'[1]Import Eletra'!$BG:$BG,0,1))</f>
        <v/>
      </c>
      <c r="DF92" s="113">
        <f t="shared" si="339"/>
        <v>2</v>
      </c>
      <c r="DG92" s="113">
        <f t="shared" ca="1" si="340"/>
        <v>-13</v>
      </c>
      <c r="DH92" s="184">
        <f t="shared" ca="1" si="341"/>
        <v>-15</v>
      </c>
      <c r="DI92" s="110">
        <f t="shared" si="342"/>
        <v>46225</v>
      </c>
      <c r="DJ92" s="247" t="str">
        <f>IF(_xlfn.XLOOKUP($E92,'[1]Import Eletra'!$B:$B,'[1]Import Eletra'!$BH:$BH,,0,1)=0,"",_xlfn.XLOOKUP($E92,'[1]Import Eletra'!$B:$B,'[1]Import Eletra'!$BH:$BH,0,1))</f>
        <v/>
      </c>
      <c r="DK92" s="113">
        <f t="shared" si="343"/>
        <v>1</v>
      </c>
      <c r="DL92" s="113">
        <f t="shared" ca="1" si="344"/>
        <v>-14</v>
      </c>
      <c r="DM92" s="184">
        <f t="shared" ca="1" si="345"/>
        <v>-15</v>
      </c>
      <c r="DN92" s="64"/>
      <c r="DO92" s="202">
        <f>IF(V92="",N92+DT92,V92+DT92)</f>
        <v>46226</v>
      </c>
      <c r="DP92" s="298" t="str">
        <f>IF(_xlfn.XLOOKUP($E92,'[1]Import Eletra'!$B:$B,'[1]Import Eletra'!$O:$O,,0,1)=0,"",_xlfn.XLOOKUP($E92,'[1]Import Eletra'!$B:$B,'[1]Import Eletra'!$O:$O,0,1))</f>
        <v/>
      </c>
      <c r="DQ92" s="113">
        <f t="shared" si="347"/>
        <v>1</v>
      </c>
      <c r="DR92" s="113">
        <f t="shared" ca="1" si="348"/>
        <v>-15</v>
      </c>
      <c r="DS92" s="184">
        <f t="shared" ca="1" si="349"/>
        <v>-16</v>
      </c>
      <c r="DT92" s="143">
        <v>10</v>
      </c>
      <c r="DU92" s="140"/>
      <c r="DV92" s="184">
        <f t="shared" si="350"/>
        <v>-10</v>
      </c>
      <c r="DX92" s="422" t="s">
        <v>391</v>
      </c>
      <c r="DY92" s="120" t="str">
        <f>IF(_xlfn.XLOOKUP($E92,'[1]Import Eletra'!$B:$B,'[1]Import Eletra'!$DW:$DW,,0,1)=0,"",_xlfn.XLOOKUP($E92,'[1]Import Eletra'!$B:$B,'[1]Import Eletra'!$DW:$DW,0,1))</f>
        <v/>
      </c>
      <c r="EB92" s="289"/>
      <c r="ED92" s="409" t="str">
        <f>IF(_xlfn.XLOOKUP($E92,'[1]Import Eletra'!$B:$B,'[1]Import Eletra'!$BQ:$BQ,,0,1)=0,"",_xlfn.XLOOKUP($E92,'[1]Import Eletra'!$B:$B,'[1]Import Eletra'!$BQ:$BQ,0,1))</f>
        <v/>
      </c>
      <c r="EE92" s="410" t="str">
        <f>IF(_xlfn.XLOOKUP($E92,'[1]Import Eletra'!$B:$B,'[1]Import Eletra'!$BR:$BR,,0,1)=0,"",_xlfn.XLOOKUP($E92,'[1]Import Eletra'!$B:$B,'[1]Import Eletra'!$BR:$BR,0,1))</f>
        <v/>
      </c>
      <c r="EF92" s="409" t="str">
        <f>IF(_xlfn.XLOOKUP($E92,'[1]Import Eletra'!$B:$B,'[1]Import Eletra'!$BS:$BS,,0,1)=0,"",_xlfn.XLOOKUP($E92,'[1]Import Eletra'!$B:$B,'[1]Import Eletra'!$BS:$BS,0,1))</f>
        <v/>
      </c>
      <c r="EG92" s="410" t="str">
        <f>IF(_xlfn.XLOOKUP($E92,'[1]Import Eletra'!$B:$B,'[1]Import Eletra'!$BT:$BT,,0,1)=0,"",_xlfn.XLOOKUP($E92,'[1]Import Eletra'!$B:$B,'[1]Import Eletra'!$BT:$BT,0,1))</f>
        <v/>
      </c>
      <c r="EH92" s="409" t="str">
        <f>IF(_xlfn.XLOOKUP($E92,'[1]Import Eletra'!$B:$B,'[1]Import Eletra'!$BU:$BU,,0,1)=0,"",_xlfn.XLOOKUP($E92,'[1]Import Eletra'!$B:$B,'[1]Import Eletra'!$BU:$BU,0,1))</f>
        <v/>
      </c>
      <c r="EI92" s="410" t="str">
        <f>IF(_xlfn.XLOOKUP($E92,'[1]Import Eletra'!$B:$B,'[1]Import Eletra'!$BV:$BV,,0,1)=0,"",_xlfn.XLOOKUP($E92,'[1]Import Eletra'!$B:$B,'[1]Import Eletra'!$BV:$BV,0,1))</f>
        <v/>
      </c>
      <c r="EJ92" s="410" t="str">
        <f>IF(_xlfn.XLOOKUP($E92,'[1]Import Eletra'!$B:$B,'[1]Import Eletra'!$CI:$CI,,0,1)=0,"",_xlfn.XLOOKUP($E92,'[1]Import Eletra'!$B:$B,'[1]Import Eletra'!$CI:$CI,0,1))</f>
        <v/>
      </c>
      <c r="EK92" s="410" t="str">
        <f>IF(_xlfn.XLOOKUP($E92,'[1]Import Eletra'!$B:$B,'[1]Import Eletra'!$CD:$CD,,0,1)=0,"",_xlfn.XLOOKUP($E92,'[1]Import Eletra'!$B:$B,'[1]Import Eletra'!$CD:$CD,0,1))</f>
        <v/>
      </c>
      <c r="EL92" s="410" t="str">
        <f>IF(_xlfn.XLOOKUP($E92,'[1]Import Eletra'!$B:$B,'[1]Import Eletra'!$CE:$CE,,0,1)=0,"",_xlfn.XLOOKUP($E92,'[1]Import Eletra'!$B:$B,'[1]Import Eletra'!$CE:$CE,0,1))</f>
        <v/>
      </c>
      <c r="EM92" s="411" t="str">
        <f>IF(_xlfn.XLOOKUP($E92,'[1]Import Eletra'!$B:$B,'[1]Import Eletra'!$E:$E,,0,1)=0,"",_xlfn.XLOOKUP($E92,'[1]Import Eletra'!$B:$B,'[1]Import Eletra'!$E:$E,0,1))</f>
        <v>LEISIANE</v>
      </c>
      <c r="EN92" s="408" t="str">
        <f>IF(_xlfn.XLOOKUP($E92,'[1]Import Eletra'!$B:$B,'[1]Import Eletra'!$R:$R,,0,1)=0,"",_xlfn.XLOOKUP($E92,'[1]Import Eletra'!$B:$B,'[1]Import Eletra'!$R:$R,0,1))</f>
        <v>SBR2600028</v>
      </c>
      <c r="EO92" s="408">
        <f>IF(_xlfn.XLOOKUP($E92,'[1]Import Eletra'!$B:$B,'[1]Import Eletra'!$P:$P,,0,1)=0,"",_xlfn.XLOOKUP($E92,'[1]Import Eletra'!$B:$B,'[1]Import Eletra'!$P:$P,0,1))</f>
        <v>3330718436</v>
      </c>
      <c r="EP92" s="408" t="str">
        <f>IF(_xlfn.XLOOKUP($E92,'[1]Import Eletra'!$B:$B,'[1]Import Eletra'!$T:$T,,0,1)=0,"",_xlfn.XLOOKUP($E92,'[1]Import Eletra'!$B:$B,'[1]Import Eletra'!$T:$T,0,1))</f>
        <v/>
      </c>
    </row>
    <row r="93" spans="1:146" ht="30" customHeight="1">
      <c r="B93" s="371"/>
      <c r="C93" s="369"/>
      <c r="D93" s="104" t="str">
        <f>IF(_xlfn.XLOOKUP($E93,'[1]Import Eletra'!$B:$B,'[1]Import Eletra'!$A:$A,,0,1)=0,"",_xlfn.XLOOKUP($E93,'[1]Import Eletra'!$B:$B,'[1]Import Eletra'!$A:$A,,0,1))</f>
        <v/>
      </c>
      <c r="E93" s="214" t="s">
        <v>394</v>
      </c>
      <c r="F93" s="203" t="str">
        <f>IF(_xlfn.XLOOKUP($E93,'[1]Import Eletra'!$B:$B,'[1]Import Eletra'!$U:$U,,0,1)=0,"",_xlfn.XLOOKUP($E93,'[1]Import Eletra'!$B:$B,'[1]Import Eletra'!$U:$U,,0,1))</f>
        <v/>
      </c>
      <c r="G93" s="301" t="s">
        <v>244</v>
      </c>
      <c r="H93" s="2" t="str">
        <f>_xlfn.XLOOKUP($E93,'[1]Import Eletra'!$B:$B,'[1]Import Eletra'!$F:$F,,0,1)</f>
        <v>WAITING ARRIVAL</v>
      </c>
      <c r="I93" s="108" t="str">
        <f>_xlfn.XLOOKUP($E93,'[1]Import Eletra'!$B:$B,'[1]Import Eletra'!$G:$G,,0,1)</f>
        <v>AIR</v>
      </c>
      <c r="J93" s="326"/>
      <c r="K93" s="109"/>
      <c r="L93" s="109"/>
      <c r="M93" s="326">
        <f>IF(_xlfn.XLOOKUP($E93,'[1]Import Eletra'!$B:$B,'[1]Import Eletra'!$J:$J,,0,1)=0,"",_xlfn.XLOOKUP($E93,'[1]Import Eletra'!$B:$B,'[1]Import Eletra'!$J:$J,,0,1))</f>
        <v>46211</v>
      </c>
      <c r="N93" s="333">
        <f>IF(_xlfn.XLOOKUP($E93,'[1]Import Eletra'!$B:$B,'[1]Import Eletra'!$L:$L,,0,1)=0,"",_xlfn.XLOOKUP($E93,'[1]Import Eletra'!$B:$B,'[1]Import Eletra'!$L:$L,,0,1))</f>
        <v>46216</v>
      </c>
      <c r="O93" s="336" t="str">
        <f>IF(_xlfn.XLOOKUP($E93,'[1]Import Eletra'!$B:$B,'[1]Import Eletra'!$AK:$AK,,0,1)=0,"",_xlfn.XLOOKUP($E93,'[1]Import Eletra'!$B:$B,'[1]Import Eletra'!$AK:$AK,,0,1))</f>
        <v/>
      </c>
      <c r="P93" s="326" t="str">
        <f>IF(_xlfn.XLOOKUP($E93,'[1]Import Eletra'!$B:$B,'[1]Import Eletra'!$AL:$AL,,0,1)=0,"",_xlfn.XLOOKUP($E93,'[1]Import Eletra'!$B:$B,'[1]Import Eletra'!$AL:$AL,,0,1))</f>
        <v/>
      </c>
      <c r="Q93" s="326" t="str">
        <f>IF(_xlfn.XLOOKUP($E93,'[1]Import Eletra'!$B:$B,'[1]Import Eletra'!$AM:$AM,,0,1)=0,"",_xlfn.XLOOKUP($E93,'[1]Import Eletra'!$B:$B,'[1]Import Eletra'!$AM:$AM,,0,1))</f>
        <v/>
      </c>
      <c r="R93" s="326" t="str">
        <f>IF(_xlfn.XLOOKUP($E93,'[1]Import Eletra'!$B:$B,'[1]Import Eletra'!$AN:$AN,,0,1)=0,"",_xlfn.XLOOKUP($E93,'[1]Import Eletra'!$B:$B,'[1]Import Eletra'!$AN:$AN,,0,1))</f>
        <v/>
      </c>
      <c r="S93" s="326" t="str">
        <f>IF(_xlfn.XLOOKUP($E93,'[1]Import Eletra'!$B:$B,'[1]Import Eletra'!$AO:$AO,,0,1)=0,"",_xlfn.XLOOKUP($E93,'[1]Import Eletra'!$B:$B,'[1]Import Eletra'!$AO:$AO,,0,1))</f>
        <v/>
      </c>
      <c r="T93" s="326" t="str">
        <f>IF(_xlfn.XLOOKUP($E93,'[1]Import Eletra'!$B:$B,'[1]Import Eletra'!$AP:$AP,,0,1)=0,"",_xlfn.XLOOKUP($E93,'[1]Import Eletra'!$B:$B,'[1]Import Eletra'!$AP:$AP,,0,1))</f>
        <v/>
      </c>
      <c r="U93" s="337" t="str">
        <f>IF(_xlfn.XLOOKUP($E93,'[1]Import Eletra'!$B:$B,'[1]Import Eletra'!$AQ:$AQ,,0,1)=0,"",_xlfn.XLOOKUP($E93,'[1]Import Eletra'!$B:$B,'[1]Import Eletra'!$AQ:$AQ,,0,1))</f>
        <v/>
      </c>
      <c r="V93" s="343" t="str">
        <f>IF(_xlfn.XLOOKUP($E93,'[1]Import Eletra'!$B:$B,'[1]Import Eletra'!$AR:$AR,,0,1)=0,"",_xlfn.XLOOKUP($E93,'[1]Import Eletra'!$B:$B,'[1]Import Eletra'!$AR:$AR,,0,1))</f>
        <v/>
      </c>
      <c r="W93" s="335">
        <f t="shared" si="351"/>
        <v>46219</v>
      </c>
      <c r="X93" s="332" t="str">
        <f>IF(_xlfn.XLOOKUP($E93,'[1]Import Eletra'!$B:$B,'[1]Import Eletra'!$AS:$AS,,0,1)=0,"",_xlfn.XLOOKUP($E93,'[1]Import Eletra'!$B:$B,'[1]Import Eletra'!$AS:$AS,,0,1))</f>
        <v/>
      </c>
      <c r="Y93" s="113">
        <f t="shared" si="273"/>
        <v>0</v>
      </c>
      <c r="Z93" s="113">
        <f t="shared" ca="1" si="274"/>
        <v>-8</v>
      </c>
      <c r="AA93" s="184" t="str">
        <f t="shared" ca="1" si="275"/>
        <v/>
      </c>
      <c r="AB93" s="348">
        <f t="shared" ref="AB91:AB93" si="353">AG93-$AB$4</f>
        <v>46219</v>
      </c>
      <c r="AC93" s="332" t="str">
        <f>IF(_xlfn.XLOOKUP($E93,'[1]Import Eletra'!$B:$B,'[1]Import Eletra'!$AD:$AD,,0,1)=0,"",_xlfn.XLOOKUP($E93,'[1]Import Eletra'!$B:$B,'[1]Import Eletra'!$AD:$AD,,0,1))</f>
        <v/>
      </c>
      <c r="AD93" s="113">
        <f t="shared" si="276"/>
        <v>0</v>
      </c>
      <c r="AE93" s="113">
        <f t="shared" ca="1" si="277"/>
        <v>-8</v>
      </c>
      <c r="AF93" s="184">
        <f t="shared" ca="1" si="278"/>
        <v>-8</v>
      </c>
      <c r="AG93" s="355">
        <f t="shared" si="279"/>
        <v>46219</v>
      </c>
      <c r="AH93" s="332" t="str">
        <f>IF(_xlfn.XLOOKUP($E93,'[1]Import Eletra'!$B:$B,'[1]Import Eletra'!$AE:$AE,,0,1)=0,"",_xlfn.XLOOKUP($E93,'[1]Import Eletra'!$B:$B,'[1]Import Eletra'!$AE:$AE,,0,1))</f>
        <v/>
      </c>
      <c r="AI93" s="113">
        <f t="shared" si="280"/>
        <v>0</v>
      </c>
      <c r="AJ93" s="113">
        <f t="shared" ca="1" si="281"/>
        <v>-8</v>
      </c>
      <c r="AK93" s="184" t="str">
        <f t="shared" ca="1" si="282"/>
        <v/>
      </c>
      <c r="AL93" s="355">
        <f t="shared" si="283"/>
        <v>46219</v>
      </c>
      <c r="AM93" s="332" t="str">
        <f>IF(_xlfn.XLOOKUP($E93,'[1]Import Eletra'!$B:$B,'[1]Import Eletra'!$AT:$AT,,0,1)=0,"",_xlfn.XLOOKUP($E93,'[1]Import Eletra'!$B:$B,'[1]Import Eletra'!$AT:$AT,,0,1))</f>
        <v/>
      </c>
      <c r="AN93" s="113">
        <f t="shared" si="284"/>
        <v>0</v>
      </c>
      <c r="AO93" s="113">
        <f t="shared" ca="1" si="285"/>
        <v>-8</v>
      </c>
      <c r="AP93" s="184" t="str">
        <f t="shared" ca="1" si="286"/>
        <v/>
      </c>
      <c r="AQ93" s="357">
        <f t="shared" si="287"/>
        <v>46220</v>
      </c>
      <c r="AR93" s="332" t="str">
        <f>IF(_xlfn.XLOOKUP($E93,'[1]Import Eletra'!$B:$B,'[1]Import Eletra'!$AU:$AU,,0,1)=0,"",_xlfn.XLOOKUP($E93,'[1]Import Eletra'!$B:$B,'[1]Import Eletra'!$AU:$AU,,0,1))</f>
        <v/>
      </c>
      <c r="AS93" s="113">
        <f t="shared" si="288"/>
        <v>1</v>
      </c>
      <c r="AT93" s="113">
        <f t="shared" ca="1" si="289"/>
        <v>-9</v>
      </c>
      <c r="AU93" s="184" t="str">
        <f t="shared" ca="1" si="290"/>
        <v/>
      </c>
      <c r="AV93" s="355">
        <f t="shared" si="291"/>
        <v>46220</v>
      </c>
      <c r="AW93" s="332" t="str">
        <f>IF(_xlfn.XLOOKUP($E93,'[1]Import Eletra'!$B:$B,'[1]Import Eletra'!$AU:$AU,,0,1)=0,"",_xlfn.XLOOKUP($E93,'[1]Import Eletra'!$B:$B,'[1]Import Eletra'!$AU:$AU,,0,1))</f>
        <v/>
      </c>
      <c r="AX93" s="113">
        <f t="shared" si="292"/>
        <v>0</v>
      </c>
      <c r="AY93" s="113">
        <f t="shared" ca="1" si="293"/>
        <v>-9</v>
      </c>
      <c r="AZ93" s="184" t="str">
        <f t="shared" ca="1" si="294"/>
        <v/>
      </c>
      <c r="BA93" s="357">
        <f t="shared" si="295"/>
        <v>46220</v>
      </c>
      <c r="BB93" s="332" t="str">
        <f>IF(_xlfn.XLOOKUP($E93,'[1]Import Eletra'!$B:$B,'[1]Import Eletra'!$AW:$AW,,0,1)=0,"",_xlfn.XLOOKUP($E93,'[1]Import Eletra'!$B:$B,'[1]Import Eletra'!$AW:$AW,,0,1))</f>
        <v/>
      </c>
      <c r="BC93" s="113">
        <f t="shared" si="296"/>
        <v>0</v>
      </c>
      <c r="BD93" s="113">
        <f t="shared" ca="1" si="297"/>
        <v>-9</v>
      </c>
      <c r="BE93" s="184">
        <f t="shared" ca="1" si="298"/>
        <v>-9</v>
      </c>
      <c r="BF93" s="335">
        <f t="shared" si="299"/>
        <v>46220</v>
      </c>
      <c r="BG93" s="345" t="str">
        <f>IF(_xlfn.XLOOKUP($E93,'[1]Import Eletra'!$B:$B,'[1]Import Eletra'!$AX:$AX,,0,1)=0,"",_xlfn.XLOOKUP($E93,'[1]Import Eletra'!$B:$B,'[1]Import Eletra'!$AX:$AX,,0,1))</f>
        <v/>
      </c>
      <c r="BH93" s="113">
        <f t="shared" si="300"/>
        <v>0</v>
      </c>
      <c r="BI93" s="113">
        <f t="shared" ca="1" si="301"/>
        <v>-9</v>
      </c>
      <c r="BJ93" s="184" t="str">
        <f t="shared" ca="1" si="302"/>
        <v/>
      </c>
      <c r="BK93" s="362">
        <f t="shared" si="303"/>
        <v>46220</v>
      </c>
      <c r="BL93" s="332" t="str">
        <f>IF(_xlfn.XLOOKUP($E93,'[1]Import Eletra'!$B:$B,'[1]Import Eletra'!$AY:$AY,,0,1)=0,"",_xlfn.XLOOKUP($E93,'[1]Import Eletra'!$B:$B,'[1]Import Eletra'!$AY:$AY,,0,1))</f>
        <v/>
      </c>
      <c r="BM93" s="113">
        <f t="shared" si="304"/>
        <v>0</v>
      </c>
      <c r="BN93" s="113">
        <f t="shared" ca="1" si="305"/>
        <v>-9</v>
      </c>
      <c r="BO93" s="184">
        <f t="shared" ca="1" si="306"/>
        <v>-9</v>
      </c>
      <c r="BP93" s="335">
        <f t="shared" si="307"/>
        <v>46220</v>
      </c>
      <c r="BQ93" s="332" t="str">
        <f>IF(_xlfn.XLOOKUP($E93,'[1]Import Eletra'!$B:$B,'[1]Import Eletra'!$AZ:$AZ,,0,1)=0,"",_xlfn.XLOOKUP($E93,'[1]Import Eletra'!$B:$B,'[1]Import Eletra'!$AZ:$AZ,,0,1))</f>
        <v/>
      </c>
      <c r="BR93" s="113">
        <f t="shared" si="308"/>
        <v>0</v>
      </c>
      <c r="BS93" s="113">
        <f t="shared" ca="1" si="309"/>
        <v>-9</v>
      </c>
      <c r="BT93" s="184">
        <f t="shared" ca="1" si="310"/>
        <v>-9</v>
      </c>
      <c r="BU93" s="362">
        <f t="shared" si="311"/>
        <v>46222</v>
      </c>
      <c r="BV93" s="332" t="str">
        <f>IF(_xlfn.XLOOKUP($E93,'[1]Import Eletra'!$B:$B,'[1]Import Eletra'!$BA:$BA,,0,1)=0,"",_xlfn.XLOOKUP($E93,'[1]Import Eletra'!$B:$B,'[1]Import Eletra'!$BA:$BA,,0,1))</f>
        <v/>
      </c>
      <c r="BW93" s="113">
        <f t="shared" si="312"/>
        <v>2</v>
      </c>
      <c r="BX93" s="113">
        <f t="shared" ca="1" si="313"/>
        <v>-11</v>
      </c>
      <c r="BY93" s="184" t="str">
        <f t="shared" ca="1" si="314"/>
        <v/>
      </c>
      <c r="BZ93" s="335">
        <f t="shared" si="315"/>
        <v>46222</v>
      </c>
      <c r="CA93" s="332" t="str">
        <f>IF(_xlfn.XLOOKUP($E93,'[1]Import Eletra'!$B:$B,'[1]Import Eletra'!$BB:$BB,,0,1)=0,"",_xlfn.XLOOKUP($E93,'[1]Import Eletra'!$B:$B,'[1]Import Eletra'!$BB:$BB,,0,1))</f>
        <v/>
      </c>
      <c r="CB93" s="113">
        <f t="shared" si="316"/>
        <v>0</v>
      </c>
      <c r="CC93" s="113">
        <f t="shared" ca="1" si="317"/>
        <v>-11</v>
      </c>
      <c r="CD93" s="184">
        <f t="shared" ca="1" si="318"/>
        <v>-11</v>
      </c>
      <c r="CE93" s="362">
        <f t="shared" si="319"/>
        <v>46222</v>
      </c>
      <c r="CF93" s="332" t="str">
        <f>IF(_xlfn.XLOOKUP($E93,'[1]Import Eletra'!$B:$B,'[1]Import Eletra'!$BC:$BC,,0,1)=0,"",_xlfn.XLOOKUP($E93,'[1]Import Eletra'!$B:$B,'[1]Import Eletra'!$BC:$BC,,0,1))</f>
        <v/>
      </c>
      <c r="CG93" s="113">
        <f t="shared" si="320"/>
        <v>0</v>
      </c>
      <c r="CH93" s="113">
        <f t="shared" ca="1" si="321"/>
        <v>-11</v>
      </c>
      <c r="CI93" s="184">
        <f t="shared" ca="1" si="322"/>
        <v>-11</v>
      </c>
      <c r="CJ93" s="335">
        <f t="shared" si="323"/>
        <v>46222</v>
      </c>
      <c r="CK93" s="332" t="str">
        <f>IF(_xlfn.XLOOKUP($E93,'[1]Import Eletra'!$B:$B,'[1]Import Eletra'!$BD:$BD,,0,1)=0,"",_xlfn.XLOOKUP($E93,'[1]Import Eletra'!$B:$B,'[1]Import Eletra'!$BD:$BD,,0,1))</f>
        <v/>
      </c>
      <c r="CL93" s="113"/>
      <c r="CM93" s="113">
        <f t="shared" ca="1" si="324"/>
        <v>-11</v>
      </c>
      <c r="CN93" s="184">
        <f t="shared" ca="1" si="325"/>
        <v>-11</v>
      </c>
      <c r="CO93" s="362">
        <f t="shared" si="326"/>
        <v>46222</v>
      </c>
      <c r="CP93" s="332" t="str">
        <f>IF(_xlfn.XLOOKUP($E93,'[1]Import Eletra'!$B:$B,'[1]Import Eletra'!$BE:$BE,,0,1)=0,"",_xlfn.XLOOKUP($E93,'[1]Import Eletra'!$B:$B,'[1]Import Eletra'!$BE:$BE,,0,1))</f>
        <v/>
      </c>
      <c r="CQ93" s="113">
        <f t="shared" si="327"/>
        <v>0</v>
      </c>
      <c r="CR93" s="113">
        <f t="shared" ca="1" si="328"/>
        <v>-11</v>
      </c>
      <c r="CS93" s="184">
        <f t="shared" ca="1" si="329"/>
        <v>-11</v>
      </c>
      <c r="CT93" s="335">
        <f t="shared" si="330"/>
        <v>46222</v>
      </c>
      <c r="CU93" s="332" t="str">
        <f>IF(_xlfn.XLOOKUP($E93,'[1]Import Eletra'!$B:$B,'[1]Import Eletra'!$BF:$BF,,0,1)=0,"",_xlfn.XLOOKUP($E93,'[1]Import Eletra'!$B:$B,'[1]Import Eletra'!$BF:$BF,,0,1))</f>
        <v/>
      </c>
      <c r="CV93" s="113">
        <f t="shared" si="331"/>
        <v>0</v>
      </c>
      <c r="CW93" s="113">
        <f t="shared" ca="1" si="332"/>
        <v>-11</v>
      </c>
      <c r="CX93" s="184">
        <f t="shared" ca="1" si="333"/>
        <v>-11</v>
      </c>
      <c r="CY93" s="110">
        <f t="shared" si="334"/>
        <v>46222</v>
      </c>
      <c r="CZ93" s="247" t="str">
        <f>IF(_xlfn.XLOOKUP($E93,'[1]Import Eletra'!$B:$B,'[1]Import Eletra'!$BF:$BF,,0,1)=0,"",_xlfn.XLOOKUP($E93,'[1]Import Eletra'!$B:$B,'[1]Import Eletra'!$BF:$BF,,0,1))</f>
        <v/>
      </c>
      <c r="DA93" s="210">
        <f t="shared" si="335"/>
        <v>0</v>
      </c>
      <c r="DB93" s="113">
        <f t="shared" ca="1" si="336"/>
        <v>-11</v>
      </c>
      <c r="DC93" s="184">
        <f t="shared" ca="1" si="337"/>
        <v>-11</v>
      </c>
      <c r="DD93" s="110">
        <f t="shared" si="338"/>
        <v>46224</v>
      </c>
      <c r="DE93" s="247" t="str">
        <f>IF(_xlfn.XLOOKUP($E93,'[1]Import Eletra'!$B:$B,'[1]Import Eletra'!$BG:$BG,,0,1)=0,"",_xlfn.XLOOKUP($E93,'[1]Import Eletra'!$B:$B,'[1]Import Eletra'!$BG:$BG,0,1))</f>
        <v/>
      </c>
      <c r="DF93" s="113">
        <f t="shared" si="339"/>
        <v>2</v>
      </c>
      <c r="DG93" s="113">
        <f t="shared" ca="1" si="340"/>
        <v>-13</v>
      </c>
      <c r="DH93" s="184">
        <f t="shared" ca="1" si="341"/>
        <v>-15</v>
      </c>
      <c r="DI93" s="110">
        <f t="shared" si="342"/>
        <v>46225</v>
      </c>
      <c r="DJ93" s="247" t="str">
        <f>IF(_xlfn.XLOOKUP($E93,'[1]Import Eletra'!$B:$B,'[1]Import Eletra'!$BH:$BH,,0,1)=0,"",_xlfn.XLOOKUP($E93,'[1]Import Eletra'!$B:$B,'[1]Import Eletra'!$BH:$BH,0,1))</f>
        <v/>
      </c>
      <c r="DK93" s="113">
        <f t="shared" si="343"/>
        <v>1</v>
      </c>
      <c r="DL93" s="113">
        <f t="shared" ca="1" si="344"/>
        <v>-14</v>
      </c>
      <c r="DM93" s="184">
        <f t="shared" ca="1" si="345"/>
        <v>-15</v>
      </c>
      <c r="DN93" s="64"/>
      <c r="DO93" s="202">
        <f t="shared" si="346"/>
        <v>46226</v>
      </c>
      <c r="DP93" s="298" t="str">
        <f>IF(_xlfn.XLOOKUP($E93,'[1]Import Eletra'!$B:$B,'[1]Import Eletra'!$O:$O,,0,1)=0,"",_xlfn.XLOOKUP($E93,'[1]Import Eletra'!$B:$B,'[1]Import Eletra'!$O:$O,0,1))</f>
        <v/>
      </c>
      <c r="DQ93" s="113">
        <f t="shared" si="347"/>
        <v>1</v>
      </c>
      <c r="DR93" s="113">
        <f t="shared" ca="1" si="348"/>
        <v>-15</v>
      </c>
      <c r="DS93" s="184">
        <f t="shared" ca="1" si="349"/>
        <v>-16</v>
      </c>
      <c r="DT93" s="143">
        <v>10</v>
      </c>
      <c r="DU93" s="140"/>
      <c r="DV93" s="184">
        <f t="shared" si="350"/>
        <v>-10</v>
      </c>
      <c r="DX93" s="422" t="s">
        <v>391</v>
      </c>
      <c r="DY93" s="120" t="str">
        <f>IF(_xlfn.XLOOKUP($E93,'[1]Import Eletra'!$B:$B,'[1]Import Eletra'!$DW:$DW,,0,1)=0,"",_xlfn.XLOOKUP($E93,'[1]Import Eletra'!$B:$B,'[1]Import Eletra'!$DW:$DW,0,1))</f>
        <v/>
      </c>
      <c r="EB93" s="289"/>
      <c r="ED93" s="409" t="str">
        <f>IF(_xlfn.XLOOKUP($E93,'[1]Import Eletra'!$B:$B,'[1]Import Eletra'!$BQ:$BQ,,0,1)=0,"",_xlfn.XLOOKUP($E93,'[1]Import Eletra'!$B:$B,'[1]Import Eletra'!$BQ:$BQ,0,1))</f>
        <v/>
      </c>
      <c r="EE93" s="410" t="str">
        <f>IF(_xlfn.XLOOKUP($E93,'[1]Import Eletra'!$B:$B,'[1]Import Eletra'!$BR:$BR,,0,1)=0,"",_xlfn.XLOOKUP($E93,'[1]Import Eletra'!$B:$B,'[1]Import Eletra'!$BR:$BR,0,1))</f>
        <v/>
      </c>
      <c r="EF93" s="409" t="str">
        <f>IF(_xlfn.XLOOKUP($E93,'[1]Import Eletra'!$B:$B,'[1]Import Eletra'!$BS:$BS,,0,1)=0,"",_xlfn.XLOOKUP($E93,'[1]Import Eletra'!$B:$B,'[1]Import Eletra'!$BS:$BS,0,1))</f>
        <v/>
      </c>
      <c r="EG93" s="410" t="str">
        <f>IF(_xlfn.XLOOKUP($E93,'[1]Import Eletra'!$B:$B,'[1]Import Eletra'!$BT:$BT,,0,1)=0,"",_xlfn.XLOOKUP($E93,'[1]Import Eletra'!$B:$B,'[1]Import Eletra'!$BT:$BT,0,1))</f>
        <v/>
      </c>
      <c r="EH93" s="409" t="str">
        <f>IF(_xlfn.XLOOKUP($E93,'[1]Import Eletra'!$B:$B,'[1]Import Eletra'!$BU:$BU,,0,1)=0,"",_xlfn.XLOOKUP($E93,'[1]Import Eletra'!$B:$B,'[1]Import Eletra'!$BU:$BU,0,1))</f>
        <v/>
      </c>
      <c r="EI93" s="410" t="str">
        <f>IF(_xlfn.XLOOKUP($E93,'[1]Import Eletra'!$B:$B,'[1]Import Eletra'!$BV:$BV,,0,1)=0,"",_xlfn.XLOOKUP($E93,'[1]Import Eletra'!$B:$B,'[1]Import Eletra'!$BV:$BV,0,1))</f>
        <v/>
      </c>
      <c r="EJ93" s="410" t="str">
        <f>IF(_xlfn.XLOOKUP($E93,'[1]Import Eletra'!$B:$B,'[1]Import Eletra'!$CI:$CI,,0,1)=0,"",_xlfn.XLOOKUP($E93,'[1]Import Eletra'!$B:$B,'[1]Import Eletra'!$CI:$CI,0,1))</f>
        <v/>
      </c>
      <c r="EK93" s="410" t="str">
        <f>IF(_xlfn.XLOOKUP($E93,'[1]Import Eletra'!$B:$B,'[1]Import Eletra'!$CD:$CD,,0,1)=0,"",_xlfn.XLOOKUP($E93,'[1]Import Eletra'!$B:$B,'[1]Import Eletra'!$CD:$CD,0,1))</f>
        <v/>
      </c>
      <c r="EL93" s="410" t="str">
        <f>IF(_xlfn.XLOOKUP($E93,'[1]Import Eletra'!$B:$B,'[1]Import Eletra'!$CE:$CE,,0,1)=0,"",_xlfn.XLOOKUP($E93,'[1]Import Eletra'!$B:$B,'[1]Import Eletra'!$CE:$CE,0,1))</f>
        <v/>
      </c>
      <c r="EM93" s="411" t="str">
        <f>IF(_xlfn.XLOOKUP($E93,'[1]Import Eletra'!$B:$B,'[1]Import Eletra'!$E:$E,,0,1)=0,"",_xlfn.XLOOKUP($E93,'[1]Import Eletra'!$B:$B,'[1]Import Eletra'!$E:$E,0,1))</f>
        <v>LEISIANE</v>
      </c>
      <c r="EN93" s="408" t="str">
        <f>IF(_xlfn.XLOOKUP($E93,'[1]Import Eletra'!$B:$B,'[1]Import Eletra'!$R:$R,,0,1)=0,"",_xlfn.XLOOKUP($E93,'[1]Import Eletra'!$B:$B,'[1]Import Eletra'!$R:$R,0,1))</f>
        <v>PWBR260114-30</v>
      </c>
      <c r="EO93" s="408" t="str">
        <f>IF(_xlfn.XLOOKUP($E93,'[1]Import Eletra'!$B:$B,'[1]Import Eletra'!$P:$P,,0,1)=0,"",_xlfn.XLOOKUP($E93,'[1]Import Eletra'!$B:$B,'[1]Import Eletra'!$P:$P,0,1))</f>
        <v/>
      </c>
      <c r="EP93" s="408" t="str">
        <f>IF(_xlfn.XLOOKUP($E93,'[1]Import Eletra'!$B:$B,'[1]Import Eletra'!$T:$T,,0,1)=0,"",_xlfn.XLOOKUP($E93,'[1]Import Eletra'!$B:$B,'[1]Import Eletra'!$T:$T,0,1))</f>
        <v/>
      </c>
    </row>
    <row r="94" spans="1:146" ht="15.75">
      <c r="B94" s="376"/>
      <c r="C94" s="376"/>
      <c r="D94" s="123"/>
      <c r="E94" s="215"/>
      <c r="F94" s="124"/>
      <c r="G94" s="302"/>
      <c r="H94" s="302"/>
      <c r="I94" s="302"/>
      <c r="J94" s="327"/>
      <c r="K94" s="127"/>
      <c r="L94" s="127"/>
      <c r="M94" s="327"/>
      <c r="N94" s="377"/>
      <c r="O94" s="377"/>
      <c r="P94" s="377"/>
      <c r="Q94" s="327"/>
      <c r="R94" s="327"/>
      <c r="S94" s="327"/>
      <c r="T94" s="327"/>
      <c r="U94" s="327"/>
      <c r="V94" s="340"/>
      <c r="W94" s="327"/>
      <c r="X94" s="340"/>
      <c r="Y94" s="129"/>
      <c r="Z94" s="129"/>
      <c r="AA94" s="146"/>
      <c r="AB94" s="349"/>
      <c r="AC94" s="340"/>
      <c r="AD94" s="129"/>
      <c r="AE94" s="129"/>
      <c r="AF94" s="146"/>
      <c r="AG94" s="349"/>
      <c r="AH94" s="340"/>
      <c r="AI94" s="129"/>
      <c r="AJ94" s="129"/>
      <c r="AK94" s="146"/>
      <c r="AL94" s="349"/>
      <c r="AM94" s="340"/>
      <c r="AN94" s="129"/>
      <c r="AO94" s="129"/>
      <c r="AP94" s="146"/>
      <c r="AQ94" s="349"/>
      <c r="AR94" s="340"/>
      <c r="AS94" s="129"/>
      <c r="AT94" s="129"/>
      <c r="AU94" s="146"/>
      <c r="AV94" s="349"/>
      <c r="AW94" s="340"/>
      <c r="AX94" s="129"/>
      <c r="AY94" s="129"/>
      <c r="AZ94" s="146"/>
      <c r="BA94" s="349"/>
      <c r="BB94" s="340"/>
      <c r="BC94" s="129"/>
      <c r="BD94" s="129"/>
      <c r="BE94" s="146"/>
      <c r="BF94" s="327"/>
      <c r="BG94" s="340"/>
      <c r="BH94" s="129"/>
      <c r="BI94" s="129"/>
      <c r="BJ94" s="146"/>
      <c r="BK94" s="327"/>
      <c r="BL94" s="340"/>
      <c r="BM94" s="129"/>
      <c r="BN94" s="129"/>
      <c r="BO94" s="146"/>
      <c r="BP94" s="327"/>
      <c r="BQ94" s="340"/>
      <c r="BR94" s="129"/>
      <c r="BS94" s="129"/>
      <c r="BT94" s="146"/>
      <c r="BU94" s="327"/>
      <c r="BV94" s="340"/>
      <c r="BW94" s="129"/>
      <c r="BX94" s="129"/>
      <c r="BY94" s="146"/>
      <c r="BZ94" s="327"/>
      <c r="CA94" s="340"/>
      <c r="CB94" s="129"/>
      <c r="CC94" s="129"/>
      <c r="CD94" s="146"/>
      <c r="CE94" s="327"/>
      <c r="CF94" s="340"/>
      <c r="CG94" s="129"/>
      <c r="CH94" s="129"/>
      <c r="CI94" s="146"/>
      <c r="CJ94" s="327"/>
      <c r="CK94" s="340"/>
      <c r="CL94" s="129"/>
      <c r="CM94" s="129"/>
      <c r="CN94" s="146"/>
      <c r="CO94" s="327"/>
      <c r="CP94" s="340"/>
      <c r="CQ94" s="129"/>
      <c r="CR94" s="129"/>
      <c r="CS94" s="146"/>
      <c r="CT94" s="327"/>
      <c r="CU94" s="340"/>
      <c r="CV94" s="129"/>
      <c r="CW94" s="129"/>
      <c r="CX94" s="146"/>
      <c r="CY94" s="126"/>
      <c r="CZ94" s="254"/>
      <c r="DA94" s="129"/>
      <c r="DB94" s="129"/>
      <c r="DC94" s="146"/>
      <c r="DD94" s="126"/>
      <c r="DE94" s="254"/>
      <c r="DF94" s="129"/>
      <c r="DG94" s="129"/>
      <c r="DH94" s="146"/>
      <c r="DI94" s="126"/>
      <c r="DJ94" s="254"/>
      <c r="DK94" s="129"/>
      <c r="DL94" s="129"/>
      <c r="DM94" s="146"/>
      <c r="DN94" s="378"/>
      <c r="DO94" s="380"/>
      <c r="DP94" s="291"/>
      <c r="DQ94" s="129"/>
      <c r="DR94" s="129"/>
      <c r="DS94" s="146"/>
      <c r="DT94" s="146"/>
      <c r="DU94" s="379"/>
      <c r="DV94" s="146"/>
      <c r="DX94" s="92"/>
      <c r="DY94" s="126"/>
      <c r="ED94" s="412"/>
      <c r="EE94" s="413"/>
      <c r="EF94" s="412"/>
      <c r="EG94" s="413"/>
      <c r="EH94" s="412"/>
      <c r="EI94" s="413"/>
      <c r="EJ94" s="413"/>
      <c r="EK94" s="413"/>
      <c r="EL94" s="413"/>
      <c r="EM94" s="414"/>
      <c r="EN94" s="415"/>
      <c r="EO94" s="415"/>
      <c r="EP94" s="415"/>
    </row>
    <row r="95" spans="1:146" s="175" customFormat="1" ht="30" customHeight="1">
      <c r="A95" s="228"/>
      <c r="B95" s="172" t="s">
        <v>319</v>
      </c>
      <c r="C95" s="172"/>
      <c r="D95" s="173"/>
      <c r="E95" s="243"/>
      <c r="F95" s="174"/>
      <c r="G95" s="303"/>
      <c r="H95" s="172"/>
      <c r="J95" s="328"/>
      <c r="M95" s="328"/>
      <c r="N95" s="328"/>
      <c r="O95" s="328"/>
      <c r="P95" s="328"/>
      <c r="Q95" s="328"/>
      <c r="R95" s="328"/>
      <c r="S95" s="328"/>
      <c r="T95" s="328"/>
      <c r="U95" s="328"/>
      <c r="V95" s="341"/>
      <c r="W95" s="328"/>
      <c r="X95" s="328"/>
      <c r="Y95" s="176"/>
      <c r="Z95" s="176"/>
      <c r="AA95" s="176"/>
      <c r="AB95" s="328"/>
      <c r="AC95" s="352"/>
      <c r="AF95" s="176"/>
      <c r="AG95" s="328"/>
      <c r="AH95" s="328"/>
      <c r="AL95" s="328"/>
      <c r="AM95" s="328"/>
      <c r="AQ95" s="328"/>
      <c r="AR95" s="328"/>
      <c r="AV95" s="328"/>
      <c r="AW95" s="328"/>
      <c r="BA95" s="328"/>
      <c r="BB95" s="328"/>
      <c r="BF95" s="360"/>
      <c r="BG95" s="360"/>
      <c r="BK95" s="360"/>
      <c r="BL95" s="364"/>
      <c r="BP95" s="328"/>
      <c r="BQ95" s="341"/>
      <c r="BU95" s="328"/>
      <c r="BV95" s="341"/>
      <c r="BW95" s="179"/>
      <c r="BX95" s="179"/>
      <c r="BY95" s="179"/>
      <c r="BZ95" s="328"/>
      <c r="CA95" s="341"/>
      <c r="CE95" s="328"/>
      <c r="CF95" s="341"/>
      <c r="CJ95" s="328"/>
      <c r="CK95" s="341"/>
      <c r="CO95" s="328"/>
      <c r="CP95" s="341"/>
      <c r="CT95" s="328"/>
      <c r="CU95" s="341"/>
      <c r="CZ95" s="255"/>
      <c r="DE95" s="260"/>
      <c r="DJ95" s="255"/>
      <c r="DO95" s="181"/>
      <c r="DP95" s="172"/>
      <c r="DT95" s="182"/>
      <c r="DU95" s="174"/>
      <c r="DV95" s="183"/>
      <c r="EB95" s="290"/>
      <c r="ED95" s="416"/>
      <c r="EE95" s="417"/>
      <c r="EF95" s="418"/>
      <c r="EG95" s="418"/>
      <c r="EH95" s="418"/>
      <c r="EI95" s="418"/>
      <c r="EJ95" s="418"/>
      <c r="EK95" s="418"/>
      <c r="EL95" s="418"/>
      <c r="EM95" s="419"/>
      <c r="EN95" s="419"/>
      <c r="EO95" s="419"/>
      <c r="EP95" s="419"/>
    </row>
    <row r="96" spans="1:146" ht="30" customHeight="1">
      <c r="B96" s="92"/>
      <c r="C96" s="92"/>
      <c r="F96" s="293"/>
      <c r="G96" s="161"/>
      <c r="J96" s="329"/>
      <c r="M96" s="329"/>
      <c r="N96" s="329"/>
      <c r="O96" s="329"/>
      <c r="P96" s="329"/>
      <c r="Q96" s="329"/>
      <c r="R96" s="329"/>
      <c r="S96" s="329"/>
      <c r="T96" s="329"/>
      <c r="U96" s="329"/>
      <c r="V96" s="342"/>
      <c r="W96" s="329"/>
      <c r="X96" s="329"/>
      <c r="AB96" s="329"/>
      <c r="AC96" s="353"/>
      <c r="AF96" s="150"/>
      <c r="AG96" s="329"/>
      <c r="AH96" s="329"/>
      <c r="AL96" s="329"/>
      <c r="AM96" s="329"/>
      <c r="AQ96" s="329"/>
      <c r="AR96" s="329"/>
      <c r="AV96" s="329"/>
      <c r="AW96" s="329"/>
      <c r="BA96" s="329"/>
      <c r="BB96" s="329"/>
      <c r="BF96" s="361"/>
      <c r="BG96" s="361"/>
      <c r="BK96" s="361"/>
      <c r="BL96" s="365"/>
      <c r="BP96" s="329"/>
      <c r="BQ96" s="342"/>
      <c r="BU96" s="329"/>
      <c r="BV96" s="342"/>
      <c r="BW96" s="153"/>
      <c r="BX96" s="153"/>
      <c r="BY96" s="153"/>
      <c r="BZ96" s="329"/>
      <c r="CA96" s="342"/>
      <c r="CE96" s="329"/>
      <c r="CF96" s="342"/>
      <c r="CJ96" s="329"/>
      <c r="CK96" s="342"/>
      <c r="CO96" s="329"/>
      <c r="CP96" s="342"/>
      <c r="CT96" s="329"/>
      <c r="CU96" s="342"/>
      <c r="EN96" s="419"/>
      <c r="EO96" s="419"/>
      <c r="EP96" s="419"/>
    </row>
    <row r="97" spans="1:146" s="147" customFormat="1" ht="30" customHeight="1">
      <c r="A97" s="221"/>
      <c r="B97" s="152"/>
      <c r="C97" s="152"/>
      <c r="D97" s="149"/>
      <c r="E97" s="244"/>
      <c r="F97" s="92"/>
      <c r="G97" s="304"/>
      <c r="H97" s="157"/>
      <c r="I97" s="158" t="s">
        <v>320</v>
      </c>
      <c r="J97" s="330"/>
      <c r="K97" s="158"/>
      <c r="L97" s="158"/>
      <c r="M97" s="330"/>
      <c r="N97" s="329"/>
      <c r="O97" s="329"/>
      <c r="P97" s="329"/>
      <c r="Q97" s="329"/>
      <c r="R97" s="329"/>
      <c r="S97" s="329"/>
      <c r="T97" s="329"/>
      <c r="U97" s="329"/>
      <c r="V97" s="342"/>
      <c r="W97" s="329"/>
      <c r="X97" s="329"/>
      <c r="Y97" s="150"/>
      <c r="Z97" s="150"/>
      <c r="AA97" s="150"/>
      <c r="AB97" s="329"/>
      <c r="AC97" s="353"/>
      <c r="AD97" s="141"/>
      <c r="AE97" s="141"/>
      <c r="AF97" s="150"/>
      <c r="AG97" s="329"/>
      <c r="AH97" s="329"/>
      <c r="AI97" s="141"/>
      <c r="AJ97" s="141"/>
      <c r="AK97" s="141"/>
      <c r="AL97" s="329"/>
      <c r="AM97" s="329"/>
      <c r="AN97" s="141"/>
      <c r="AO97" s="141"/>
      <c r="AP97" s="141"/>
      <c r="AQ97" s="329"/>
      <c r="AR97" s="329"/>
      <c r="AS97" s="141"/>
      <c r="AT97" s="141"/>
      <c r="AU97" s="141"/>
      <c r="AV97" s="329"/>
      <c r="AW97" s="329"/>
      <c r="AX97" s="141"/>
      <c r="AY97" s="141"/>
      <c r="AZ97" s="141"/>
      <c r="BA97" s="329"/>
      <c r="BB97" s="329"/>
      <c r="BC97" s="141"/>
      <c r="BD97" s="141"/>
      <c r="BE97" s="141"/>
      <c r="BF97" s="361"/>
      <c r="BG97" s="361"/>
      <c r="BH97" s="141"/>
      <c r="BI97" s="141"/>
      <c r="BJ97" s="141"/>
      <c r="BK97" s="361"/>
      <c r="BL97" s="365"/>
      <c r="BM97" s="141"/>
      <c r="BN97" s="141"/>
      <c r="BO97" s="141"/>
      <c r="BP97" s="329"/>
      <c r="BQ97" s="342"/>
      <c r="BR97" s="141"/>
      <c r="BS97" s="141"/>
      <c r="BT97" s="141"/>
      <c r="BU97" s="329"/>
      <c r="BV97" s="342"/>
      <c r="BW97" s="153"/>
      <c r="BX97" s="153"/>
      <c r="BY97" s="153"/>
      <c r="BZ97" s="329"/>
      <c r="CA97" s="342"/>
      <c r="CB97" s="141"/>
      <c r="CC97" s="141"/>
      <c r="CD97" s="141"/>
      <c r="CE97" s="329"/>
      <c r="CF97" s="342"/>
      <c r="CG97" s="141"/>
      <c r="CH97" s="141"/>
      <c r="CI97" s="141"/>
      <c r="CJ97" s="329"/>
      <c r="CK97" s="342"/>
      <c r="CL97" s="141"/>
      <c r="CM97" s="141"/>
      <c r="CN97" s="141"/>
      <c r="CO97" s="329"/>
      <c r="CP97" s="342"/>
      <c r="CQ97" s="141"/>
      <c r="CR97" s="141"/>
      <c r="CS97" s="141"/>
      <c r="CT97" s="329"/>
      <c r="CU97" s="342"/>
      <c r="CV97" s="141"/>
      <c r="CW97" s="141"/>
      <c r="CX97" s="141"/>
      <c r="CY97" s="141"/>
      <c r="CZ97" s="256"/>
      <c r="DA97" s="141"/>
      <c r="DB97" s="141"/>
      <c r="DC97" s="141"/>
      <c r="DD97" s="141"/>
      <c r="DE97" s="257"/>
      <c r="DF97" s="141"/>
      <c r="DG97" s="141"/>
      <c r="DH97" s="141"/>
      <c r="DI97" s="141"/>
      <c r="DJ97" s="256"/>
      <c r="DK97" s="141"/>
      <c r="DL97" s="141"/>
      <c r="DM97" s="141"/>
      <c r="DN97" s="141"/>
      <c r="DO97" s="155"/>
      <c r="DP97" s="159"/>
      <c r="DQ97" s="158" t="s">
        <v>321</v>
      </c>
      <c r="DR97" s="158"/>
      <c r="DS97" s="158"/>
      <c r="DT97" s="158"/>
      <c r="DU97" s="158"/>
      <c r="DV97" s="136"/>
      <c r="DW97" s="141"/>
      <c r="DX97" s="141"/>
      <c r="DY97" s="141"/>
      <c r="DZ97" s="141"/>
      <c r="EA97" s="141"/>
      <c r="EB97" s="285"/>
      <c r="EC97" s="141"/>
      <c r="ED97" s="416"/>
      <c r="EE97" s="417"/>
      <c r="EF97" s="418"/>
      <c r="EG97" s="418"/>
      <c r="EH97" s="418"/>
      <c r="EI97" s="418"/>
      <c r="EJ97" s="418"/>
      <c r="EK97" s="418"/>
      <c r="EL97" s="418"/>
      <c r="EM97" s="419"/>
      <c r="EN97" s="419"/>
      <c r="EO97" s="419"/>
      <c r="EP97" s="419"/>
    </row>
    <row r="98" spans="1:146" ht="30" customHeight="1">
      <c r="B98" s="152"/>
      <c r="I98" s="158"/>
      <c r="J98" s="330"/>
      <c r="K98" s="158"/>
      <c r="L98" s="158"/>
      <c r="M98" s="330"/>
      <c r="N98" s="329"/>
      <c r="O98" s="329"/>
      <c r="P98" s="329"/>
      <c r="Q98" s="329"/>
      <c r="R98" s="329"/>
      <c r="S98" s="329"/>
      <c r="T98" s="329"/>
      <c r="U98" s="329"/>
      <c r="V98" s="342"/>
      <c r="W98" s="329"/>
      <c r="X98" s="329"/>
      <c r="AB98" s="329"/>
      <c r="AC98" s="353"/>
      <c r="AF98" s="150"/>
      <c r="AG98" s="329"/>
      <c r="AH98" s="329"/>
      <c r="AL98" s="329"/>
      <c r="AM98" s="329"/>
      <c r="AQ98" s="329"/>
      <c r="AR98" s="329"/>
      <c r="AV98" s="329"/>
      <c r="AW98" s="329"/>
      <c r="BA98" s="329"/>
      <c r="BB98" s="329"/>
      <c r="BF98" s="361"/>
      <c r="BG98" s="361"/>
      <c r="BK98" s="361"/>
      <c r="BL98" s="365"/>
      <c r="BP98" s="329"/>
      <c r="BQ98" s="342"/>
      <c r="BU98" s="329"/>
      <c r="BV98" s="342"/>
      <c r="BW98" s="153"/>
      <c r="BX98" s="153"/>
      <c r="BY98" s="153"/>
      <c r="BZ98" s="329"/>
      <c r="CA98" s="342"/>
      <c r="CE98" s="329"/>
      <c r="CF98" s="342"/>
      <c r="CJ98" s="329"/>
      <c r="CK98" s="342"/>
      <c r="CO98" s="329"/>
      <c r="CP98" s="342"/>
      <c r="CT98" s="329"/>
      <c r="CU98" s="342"/>
      <c r="DP98" s="155"/>
      <c r="DQ98" s="158"/>
      <c r="DR98" s="158"/>
      <c r="DS98" s="158"/>
      <c r="DT98" s="158"/>
      <c r="DU98" s="158"/>
      <c r="EN98" s="419"/>
      <c r="EO98" s="419"/>
      <c r="EP98" s="419"/>
    </row>
    <row r="99" spans="1:146" s="315" customFormat="1" ht="30" hidden="1" customHeight="1" outlineLevel="1">
      <c r="A99" s="305"/>
      <c r="B99" s="306"/>
      <c r="C99" s="306"/>
      <c r="D99" s="306"/>
      <c r="E99" s="318" t="s">
        <v>395</v>
      </c>
      <c r="F99" s="307">
        <f>IF(_xlfn.XLOOKUP($E99,'[1]Import Eletra'!$B:$B,'[1]Import Eletra'!$U:$U,,0,1)=0,"",_xlfn.XLOOKUP($E99,'[1]Import Eletra'!$B:$B,'[1]Import Eletra'!$U:$U,,0,1))</f>
        <v>0.5</v>
      </c>
      <c r="G99" s="320" t="s">
        <v>244</v>
      </c>
      <c r="H99" s="59" t="str">
        <f>_xlfn.XLOOKUP($E99,'[1]Import Eletra'!$B:$B,'[1]Import Eletra'!$F:$F,,0,1)</f>
        <v>DELIVERED</v>
      </c>
      <c r="I99" s="4" t="str">
        <f>_xlfn.XLOOKUP($E99,'[1]Import Eletra'!$B:$B,'[1]Import Eletra'!$G:$G,,0,1)</f>
        <v>SEA</v>
      </c>
      <c r="J99" s="331"/>
      <c r="K99" s="308"/>
      <c r="L99" s="308"/>
      <c r="M99" s="331">
        <f>IF(_xlfn.XLOOKUP($E99,'[1]Import Eletra'!$B:$B,'[1]Import Eletra'!$J:$J,,0,1)=0,"",_xlfn.XLOOKUP($E99,'[1]Import Eletra'!$B:$B,'[1]Import Eletra'!$J:$J,,0,1))</f>
        <v>45931</v>
      </c>
      <c r="N99" s="334">
        <f>IF(_xlfn.XLOOKUP($E99,'[1]Import Eletra'!$B:$B,'[1]Import Eletra'!$L:$L,,0,1)=0,"",_xlfn.XLOOKUP($E99,'[1]Import Eletra'!$B:$B,'[1]Import Eletra'!$L:$L,,0,1))</f>
        <v>46004</v>
      </c>
      <c r="O99" s="336">
        <f>IF(_xlfn.XLOOKUP($E99,'[1]Import Eletra'!$B:$B,'[1]Import Eletra'!$AK:$AK,,0,1)=0,"",_xlfn.XLOOKUP($E99,'[1]Import Eletra'!$B:$B,'[1]Import Eletra'!$AK:$AK,,0,1))</f>
        <v>45952</v>
      </c>
      <c r="P99" s="331">
        <f>IF(_xlfn.XLOOKUP($E99,'[1]Import Eletra'!$B:$B,'[1]Import Eletra'!$AL:$AL,,0,1)=0,"",_xlfn.XLOOKUP($E99,'[1]Import Eletra'!$B:$B,'[1]Import Eletra'!$AL:$AL,,0,1))</f>
        <v>45952</v>
      </c>
      <c r="Q99" s="331">
        <f>IF(_xlfn.XLOOKUP($E99,'[1]Import Eletra'!$B:$B,'[1]Import Eletra'!$AM:$AM,,0,1)=0,"",_xlfn.XLOOKUP($E99,'[1]Import Eletra'!$B:$B,'[1]Import Eletra'!$AM:$AM,,0,1))</f>
        <v>45972</v>
      </c>
      <c r="R99" s="331">
        <f>IF(_xlfn.XLOOKUP($E99,'[1]Import Eletra'!$B:$B,'[1]Import Eletra'!$AN:$AN,,0,1)=0,"",_xlfn.XLOOKUP($E99,'[1]Import Eletra'!$B:$B,'[1]Import Eletra'!$AN:$AN,,0,1))</f>
        <v>45972</v>
      </c>
      <c r="S99" s="331">
        <f>IF(_xlfn.XLOOKUP($E99,'[1]Import Eletra'!$B:$B,'[1]Import Eletra'!$AO:$AO,,0,1)=0,"",_xlfn.XLOOKUP($E99,'[1]Import Eletra'!$B:$B,'[1]Import Eletra'!$AO:$AO,,0,1))</f>
        <v>45994</v>
      </c>
      <c r="T99" s="331" t="str">
        <f>IF(_xlfn.XLOOKUP($E99,'[1]Import Eletra'!$B:$B,'[1]Import Eletra'!$AP:$AP,,0,1)=0,"",_xlfn.XLOOKUP($E99,'[1]Import Eletra'!$B:$B,'[1]Import Eletra'!$AP:$AP,,0,1))</f>
        <v>13/12/25</v>
      </c>
      <c r="U99" s="338">
        <f>IF(_xlfn.XLOOKUP($E99,'[1]Import Eletra'!$B:$B,'[1]Import Eletra'!$AQ:$AQ,,0,1)=0,"",_xlfn.XLOOKUP($E99,'[1]Import Eletra'!$B:$B,'[1]Import Eletra'!$AQ:$AQ,,0,1))</f>
        <v>46007</v>
      </c>
      <c r="V99" s="343">
        <f>IF(_xlfn.XLOOKUP($E99,'[1]Import Eletra'!$B:$B,'[1]Import Eletra'!$AQ:$AQ,,0,1)=0,"",_xlfn.XLOOKUP($E99,'[1]Import Eletra'!$B:$B,'[1]Import Eletra'!$AQ:$AQ,,0,1))</f>
        <v>46007</v>
      </c>
      <c r="W99" s="336">
        <f>AB99-$AB$4</f>
        <v>46017</v>
      </c>
      <c r="X99" s="345">
        <f>IF(_xlfn.XLOOKUP($E99,'[1]Import Eletra'!$B:$B,'[1]Import Eletra'!$AR:$AR,,0,1)=0,"",_xlfn.XLOOKUP($E99,'[1]Import Eletra'!$B:$B,'[1]Import Eletra'!$AR:$AR,,0,1))</f>
        <v>46007</v>
      </c>
      <c r="Y99" s="309">
        <f>$W$4</f>
        <v>0</v>
      </c>
      <c r="Z99" s="309">
        <f ca="1">IF(X99="",TODAY()-W99,X99-W99)</f>
        <v>-10</v>
      </c>
      <c r="AA99" s="310" t="str">
        <f ca="1">IF(AND(ISNUMBER($Z99),$Z99&gt;0),$Z99-$Y99,"")</f>
        <v/>
      </c>
      <c r="AB99" s="350">
        <f>AG99-$AB$4</f>
        <v>46017</v>
      </c>
      <c r="AC99" s="345">
        <f>IF(_xlfn.XLOOKUP($E99,'[1]Import Eletra'!$B:$B,'[1]Import Eletra'!$AD:$AD,,0,1)=0,"",_xlfn.XLOOKUP($E99,'[1]Import Eletra'!$B:$B,'[1]Import Eletra'!$AD:$AD,,0,1))</f>
        <v>46007</v>
      </c>
      <c r="AD99" s="309">
        <f>$AB$4</f>
        <v>0</v>
      </c>
      <c r="AE99" s="309">
        <f ca="1">IF(AC99="",TODAY()-AB99,AC99-AB99)</f>
        <v>-10</v>
      </c>
      <c r="AF99" s="310">
        <f ca="1">AE99-AD99</f>
        <v>-10</v>
      </c>
      <c r="AG99" s="356">
        <f>AL99-$AL$4</f>
        <v>46017</v>
      </c>
      <c r="AH99" s="345">
        <f>IF(_xlfn.XLOOKUP($E99,'[1]Import Eletra'!$B:$B,'[1]Import Eletra'!$AE:$AE,,0,1)=0,"",_xlfn.XLOOKUP($E99,'[1]Import Eletra'!$B:$B,'[1]Import Eletra'!$AE:$AE,,0,1))</f>
        <v>46007</v>
      </c>
      <c r="AI99" s="309">
        <f>$AG$4</f>
        <v>0</v>
      </c>
      <c r="AJ99" s="309">
        <f ca="1">IF(AH99="",TODAY()-AG99,AH99-AG99)</f>
        <v>-10</v>
      </c>
      <c r="AK99" s="310" t="str">
        <f ca="1">IF(AND(ISNUMBER($AJ99),$AJ99&gt;0),$AJ99-$AI99,"")</f>
        <v/>
      </c>
      <c r="AL99" s="356">
        <f>AQ99-$AQ$4</f>
        <v>46017</v>
      </c>
      <c r="AM99" s="345">
        <f>IF(_xlfn.XLOOKUP($E99,'[1]Import Eletra'!$B:$B,'[1]Import Eletra'!$AT:$AT,,0,1)=0,"",_xlfn.XLOOKUP($E99,'[1]Import Eletra'!$B:$B,'[1]Import Eletra'!$AT:$AT,,0,1))</f>
        <v>46007</v>
      </c>
      <c r="AN99" s="309">
        <f>$AL$4</f>
        <v>0</v>
      </c>
      <c r="AO99" s="309">
        <f ca="1">IF(AM99="",TODAY()-AL99,AM99-AL99)</f>
        <v>-10</v>
      </c>
      <c r="AP99" s="310" t="str">
        <f ca="1">IF(AND(ISNUMBER($AO99),$AO99&gt;0),$AO99-$AN99,"")</f>
        <v/>
      </c>
      <c r="AQ99" s="359">
        <f>AV99-$AV$4</f>
        <v>46018</v>
      </c>
      <c r="AR99" s="345">
        <f>IF(_xlfn.XLOOKUP($E99,'[1]Import Eletra'!$B:$B,'[1]Import Eletra'!$AU:$AU,,0,1)=0,"",_xlfn.XLOOKUP($E99,'[1]Import Eletra'!$B:$B,'[1]Import Eletra'!$AU:$AU,,0,1))</f>
        <v>46007</v>
      </c>
      <c r="AS99" s="309">
        <f>$AQ$4</f>
        <v>1</v>
      </c>
      <c r="AT99" s="309">
        <f ca="1">IF(AR99="",TODAY()-AQ99,AR99-AQ99)</f>
        <v>-11</v>
      </c>
      <c r="AU99" s="310" t="str">
        <f ca="1">IF(AND(ISNUMBER($AT99),$AT99&gt;0),$AT99-$AS99,"")</f>
        <v/>
      </c>
      <c r="AV99" s="356">
        <f>BA99-$BA$4</f>
        <v>46018</v>
      </c>
      <c r="AW99" s="345">
        <f>IF(_xlfn.XLOOKUP($E99,'[1]Import Eletra'!$B:$B,'[1]Import Eletra'!$AU:$AU,,0,1)=0,"",_xlfn.XLOOKUP($E99,'[1]Import Eletra'!$B:$B,'[1]Import Eletra'!$AU:$AU,,0,1))</f>
        <v>46007</v>
      </c>
      <c r="AX99" s="309">
        <f>$AV$4</f>
        <v>0</v>
      </c>
      <c r="AY99" s="309">
        <f ca="1">IF(AW99="",TODAY()-AV99,AW99-AV99)</f>
        <v>-11</v>
      </c>
      <c r="AZ99" s="310" t="str">
        <f ca="1">IF(AND(ISNUMBER($AY99),$AY99&gt;0),$AY99-$AX99,"")</f>
        <v/>
      </c>
      <c r="BA99" s="359">
        <f>BF99-$BF$4</f>
        <v>46018</v>
      </c>
      <c r="BB99" s="345">
        <f>IF(_xlfn.XLOOKUP($E99,'[1]Import Eletra'!$B:$B,'[1]Import Eletra'!$AW:$AW,,0,1)=0,"",_xlfn.XLOOKUP($E99,'[1]Import Eletra'!$B:$B,'[1]Import Eletra'!$AW:$AW,,0,1))</f>
        <v>46007</v>
      </c>
      <c r="BC99" s="309">
        <f>$BA$4</f>
        <v>0</v>
      </c>
      <c r="BD99" s="309">
        <f ca="1">IF(BB99="",TODAY()-BA99,BB99-BA99)</f>
        <v>-11</v>
      </c>
      <c r="BE99" s="310">
        <f ca="1">BD99-BC99</f>
        <v>-11</v>
      </c>
      <c r="BF99" s="336">
        <f>BK99-$BK$4</f>
        <v>46018</v>
      </c>
      <c r="BG99" s="345">
        <f>IF(_xlfn.XLOOKUP($E99,'[1]Import Eletra'!$B:$B,'[1]Import Eletra'!$AX:$AX,,0,1)=0,"",_xlfn.XLOOKUP($E99,'[1]Import Eletra'!$B:$B,'[1]Import Eletra'!$AX:$AX,,0,1))</f>
        <v>46008</v>
      </c>
      <c r="BH99" s="309">
        <f>$BF$4</f>
        <v>0</v>
      </c>
      <c r="BI99" s="309">
        <f ca="1">IF(BG99="",TODAY()-BF99,BG99-BF99)</f>
        <v>-10</v>
      </c>
      <c r="BJ99" s="310" t="str">
        <f ca="1">IF(AND(ISNUMBER($BI99),$BI99&gt;0),$BI99-$BH99,"")</f>
        <v/>
      </c>
      <c r="BK99" s="363">
        <f>BP99-$BP$4</f>
        <v>46018</v>
      </c>
      <c r="BL99" s="345">
        <f>IF(_xlfn.XLOOKUP($E99,'[1]Import Eletra'!$B:$B,'[1]Import Eletra'!$AY:$AY,,0,1)=0,"",_xlfn.XLOOKUP($E99,'[1]Import Eletra'!$B:$B,'[1]Import Eletra'!$AY:$AY,,0,1))</f>
        <v>46007</v>
      </c>
      <c r="BM99" s="309">
        <f>$BK$4</f>
        <v>0</v>
      </c>
      <c r="BN99" s="309">
        <f ca="1">IF(BL99="",TODAY()-BK99,BL99-BK99)</f>
        <v>-11</v>
      </c>
      <c r="BO99" s="310">
        <f ca="1">BN99-BM99</f>
        <v>-11</v>
      </c>
      <c r="BP99" s="336">
        <f>BU99-$BU$4</f>
        <v>46018</v>
      </c>
      <c r="BQ99" s="345">
        <f>IF(_xlfn.XLOOKUP($E99,'[1]Import Eletra'!$B:$B,'[1]Import Eletra'!$AZ:$AZ,,0,1)=0,"",_xlfn.XLOOKUP($E99,'[1]Import Eletra'!$B:$B,'[1]Import Eletra'!$AZ:$AZ,,0,1))</f>
        <v>46007</v>
      </c>
      <c r="BR99" s="309">
        <f>$BP$4</f>
        <v>0</v>
      </c>
      <c r="BS99" s="309">
        <f ca="1">IF(BQ99="",TODAY()-BP99,BQ99-BP99)</f>
        <v>-11</v>
      </c>
      <c r="BT99" s="310">
        <f ca="1">BS99-BR99</f>
        <v>-11</v>
      </c>
      <c r="BU99" s="363">
        <f>BZ99-$BZ$4</f>
        <v>46020</v>
      </c>
      <c r="BV99" s="345">
        <f>IF(_xlfn.XLOOKUP($E99,'[1]Import Eletra'!$B:$B,'[1]Import Eletra'!$BA:$BA,,0,1)=0,"",_xlfn.XLOOKUP($E99,'[1]Import Eletra'!$B:$B,'[1]Import Eletra'!$BA:$BA,,0,1))</f>
        <v>46008</v>
      </c>
      <c r="BW99" s="309">
        <f>$BU$4</f>
        <v>2</v>
      </c>
      <c r="BX99" s="309">
        <f ca="1">IF(BV99="",TODAY()-BU99,BV99-BU99)</f>
        <v>-12</v>
      </c>
      <c r="BY99" s="310" t="str">
        <f ca="1">IF(AND(ISNUMBER($BX99),$BX99&gt;0),$BX99-$BW99,"")</f>
        <v/>
      </c>
      <c r="BZ99" s="336">
        <f>CE99-$CE$4</f>
        <v>46020</v>
      </c>
      <c r="CA99" s="345">
        <f>IF(_xlfn.XLOOKUP($E99,'[1]Import Eletra'!$B:$B,'[1]Import Eletra'!$BB:$BB,,0,1)=0,"",_xlfn.XLOOKUP($E99,'[1]Import Eletra'!$B:$B,'[1]Import Eletra'!$BB:$BB,,0,1))</f>
        <v>46008</v>
      </c>
      <c r="CB99" s="309">
        <f>$BZ$4</f>
        <v>0</v>
      </c>
      <c r="CC99" s="309">
        <f ca="1">IF(CA99="",TODAY()-BZ99,CA99-BZ99)</f>
        <v>-12</v>
      </c>
      <c r="CD99" s="310">
        <f ca="1">CC99-CB99</f>
        <v>-12</v>
      </c>
      <c r="CE99" s="363">
        <f>CJ99-$CJ$4</f>
        <v>46020</v>
      </c>
      <c r="CF99" s="345">
        <f>IF(_xlfn.XLOOKUP($E99,'[1]Import Eletra'!$B:$B,'[1]Import Eletra'!$BC:$BC,,0,1)=0,"",_xlfn.XLOOKUP($E99,'[1]Import Eletra'!$B:$B,'[1]Import Eletra'!$BC:$BC,,0,1))</f>
        <v>46013</v>
      </c>
      <c r="CG99" s="309">
        <f>$CE$4</f>
        <v>0</v>
      </c>
      <c r="CH99" s="309">
        <f ca="1">IF(CF99="",TODAY()-CE99,CF99-CE99)</f>
        <v>-7</v>
      </c>
      <c r="CI99" s="310">
        <f ca="1">CH99-CG99</f>
        <v>-7</v>
      </c>
      <c r="CJ99" s="336">
        <f>CO99-$CO$4</f>
        <v>46020</v>
      </c>
      <c r="CK99" s="345">
        <f>IF(_xlfn.XLOOKUP($E99,'[1]Import Eletra'!$B:$B,'[1]Import Eletra'!$BD:$BD,,0,1)=0,"",_xlfn.XLOOKUP($E99,'[1]Import Eletra'!$B:$B,'[1]Import Eletra'!$BD:$BD,,0,1))</f>
        <v>46008</v>
      </c>
      <c r="CL99" s="309"/>
      <c r="CM99" s="309">
        <f ca="1">IF(CK99="",TODAY()-CJ99,CK99-CJ99)</f>
        <v>-12</v>
      </c>
      <c r="CN99" s="310">
        <f ca="1">CM99-CL99</f>
        <v>-12</v>
      </c>
      <c r="CO99" s="363">
        <f>CT99-$CT$4</f>
        <v>46020</v>
      </c>
      <c r="CP99" s="345">
        <f>IF(_xlfn.XLOOKUP($E99,'[1]Import Eletra'!$B:$B,'[1]Import Eletra'!$BE:$BE,,0,1)=0,"",_xlfn.XLOOKUP($E99,'[1]Import Eletra'!$B:$B,'[1]Import Eletra'!$BE:$BE,,0,1))</f>
        <v>46013</v>
      </c>
      <c r="CQ99" s="309">
        <f>$CO$4</f>
        <v>0</v>
      </c>
      <c r="CR99" s="309">
        <f ca="1">IF(CP99="",TODAY()-CO99,CP99-CO99)</f>
        <v>-7</v>
      </c>
      <c r="CS99" s="310">
        <f ca="1">CR99-CQ99</f>
        <v>-7</v>
      </c>
      <c r="CT99" s="336">
        <f>CY99-$CY$4</f>
        <v>46020</v>
      </c>
      <c r="CU99" s="345">
        <f>IF(_xlfn.XLOOKUP($E99,'[1]Import Eletra'!$B:$B,'[1]Import Eletra'!$BF:$BF,,0,1)=0,"",_xlfn.XLOOKUP($E99,'[1]Import Eletra'!$B:$B,'[1]Import Eletra'!$BF:$BF,,0,1))</f>
        <v>46013</v>
      </c>
      <c r="CV99" s="309">
        <f>$CT$4</f>
        <v>0</v>
      </c>
      <c r="CW99" s="309">
        <f ca="1">IF(CU99="",TODAY()-CT99,CU99-CT99)</f>
        <v>-7</v>
      </c>
      <c r="CX99" s="310">
        <f ca="1">CW99-CV99</f>
        <v>-7</v>
      </c>
      <c r="CY99" s="85">
        <f>DD99-$DD$4</f>
        <v>46020</v>
      </c>
      <c r="CZ99" s="271">
        <f>IF(_xlfn.XLOOKUP($E99,'[1]Import Eletra'!$B:$B,'[1]Import Eletra'!$BF:$BF,,0,1)=0,"",_xlfn.XLOOKUP($E99,'[1]Import Eletra'!$B:$B,'[1]Import Eletra'!$BF:$BF,,0,1))</f>
        <v>46013</v>
      </c>
      <c r="DA99" s="311">
        <f>$CY$4</f>
        <v>0</v>
      </c>
      <c r="DB99" s="309">
        <f ca="1">IF(CZ99="",TODAY()-CY99,CZ99-CY99)</f>
        <v>-7</v>
      </c>
      <c r="DC99" s="310">
        <f ca="1">DB99-DA99</f>
        <v>-7</v>
      </c>
      <c r="DD99" s="85">
        <f>DI99-$DI$4</f>
        <v>46022</v>
      </c>
      <c r="DE99" s="271">
        <f>IF(_xlfn.XLOOKUP($E99,'[1]Import Eletra'!$B:$B,'[1]Import Eletra'!$BG:$BG,,0,1)=0,"",_xlfn.XLOOKUP($E99,'[1]Import Eletra'!$B:$B,'[1]Import Eletra'!$BG:$BG,0,1))</f>
        <v>46013</v>
      </c>
      <c r="DF99" s="309">
        <f>$DD$4</f>
        <v>2</v>
      </c>
      <c r="DG99" s="309">
        <f ca="1">IF(DE99="",TODAY()-DD99,DE99-DD99)</f>
        <v>-9</v>
      </c>
      <c r="DH99" s="310">
        <f ca="1">DG99-DF99</f>
        <v>-11</v>
      </c>
      <c r="DI99" s="85">
        <f>DO99-$DN$4</f>
        <v>46023</v>
      </c>
      <c r="DJ99" s="271" t="str">
        <f>IF(_xlfn.XLOOKUP($E99,'[1]Import Eletra'!$B:$B,'[1]Import Eletra'!$BH:$BH,,0,1)=0,"",_xlfn.XLOOKUP($E99,'[1]Import Eletra'!$B:$B,'[1]Import Eletra'!$BH:$BH,0,1))</f>
        <v/>
      </c>
      <c r="DK99" s="309">
        <f>$DI$4</f>
        <v>1</v>
      </c>
      <c r="DL99" s="309">
        <f ca="1">IF(DJ99="",TODAY()-DI99,DJ99-DI99)</f>
        <v>188</v>
      </c>
      <c r="DM99" s="310">
        <f ca="1">DL99-DK99</f>
        <v>187</v>
      </c>
      <c r="DN99" s="312"/>
      <c r="DO99" s="313">
        <f>IF(V99="",N99+DT99,V99+DT99)</f>
        <v>46024</v>
      </c>
      <c r="DP99" s="59">
        <f>IF(_xlfn.XLOOKUP($E99,'[1]Import Eletra'!$B:$B,'[1]Import Eletra'!$O:$O,,0,1)=0,"",_xlfn.XLOOKUP($E99,'[1]Import Eletra'!$B:$B,'[1]Import Eletra'!$O:$O,0,1))</f>
        <v>46030</v>
      </c>
      <c r="DQ99" s="309">
        <f>$DN$4</f>
        <v>1</v>
      </c>
      <c r="DR99" s="309">
        <f ca="1">IF(DP99="",TODAY()-DO99,DP99-DO99)</f>
        <v>6</v>
      </c>
      <c r="DS99" s="310">
        <f ca="1">DR99-DQ99</f>
        <v>5</v>
      </c>
      <c r="DT99" s="314">
        <v>17</v>
      </c>
      <c r="DU99" s="140">
        <f ca="1">IF(DP99="",TODAY()-N99,DP99-N99)</f>
        <v>26</v>
      </c>
      <c r="DV99" s="184">
        <f ca="1">DU99-DT99</f>
        <v>9</v>
      </c>
      <c r="DX99" s="316"/>
      <c r="DY99" s="108" t="str">
        <f>IF(_xlfn.XLOOKUP($E99,'[1]Import Eletra'!$B:$B,'[1]Import Eletra'!$DW:$DW,,0,1)=0,"",_xlfn.XLOOKUP($E99,'[1]Import Eletra'!$B:$B,'[1]Import Eletra'!$DW:$DW,0,1))</f>
        <v/>
      </c>
      <c r="EB99" s="317"/>
      <c r="ED99" s="406">
        <f>IF(_xlfn.XLOOKUP($E99,'[1]Import Eletra'!$B:$B,'[1]Import Eletra'!$BQ:$BQ,,0,1)=0,"",_xlfn.XLOOKUP($E99,'[1]Import Eletra'!$B:$B,'[1]Import Eletra'!$BQ:$BQ,0,1))</f>
        <v>2865.93</v>
      </c>
      <c r="EE99" s="407">
        <f>IF(_xlfn.XLOOKUP($E99,'[1]Import Eletra'!$B:$B,'[1]Import Eletra'!$BR:$BR,,0,1)=0,"",_xlfn.XLOOKUP($E99,'[1]Import Eletra'!$B:$B,'[1]Import Eletra'!$BR:$BR,0,1))</f>
        <v>46014</v>
      </c>
      <c r="EF99" s="406" t="str">
        <f>IF(_xlfn.XLOOKUP($E99,'[1]Import Eletra'!$B:$B,'[1]Import Eletra'!$BS:$BS,,0,1)=0,"",_xlfn.XLOOKUP($E99,'[1]Import Eletra'!$B:$B,'[1]Import Eletra'!$BS:$BS,0,1))</f>
        <v/>
      </c>
      <c r="EG99" s="407" t="str">
        <f>IF(_xlfn.XLOOKUP($E99,'[1]Import Eletra'!$B:$B,'[1]Import Eletra'!$BT:$BT,,0,1)=0,"",_xlfn.XLOOKUP($E99,'[1]Import Eletra'!$B:$B,'[1]Import Eletra'!$BT:$BT,0,1))</f>
        <v/>
      </c>
      <c r="EH99" s="406" t="str">
        <f>IF(_xlfn.XLOOKUP($E99,'[1]Import Eletra'!$B:$B,'[1]Import Eletra'!$BU:$BU,,0,1)=0,"",_xlfn.XLOOKUP($E99,'[1]Import Eletra'!$B:$B,'[1]Import Eletra'!$BU:$BU,0,1))</f>
        <v/>
      </c>
      <c r="EI99" s="407" t="str">
        <f>IF(_xlfn.XLOOKUP($E99,'[1]Import Eletra'!$B:$B,'[1]Import Eletra'!$BV:$BV,,0,1)=0,"",_xlfn.XLOOKUP($E99,'[1]Import Eletra'!$B:$B,'[1]Import Eletra'!$BV:$BV,0,1))</f>
        <v/>
      </c>
      <c r="EJ99" s="407">
        <f>IF(_xlfn.XLOOKUP($E99,'[1]Import Eletra'!$B:$B,'[1]Import Eletra'!$CI:$CI,,0,1)=0,"",_xlfn.XLOOKUP($E99,'[1]Import Eletra'!$B:$B,'[1]Import Eletra'!$CI:$CI,0,1))</f>
        <v>46022</v>
      </c>
      <c r="EK99" s="407">
        <f>IF(_xlfn.XLOOKUP($E99,'[1]Import Eletra'!$B:$B,'[1]Import Eletra'!$CD:$CD,,0,1)=0,"",_xlfn.XLOOKUP($E99,'[1]Import Eletra'!$B:$B,'[1]Import Eletra'!$CD:$CD,0,1))</f>
        <v>46021</v>
      </c>
      <c r="EL99" s="407" t="str">
        <f>IF(_xlfn.XLOOKUP($E99,'[1]Import Eletra'!$B:$B,'[1]Import Eletra'!$CE:$CE,,0,1)=0,"",_xlfn.XLOOKUP($E99,'[1]Import Eletra'!$B:$B,'[1]Import Eletra'!$CE:$CE,0,1))</f>
        <v>NÃO</v>
      </c>
      <c r="EM99" s="408" t="str">
        <f>IF(_xlfn.XLOOKUP($E99,'[1]Import Eletra'!$B:$B,'[1]Import Eletra'!$E:$E,,0,1)=0,"",_xlfn.XLOOKUP($E99,'[1]Import Eletra'!$B:$B,'[1]Import Eletra'!$E:$E,0,1))</f>
        <v>STELLA</v>
      </c>
      <c r="EN99" s="408" t="str">
        <f>IF(_xlfn.XLOOKUP($E99,'[1]Import Eletra'!$B:$B,'[1]Import Eletra'!$E:$E,,0,1)=0,"",_xlfn.XLOOKUP($E99,'[1]Import Eletra'!$B:$B,'[1]Import Eletra'!$E:$E,0,1))</f>
        <v>STELLA</v>
      </c>
      <c r="EO99" s="408" t="str">
        <f>IF(_xlfn.XLOOKUP($E99,'[1]Import Eletra'!$B:$B,'[1]Import Eletra'!$E:$E,,0,1)=0,"",_xlfn.XLOOKUP($E99,'[1]Import Eletra'!$B:$B,'[1]Import Eletra'!$E:$E,0,1))</f>
        <v>STELLA</v>
      </c>
      <c r="EP99" s="408" t="str">
        <f>IF(_xlfn.XLOOKUP($E99,'[1]Import Eletra'!$B:$B,'[1]Import Eletra'!$E:$E,,0,1)=0,"",_xlfn.XLOOKUP($E99,'[1]Import Eletra'!$B:$B,'[1]Import Eletra'!$E:$E,0,1))</f>
        <v>STELLA</v>
      </c>
    </row>
    <row r="100" spans="1:146" s="315" customFormat="1" ht="30" hidden="1" customHeight="1" outlineLevel="1">
      <c r="A100" s="305"/>
      <c r="B100" s="306"/>
      <c r="C100" s="306"/>
      <c r="D100" s="306"/>
      <c r="E100" s="318" t="s">
        <v>396</v>
      </c>
      <c r="F100" s="307">
        <f>IF(_xlfn.XLOOKUP($E100,'[1]Import Eletra'!$B:$B,'[1]Import Eletra'!$U:$U,,0,1)=0,"",_xlfn.XLOOKUP($E100,'[1]Import Eletra'!$B:$B,'[1]Import Eletra'!$U:$U,,0,1))</f>
        <v>1</v>
      </c>
      <c r="G100" s="320" t="s">
        <v>244</v>
      </c>
      <c r="H100" s="59" t="str">
        <f>_xlfn.XLOOKUP($E100,'[1]Import Eletra'!$B:$B,'[1]Import Eletra'!$F:$F,,0,1)</f>
        <v>DELIVERED</v>
      </c>
      <c r="I100" s="4" t="str">
        <f>_xlfn.XLOOKUP($E100,'[1]Import Eletra'!$B:$B,'[1]Import Eletra'!$G:$G,,0,1)</f>
        <v>SEA</v>
      </c>
      <c r="J100" s="331"/>
      <c r="K100" s="308"/>
      <c r="L100" s="308"/>
      <c r="M100" s="331">
        <f>IF(_xlfn.XLOOKUP($E100,'[1]Import Eletra'!$B:$B,'[1]Import Eletra'!$J:$J,,0,1)=0,"",_xlfn.XLOOKUP($E100,'[1]Import Eletra'!$B:$B,'[1]Import Eletra'!$J:$J,,0,1))</f>
        <v>45948</v>
      </c>
      <c r="N100" s="334">
        <f>IF(_xlfn.XLOOKUP($E100,'[1]Import Eletra'!$B:$B,'[1]Import Eletra'!$L:$L,,0,1)=0,"",_xlfn.XLOOKUP($E100,'[1]Import Eletra'!$B:$B,'[1]Import Eletra'!$L:$L,,0,1))</f>
        <v>46005</v>
      </c>
      <c r="O100" s="336">
        <f>IF(_xlfn.XLOOKUP($E100,'[1]Import Eletra'!$B:$B,'[1]Import Eletra'!$AK:$AK,,0,1)=0,"",_xlfn.XLOOKUP($E100,'[1]Import Eletra'!$B:$B,'[1]Import Eletra'!$AK:$AK,,0,1))</f>
        <v>45967</v>
      </c>
      <c r="P100" s="331">
        <f>IF(_xlfn.XLOOKUP($E100,'[1]Import Eletra'!$B:$B,'[1]Import Eletra'!$AL:$AL,,0,1)=0,"",_xlfn.XLOOKUP($E100,'[1]Import Eletra'!$B:$B,'[1]Import Eletra'!$AL:$AL,,0,1))</f>
        <v>45967</v>
      </c>
      <c r="Q100" s="331">
        <f>IF(_xlfn.XLOOKUP($E100,'[1]Import Eletra'!$B:$B,'[1]Import Eletra'!$AM:$AM,,0,1)=0,"",_xlfn.XLOOKUP($E100,'[1]Import Eletra'!$B:$B,'[1]Import Eletra'!$AM:$AM,,0,1))</f>
        <v>46006</v>
      </c>
      <c r="R100" s="331">
        <f>IF(_xlfn.XLOOKUP($E100,'[1]Import Eletra'!$B:$B,'[1]Import Eletra'!$AN:$AN,,0,1)=0,"",_xlfn.XLOOKUP($E100,'[1]Import Eletra'!$B:$B,'[1]Import Eletra'!$AN:$AN,,0,1))</f>
        <v>46006</v>
      </c>
      <c r="S100" s="331">
        <f>IF(_xlfn.XLOOKUP($E100,'[1]Import Eletra'!$B:$B,'[1]Import Eletra'!$AO:$AO,,0,1)=0,"",_xlfn.XLOOKUP($E100,'[1]Import Eletra'!$B:$B,'[1]Import Eletra'!$AO:$AO,,0,1))</f>
        <v>46007</v>
      </c>
      <c r="T100" s="331">
        <f>IF(_xlfn.XLOOKUP($E100,'[1]Import Eletra'!$B:$B,'[1]Import Eletra'!$AP:$AP,,0,1)=0,"",_xlfn.XLOOKUP($E100,'[1]Import Eletra'!$B:$B,'[1]Import Eletra'!$AP:$AP,,0,1))</f>
        <v>46007</v>
      </c>
      <c r="U100" s="338">
        <f>IF(_xlfn.XLOOKUP($E100,'[1]Import Eletra'!$B:$B,'[1]Import Eletra'!$AQ:$AQ,,0,1)=0,"",_xlfn.XLOOKUP($E100,'[1]Import Eletra'!$B:$B,'[1]Import Eletra'!$AQ:$AQ,,0,1))</f>
        <v>46008</v>
      </c>
      <c r="V100" s="343">
        <f>IF(_xlfn.XLOOKUP($E100,'[1]Import Eletra'!$B:$B,'[1]Import Eletra'!$AQ:$AQ,,0,1)=0,"",_xlfn.XLOOKUP($E100,'[1]Import Eletra'!$B:$B,'[1]Import Eletra'!$AQ:$AQ,,0,1))</f>
        <v>46008</v>
      </c>
      <c r="W100" s="336">
        <f>AB100-$AB$4</f>
        <v>46018</v>
      </c>
      <c r="X100" s="345">
        <f>IF(_xlfn.XLOOKUP($E100,'[1]Import Eletra'!$B:$B,'[1]Import Eletra'!$AR:$AR,,0,1)=0,"",_xlfn.XLOOKUP($E100,'[1]Import Eletra'!$B:$B,'[1]Import Eletra'!$AR:$AR,,0,1))</f>
        <v>46007</v>
      </c>
      <c r="Y100" s="309">
        <f>$W$4</f>
        <v>0</v>
      </c>
      <c r="Z100" s="309">
        <f ca="1">IF(X100="",TODAY()-W100,X100-W100)</f>
        <v>-11</v>
      </c>
      <c r="AA100" s="310" t="str">
        <f ca="1">IF(AND(ISNUMBER($Z100),$Z100&gt;0),$Z100-$Y100,"")</f>
        <v/>
      </c>
      <c r="AB100" s="350">
        <f>AG100-$AB$4</f>
        <v>46018</v>
      </c>
      <c r="AC100" s="345">
        <f>IF(_xlfn.XLOOKUP($E100,'[1]Import Eletra'!$B:$B,'[1]Import Eletra'!$AD:$AD,,0,1)=0,"",_xlfn.XLOOKUP($E100,'[1]Import Eletra'!$B:$B,'[1]Import Eletra'!$AD:$AD,,0,1))</f>
        <v>46008</v>
      </c>
      <c r="AD100" s="309">
        <f>$AB$4</f>
        <v>0</v>
      </c>
      <c r="AE100" s="309">
        <f ca="1">IF(AC100="",TODAY()-AB100,AC100-AB100)</f>
        <v>-10</v>
      </c>
      <c r="AF100" s="310">
        <f ca="1">AE100-AD100</f>
        <v>-10</v>
      </c>
      <c r="AG100" s="356">
        <f>AL100-$AL$4</f>
        <v>46018</v>
      </c>
      <c r="AH100" s="345">
        <f>IF(_xlfn.XLOOKUP($E100,'[1]Import Eletra'!$B:$B,'[1]Import Eletra'!$AE:$AE,,0,1)=0,"",_xlfn.XLOOKUP($E100,'[1]Import Eletra'!$B:$B,'[1]Import Eletra'!$AE:$AE,,0,1))</f>
        <v>46008</v>
      </c>
      <c r="AI100" s="309">
        <f>$AG$4</f>
        <v>0</v>
      </c>
      <c r="AJ100" s="309">
        <f ca="1">IF(AH100="",TODAY()-AG100,AH100-AG100)</f>
        <v>-10</v>
      </c>
      <c r="AK100" s="310" t="str">
        <f ca="1">IF(AND(ISNUMBER($AJ100),$AJ100&gt;0),$AJ100-$AI100,"")</f>
        <v/>
      </c>
      <c r="AL100" s="356">
        <f>AQ100-$AQ$4</f>
        <v>46018</v>
      </c>
      <c r="AM100" s="345">
        <f>IF(_xlfn.XLOOKUP($E100,'[1]Import Eletra'!$B:$B,'[1]Import Eletra'!$AT:$AT,,0,1)=0,"",_xlfn.XLOOKUP($E100,'[1]Import Eletra'!$B:$B,'[1]Import Eletra'!$AT:$AT,,0,1))</f>
        <v>46009</v>
      </c>
      <c r="AN100" s="309">
        <f>$AL$4</f>
        <v>0</v>
      </c>
      <c r="AO100" s="309">
        <f ca="1">IF(AM100="",TODAY()-AL100,AM100-AL100)</f>
        <v>-9</v>
      </c>
      <c r="AP100" s="310" t="str">
        <f ca="1">IF(AND(ISNUMBER($AO100),$AO100&gt;0),$AO100-$AN100,"")</f>
        <v/>
      </c>
      <c r="AQ100" s="359">
        <f>AV100-$AV$4</f>
        <v>46019</v>
      </c>
      <c r="AR100" s="345">
        <f>IF(_xlfn.XLOOKUP($E100,'[1]Import Eletra'!$B:$B,'[1]Import Eletra'!$AU:$AU,,0,1)=0,"",_xlfn.XLOOKUP($E100,'[1]Import Eletra'!$B:$B,'[1]Import Eletra'!$AU:$AU,,0,1))</f>
        <v>46009</v>
      </c>
      <c r="AS100" s="309">
        <f>$AQ$4</f>
        <v>1</v>
      </c>
      <c r="AT100" s="309">
        <f ca="1">IF(AR100="",TODAY()-AQ100,AR100-AQ100)</f>
        <v>-10</v>
      </c>
      <c r="AU100" s="310" t="str">
        <f ca="1">IF(AND(ISNUMBER($AT100),$AT100&gt;0),$AT100-$AS100,"")</f>
        <v/>
      </c>
      <c r="AV100" s="356">
        <f>BA100-$BA$4</f>
        <v>46019</v>
      </c>
      <c r="AW100" s="345">
        <f>IF(_xlfn.XLOOKUP($E100,'[1]Import Eletra'!$B:$B,'[1]Import Eletra'!$AU:$AU,,0,1)=0,"",_xlfn.XLOOKUP($E100,'[1]Import Eletra'!$B:$B,'[1]Import Eletra'!$AU:$AU,,0,1))</f>
        <v>46009</v>
      </c>
      <c r="AX100" s="309">
        <f>$AV$4</f>
        <v>0</v>
      </c>
      <c r="AY100" s="309">
        <f ca="1">IF(AW100="",TODAY()-AV100,AW100-AV100)</f>
        <v>-10</v>
      </c>
      <c r="AZ100" s="310" t="str">
        <f ca="1">IF(AND(ISNUMBER($AY100),$AY100&gt;0),$AY100-$AX100,"")</f>
        <v/>
      </c>
      <c r="BA100" s="359">
        <f>BF100-$BF$4</f>
        <v>46019</v>
      </c>
      <c r="BB100" s="345">
        <f>IF(_xlfn.XLOOKUP($E100,'[1]Import Eletra'!$B:$B,'[1]Import Eletra'!$AW:$AW,,0,1)=0,"",_xlfn.XLOOKUP($E100,'[1]Import Eletra'!$B:$B,'[1]Import Eletra'!$AW:$AW,,0,1))</f>
        <v>46009</v>
      </c>
      <c r="BC100" s="309">
        <f>$BA$4</f>
        <v>0</v>
      </c>
      <c r="BD100" s="309">
        <f ca="1">IF(BB100="",TODAY()-BA100,BB100-BA100)</f>
        <v>-10</v>
      </c>
      <c r="BE100" s="310">
        <f ca="1">BD100-BC100</f>
        <v>-10</v>
      </c>
      <c r="BF100" s="336">
        <f>BK100-$BK$4</f>
        <v>46019</v>
      </c>
      <c r="BG100" s="345">
        <f>IF(_xlfn.XLOOKUP($E100,'[1]Import Eletra'!$B:$B,'[1]Import Eletra'!$AX:$AX,,0,1)=0,"",_xlfn.XLOOKUP($E100,'[1]Import Eletra'!$B:$B,'[1]Import Eletra'!$AX:$AX,,0,1))</f>
        <v>46009</v>
      </c>
      <c r="BH100" s="309">
        <f>$BF$4</f>
        <v>0</v>
      </c>
      <c r="BI100" s="309">
        <f ca="1">IF(BG100="",TODAY()-BF100,BG100-BF100)</f>
        <v>-10</v>
      </c>
      <c r="BJ100" s="310" t="str">
        <f ca="1">IF(AND(ISNUMBER($BI100),$BI100&gt;0),$BI100-$BH100,"")</f>
        <v/>
      </c>
      <c r="BK100" s="363">
        <f>BP100-$BP$4</f>
        <v>46019</v>
      </c>
      <c r="BL100" s="345">
        <f>IF(_xlfn.XLOOKUP($E100,'[1]Import Eletra'!$B:$B,'[1]Import Eletra'!$AY:$AY,,0,1)=0,"",_xlfn.XLOOKUP($E100,'[1]Import Eletra'!$B:$B,'[1]Import Eletra'!$AY:$AY,,0,1))</f>
        <v>46009</v>
      </c>
      <c r="BM100" s="309">
        <f>$BK$4</f>
        <v>0</v>
      </c>
      <c r="BN100" s="309">
        <f ca="1">IF(BL100="",TODAY()-BK100,BL100-BK100)</f>
        <v>-10</v>
      </c>
      <c r="BO100" s="310">
        <f ca="1">BN100-BM100</f>
        <v>-10</v>
      </c>
      <c r="BP100" s="336">
        <f>BU100-$BU$4</f>
        <v>46019</v>
      </c>
      <c r="BQ100" s="345">
        <f>IF(_xlfn.XLOOKUP($E100,'[1]Import Eletra'!$B:$B,'[1]Import Eletra'!$AZ:$AZ,,0,1)=0,"",_xlfn.XLOOKUP($E100,'[1]Import Eletra'!$B:$B,'[1]Import Eletra'!$AZ:$AZ,,0,1))</f>
        <v>46009</v>
      </c>
      <c r="BR100" s="309">
        <f>$BP$4</f>
        <v>0</v>
      </c>
      <c r="BS100" s="309">
        <f ca="1">IF(BQ100="",TODAY()-BP100,BQ100-BP100)</f>
        <v>-10</v>
      </c>
      <c r="BT100" s="310">
        <f ca="1">BS100-BR100</f>
        <v>-10</v>
      </c>
      <c r="BU100" s="363">
        <f>BZ100-$BZ$4</f>
        <v>46021</v>
      </c>
      <c r="BV100" s="345">
        <f>IF(_xlfn.XLOOKUP($E100,'[1]Import Eletra'!$B:$B,'[1]Import Eletra'!$BA:$BA,,0,1)=0,"",_xlfn.XLOOKUP($E100,'[1]Import Eletra'!$B:$B,'[1]Import Eletra'!$BA:$BA,,0,1))</f>
        <v>46013</v>
      </c>
      <c r="BW100" s="309">
        <f>$BU$4</f>
        <v>2</v>
      </c>
      <c r="BX100" s="309">
        <f ca="1">IF(BV100="",TODAY()-BU100,BV100-BU100)</f>
        <v>-8</v>
      </c>
      <c r="BY100" s="310" t="str">
        <f ca="1">IF(AND(ISNUMBER($BX100),$BX100&gt;0),$BX100-$BW100,"")</f>
        <v/>
      </c>
      <c r="BZ100" s="336">
        <f>CE100-$CE$4</f>
        <v>46021</v>
      </c>
      <c r="CA100" s="345">
        <f>IF(_xlfn.XLOOKUP($E100,'[1]Import Eletra'!$B:$B,'[1]Import Eletra'!$BB:$BB,,0,1)=0,"",_xlfn.XLOOKUP($E100,'[1]Import Eletra'!$B:$B,'[1]Import Eletra'!$BB:$BB,,0,1))</f>
        <v>46013</v>
      </c>
      <c r="CB100" s="309">
        <f>$BZ$4</f>
        <v>0</v>
      </c>
      <c r="CC100" s="309">
        <f ca="1">IF(CA100="",TODAY()-BZ100,CA100-BZ100)</f>
        <v>-8</v>
      </c>
      <c r="CD100" s="310">
        <f ca="1">CC100-CB100</f>
        <v>-8</v>
      </c>
      <c r="CE100" s="363">
        <f>CJ100-$CJ$4</f>
        <v>46021</v>
      </c>
      <c r="CF100" s="345">
        <f>IF(_xlfn.XLOOKUP($E100,'[1]Import Eletra'!$B:$B,'[1]Import Eletra'!$BC:$BC,,0,1)=0,"",_xlfn.XLOOKUP($E100,'[1]Import Eletra'!$B:$B,'[1]Import Eletra'!$BC:$BC,,0,1))</f>
        <v>46013</v>
      </c>
      <c r="CG100" s="309">
        <f>$CE$4</f>
        <v>0</v>
      </c>
      <c r="CH100" s="309">
        <f ca="1">IF(CF100="",TODAY()-CE100,CF100-CE100)</f>
        <v>-8</v>
      </c>
      <c r="CI100" s="310">
        <f ca="1">CH100-CG100</f>
        <v>-8</v>
      </c>
      <c r="CJ100" s="336">
        <f>CO100-$CO$4</f>
        <v>46021</v>
      </c>
      <c r="CK100" s="345">
        <f>IF(_xlfn.XLOOKUP($E100,'[1]Import Eletra'!$B:$B,'[1]Import Eletra'!$BD:$BD,,0,1)=0,"",_xlfn.XLOOKUP($E100,'[1]Import Eletra'!$B:$B,'[1]Import Eletra'!$BD:$BD,,0,1))</f>
        <v>46013</v>
      </c>
      <c r="CL100" s="309"/>
      <c r="CM100" s="309">
        <f ca="1">IF(CK100="",TODAY()-CJ100,CK100-CJ100)</f>
        <v>-8</v>
      </c>
      <c r="CN100" s="310">
        <f ca="1">CM100-CL100</f>
        <v>-8</v>
      </c>
      <c r="CO100" s="363">
        <f>CT100-$CT$4</f>
        <v>46021</v>
      </c>
      <c r="CP100" s="345">
        <f>IF(_xlfn.XLOOKUP($E100,'[1]Import Eletra'!$B:$B,'[1]Import Eletra'!$BE:$BE,,0,1)=0,"",_xlfn.XLOOKUP($E100,'[1]Import Eletra'!$B:$B,'[1]Import Eletra'!$BE:$BE,,0,1))</f>
        <v>46013</v>
      </c>
      <c r="CQ100" s="309">
        <f>$CO$4</f>
        <v>0</v>
      </c>
      <c r="CR100" s="309">
        <f ca="1">IF(CP100="",TODAY()-CO100,CP100-CO100)</f>
        <v>-8</v>
      </c>
      <c r="CS100" s="310">
        <f ca="1">CR100-CQ100</f>
        <v>-8</v>
      </c>
      <c r="CT100" s="336">
        <f>CY100-$CY$4</f>
        <v>46021</v>
      </c>
      <c r="CU100" s="345">
        <f>IF(_xlfn.XLOOKUP($E100,'[1]Import Eletra'!$B:$B,'[1]Import Eletra'!$BF:$BF,,0,1)=0,"",_xlfn.XLOOKUP($E100,'[1]Import Eletra'!$B:$B,'[1]Import Eletra'!$BF:$BF,,0,1))</f>
        <v>46013</v>
      </c>
      <c r="CV100" s="309">
        <f>$CT$4</f>
        <v>0</v>
      </c>
      <c r="CW100" s="309">
        <f ca="1">IF(CU100="",TODAY()-CT100,CU100-CT100)</f>
        <v>-8</v>
      </c>
      <c r="CX100" s="310">
        <f ca="1">CW100-CV100</f>
        <v>-8</v>
      </c>
      <c r="CY100" s="85">
        <f>DD100-$DD$4</f>
        <v>46021</v>
      </c>
      <c r="CZ100" s="271">
        <f>IF(_xlfn.XLOOKUP($E100,'[1]Import Eletra'!$B:$B,'[1]Import Eletra'!$BF:$BF,,0,1)=0,"",_xlfn.XLOOKUP($E100,'[1]Import Eletra'!$B:$B,'[1]Import Eletra'!$BF:$BF,,0,1))</f>
        <v>46013</v>
      </c>
      <c r="DA100" s="311">
        <f>$CY$4</f>
        <v>0</v>
      </c>
      <c r="DB100" s="309">
        <f ca="1">IF(CZ100="",TODAY()-CY100,CZ100-CY100)</f>
        <v>-8</v>
      </c>
      <c r="DC100" s="310">
        <f ca="1">DB100-DA100</f>
        <v>-8</v>
      </c>
      <c r="DD100" s="85">
        <f>DI100-$DI$4</f>
        <v>46023</v>
      </c>
      <c r="DE100" s="271">
        <f>IF(_xlfn.XLOOKUP($E100,'[1]Import Eletra'!$B:$B,'[1]Import Eletra'!$BG:$BG,,0,1)=0,"",_xlfn.XLOOKUP($E100,'[1]Import Eletra'!$B:$B,'[1]Import Eletra'!$BG:$BG,0,1))</f>
        <v>46014</v>
      </c>
      <c r="DF100" s="309">
        <f>$DD$4</f>
        <v>2</v>
      </c>
      <c r="DG100" s="309">
        <f ca="1">IF(DE100="",TODAY()-DD100,DE100-DD100)</f>
        <v>-9</v>
      </c>
      <c r="DH100" s="310">
        <f ca="1">DG100-DF100</f>
        <v>-11</v>
      </c>
      <c r="DI100" s="85">
        <f>DO100-$DN$4</f>
        <v>46024</v>
      </c>
      <c r="DJ100" s="271" t="str">
        <f>IF(_xlfn.XLOOKUP($E100,'[1]Import Eletra'!$B:$B,'[1]Import Eletra'!$BH:$BH,,0,1)=0,"",_xlfn.XLOOKUP($E100,'[1]Import Eletra'!$B:$B,'[1]Import Eletra'!$BH:$BH,0,1))</f>
        <v/>
      </c>
      <c r="DK100" s="309">
        <f>$DI$4</f>
        <v>1</v>
      </c>
      <c r="DL100" s="309">
        <f ca="1">IF(DJ100="",TODAY()-DI100,DJ100-DI100)</f>
        <v>187</v>
      </c>
      <c r="DM100" s="310">
        <f ca="1">DL100-DK100</f>
        <v>186</v>
      </c>
      <c r="DN100" s="312"/>
      <c r="DO100" s="313">
        <f>IF(V100="",N100+DT100,V100+DT100)</f>
        <v>46025</v>
      </c>
      <c r="DP100" s="59">
        <f>IF(_xlfn.XLOOKUP($E100,'[1]Import Eletra'!$B:$B,'[1]Import Eletra'!$O:$O,,0,1)=0,"",_xlfn.XLOOKUP($E100,'[1]Import Eletra'!$B:$B,'[1]Import Eletra'!$O:$O,0,1))</f>
        <v>46030</v>
      </c>
      <c r="DQ100" s="309">
        <f>$DN$4</f>
        <v>1</v>
      </c>
      <c r="DR100" s="309">
        <f ca="1">IF(DP100="",TODAY()-DO100,DP100-DO100)</f>
        <v>5</v>
      </c>
      <c r="DS100" s="310">
        <f ca="1">DR100-DQ100</f>
        <v>4</v>
      </c>
      <c r="DT100" s="314">
        <v>17</v>
      </c>
      <c r="DU100" s="140">
        <f ca="1">IF(DP100="",TODAY()-N100,DP100-N100)</f>
        <v>25</v>
      </c>
      <c r="DV100" s="184">
        <f ca="1">DU100-DT100</f>
        <v>8</v>
      </c>
      <c r="DX100" s="316"/>
      <c r="DY100" s="108" t="str">
        <f>IF(_xlfn.XLOOKUP($E100,'[1]Import Eletra'!$B:$B,'[1]Import Eletra'!$DW:$DW,,0,1)=0,"",_xlfn.XLOOKUP($E100,'[1]Import Eletra'!$B:$B,'[1]Import Eletra'!$DW:$DW,0,1))</f>
        <v/>
      </c>
      <c r="EB100" s="317"/>
      <c r="ED100" s="406">
        <f>IF(_xlfn.XLOOKUP($E100,'[1]Import Eletra'!$B:$B,'[1]Import Eletra'!$BQ:$BQ,,0,1)=0,"",_xlfn.XLOOKUP($E100,'[1]Import Eletra'!$B:$B,'[1]Import Eletra'!$BQ:$BQ,0,1))</f>
        <v>3990.59</v>
      </c>
      <c r="EE100" s="407">
        <f>IF(_xlfn.XLOOKUP($E100,'[1]Import Eletra'!$B:$B,'[1]Import Eletra'!$BR:$BR,,0,1)=0,"",_xlfn.XLOOKUP($E100,'[1]Import Eletra'!$B:$B,'[1]Import Eletra'!$BR:$BR,0,1))</f>
        <v>46014</v>
      </c>
      <c r="EF100" s="406" t="str">
        <f>IF(_xlfn.XLOOKUP($E100,'[1]Import Eletra'!$B:$B,'[1]Import Eletra'!$BS:$BS,,0,1)=0,"",_xlfn.XLOOKUP($E100,'[1]Import Eletra'!$B:$B,'[1]Import Eletra'!$BS:$BS,0,1))</f>
        <v/>
      </c>
      <c r="EG100" s="407" t="str">
        <f>IF(_xlfn.XLOOKUP($E100,'[1]Import Eletra'!$B:$B,'[1]Import Eletra'!$BT:$BT,,0,1)=0,"",_xlfn.XLOOKUP($E100,'[1]Import Eletra'!$B:$B,'[1]Import Eletra'!$BT:$BT,0,1))</f>
        <v/>
      </c>
      <c r="EH100" s="406" t="str">
        <f>IF(_xlfn.XLOOKUP($E100,'[1]Import Eletra'!$B:$B,'[1]Import Eletra'!$BU:$BU,,0,1)=0,"",_xlfn.XLOOKUP($E100,'[1]Import Eletra'!$B:$B,'[1]Import Eletra'!$BU:$BU,0,1))</f>
        <v/>
      </c>
      <c r="EI100" s="407" t="str">
        <f>IF(_xlfn.XLOOKUP($E100,'[1]Import Eletra'!$B:$B,'[1]Import Eletra'!$BV:$BV,,0,1)=0,"",_xlfn.XLOOKUP($E100,'[1]Import Eletra'!$B:$B,'[1]Import Eletra'!$BV:$BV,0,1))</f>
        <v/>
      </c>
      <c r="EJ100" s="407">
        <f>IF(_xlfn.XLOOKUP($E100,'[1]Import Eletra'!$B:$B,'[1]Import Eletra'!$CI:$CI,,0,1)=0,"",_xlfn.XLOOKUP($E100,'[1]Import Eletra'!$B:$B,'[1]Import Eletra'!$CI:$CI,0,1))</f>
        <v>46023</v>
      </c>
      <c r="EK100" s="407">
        <f>IF(_xlfn.XLOOKUP($E100,'[1]Import Eletra'!$B:$B,'[1]Import Eletra'!$CD:$CD,,0,1)=0,"",_xlfn.XLOOKUP($E100,'[1]Import Eletra'!$B:$B,'[1]Import Eletra'!$CD:$CD,0,1))</f>
        <v>46017</v>
      </c>
      <c r="EL100" s="407" t="str">
        <f>IF(_xlfn.XLOOKUP($E100,'[1]Import Eletra'!$B:$B,'[1]Import Eletra'!$CE:$CE,,0,1)=0,"",_xlfn.XLOOKUP($E100,'[1]Import Eletra'!$B:$B,'[1]Import Eletra'!$CE:$CE,0,1))</f>
        <v>NÃO</v>
      </c>
      <c r="EM100" s="408" t="str">
        <f>IF(_xlfn.XLOOKUP($E100,'[1]Import Eletra'!$B:$B,'[1]Import Eletra'!$E:$E,,0,1)=0,"",_xlfn.XLOOKUP($E100,'[1]Import Eletra'!$B:$B,'[1]Import Eletra'!$E:$E,0,1))</f>
        <v>STELLA</v>
      </c>
      <c r="EN100" s="408" t="str">
        <f>IF(_xlfn.XLOOKUP($E100,'[1]Import Eletra'!$B:$B,'[1]Import Eletra'!$E:$E,,0,1)=0,"",_xlfn.XLOOKUP($E100,'[1]Import Eletra'!$B:$B,'[1]Import Eletra'!$E:$E,0,1))</f>
        <v>STELLA</v>
      </c>
      <c r="EO100" s="408" t="str">
        <f>IF(_xlfn.XLOOKUP($E100,'[1]Import Eletra'!$B:$B,'[1]Import Eletra'!$E:$E,,0,1)=0,"",_xlfn.XLOOKUP($E100,'[1]Import Eletra'!$B:$B,'[1]Import Eletra'!$E:$E,0,1))</f>
        <v>STELLA</v>
      </c>
      <c r="EP100" s="408" t="str">
        <f>IF(_xlfn.XLOOKUP($E100,'[1]Import Eletra'!$B:$B,'[1]Import Eletra'!$E:$E,,0,1)=0,"",_xlfn.XLOOKUP($E100,'[1]Import Eletra'!$B:$B,'[1]Import Eletra'!$E:$E,0,1))</f>
        <v>STELLA</v>
      </c>
    </row>
    <row r="101" spans="1:146" s="315" customFormat="1" ht="30" hidden="1" customHeight="1" outlineLevel="1">
      <c r="A101" s="305"/>
      <c r="B101" s="306"/>
      <c r="C101" s="306"/>
      <c r="D101" s="306"/>
      <c r="E101" s="318" t="s">
        <v>397</v>
      </c>
      <c r="F101" s="307">
        <f>IF(_xlfn.XLOOKUP($E101,'[1]Import Eletra'!$B:$B,'[1]Import Eletra'!$U:$U,,0,1)=0,"",_xlfn.XLOOKUP($E101,'[1]Import Eletra'!$B:$B,'[1]Import Eletra'!$U:$U,,0,1))</f>
        <v>1</v>
      </c>
      <c r="G101" s="320" t="s">
        <v>244</v>
      </c>
      <c r="H101" s="59" t="str">
        <f>_xlfn.XLOOKUP($E101,'[1]Import Eletra'!$B:$B,'[1]Import Eletra'!$F:$F,,0,1)</f>
        <v>DELIVERED</v>
      </c>
      <c r="I101" s="4" t="str">
        <f>_xlfn.XLOOKUP($E101,'[1]Import Eletra'!$B:$B,'[1]Import Eletra'!$G:$G,,0,1)</f>
        <v>SEA</v>
      </c>
      <c r="J101" s="331"/>
      <c r="K101" s="308"/>
      <c r="L101" s="308"/>
      <c r="M101" s="331">
        <f>IF(_xlfn.XLOOKUP($E101,'[1]Import Eletra'!$B:$B,'[1]Import Eletra'!$J:$J,,0,1)=0,"",_xlfn.XLOOKUP($E101,'[1]Import Eletra'!$B:$B,'[1]Import Eletra'!$J:$J,,0,1))</f>
        <v>45931</v>
      </c>
      <c r="N101" s="334">
        <f>IF(_xlfn.XLOOKUP($E101,'[1]Import Eletra'!$B:$B,'[1]Import Eletra'!$L:$L,,0,1)=0,"",_xlfn.XLOOKUP($E101,'[1]Import Eletra'!$B:$B,'[1]Import Eletra'!$L:$L,,0,1))</f>
        <v>46004</v>
      </c>
      <c r="O101" s="336">
        <f>IF(_xlfn.XLOOKUP($E101,'[1]Import Eletra'!$B:$B,'[1]Import Eletra'!$AK:$AK,,0,1)=0,"",_xlfn.XLOOKUP($E101,'[1]Import Eletra'!$B:$B,'[1]Import Eletra'!$AK:$AK,,0,1))</f>
        <v>45964</v>
      </c>
      <c r="P101" s="331">
        <f>IF(_xlfn.XLOOKUP($E101,'[1]Import Eletra'!$B:$B,'[1]Import Eletra'!$AL:$AL,,0,1)=0,"",_xlfn.XLOOKUP($E101,'[1]Import Eletra'!$B:$B,'[1]Import Eletra'!$AL:$AL,,0,1))</f>
        <v>45964</v>
      </c>
      <c r="Q101" s="331">
        <f>IF(_xlfn.XLOOKUP($E101,'[1]Import Eletra'!$B:$B,'[1]Import Eletra'!$AM:$AM,,0,1)=0,"",_xlfn.XLOOKUP($E101,'[1]Import Eletra'!$B:$B,'[1]Import Eletra'!$AM:$AM,,0,1))</f>
        <v>45973</v>
      </c>
      <c r="R101" s="331">
        <f>IF(_xlfn.XLOOKUP($E101,'[1]Import Eletra'!$B:$B,'[1]Import Eletra'!$AN:$AN,,0,1)=0,"",_xlfn.XLOOKUP($E101,'[1]Import Eletra'!$B:$B,'[1]Import Eletra'!$AN:$AN,,0,1))</f>
        <v>45973</v>
      </c>
      <c r="S101" s="331">
        <f>IF(_xlfn.XLOOKUP($E101,'[1]Import Eletra'!$B:$B,'[1]Import Eletra'!$AO:$AO,,0,1)=0,"",_xlfn.XLOOKUP($E101,'[1]Import Eletra'!$B:$B,'[1]Import Eletra'!$AO:$AO,,0,1))</f>
        <v>45979</v>
      </c>
      <c r="T101" s="331">
        <f>IF(_xlfn.XLOOKUP($E101,'[1]Import Eletra'!$B:$B,'[1]Import Eletra'!$AP:$AP,,0,1)=0,"",_xlfn.XLOOKUP($E101,'[1]Import Eletra'!$B:$B,'[1]Import Eletra'!$AP:$AP,,0,1))</f>
        <v>45979</v>
      </c>
      <c r="U101" s="338">
        <f>IF(_xlfn.XLOOKUP($E101,'[1]Import Eletra'!$B:$B,'[1]Import Eletra'!$AQ:$AQ,,0,1)=0,"",_xlfn.XLOOKUP($E101,'[1]Import Eletra'!$B:$B,'[1]Import Eletra'!$AQ:$AQ,,0,1))</f>
        <v>46008</v>
      </c>
      <c r="V101" s="343">
        <f>IF(_xlfn.XLOOKUP($E101,'[1]Import Eletra'!$B:$B,'[1]Import Eletra'!$AQ:$AQ,,0,1)=0,"",_xlfn.XLOOKUP($E101,'[1]Import Eletra'!$B:$B,'[1]Import Eletra'!$AQ:$AQ,,0,1))</f>
        <v>46008</v>
      </c>
      <c r="W101" s="336">
        <f>AB101-$AB$4</f>
        <v>46018</v>
      </c>
      <c r="X101" s="345">
        <f>IF(_xlfn.XLOOKUP($E101,'[1]Import Eletra'!$B:$B,'[1]Import Eletra'!$AR:$AR,,0,1)=0,"",_xlfn.XLOOKUP($E101,'[1]Import Eletra'!$B:$B,'[1]Import Eletra'!$AR:$AR,,0,1))</f>
        <v>46007</v>
      </c>
      <c r="Y101" s="309">
        <f>$W$4</f>
        <v>0</v>
      </c>
      <c r="Z101" s="309">
        <f ca="1">IF(X101="",TODAY()-W101,X101-W101)</f>
        <v>-11</v>
      </c>
      <c r="AA101" s="310" t="str">
        <f ca="1">IF(AND(ISNUMBER($Z101),$Z101&gt;0),$Z101-$Y101,"")</f>
        <v/>
      </c>
      <c r="AB101" s="350">
        <f>AG101-$AB$4</f>
        <v>46018</v>
      </c>
      <c r="AC101" s="345">
        <f>IF(_xlfn.XLOOKUP($E101,'[1]Import Eletra'!$B:$B,'[1]Import Eletra'!$AD:$AD,,0,1)=0,"",_xlfn.XLOOKUP($E101,'[1]Import Eletra'!$B:$B,'[1]Import Eletra'!$AD:$AD,,0,1))</f>
        <v>46008</v>
      </c>
      <c r="AD101" s="309">
        <f>$AB$4</f>
        <v>0</v>
      </c>
      <c r="AE101" s="309">
        <f ca="1">IF(AC101="",TODAY()-AB101,AC101-AB101)</f>
        <v>-10</v>
      </c>
      <c r="AF101" s="310">
        <f ca="1">AE101-AD101</f>
        <v>-10</v>
      </c>
      <c r="AG101" s="356">
        <f>AL101-$AL$4</f>
        <v>46018</v>
      </c>
      <c r="AH101" s="345">
        <f>IF(_xlfn.XLOOKUP($E101,'[1]Import Eletra'!$B:$B,'[1]Import Eletra'!$AE:$AE,,0,1)=0,"",_xlfn.XLOOKUP($E101,'[1]Import Eletra'!$B:$B,'[1]Import Eletra'!$AE:$AE,,0,1))</f>
        <v>46008</v>
      </c>
      <c r="AI101" s="309">
        <f>$AG$4</f>
        <v>0</v>
      </c>
      <c r="AJ101" s="309">
        <f ca="1">IF(AH101="",TODAY()-AG101,AH101-AG101)</f>
        <v>-10</v>
      </c>
      <c r="AK101" s="310" t="str">
        <f ca="1">IF(AND(ISNUMBER($AJ101),$AJ101&gt;0),$AJ101-$AI101,"")</f>
        <v/>
      </c>
      <c r="AL101" s="356">
        <f>AQ101-$AQ$4</f>
        <v>46018</v>
      </c>
      <c r="AM101" s="345">
        <f>IF(_xlfn.XLOOKUP($E101,'[1]Import Eletra'!$B:$B,'[1]Import Eletra'!$AT:$AT,,0,1)=0,"",_xlfn.XLOOKUP($E101,'[1]Import Eletra'!$B:$B,'[1]Import Eletra'!$AT:$AT,,0,1))</f>
        <v>46008</v>
      </c>
      <c r="AN101" s="309">
        <f>$AL$4</f>
        <v>0</v>
      </c>
      <c r="AO101" s="309">
        <f ca="1">IF(AM101="",TODAY()-AL101,AM101-AL101)</f>
        <v>-10</v>
      </c>
      <c r="AP101" s="310" t="str">
        <f ca="1">IF(AND(ISNUMBER($AO101),$AO101&gt;0),$AO101-$AN101,"")</f>
        <v/>
      </c>
      <c r="AQ101" s="359">
        <f>AV101-$AV$4</f>
        <v>46019</v>
      </c>
      <c r="AR101" s="345">
        <f>IF(_xlfn.XLOOKUP($E101,'[1]Import Eletra'!$B:$B,'[1]Import Eletra'!$AU:$AU,,0,1)=0,"",_xlfn.XLOOKUP($E101,'[1]Import Eletra'!$B:$B,'[1]Import Eletra'!$AU:$AU,,0,1))</f>
        <v>46009</v>
      </c>
      <c r="AS101" s="309">
        <f>$AQ$4</f>
        <v>1</v>
      </c>
      <c r="AT101" s="309">
        <f ca="1">IF(AR101="",TODAY()-AQ101,AR101-AQ101)</f>
        <v>-10</v>
      </c>
      <c r="AU101" s="310" t="str">
        <f ca="1">IF(AND(ISNUMBER($AT101),$AT101&gt;0),$AT101-$AS101,"")</f>
        <v/>
      </c>
      <c r="AV101" s="356">
        <f>BA101-$BA$4</f>
        <v>46019</v>
      </c>
      <c r="AW101" s="345">
        <f>IF(_xlfn.XLOOKUP($E101,'[1]Import Eletra'!$B:$B,'[1]Import Eletra'!$AU:$AU,,0,1)=0,"",_xlfn.XLOOKUP($E101,'[1]Import Eletra'!$B:$B,'[1]Import Eletra'!$AU:$AU,,0,1))</f>
        <v>46009</v>
      </c>
      <c r="AX101" s="309">
        <f>$AV$4</f>
        <v>0</v>
      </c>
      <c r="AY101" s="309">
        <f ca="1">IF(AW101="",TODAY()-AV101,AW101-AV101)</f>
        <v>-10</v>
      </c>
      <c r="AZ101" s="310" t="str">
        <f ca="1">IF(AND(ISNUMBER($AY101),$AY101&gt;0),$AY101-$AX101,"")</f>
        <v/>
      </c>
      <c r="BA101" s="359">
        <f>BF101-$BF$4</f>
        <v>46019</v>
      </c>
      <c r="BB101" s="345" t="str">
        <f>IF(_xlfn.XLOOKUP($E101,'[1]Import Eletra'!$B:$B,'[1]Import Eletra'!$AW:$AW,,0,1)=0,"",_xlfn.XLOOKUP($E101,'[1]Import Eletra'!$B:$B,'[1]Import Eletra'!$AW:$AW,,0,1))</f>
        <v/>
      </c>
      <c r="BC101" s="309">
        <f>$BA$4</f>
        <v>0</v>
      </c>
      <c r="BD101" s="309">
        <f ca="1">IF(BB101="",TODAY()-BA101,BB101-BA101)</f>
        <v>192</v>
      </c>
      <c r="BE101" s="310">
        <f ca="1">BD101-BC101</f>
        <v>192</v>
      </c>
      <c r="BF101" s="336">
        <f>BK101-$BK$4</f>
        <v>46019</v>
      </c>
      <c r="BG101" s="345" t="str">
        <f>IF(_xlfn.XLOOKUP($E101,'[1]Import Eletra'!$B:$B,'[1]Import Eletra'!$AX:$AX,,0,1)=0,"",_xlfn.XLOOKUP($E101,'[1]Import Eletra'!$B:$B,'[1]Import Eletra'!$AX:$AX,,0,1))</f>
        <v/>
      </c>
      <c r="BH101" s="309">
        <f>$BF$4</f>
        <v>0</v>
      </c>
      <c r="BI101" s="309">
        <f ca="1">IF(BG101="",TODAY()-BF101,BG101-BF101)</f>
        <v>192</v>
      </c>
      <c r="BJ101" s="310">
        <f ca="1">IF(AND(ISNUMBER($BI101),$BI101&gt;0),$BI101-$BH101,"")</f>
        <v>192</v>
      </c>
      <c r="BK101" s="363">
        <f>BP101-$BP$4</f>
        <v>46019</v>
      </c>
      <c r="BL101" s="345">
        <f>IF(_xlfn.XLOOKUP($E101,'[1]Import Eletra'!$B:$B,'[1]Import Eletra'!$AY:$AY,,0,1)=0,"",_xlfn.XLOOKUP($E101,'[1]Import Eletra'!$B:$B,'[1]Import Eletra'!$AY:$AY,,0,1))</f>
        <v>46008</v>
      </c>
      <c r="BM101" s="309">
        <f>$BK$4</f>
        <v>0</v>
      </c>
      <c r="BN101" s="309">
        <f ca="1">IF(BL101="",TODAY()-BK101,BL101-BK101)</f>
        <v>-11</v>
      </c>
      <c r="BO101" s="310">
        <f ca="1">BN101-BM101</f>
        <v>-11</v>
      </c>
      <c r="BP101" s="336">
        <f>BU101-$BU$4</f>
        <v>46019</v>
      </c>
      <c r="BQ101" s="345">
        <f>IF(_xlfn.XLOOKUP($E101,'[1]Import Eletra'!$B:$B,'[1]Import Eletra'!$AZ:$AZ,,0,1)=0,"",_xlfn.XLOOKUP($E101,'[1]Import Eletra'!$B:$B,'[1]Import Eletra'!$AZ:$AZ,,0,1))</f>
        <v>46009</v>
      </c>
      <c r="BR101" s="309">
        <f>$BP$4</f>
        <v>0</v>
      </c>
      <c r="BS101" s="309">
        <f ca="1">IF(BQ101="",TODAY()-BP101,BQ101-BP101)</f>
        <v>-10</v>
      </c>
      <c r="BT101" s="310">
        <f ca="1">BS101-BR101</f>
        <v>-10</v>
      </c>
      <c r="BU101" s="363">
        <f>BZ101-$BZ$4</f>
        <v>46021</v>
      </c>
      <c r="BV101" s="345">
        <f>IF(_xlfn.XLOOKUP($E101,'[1]Import Eletra'!$B:$B,'[1]Import Eletra'!$BA:$BA,,0,1)=0,"",_xlfn.XLOOKUP($E101,'[1]Import Eletra'!$B:$B,'[1]Import Eletra'!$BA:$BA,,0,1))</f>
        <v>46013</v>
      </c>
      <c r="BW101" s="309">
        <f>$BU$4</f>
        <v>2</v>
      </c>
      <c r="BX101" s="309">
        <f ca="1">IF(BV101="",TODAY()-BU101,BV101-BU101)</f>
        <v>-8</v>
      </c>
      <c r="BY101" s="310" t="str">
        <f ca="1">IF(AND(ISNUMBER($BX101),$BX101&gt;0),$BX101-$BW101,"")</f>
        <v/>
      </c>
      <c r="BZ101" s="336">
        <f>CE101-$CE$4</f>
        <v>46021</v>
      </c>
      <c r="CA101" s="345">
        <f>IF(_xlfn.XLOOKUP($E101,'[1]Import Eletra'!$B:$B,'[1]Import Eletra'!$BB:$BB,,0,1)=0,"",_xlfn.XLOOKUP($E101,'[1]Import Eletra'!$B:$B,'[1]Import Eletra'!$BB:$BB,,0,1))</f>
        <v>46013</v>
      </c>
      <c r="CB101" s="309">
        <f>$BZ$4</f>
        <v>0</v>
      </c>
      <c r="CC101" s="309">
        <f ca="1">IF(CA101="",TODAY()-BZ101,CA101-BZ101)</f>
        <v>-8</v>
      </c>
      <c r="CD101" s="310">
        <f ca="1">CC101-CB101</f>
        <v>-8</v>
      </c>
      <c r="CE101" s="363">
        <f>CJ101-$CJ$4</f>
        <v>46021</v>
      </c>
      <c r="CF101" s="345">
        <f>IF(_xlfn.XLOOKUP($E101,'[1]Import Eletra'!$B:$B,'[1]Import Eletra'!$BC:$BC,,0,1)=0,"",_xlfn.XLOOKUP($E101,'[1]Import Eletra'!$B:$B,'[1]Import Eletra'!$BC:$BC,,0,1))</f>
        <v>46013</v>
      </c>
      <c r="CG101" s="309">
        <f>$CE$4</f>
        <v>0</v>
      </c>
      <c r="CH101" s="309">
        <f ca="1">IF(CF101="",TODAY()-CE101,CF101-CE101)</f>
        <v>-8</v>
      </c>
      <c r="CI101" s="310">
        <f ca="1">CH101-CG101</f>
        <v>-8</v>
      </c>
      <c r="CJ101" s="336">
        <f>CO101-$CO$4</f>
        <v>46021</v>
      </c>
      <c r="CK101" s="345">
        <f>IF(_xlfn.XLOOKUP($E101,'[1]Import Eletra'!$B:$B,'[1]Import Eletra'!$BD:$BD,,0,1)=0,"",_xlfn.XLOOKUP($E101,'[1]Import Eletra'!$B:$B,'[1]Import Eletra'!$BD:$BD,,0,1))</f>
        <v>46013</v>
      </c>
      <c r="CL101" s="309"/>
      <c r="CM101" s="309">
        <f ca="1">IF(CK101="",TODAY()-CJ101,CK101-CJ101)</f>
        <v>-8</v>
      </c>
      <c r="CN101" s="310">
        <f ca="1">CM101-CL101</f>
        <v>-8</v>
      </c>
      <c r="CO101" s="363">
        <f>CT101-$CT$4</f>
        <v>46021</v>
      </c>
      <c r="CP101" s="345">
        <f>IF(_xlfn.XLOOKUP($E101,'[1]Import Eletra'!$B:$B,'[1]Import Eletra'!$BE:$BE,,0,1)=0,"",_xlfn.XLOOKUP($E101,'[1]Import Eletra'!$B:$B,'[1]Import Eletra'!$BE:$BE,,0,1))</f>
        <v>46013</v>
      </c>
      <c r="CQ101" s="309">
        <f>$CO$4</f>
        <v>0</v>
      </c>
      <c r="CR101" s="309">
        <f ca="1">IF(CP101="",TODAY()-CO101,CP101-CO101)</f>
        <v>-8</v>
      </c>
      <c r="CS101" s="310">
        <f ca="1">CR101-CQ101</f>
        <v>-8</v>
      </c>
      <c r="CT101" s="336">
        <f>CY101-$CY$4</f>
        <v>46021</v>
      </c>
      <c r="CU101" s="345">
        <f>IF(_xlfn.XLOOKUP($E101,'[1]Import Eletra'!$B:$B,'[1]Import Eletra'!$BF:$BF,,0,1)=0,"",_xlfn.XLOOKUP($E101,'[1]Import Eletra'!$B:$B,'[1]Import Eletra'!$BF:$BF,,0,1))</f>
        <v>46013</v>
      </c>
      <c r="CV101" s="309">
        <f>$CT$4</f>
        <v>0</v>
      </c>
      <c r="CW101" s="309">
        <f ca="1">IF(CU101="",TODAY()-CT101,CU101-CT101)</f>
        <v>-8</v>
      </c>
      <c r="CX101" s="310">
        <f ca="1">CW101-CV101</f>
        <v>-8</v>
      </c>
      <c r="CY101" s="85">
        <f>DD101-$DD$4</f>
        <v>46021</v>
      </c>
      <c r="CZ101" s="271">
        <f>IF(_xlfn.XLOOKUP($E101,'[1]Import Eletra'!$B:$B,'[1]Import Eletra'!$BF:$BF,,0,1)=0,"",_xlfn.XLOOKUP($E101,'[1]Import Eletra'!$B:$B,'[1]Import Eletra'!$BF:$BF,,0,1))</f>
        <v>46013</v>
      </c>
      <c r="DA101" s="311">
        <f>$CY$4</f>
        <v>0</v>
      </c>
      <c r="DB101" s="309">
        <f ca="1">IF(CZ101="",TODAY()-CY101,CZ101-CY101)</f>
        <v>-8</v>
      </c>
      <c r="DC101" s="310">
        <f ca="1">DB101-DA101</f>
        <v>-8</v>
      </c>
      <c r="DD101" s="85">
        <f>DI101-$DI$4</f>
        <v>46023</v>
      </c>
      <c r="DE101" s="271">
        <f>IF(_xlfn.XLOOKUP($E101,'[1]Import Eletra'!$B:$B,'[1]Import Eletra'!$BG:$BG,,0,1)=0,"",_xlfn.XLOOKUP($E101,'[1]Import Eletra'!$B:$B,'[1]Import Eletra'!$BG:$BG,0,1))</f>
        <v>46014</v>
      </c>
      <c r="DF101" s="309">
        <f>$DD$4</f>
        <v>2</v>
      </c>
      <c r="DG101" s="309">
        <f ca="1">IF(DE101="",TODAY()-DD101,DE101-DD101)</f>
        <v>-9</v>
      </c>
      <c r="DH101" s="310">
        <f ca="1">DG101-DF101</f>
        <v>-11</v>
      </c>
      <c r="DI101" s="85">
        <f>DO101-$DN$4</f>
        <v>46024</v>
      </c>
      <c r="DJ101" s="271" t="str">
        <f>IF(_xlfn.XLOOKUP($E101,'[1]Import Eletra'!$B:$B,'[1]Import Eletra'!$BH:$BH,,0,1)=0,"",_xlfn.XLOOKUP($E101,'[1]Import Eletra'!$B:$B,'[1]Import Eletra'!$BH:$BH,0,1))</f>
        <v/>
      </c>
      <c r="DK101" s="309">
        <f>$DI$4</f>
        <v>1</v>
      </c>
      <c r="DL101" s="309">
        <f ca="1">IF(DJ101="",TODAY()-DI101,DJ101-DI101)</f>
        <v>187</v>
      </c>
      <c r="DM101" s="310">
        <f ca="1">DL101-DK101</f>
        <v>186</v>
      </c>
      <c r="DN101" s="312"/>
      <c r="DO101" s="313">
        <f>IF(V101="",N101+DT101,V101+DT101)</f>
        <v>46025</v>
      </c>
      <c r="DP101" s="59">
        <f>IF(_xlfn.XLOOKUP($E101,'[1]Import Eletra'!$B:$B,'[1]Import Eletra'!$O:$O,,0,1)=0,"",_xlfn.XLOOKUP($E101,'[1]Import Eletra'!$B:$B,'[1]Import Eletra'!$O:$O,0,1))</f>
        <v>46035</v>
      </c>
      <c r="DQ101" s="309">
        <f>$DN$4</f>
        <v>1</v>
      </c>
      <c r="DR101" s="309">
        <f ca="1">IF(DP101="",TODAY()-DO101,DP101-DO101)</f>
        <v>10</v>
      </c>
      <c r="DS101" s="310">
        <f ca="1">DR101-DQ101</f>
        <v>9</v>
      </c>
      <c r="DT101" s="314">
        <v>17</v>
      </c>
      <c r="DU101" s="140">
        <f ca="1">IF(DP101="",TODAY()-N101,DP101-N101)</f>
        <v>31</v>
      </c>
      <c r="DV101" s="184">
        <f ca="1">DU101-DT101</f>
        <v>14</v>
      </c>
      <c r="DX101" s="316"/>
      <c r="DY101" s="108" t="str">
        <f>IF(_xlfn.XLOOKUP($E101,'[1]Import Eletra'!$B:$B,'[1]Import Eletra'!$DW:$DW,,0,1)=0,"",_xlfn.XLOOKUP($E101,'[1]Import Eletra'!$B:$B,'[1]Import Eletra'!$DW:$DW,0,1))</f>
        <v/>
      </c>
      <c r="EB101" s="317"/>
      <c r="ED101" s="406">
        <f>IF(_xlfn.XLOOKUP($E101,'[1]Import Eletra'!$B:$B,'[1]Import Eletra'!$BQ:$BQ,,0,1)=0,"",_xlfn.XLOOKUP($E101,'[1]Import Eletra'!$B:$B,'[1]Import Eletra'!$BQ:$BQ,0,1))</f>
        <v>8573.2999999999993</v>
      </c>
      <c r="EE101" s="407">
        <f>IF(_xlfn.XLOOKUP($E101,'[1]Import Eletra'!$B:$B,'[1]Import Eletra'!$BR:$BR,,0,1)=0,"",_xlfn.XLOOKUP($E101,'[1]Import Eletra'!$B:$B,'[1]Import Eletra'!$BR:$BR,0,1))</f>
        <v>46031</v>
      </c>
      <c r="EF101" s="406" t="str">
        <f>IF(_xlfn.XLOOKUP($E101,'[1]Import Eletra'!$B:$B,'[1]Import Eletra'!$BS:$BS,,0,1)=0,"",_xlfn.XLOOKUP($E101,'[1]Import Eletra'!$B:$B,'[1]Import Eletra'!$BS:$BS,0,1))</f>
        <v/>
      </c>
      <c r="EG101" s="407" t="str">
        <f>IF(_xlfn.XLOOKUP($E101,'[1]Import Eletra'!$B:$B,'[1]Import Eletra'!$BT:$BT,,0,1)=0,"",_xlfn.XLOOKUP($E101,'[1]Import Eletra'!$B:$B,'[1]Import Eletra'!$BT:$BT,0,1))</f>
        <v/>
      </c>
      <c r="EH101" s="406" t="str">
        <f>IF(_xlfn.XLOOKUP($E101,'[1]Import Eletra'!$B:$B,'[1]Import Eletra'!$BU:$BU,,0,1)=0,"",_xlfn.XLOOKUP($E101,'[1]Import Eletra'!$B:$B,'[1]Import Eletra'!$BU:$BU,0,1))</f>
        <v/>
      </c>
      <c r="EI101" s="407" t="str">
        <f>IF(_xlfn.XLOOKUP($E101,'[1]Import Eletra'!$B:$B,'[1]Import Eletra'!$BV:$BV,,0,1)=0,"",_xlfn.XLOOKUP($E101,'[1]Import Eletra'!$B:$B,'[1]Import Eletra'!$BV:$BV,0,1))</f>
        <v/>
      </c>
      <c r="EJ101" s="407">
        <f>IF(_xlfn.XLOOKUP($E101,'[1]Import Eletra'!$B:$B,'[1]Import Eletra'!$CI:$CI,,0,1)=0,"",_xlfn.XLOOKUP($E101,'[1]Import Eletra'!$B:$B,'[1]Import Eletra'!$CI:$CI,0,1))</f>
        <v>46022</v>
      </c>
      <c r="EK101" s="407">
        <f>IF(_xlfn.XLOOKUP($E101,'[1]Import Eletra'!$B:$B,'[1]Import Eletra'!$CD:$CD,,0,1)=0,"",_xlfn.XLOOKUP($E101,'[1]Import Eletra'!$B:$B,'[1]Import Eletra'!$CD:$CD,0,1))</f>
        <v>46021</v>
      </c>
      <c r="EL101" s="407" t="str">
        <f>IF(_xlfn.XLOOKUP($E101,'[1]Import Eletra'!$B:$B,'[1]Import Eletra'!$CE:$CE,,0,1)=0,"",_xlfn.XLOOKUP($E101,'[1]Import Eletra'!$B:$B,'[1]Import Eletra'!$CE:$CE,0,1))</f>
        <v>NÃO</v>
      </c>
      <c r="EM101" s="408" t="str">
        <f>IF(_xlfn.XLOOKUP($E101,'[1]Import Eletra'!$B:$B,'[1]Import Eletra'!$E:$E,,0,1)=0,"",_xlfn.XLOOKUP($E101,'[1]Import Eletra'!$B:$B,'[1]Import Eletra'!$E:$E,0,1))</f>
        <v>STELLA</v>
      </c>
      <c r="EN101" s="408" t="str">
        <f>IF(_xlfn.XLOOKUP($E101,'[1]Import Eletra'!$B:$B,'[1]Import Eletra'!$E:$E,,0,1)=0,"",_xlfn.XLOOKUP($E101,'[1]Import Eletra'!$B:$B,'[1]Import Eletra'!$E:$E,0,1))</f>
        <v>STELLA</v>
      </c>
      <c r="EO101" s="408" t="str">
        <f>IF(_xlfn.XLOOKUP($E101,'[1]Import Eletra'!$B:$B,'[1]Import Eletra'!$E:$E,,0,1)=0,"",_xlfn.XLOOKUP($E101,'[1]Import Eletra'!$B:$B,'[1]Import Eletra'!$E:$E,0,1))</f>
        <v>STELLA</v>
      </c>
      <c r="EP101" s="408" t="str">
        <f>IF(_xlfn.XLOOKUP($E101,'[1]Import Eletra'!$B:$B,'[1]Import Eletra'!$E:$E,,0,1)=0,"",_xlfn.XLOOKUP($E101,'[1]Import Eletra'!$B:$B,'[1]Import Eletra'!$E:$E,0,1))</f>
        <v>STELLA</v>
      </c>
    </row>
    <row r="102" spans="1:146" s="315" customFormat="1" ht="30" hidden="1" customHeight="1" outlineLevel="1">
      <c r="A102" s="305"/>
      <c r="B102" s="306"/>
      <c r="C102" s="306"/>
      <c r="D102" s="306"/>
      <c r="E102" s="318" t="s">
        <v>398</v>
      </c>
      <c r="F102" s="307">
        <f>IF(_xlfn.XLOOKUP($E102,'[1]Import Eletra'!$B:$B,'[1]Import Eletra'!$U:$U,,0,1)=0,"",_xlfn.XLOOKUP($E102,'[1]Import Eletra'!$B:$B,'[1]Import Eletra'!$U:$U,,0,1))</f>
        <v>2</v>
      </c>
      <c r="G102" s="320" t="s">
        <v>244</v>
      </c>
      <c r="H102" s="59" t="str">
        <f>_xlfn.XLOOKUP($E102,'[1]Import Eletra'!$B:$B,'[1]Import Eletra'!$F:$F,,0,1)</f>
        <v>DELIVERED</v>
      </c>
      <c r="I102" s="4" t="str">
        <f>_xlfn.XLOOKUP($E102,'[1]Import Eletra'!$B:$B,'[1]Import Eletra'!$G:$G,,0,1)</f>
        <v>SEA</v>
      </c>
      <c r="J102" s="331"/>
      <c r="K102" s="308"/>
      <c r="L102" s="308"/>
      <c r="M102" s="331">
        <f>IF(_xlfn.XLOOKUP($E102,'[1]Import Eletra'!$B:$B,'[1]Import Eletra'!$J:$J,,0,1)=0,"",_xlfn.XLOOKUP($E102,'[1]Import Eletra'!$B:$B,'[1]Import Eletra'!$J:$J,,0,1))</f>
        <v>45931</v>
      </c>
      <c r="N102" s="334">
        <f>IF(_xlfn.XLOOKUP($E102,'[1]Import Eletra'!$B:$B,'[1]Import Eletra'!$L:$L,,0,1)=0,"",_xlfn.XLOOKUP($E102,'[1]Import Eletra'!$B:$B,'[1]Import Eletra'!$L:$L,,0,1))</f>
        <v>46004</v>
      </c>
      <c r="O102" s="336">
        <f>IF(_xlfn.XLOOKUP($E102,'[1]Import Eletra'!$B:$B,'[1]Import Eletra'!$AK:$AK,,0,1)=0,"",_xlfn.XLOOKUP($E102,'[1]Import Eletra'!$B:$B,'[1]Import Eletra'!$AK:$AK,,0,1))</f>
        <v>45964</v>
      </c>
      <c r="P102" s="331">
        <f>IF(_xlfn.XLOOKUP($E102,'[1]Import Eletra'!$B:$B,'[1]Import Eletra'!$AL:$AL,,0,1)=0,"",_xlfn.XLOOKUP($E102,'[1]Import Eletra'!$B:$B,'[1]Import Eletra'!$AL:$AL,,0,1))</f>
        <v>45964</v>
      </c>
      <c r="Q102" s="331">
        <f>IF(_xlfn.XLOOKUP($E102,'[1]Import Eletra'!$B:$B,'[1]Import Eletra'!$AM:$AM,,0,1)=0,"",_xlfn.XLOOKUP($E102,'[1]Import Eletra'!$B:$B,'[1]Import Eletra'!$AM:$AM,,0,1))</f>
        <v>45968</v>
      </c>
      <c r="R102" s="331">
        <f>IF(_xlfn.XLOOKUP($E102,'[1]Import Eletra'!$B:$B,'[1]Import Eletra'!$AN:$AN,,0,1)=0,"",_xlfn.XLOOKUP($E102,'[1]Import Eletra'!$B:$B,'[1]Import Eletra'!$AN:$AN,,0,1))</f>
        <v>45980</v>
      </c>
      <c r="S102" s="331">
        <f>IF(_xlfn.XLOOKUP($E102,'[1]Import Eletra'!$B:$B,'[1]Import Eletra'!$AO:$AO,,0,1)=0,"",_xlfn.XLOOKUP($E102,'[1]Import Eletra'!$B:$B,'[1]Import Eletra'!$AO:$AO,,0,1))</f>
        <v>45987</v>
      </c>
      <c r="T102" s="331">
        <f>IF(_xlfn.XLOOKUP($E102,'[1]Import Eletra'!$B:$B,'[1]Import Eletra'!$AP:$AP,,0,1)=0,"",_xlfn.XLOOKUP($E102,'[1]Import Eletra'!$B:$B,'[1]Import Eletra'!$AP:$AP,,0,1))</f>
        <v>45987</v>
      </c>
      <c r="U102" s="338">
        <f>IF(_xlfn.XLOOKUP($E102,'[1]Import Eletra'!$B:$B,'[1]Import Eletra'!$AQ:$AQ,,0,1)=0,"",_xlfn.XLOOKUP($E102,'[1]Import Eletra'!$B:$B,'[1]Import Eletra'!$AQ:$AQ,,0,1))</f>
        <v>46007</v>
      </c>
      <c r="V102" s="343">
        <f>IF(_xlfn.XLOOKUP($E102,'[1]Import Eletra'!$B:$B,'[1]Import Eletra'!$AQ:$AQ,,0,1)=0,"",_xlfn.XLOOKUP($E102,'[1]Import Eletra'!$B:$B,'[1]Import Eletra'!$AQ:$AQ,,0,1))</f>
        <v>46007</v>
      </c>
      <c r="W102" s="336">
        <f>AB102-$AB$4</f>
        <v>46017</v>
      </c>
      <c r="X102" s="345">
        <f>IF(_xlfn.XLOOKUP($E102,'[1]Import Eletra'!$B:$B,'[1]Import Eletra'!$AR:$AR,,0,1)=0,"",_xlfn.XLOOKUP($E102,'[1]Import Eletra'!$B:$B,'[1]Import Eletra'!$AR:$AR,,0,1))</f>
        <v>46007</v>
      </c>
      <c r="Y102" s="309">
        <f>$W$4</f>
        <v>0</v>
      </c>
      <c r="Z102" s="309">
        <f ca="1">IF(X102="",TODAY()-W102,X102-W102)</f>
        <v>-10</v>
      </c>
      <c r="AA102" s="310" t="str">
        <f ca="1">IF(AND(ISNUMBER($Z102),$Z102&gt;0),$Z102-$Y102,"")</f>
        <v/>
      </c>
      <c r="AB102" s="350">
        <f>AG102-$AB$4</f>
        <v>46017</v>
      </c>
      <c r="AC102" s="345" t="str">
        <f>IF(_xlfn.XLOOKUP($E102,'[1]Import Eletra'!$B:$B,'[1]Import Eletra'!$AD:$AD,,0,1)=0,"",_xlfn.XLOOKUP($E102,'[1]Import Eletra'!$B:$B,'[1]Import Eletra'!$AD:$AD,,0,1))</f>
        <v>16/12/25</v>
      </c>
      <c r="AD102" s="309">
        <f>$AB$4</f>
        <v>0</v>
      </c>
      <c r="AE102" s="309">
        <f ca="1">IF(AC102="",TODAY()-AB102,AC102-AB102)</f>
        <v>-10</v>
      </c>
      <c r="AF102" s="310">
        <f ca="1">AE102-AD102</f>
        <v>-10</v>
      </c>
      <c r="AG102" s="356">
        <f>AL102-$AL$4</f>
        <v>46017</v>
      </c>
      <c r="AH102" s="345" t="str">
        <f>IF(_xlfn.XLOOKUP($E102,'[1]Import Eletra'!$B:$B,'[1]Import Eletra'!$AE:$AE,,0,1)=0,"",_xlfn.XLOOKUP($E102,'[1]Import Eletra'!$B:$B,'[1]Import Eletra'!$AE:$AE,,0,1))</f>
        <v>16/12/25</v>
      </c>
      <c r="AI102" s="309">
        <f>$AG$4</f>
        <v>0</v>
      </c>
      <c r="AJ102" s="309">
        <f ca="1">IF(AH102="",TODAY()-AG102,AH102-AG102)</f>
        <v>-10</v>
      </c>
      <c r="AK102" s="310" t="str">
        <f ca="1">IF(AND(ISNUMBER($AJ102),$AJ102&gt;0),$AJ102-$AI102,"")</f>
        <v/>
      </c>
      <c r="AL102" s="356">
        <f>AQ102-$AQ$4</f>
        <v>46017</v>
      </c>
      <c r="AM102" s="345">
        <f>IF(_xlfn.XLOOKUP($E102,'[1]Import Eletra'!$B:$B,'[1]Import Eletra'!$AT:$AT,,0,1)=0,"",_xlfn.XLOOKUP($E102,'[1]Import Eletra'!$B:$B,'[1]Import Eletra'!$AT:$AT,,0,1))</f>
        <v>46007</v>
      </c>
      <c r="AN102" s="309">
        <f>$AL$4</f>
        <v>0</v>
      </c>
      <c r="AO102" s="309">
        <f ca="1">IF(AM102="",TODAY()-AL102,AM102-AL102)</f>
        <v>-10</v>
      </c>
      <c r="AP102" s="310" t="str">
        <f ca="1">IF(AND(ISNUMBER($AO102),$AO102&gt;0),$AO102-$AN102,"")</f>
        <v/>
      </c>
      <c r="AQ102" s="359">
        <f>AV102-$AV$4</f>
        <v>46018</v>
      </c>
      <c r="AR102" s="345">
        <f>IF(_xlfn.XLOOKUP($E102,'[1]Import Eletra'!$B:$B,'[1]Import Eletra'!$AU:$AU,,0,1)=0,"",_xlfn.XLOOKUP($E102,'[1]Import Eletra'!$B:$B,'[1]Import Eletra'!$AU:$AU,,0,1))</f>
        <v>46009</v>
      </c>
      <c r="AS102" s="309">
        <f>$AQ$4</f>
        <v>1</v>
      </c>
      <c r="AT102" s="309">
        <f ca="1">IF(AR102="",TODAY()-AQ102,AR102-AQ102)</f>
        <v>-9</v>
      </c>
      <c r="AU102" s="310" t="str">
        <f ca="1">IF(AND(ISNUMBER($AT102),$AT102&gt;0),$AT102-$AS102,"")</f>
        <v/>
      </c>
      <c r="AV102" s="356">
        <f>BA102-$BA$4</f>
        <v>46018</v>
      </c>
      <c r="AW102" s="345">
        <f>IF(_xlfn.XLOOKUP($E102,'[1]Import Eletra'!$B:$B,'[1]Import Eletra'!$AU:$AU,,0,1)=0,"",_xlfn.XLOOKUP($E102,'[1]Import Eletra'!$B:$B,'[1]Import Eletra'!$AU:$AU,,0,1))</f>
        <v>46009</v>
      </c>
      <c r="AX102" s="309">
        <f>$AV$4</f>
        <v>0</v>
      </c>
      <c r="AY102" s="309">
        <f ca="1">IF(AW102="",TODAY()-AV102,AW102-AV102)</f>
        <v>-9</v>
      </c>
      <c r="AZ102" s="310" t="str">
        <f ca="1">IF(AND(ISNUMBER($AY102),$AY102&gt;0),$AY102-$AX102,"")</f>
        <v/>
      </c>
      <c r="BA102" s="359">
        <f>BF102-$BF$4</f>
        <v>46018</v>
      </c>
      <c r="BB102" s="345" t="str">
        <f>IF(_xlfn.XLOOKUP($E102,'[1]Import Eletra'!$B:$B,'[1]Import Eletra'!$AW:$AW,,0,1)=0,"",_xlfn.XLOOKUP($E102,'[1]Import Eletra'!$B:$B,'[1]Import Eletra'!$AW:$AW,,0,1))</f>
        <v/>
      </c>
      <c r="BC102" s="309">
        <f>$BA$4</f>
        <v>0</v>
      </c>
      <c r="BD102" s="309">
        <f ca="1">IF(BB102="",TODAY()-BA102,BB102-BA102)</f>
        <v>193</v>
      </c>
      <c r="BE102" s="310">
        <f ca="1">BD102-BC102</f>
        <v>193</v>
      </c>
      <c r="BF102" s="336">
        <f>BK102-$BK$4</f>
        <v>46018</v>
      </c>
      <c r="BG102" s="345" t="str">
        <f>IF(_xlfn.XLOOKUP($E102,'[1]Import Eletra'!$B:$B,'[1]Import Eletra'!$AX:$AX,,0,1)=0,"",_xlfn.XLOOKUP($E102,'[1]Import Eletra'!$B:$B,'[1]Import Eletra'!$AX:$AX,,0,1))</f>
        <v/>
      </c>
      <c r="BH102" s="309">
        <f>$BF$4</f>
        <v>0</v>
      </c>
      <c r="BI102" s="309">
        <f ca="1">IF(BG102="",TODAY()-BF102,BG102-BF102)</f>
        <v>193</v>
      </c>
      <c r="BJ102" s="310">
        <f ca="1">IF(AND(ISNUMBER($BI102),$BI102&gt;0),$BI102-$BH102,"")</f>
        <v>193</v>
      </c>
      <c r="BK102" s="363">
        <f>BP102-$BP$4</f>
        <v>46018</v>
      </c>
      <c r="BL102" s="345">
        <f>IF(_xlfn.XLOOKUP($E102,'[1]Import Eletra'!$B:$B,'[1]Import Eletra'!$AY:$AY,,0,1)=0,"",_xlfn.XLOOKUP($E102,'[1]Import Eletra'!$B:$B,'[1]Import Eletra'!$AY:$AY,,0,1))</f>
        <v>46007</v>
      </c>
      <c r="BM102" s="309">
        <f>$BK$4</f>
        <v>0</v>
      </c>
      <c r="BN102" s="309">
        <f ca="1">IF(BL102="",TODAY()-BK102,BL102-BK102)</f>
        <v>-11</v>
      </c>
      <c r="BO102" s="310">
        <f ca="1">BN102-BM102</f>
        <v>-11</v>
      </c>
      <c r="BP102" s="336">
        <f>BU102-$BU$4</f>
        <v>46018</v>
      </c>
      <c r="BQ102" s="345">
        <f>IF(_xlfn.XLOOKUP($E102,'[1]Import Eletra'!$B:$B,'[1]Import Eletra'!$AZ:$AZ,,0,1)=0,"",_xlfn.XLOOKUP($E102,'[1]Import Eletra'!$B:$B,'[1]Import Eletra'!$AZ:$AZ,,0,1))</f>
        <v>46009</v>
      </c>
      <c r="BR102" s="309">
        <f>$BP$4</f>
        <v>0</v>
      </c>
      <c r="BS102" s="309">
        <f ca="1">IF(BQ102="",TODAY()-BP102,BQ102-BP102)</f>
        <v>-9</v>
      </c>
      <c r="BT102" s="310">
        <f ca="1">BS102-BR102</f>
        <v>-9</v>
      </c>
      <c r="BU102" s="363">
        <f>BZ102-$BZ$4</f>
        <v>46020</v>
      </c>
      <c r="BV102" s="345">
        <f>IF(_xlfn.XLOOKUP($E102,'[1]Import Eletra'!$B:$B,'[1]Import Eletra'!$BA:$BA,,0,1)=0,"",_xlfn.XLOOKUP($E102,'[1]Import Eletra'!$B:$B,'[1]Import Eletra'!$BA:$BA,,0,1))</f>
        <v>46010</v>
      </c>
      <c r="BW102" s="309">
        <f>$BU$4</f>
        <v>2</v>
      </c>
      <c r="BX102" s="309">
        <f ca="1">IF(BV102="",TODAY()-BU102,BV102-BU102)</f>
        <v>-10</v>
      </c>
      <c r="BY102" s="310" t="str">
        <f ca="1">IF(AND(ISNUMBER($BX102),$BX102&gt;0),$BX102-$BW102,"")</f>
        <v/>
      </c>
      <c r="BZ102" s="336">
        <f>CE102-$CE$4</f>
        <v>46020</v>
      </c>
      <c r="CA102" s="345">
        <f>IF(_xlfn.XLOOKUP($E102,'[1]Import Eletra'!$B:$B,'[1]Import Eletra'!$BB:$BB,,0,1)=0,"",_xlfn.XLOOKUP($E102,'[1]Import Eletra'!$B:$B,'[1]Import Eletra'!$BB:$BB,,0,1))</f>
        <v>46010</v>
      </c>
      <c r="CB102" s="309">
        <f>$BZ$4</f>
        <v>0</v>
      </c>
      <c r="CC102" s="309">
        <f ca="1">IF(CA102="",TODAY()-BZ102,CA102-BZ102)</f>
        <v>-10</v>
      </c>
      <c r="CD102" s="310">
        <f ca="1">CC102-CB102</f>
        <v>-10</v>
      </c>
      <c r="CE102" s="363">
        <f>CJ102-$CJ$4</f>
        <v>46020</v>
      </c>
      <c r="CF102" s="345">
        <f>IF(_xlfn.XLOOKUP($E102,'[1]Import Eletra'!$B:$B,'[1]Import Eletra'!$BC:$BC,,0,1)=0,"",_xlfn.XLOOKUP($E102,'[1]Import Eletra'!$B:$B,'[1]Import Eletra'!$BC:$BC,,0,1))</f>
        <v>46013</v>
      </c>
      <c r="CG102" s="309">
        <f>$CE$4</f>
        <v>0</v>
      </c>
      <c r="CH102" s="309">
        <f ca="1">IF(CF102="",TODAY()-CE102,CF102-CE102)</f>
        <v>-7</v>
      </c>
      <c r="CI102" s="310">
        <f ca="1">CH102-CG102</f>
        <v>-7</v>
      </c>
      <c r="CJ102" s="336">
        <f>CO102-$CO$4</f>
        <v>46020</v>
      </c>
      <c r="CK102" s="345">
        <f>IF(_xlfn.XLOOKUP($E102,'[1]Import Eletra'!$B:$B,'[1]Import Eletra'!$BD:$BD,,0,1)=0,"",_xlfn.XLOOKUP($E102,'[1]Import Eletra'!$B:$B,'[1]Import Eletra'!$BD:$BD,,0,1))</f>
        <v>46010</v>
      </c>
      <c r="CL102" s="309"/>
      <c r="CM102" s="309">
        <f ca="1">IF(CK102="",TODAY()-CJ102,CK102-CJ102)</f>
        <v>-10</v>
      </c>
      <c r="CN102" s="310">
        <f ca="1">CM102-CL102</f>
        <v>-10</v>
      </c>
      <c r="CO102" s="363">
        <f>CT102-$CT$4</f>
        <v>46020</v>
      </c>
      <c r="CP102" s="345">
        <f>IF(_xlfn.XLOOKUP($E102,'[1]Import Eletra'!$B:$B,'[1]Import Eletra'!$BE:$BE,,0,1)=0,"",_xlfn.XLOOKUP($E102,'[1]Import Eletra'!$B:$B,'[1]Import Eletra'!$BE:$BE,,0,1))</f>
        <v>46013</v>
      </c>
      <c r="CQ102" s="309">
        <f>$CO$4</f>
        <v>0</v>
      </c>
      <c r="CR102" s="309">
        <f ca="1">IF(CP102="",TODAY()-CO102,CP102-CO102)</f>
        <v>-7</v>
      </c>
      <c r="CS102" s="310">
        <f ca="1">CR102-CQ102</f>
        <v>-7</v>
      </c>
      <c r="CT102" s="336">
        <f>CY102-$CY$4</f>
        <v>46020</v>
      </c>
      <c r="CU102" s="345">
        <f>IF(_xlfn.XLOOKUP($E102,'[1]Import Eletra'!$B:$B,'[1]Import Eletra'!$BF:$BF,,0,1)=0,"",_xlfn.XLOOKUP($E102,'[1]Import Eletra'!$B:$B,'[1]Import Eletra'!$BF:$BF,,0,1))</f>
        <v>46013</v>
      </c>
      <c r="CV102" s="309">
        <f>$CT$4</f>
        <v>0</v>
      </c>
      <c r="CW102" s="309">
        <f ca="1">IF(CU102="",TODAY()-CT102,CU102-CT102)</f>
        <v>-7</v>
      </c>
      <c r="CX102" s="310">
        <f ca="1">CW102-CV102</f>
        <v>-7</v>
      </c>
      <c r="CY102" s="85">
        <f>DD102-$DD$4</f>
        <v>46020</v>
      </c>
      <c r="CZ102" s="271">
        <f>IF(_xlfn.XLOOKUP($E102,'[1]Import Eletra'!$B:$B,'[1]Import Eletra'!$BF:$BF,,0,1)=0,"",_xlfn.XLOOKUP($E102,'[1]Import Eletra'!$B:$B,'[1]Import Eletra'!$BF:$BF,,0,1))</f>
        <v>46013</v>
      </c>
      <c r="DA102" s="311">
        <f>$CY$4</f>
        <v>0</v>
      </c>
      <c r="DB102" s="309">
        <f ca="1">IF(CZ102="",TODAY()-CY102,CZ102-CY102)</f>
        <v>-7</v>
      </c>
      <c r="DC102" s="310">
        <f ca="1">DB102-DA102</f>
        <v>-7</v>
      </c>
      <c r="DD102" s="85">
        <f>DI102-$DI$4</f>
        <v>46022</v>
      </c>
      <c r="DE102" s="271">
        <f>IF(_xlfn.XLOOKUP($E102,'[1]Import Eletra'!$B:$B,'[1]Import Eletra'!$BG:$BG,,0,1)=0,"",_xlfn.XLOOKUP($E102,'[1]Import Eletra'!$B:$B,'[1]Import Eletra'!$BG:$BG,0,1))</f>
        <v>46014</v>
      </c>
      <c r="DF102" s="309">
        <f>$DD$4</f>
        <v>2</v>
      </c>
      <c r="DG102" s="309">
        <f ca="1">IF(DE102="",TODAY()-DD102,DE102-DD102)</f>
        <v>-8</v>
      </c>
      <c r="DH102" s="310">
        <f ca="1">DG102-DF102</f>
        <v>-10</v>
      </c>
      <c r="DI102" s="85">
        <f>DO102-$DN$4</f>
        <v>46023</v>
      </c>
      <c r="DJ102" s="271" t="str">
        <f>IF(_xlfn.XLOOKUP($E102,'[1]Import Eletra'!$B:$B,'[1]Import Eletra'!$BH:$BH,,0,1)=0,"",_xlfn.XLOOKUP($E102,'[1]Import Eletra'!$B:$B,'[1]Import Eletra'!$BH:$BH,0,1))</f>
        <v/>
      </c>
      <c r="DK102" s="309">
        <f>$DI$4</f>
        <v>1</v>
      </c>
      <c r="DL102" s="309">
        <f ca="1">IF(DJ102="",TODAY()-DI102,DJ102-DI102)</f>
        <v>188</v>
      </c>
      <c r="DM102" s="310">
        <f ca="1">DL102-DK102</f>
        <v>187</v>
      </c>
      <c r="DN102" s="312"/>
      <c r="DO102" s="313">
        <f>IF(V102="",N102+DT102,V102+DT102)</f>
        <v>46024</v>
      </c>
      <c r="DP102" s="59">
        <f>IF(_xlfn.XLOOKUP($E102,'[1]Import Eletra'!$B:$B,'[1]Import Eletra'!$O:$O,,0,1)=0,"",_xlfn.XLOOKUP($E102,'[1]Import Eletra'!$B:$B,'[1]Import Eletra'!$O:$O,0,1))</f>
        <v>46035</v>
      </c>
      <c r="DQ102" s="309">
        <f>$DN$4</f>
        <v>1</v>
      </c>
      <c r="DR102" s="309">
        <f ca="1">IF(DP102="",TODAY()-DO102,DP102-DO102)</f>
        <v>11</v>
      </c>
      <c r="DS102" s="310">
        <f ca="1">DR102-DQ102</f>
        <v>10</v>
      </c>
      <c r="DT102" s="314">
        <v>17</v>
      </c>
      <c r="DU102" s="140">
        <f ca="1">IF(DP102="",TODAY()-N102,DP102-N102)</f>
        <v>31</v>
      </c>
      <c r="DV102" s="184">
        <f ca="1">DU102-DT102</f>
        <v>14</v>
      </c>
      <c r="DX102" s="316"/>
      <c r="DY102" s="108" t="str">
        <f>IF(_xlfn.XLOOKUP($E102,'[1]Import Eletra'!$B:$B,'[1]Import Eletra'!$DW:$DW,,0,1)=0,"",_xlfn.XLOOKUP($E102,'[1]Import Eletra'!$B:$B,'[1]Import Eletra'!$DW:$DW,0,1))</f>
        <v/>
      </c>
      <c r="EB102" s="317"/>
      <c r="ED102" s="406">
        <f>IF(_xlfn.XLOOKUP($E102,'[1]Import Eletra'!$B:$B,'[1]Import Eletra'!$BQ:$BQ,,0,1)=0,"",_xlfn.XLOOKUP($E102,'[1]Import Eletra'!$B:$B,'[1]Import Eletra'!$BQ:$BQ,0,1))</f>
        <v>11270.26</v>
      </c>
      <c r="EE102" s="407">
        <f>IF(_xlfn.XLOOKUP($E102,'[1]Import Eletra'!$B:$B,'[1]Import Eletra'!$BR:$BR,,0,1)=0,"",_xlfn.XLOOKUP($E102,'[1]Import Eletra'!$B:$B,'[1]Import Eletra'!$BR:$BR,0,1))</f>
        <v>46031</v>
      </c>
      <c r="EF102" s="406" t="str">
        <f>IF(_xlfn.XLOOKUP($E102,'[1]Import Eletra'!$B:$B,'[1]Import Eletra'!$BS:$BS,,0,1)=0,"",_xlfn.XLOOKUP($E102,'[1]Import Eletra'!$B:$B,'[1]Import Eletra'!$BS:$BS,0,1))</f>
        <v/>
      </c>
      <c r="EG102" s="407" t="str">
        <f>IF(_xlfn.XLOOKUP($E102,'[1]Import Eletra'!$B:$B,'[1]Import Eletra'!$BT:$BT,,0,1)=0,"",_xlfn.XLOOKUP($E102,'[1]Import Eletra'!$B:$B,'[1]Import Eletra'!$BT:$BT,0,1))</f>
        <v/>
      </c>
      <c r="EH102" s="406" t="str">
        <f>IF(_xlfn.XLOOKUP($E102,'[1]Import Eletra'!$B:$B,'[1]Import Eletra'!$BU:$BU,,0,1)=0,"",_xlfn.XLOOKUP($E102,'[1]Import Eletra'!$B:$B,'[1]Import Eletra'!$BU:$BU,0,1))</f>
        <v/>
      </c>
      <c r="EI102" s="407" t="str">
        <f>IF(_xlfn.XLOOKUP($E102,'[1]Import Eletra'!$B:$B,'[1]Import Eletra'!$BV:$BV,,0,1)=0,"",_xlfn.XLOOKUP($E102,'[1]Import Eletra'!$B:$B,'[1]Import Eletra'!$BV:$BV,0,1))</f>
        <v/>
      </c>
      <c r="EJ102" s="407">
        <f>IF(_xlfn.XLOOKUP($E102,'[1]Import Eletra'!$B:$B,'[1]Import Eletra'!$CI:$CI,,0,1)=0,"",_xlfn.XLOOKUP($E102,'[1]Import Eletra'!$B:$B,'[1]Import Eletra'!$CI:$CI,0,1))</f>
        <v>46022</v>
      </c>
      <c r="EK102" s="407">
        <f>IF(_xlfn.XLOOKUP($E102,'[1]Import Eletra'!$B:$B,'[1]Import Eletra'!$CD:$CD,,0,1)=0,"",_xlfn.XLOOKUP($E102,'[1]Import Eletra'!$B:$B,'[1]Import Eletra'!$CD:$CD,0,1))</f>
        <v>46021</v>
      </c>
      <c r="EL102" s="407" t="str">
        <f>IF(_xlfn.XLOOKUP($E102,'[1]Import Eletra'!$B:$B,'[1]Import Eletra'!$CE:$CE,,0,1)=0,"",_xlfn.XLOOKUP($E102,'[1]Import Eletra'!$B:$B,'[1]Import Eletra'!$CE:$CE,0,1))</f>
        <v>NÃO</v>
      </c>
      <c r="EM102" s="408" t="str">
        <f>IF(_xlfn.XLOOKUP($E102,'[1]Import Eletra'!$B:$B,'[1]Import Eletra'!$E:$E,,0,1)=0,"",_xlfn.XLOOKUP($E102,'[1]Import Eletra'!$B:$B,'[1]Import Eletra'!$E:$E,0,1))</f>
        <v>STELLA</v>
      </c>
      <c r="EN102" s="408" t="str">
        <f>IF(_xlfn.XLOOKUP($E102,'[1]Import Eletra'!$B:$B,'[1]Import Eletra'!$E:$E,,0,1)=0,"",_xlfn.XLOOKUP($E102,'[1]Import Eletra'!$B:$B,'[1]Import Eletra'!$E:$E,0,1))</f>
        <v>STELLA</v>
      </c>
      <c r="EO102" s="408" t="str">
        <f>IF(_xlfn.XLOOKUP($E102,'[1]Import Eletra'!$B:$B,'[1]Import Eletra'!$E:$E,,0,1)=0,"",_xlfn.XLOOKUP($E102,'[1]Import Eletra'!$B:$B,'[1]Import Eletra'!$E:$E,0,1))</f>
        <v>STELLA</v>
      </c>
      <c r="EP102" s="408" t="str">
        <f>IF(_xlfn.XLOOKUP($E102,'[1]Import Eletra'!$B:$B,'[1]Import Eletra'!$E:$E,,0,1)=0,"",_xlfn.XLOOKUP($E102,'[1]Import Eletra'!$B:$B,'[1]Import Eletra'!$E:$E,0,1))</f>
        <v>STELLA</v>
      </c>
    </row>
    <row r="103" spans="1:146" s="315" customFormat="1" ht="30" hidden="1" customHeight="1" outlineLevel="1">
      <c r="A103" s="305"/>
      <c r="B103" s="306"/>
      <c r="C103" s="306"/>
      <c r="D103" s="306"/>
      <c r="E103" s="318" t="s">
        <v>399</v>
      </c>
      <c r="F103" s="307">
        <f>IF(_xlfn.XLOOKUP($E103,'[1]Import Eletra'!$B:$B,'[1]Import Eletra'!$U:$U,,0,1)=0,"",_xlfn.XLOOKUP($E103,'[1]Import Eletra'!$B:$B,'[1]Import Eletra'!$U:$U,,0,1))</f>
        <v>1</v>
      </c>
      <c r="G103" s="320" t="s">
        <v>244</v>
      </c>
      <c r="H103" s="59" t="str">
        <f>_xlfn.XLOOKUP($E103,'[1]Import Eletra'!$B:$B,'[1]Import Eletra'!$F:$F,,0,1)</f>
        <v>DELIVERED</v>
      </c>
      <c r="I103" s="4" t="str">
        <f>_xlfn.XLOOKUP($E103,'[1]Import Eletra'!$B:$B,'[1]Import Eletra'!$G:$G,,0,1)</f>
        <v>SEA</v>
      </c>
      <c r="J103" s="331"/>
      <c r="K103" s="308"/>
      <c r="L103" s="308"/>
      <c r="M103" s="331">
        <f>IF(_xlfn.XLOOKUP($E103,'[1]Import Eletra'!$B:$B,'[1]Import Eletra'!$J:$J,,0,1)=0,"",_xlfn.XLOOKUP($E103,'[1]Import Eletra'!$B:$B,'[1]Import Eletra'!$J:$J,,0,1))</f>
        <v>45957</v>
      </c>
      <c r="N103" s="334">
        <f>IF(_xlfn.XLOOKUP($E103,'[1]Import Eletra'!$B:$B,'[1]Import Eletra'!$L:$L,,0,1)=0,"",_xlfn.XLOOKUP($E103,'[1]Import Eletra'!$B:$B,'[1]Import Eletra'!$L:$L,,0,1))</f>
        <v>45997</v>
      </c>
      <c r="O103" s="336">
        <f>IF(_xlfn.XLOOKUP($E103,'[1]Import Eletra'!$B:$B,'[1]Import Eletra'!$AK:$AK,,0,1)=0,"",_xlfn.XLOOKUP($E103,'[1]Import Eletra'!$B:$B,'[1]Import Eletra'!$AK:$AK,,0,1))</f>
        <v>45967</v>
      </c>
      <c r="P103" s="331">
        <f>IF(_xlfn.XLOOKUP($E103,'[1]Import Eletra'!$B:$B,'[1]Import Eletra'!$AL:$AL,,0,1)=0,"",_xlfn.XLOOKUP($E103,'[1]Import Eletra'!$B:$B,'[1]Import Eletra'!$AL:$AL,,0,1))</f>
        <v>45967</v>
      </c>
      <c r="Q103" s="331">
        <f>IF(_xlfn.XLOOKUP($E103,'[1]Import Eletra'!$B:$B,'[1]Import Eletra'!$AM:$AM,,0,1)=0,"",_xlfn.XLOOKUP($E103,'[1]Import Eletra'!$B:$B,'[1]Import Eletra'!$AM:$AM,,0,1))</f>
        <v>45974</v>
      </c>
      <c r="R103" s="331">
        <f>IF(_xlfn.XLOOKUP($E103,'[1]Import Eletra'!$B:$B,'[1]Import Eletra'!$AN:$AN,,0,1)=0,"",_xlfn.XLOOKUP($E103,'[1]Import Eletra'!$B:$B,'[1]Import Eletra'!$AN:$AN,,0,1))</f>
        <v>45988</v>
      </c>
      <c r="S103" s="331">
        <f>IF(_xlfn.XLOOKUP($E103,'[1]Import Eletra'!$B:$B,'[1]Import Eletra'!$AO:$AO,,0,1)=0,"",_xlfn.XLOOKUP($E103,'[1]Import Eletra'!$B:$B,'[1]Import Eletra'!$AO:$AO,,0,1))</f>
        <v>45994</v>
      </c>
      <c r="T103" s="331">
        <f>IF(_xlfn.XLOOKUP($E103,'[1]Import Eletra'!$B:$B,'[1]Import Eletra'!$AP:$AP,,0,1)=0,"",_xlfn.XLOOKUP($E103,'[1]Import Eletra'!$B:$B,'[1]Import Eletra'!$AP:$AP,,0,1))</f>
        <v>45996</v>
      </c>
      <c r="U103" s="338">
        <f>IF(_xlfn.XLOOKUP($E103,'[1]Import Eletra'!$B:$B,'[1]Import Eletra'!$AQ:$AQ,,0,1)=0,"",_xlfn.XLOOKUP($E103,'[1]Import Eletra'!$B:$B,'[1]Import Eletra'!$AQ:$AQ,,0,1))</f>
        <v>46007</v>
      </c>
      <c r="V103" s="343">
        <f>IF(_xlfn.XLOOKUP($E103,'[1]Import Eletra'!$B:$B,'[1]Import Eletra'!$AQ:$AQ,,0,1)=0,"",_xlfn.XLOOKUP($E103,'[1]Import Eletra'!$B:$B,'[1]Import Eletra'!$AQ:$AQ,,0,1))</f>
        <v>46007</v>
      </c>
      <c r="W103" s="336">
        <f>AB103-$AB$4</f>
        <v>46017</v>
      </c>
      <c r="X103" s="345">
        <f>IF(_xlfn.XLOOKUP($E103,'[1]Import Eletra'!$B:$B,'[1]Import Eletra'!$AR:$AR,,0,1)=0,"",_xlfn.XLOOKUP($E103,'[1]Import Eletra'!$B:$B,'[1]Import Eletra'!$AR:$AR,,0,1))</f>
        <v>45999</v>
      </c>
      <c r="Y103" s="309">
        <f>$W$4</f>
        <v>0</v>
      </c>
      <c r="Z103" s="309">
        <f ca="1">IF(X103="",TODAY()-W103,X103-W103)</f>
        <v>-18</v>
      </c>
      <c r="AA103" s="310" t="str">
        <f ca="1">IF(AND(ISNUMBER($Z103),$Z103&gt;0),$Z103-$Y103,"")</f>
        <v/>
      </c>
      <c r="AB103" s="350">
        <f>AG103-$AB$4</f>
        <v>46017</v>
      </c>
      <c r="AC103" s="345">
        <f>IF(_xlfn.XLOOKUP($E103,'[1]Import Eletra'!$B:$B,'[1]Import Eletra'!$AD:$AD,,0,1)=0,"",_xlfn.XLOOKUP($E103,'[1]Import Eletra'!$B:$B,'[1]Import Eletra'!$AD:$AD,,0,1))</f>
        <v>46010</v>
      </c>
      <c r="AD103" s="309">
        <f>$AB$4</f>
        <v>0</v>
      </c>
      <c r="AE103" s="309">
        <f ca="1">IF(AC103="",TODAY()-AB103,AC103-AB103)</f>
        <v>-7</v>
      </c>
      <c r="AF103" s="310">
        <f ca="1">AE103-AD103</f>
        <v>-7</v>
      </c>
      <c r="AG103" s="356">
        <f>AL103-$AL$4</f>
        <v>46017</v>
      </c>
      <c r="AH103" s="345">
        <f>IF(_xlfn.XLOOKUP($E103,'[1]Import Eletra'!$B:$B,'[1]Import Eletra'!$AE:$AE,,0,1)=0,"",_xlfn.XLOOKUP($E103,'[1]Import Eletra'!$B:$B,'[1]Import Eletra'!$AE:$AE,,0,1))</f>
        <v>46010</v>
      </c>
      <c r="AI103" s="309">
        <f>$AG$4</f>
        <v>0</v>
      </c>
      <c r="AJ103" s="309">
        <f ca="1">IF(AH103="",TODAY()-AG103,AH103-AG103)</f>
        <v>-7</v>
      </c>
      <c r="AK103" s="310" t="str">
        <f ca="1">IF(AND(ISNUMBER($AJ103),$AJ103&gt;0),$AJ103-$AI103,"")</f>
        <v/>
      </c>
      <c r="AL103" s="356">
        <f>AQ103-$AQ$4</f>
        <v>46017</v>
      </c>
      <c r="AM103" s="345">
        <f>IF(_xlfn.XLOOKUP($E103,'[1]Import Eletra'!$B:$B,'[1]Import Eletra'!$AT:$AT,,0,1)=0,"",_xlfn.XLOOKUP($E103,'[1]Import Eletra'!$B:$B,'[1]Import Eletra'!$AT:$AT,,0,1))</f>
        <v>46010</v>
      </c>
      <c r="AN103" s="309">
        <f>$AL$4</f>
        <v>0</v>
      </c>
      <c r="AO103" s="309">
        <f ca="1">IF(AM103="",TODAY()-AL103,AM103-AL103)</f>
        <v>-7</v>
      </c>
      <c r="AP103" s="310" t="str">
        <f ca="1">IF(AND(ISNUMBER($AO103),$AO103&gt;0),$AO103-$AN103,"")</f>
        <v/>
      </c>
      <c r="AQ103" s="359">
        <f>AV103-$AV$4</f>
        <v>46018</v>
      </c>
      <c r="AR103" s="345">
        <f>IF(_xlfn.XLOOKUP($E103,'[1]Import Eletra'!$B:$B,'[1]Import Eletra'!$AU:$AU,,0,1)=0,"",_xlfn.XLOOKUP($E103,'[1]Import Eletra'!$B:$B,'[1]Import Eletra'!$AU:$AU,,0,1))</f>
        <v>46014</v>
      </c>
      <c r="AS103" s="309">
        <f>$AQ$4</f>
        <v>1</v>
      </c>
      <c r="AT103" s="309">
        <f ca="1">IF(AR103="",TODAY()-AQ103,AR103-AQ103)</f>
        <v>-4</v>
      </c>
      <c r="AU103" s="310" t="str">
        <f ca="1">IF(AND(ISNUMBER($AT103),$AT103&gt;0),$AT103-$AS103,"")</f>
        <v/>
      </c>
      <c r="AV103" s="356">
        <f>BA103-$BA$4</f>
        <v>46018</v>
      </c>
      <c r="AW103" s="345">
        <f>IF(_xlfn.XLOOKUP($E103,'[1]Import Eletra'!$B:$B,'[1]Import Eletra'!$AU:$AU,,0,1)=0,"",_xlfn.XLOOKUP($E103,'[1]Import Eletra'!$B:$B,'[1]Import Eletra'!$AU:$AU,,0,1))</f>
        <v>46014</v>
      </c>
      <c r="AX103" s="309">
        <f>$AV$4</f>
        <v>0</v>
      </c>
      <c r="AY103" s="309">
        <f ca="1">IF(AW103="",TODAY()-AV103,AW103-AV103)</f>
        <v>-4</v>
      </c>
      <c r="AZ103" s="310" t="str">
        <f ca="1">IF(AND(ISNUMBER($AY103),$AY103&gt;0),$AY103-$AX103,"")</f>
        <v/>
      </c>
      <c r="BA103" s="359">
        <f>BF103-$BF$4</f>
        <v>46018</v>
      </c>
      <c r="BB103" s="345">
        <f>IF(_xlfn.XLOOKUP($E103,'[1]Import Eletra'!$B:$B,'[1]Import Eletra'!$AW:$AW,,0,1)=0,"",_xlfn.XLOOKUP($E103,'[1]Import Eletra'!$B:$B,'[1]Import Eletra'!$AW:$AW,,0,1))</f>
        <v>46014</v>
      </c>
      <c r="BC103" s="309">
        <f>$BA$4</f>
        <v>0</v>
      </c>
      <c r="BD103" s="309">
        <f ca="1">IF(BB103="",TODAY()-BA103,BB103-BA103)</f>
        <v>-4</v>
      </c>
      <c r="BE103" s="310">
        <f ca="1">BD103-BC103</f>
        <v>-4</v>
      </c>
      <c r="BF103" s="336">
        <f>BK103-$BK$4</f>
        <v>46018</v>
      </c>
      <c r="BG103" s="345">
        <f>IF(_xlfn.XLOOKUP($E103,'[1]Import Eletra'!$B:$B,'[1]Import Eletra'!$AX:$AX,,0,1)=0,"",_xlfn.XLOOKUP($E103,'[1]Import Eletra'!$B:$B,'[1]Import Eletra'!$AX:$AX,,0,1))</f>
        <v>46014</v>
      </c>
      <c r="BH103" s="309">
        <f>$BF$4</f>
        <v>0</v>
      </c>
      <c r="BI103" s="309">
        <f ca="1">IF(BG103="",TODAY()-BF103,BG103-BF103)</f>
        <v>-4</v>
      </c>
      <c r="BJ103" s="310" t="str">
        <f ca="1">IF(AND(ISNUMBER($BI103),$BI103&gt;0),$BI103-$BH103,"")</f>
        <v/>
      </c>
      <c r="BK103" s="363">
        <f>BP103-$BP$4</f>
        <v>46018</v>
      </c>
      <c r="BL103" s="345">
        <f>IF(_xlfn.XLOOKUP($E103,'[1]Import Eletra'!$B:$B,'[1]Import Eletra'!$AY:$AY,,0,1)=0,"",_xlfn.XLOOKUP($E103,'[1]Import Eletra'!$B:$B,'[1]Import Eletra'!$AY:$AY,,0,1))</f>
        <v>46017</v>
      </c>
      <c r="BM103" s="309">
        <f>$BK$4</f>
        <v>0</v>
      </c>
      <c r="BN103" s="309">
        <f ca="1">IF(BL103="",TODAY()-BK103,BL103-BK103)</f>
        <v>-1</v>
      </c>
      <c r="BO103" s="310">
        <f ca="1">BN103-BM103</f>
        <v>-1</v>
      </c>
      <c r="BP103" s="336">
        <f>BU103-$BU$4</f>
        <v>46018</v>
      </c>
      <c r="BQ103" s="345">
        <f>IF(_xlfn.XLOOKUP($E103,'[1]Import Eletra'!$B:$B,'[1]Import Eletra'!$AZ:$AZ,,0,1)=0,"",_xlfn.XLOOKUP($E103,'[1]Import Eletra'!$B:$B,'[1]Import Eletra'!$AZ:$AZ,,0,1))</f>
        <v>46385</v>
      </c>
      <c r="BR103" s="309">
        <f>$BP$4</f>
        <v>0</v>
      </c>
      <c r="BS103" s="309">
        <f ca="1">IF(BQ103="",TODAY()-BP103,BQ103-BP103)</f>
        <v>367</v>
      </c>
      <c r="BT103" s="310">
        <f ca="1">BS103-BR103</f>
        <v>367</v>
      </c>
      <c r="BU103" s="363">
        <f>BZ103-$BZ$4</f>
        <v>46020</v>
      </c>
      <c r="BV103" s="345">
        <f>IF(_xlfn.XLOOKUP($E103,'[1]Import Eletra'!$B:$B,'[1]Import Eletra'!$BA:$BA,,0,1)=0,"",_xlfn.XLOOKUP($E103,'[1]Import Eletra'!$B:$B,'[1]Import Eletra'!$BA:$BA,,0,1))</f>
        <v>46385</v>
      </c>
      <c r="BW103" s="309">
        <f>$BU$4</f>
        <v>2</v>
      </c>
      <c r="BX103" s="309">
        <f ca="1">IF(BV103="",TODAY()-BU103,BV103-BU103)</f>
        <v>365</v>
      </c>
      <c r="BY103" s="310">
        <f ca="1">IF(AND(ISNUMBER($BX103),$BX103&gt;0),$BX103-$BW103,"")</f>
        <v>363</v>
      </c>
      <c r="BZ103" s="336">
        <f>CE103-$CE$4</f>
        <v>46020</v>
      </c>
      <c r="CA103" s="345">
        <f>IF(_xlfn.XLOOKUP($E103,'[1]Import Eletra'!$B:$B,'[1]Import Eletra'!$BB:$BB,,0,1)=0,"",_xlfn.XLOOKUP($E103,'[1]Import Eletra'!$B:$B,'[1]Import Eletra'!$BB:$BB,,0,1))</f>
        <v>46027</v>
      </c>
      <c r="CB103" s="309">
        <f>$BZ$4</f>
        <v>0</v>
      </c>
      <c r="CC103" s="309">
        <f ca="1">IF(CA103="",TODAY()-BZ103,CA103-BZ103)</f>
        <v>7</v>
      </c>
      <c r="CD103" s="310">
        <f ca="1">CC103-CB103</f>
        <v>7</v>
      </c>
      <c r="CE103" s="363">
        <f>CJ103-$CJ$4</f>
        <v>46020</v>
      </c>
      <c r="CF103" s="345">
        <f>IF(_xlfn.XLOOKUP($E103,'[1]Import Eletra'!$B:$B,'[1]Import Eletra'!$BC:$BC,,0,1)=0,"",_xlfn.XLOOKUP($E103,'[1]Import Eletra'!$B:$B,'[1]Import Eletra'!$BC:$BC,,0,1))</f>
        <v>46027</v>
      </c>
      <c r="CG103" s="309">
        <f>$CE$4</f>
        <v>0</v>
      </c>
      <c r="CH103" s="309">
        <f ca="1">IF(CF103="",TODAY()-CE103,CF103-CE103)</f>
        <v>7</v>
      </c>
      <c r="CI103" s="310">
        <f ca="1">CH103-CG103</f>
        <v>7</v>
      </c>
      <c r="CJ103" s="336">
        <f>CO103-$CO$4</f>
        <v>46020</v>
      </c>
      <c r="CK103" s="345">
        <f>IF(_xlfn.XLOOKUP($E103,'[1]Import Eletra'!$B:$B,'[1]Import Eletra'!$BD:$BD,,0,1)=0,"",_xlfn.XLOOKUP($E103,'[1]Import Eletra'!$B:$B,'[1]Import Eletra'!$BD:$BD,,0,1))</f>
        <v>46027</v>
      </c>
      <c r="CL103" s="309"/>
      <c r="CM103" s="309">
        <f ca="1">IF(CK103="",TODAY()-CJ103,CK103-CJ103)</f>
        <v>7</v>
      </c>
      <c r="CN103" s="310">
        <f ca="1">CM103-CL103</f>
        <v>7</v>
      </c>
      <c r="CO103" s="363">
        <f>CT103-$CT$4</f>
        <v>46020</v>
      </c>
      <c r="CP103" s="345">
        <f>IF(_xlfn.XLOOKUP($E103,'[1]Import Eletra'!$B:$B,'[1]Import Eletra'!$BE:$BE,,0,1)=0,"",_xlfn.XLOOKUP($E103,'[1]Import Eletra'!$B:$B,'[1]Import Eletra'!$BE:$BE,,0,1))</f>
        <v>46031</v>
      </c>
      <c r="CQ103" s="309">
        <f>$CO$4</f>
        <v>0</v>
      </c>
      <c r="CR103" s="309">
        <f ca="1">IF(CP103="",TODAY()-CO103,CP103-CO103)</f>
        <v>11</v>
      </c>
      <c r="CS103" s="310">
        <f ca="1">CR103-CQ103</f>
        <v>11</v>
      </c>
      <c r="CT103" s="336">
        <f>CY103-$CY$4</f>
        <v>46020</v>
      </c>
      <c r="CU103" s="345">
        <f>IF(_xlfn.XLOOKUP($E103,'[1]Import Eletra'!$B:$B,'[1]Import Eletra'!$BF:$BF,,0,1)=0,"",_xlfn.XLOOKUP($E103,'[1]Import Eletra'!$B:$B,'[1]Import Eletra'!$BF:$BF,,0,1))</f>
        <v>46031</v>
      </c>
      <c r="CV103" s="309">
        <f>$CT$4</f>
        <v>0</v>
      </c>
      <c r="CW103" s="309">
        <f ca="1">IF(CU103="",TODAY()-CT103,CU103-CT103)</f>
        <v>11</v>
      </c>
      <c r="CX103" s="310">
        <f ca="1">CW103-CV103</f>
        <v>11</v>
      </c>
      <c r="CY103" s="85">
        <f>DD103-$DD$4</f>
        <v>46020</v>
      </c>
      <c r="CZ103" s="271">
        <f>IF(_xlfn.XLOOKUP($E103,'[1]Import Eletra'!$B:$B,'[1]Import Eletra'!$BF:$BF,,0,1)=0,"",_xlfn.XLOOKUP($E103,'[1]Import Eletra'!$B:$B,'[1]Import Eletra'!$BF:$BF,,0,1))</f>
        <v>46031</v>
      </c>
      <c r="DA103" s="311">
        <f>$CY$4</f>
        <v>0</v>
      </c>
      <c r="DB103" s="309">
        <f ca="1">IF(CZ103="",TODAY()-CY103,CZ103-CY103)</f>
        <v>11</v>
      </c>
      <c r="DC103" s="310">
        <f ca="1">DB103-DA103</f>
        <v>11</v>
      </c>
      <c r="DD103" s="85">
        <f>DI103-$DI$4</f>
        <v>46022</v>
      </c>
      <c r="DE103" s="271">
        <f>IF(_xlfn.XLOOKUP($E103,'[1]Import Eletra'!$B:$B,'[1]Import Eletra'!$BG:$BG,,0,1)=0,"",_xlfn.XLOOKUP($E103,'[1]Import Eletra'!$B:$B,'[1]Import Eletra'!$BG:$BG,0,1))</f>
        <v>46034</v>
      </c>
      <c r="DF103" s="309">
        <f>$DD$4</f>
        <v>2</v>
      </c>
      <c r="DG103" s="309">
        <f ca="1">IF(DE103="",TODAY()-DD103,DE103-DD103)</f>
        <v>12</v>
      </c>
      <c r="DH103" s="310">
        <f ca="1">DG103-DF103</f>
        <v>10</v>
      </c>
      <c r="DI103" s="85">
        <f>DO103-$DN$4</f>
        <v>46023</v>
      </c>
      <c r="DJ103" s="271" t="str">
        <f>IF(_xlfn.XLOOKUP($E103,'[1]Import Eletra'!$B:$B,'[1]Import Eletra'!$BH:$BH,,0,1)=0,"",_xlfn.XLOOKUP($E103,'[1]Import Eletra'!$B:$B,'[1]Import Eletra'!$BH:$BH,0,1))</f>
        <v/>
      </c>
      <c r="DK103" s="309">
        <f>$DI$4</f>
        <v>1</v>
      </c>
      <c r="DL103" s="309">
        <f ca="1">IF(DJ103="",TODAY()-DI103,DJ103-DI103)</f>
        <v>188</v>
      </c>
      <c r="DM103" s="310">
        <f ca="1">DL103-DK103</f>
        <v>187</v>
      </c>
      <c r="DN103" s="312"/>
      <c r="DO103" s="313">
        <f>IF(V103="",N103+DT103,V103+DT103)</f>
        <v>46024</v>
      </c>
      <c r="DP103" s="59">
        <f>IF(_xlfn.XLOOKUP($E103,'[1]Import Eletra'!$B:$B,'[1]Import Eletra'!$O:$O,,0,1)=0,"",_xlfn.XLOOKUP($E103,'[1]Import Eletra'!$B:$B,'[1]Import Eletra'!$O:$O,0,1))</f>
        <v>46036</v>
      </c>
      <c r="DQ103" s="309">
        <f>$DN$4</f>
        <v>1</v>
      </c>
      <c r="DR103" s="309">
        <f ca="1">IF(DP103="",TODAY()-DO103,DP103-DO103)</f>
        <v>12</v>
      </c>
      <c r="DS103" s="310">
        <f ca="1">DR103-DQ103</f>
        <v>11</v>
      </c>
      <c r="DT103" s="314">
        <v>17</v>
      </c>
      <c r="DU103" s="140">
        <f ca="1">IF(DP103="",TODAY()-N103,DP103-N103)</f>
        <v>39</v>
      </c>
      <c r="DV103" s="184">
        <f ca="1">DU103-DT103</f>
        <v>22</v>
      </c>
      <c r="DX103" s="316"/>
      <c r="DY103" s="108" t="str">
        <f>IF(_xlfn.XLOOKUP($E103,'[1]Import Eletra'!$B:$B,'[1]Import Eletra'!$DW:$DW,,0,1)=0,"",_xlfn.XLOOKUP($E103,'[1]Import Eletra'!$B:$B,'[1]Import Eletra'!$DW:$DW,0,1))</f>
        <v/>
      </c>
      <c r="EB103" s="317"/>
      <c r="ED103" s="406">
        <f>IF(_xlfn.XLOOKUP($E103,'[1]Import Eletra'!$B:$B,'[1]Import Eletra'!$BQ:$BQ,,0,1)=0,"",_xlfn.XLOOKUP($E103,'[1]Import Eletra'!$B:$B,'[1]Import Eletra'!$BQ:$BQ,0,1))</f>
        <v>7970.19</v>
      </c>
      <c r="EE103" s="407">
        <f>IF(_xlfn.XLOOKUP($E103,'[1]Import Eletra'!$B:$B,'[1]Import Eletra'!$BR:$BR,,0,1)=0,"",_xlfn.XLOOKUP($E103,'[1]Import Eletra'!$B:$B,'[1]Import Eletra'!$BR:$BR,0,1))</f>
        <v>46031</v>
      </c>
      <c r="EF103" s="406">
        <f>IF(_xlfn.XLOOKUP($E103,'[1]Import Eletra'!$B:$B,'[1]Import Eletra'!$BS:$BS,,0,1)=0,"",_xlfn.XLOOKUP($E103,'[1]Import Eletra'!$B:$B,'[1]Import Eletra'!$BS:$BS,0,1))</f>
        <v>10335.530000000001</v>
      </c>
      <c r="EG103" s="407">
        <f>IF(_xlfn.XLOOKUP($E103,'[1]Import Eletra'!$B:$B,'[1]Import Eletra'!$BT:$BT,,0,1)=0,"",_xlfn.XLOOKUP($E103,'[1]Import Eletra'!$B:$B,'[1]Import Eletra'!$BT:$BT,0,1))</f>
        <v>46057</v>
      </c>
      <c r="EH103" s="406" t="str">
        <f>IF(_xlfn.XLOOKUP($E103,'[1]Import Eletra'!$B:$B,'[1]Import Eletra'!$BU:$BU,,0,1)=0,"",_xlfn.XLOOKUP($E103,'[1]Import Eletra'!$B:$B,'[1]Import Eletra'!$BU:$BU,0,1))</f>
        <v/>
      </c>
      <c r="EI103" s="407" t="str">
        <f>IF(_xlfn.XLOOKUP($E103,'[1]Import Eletra'!$B:$B,'[1]Import Eletra'!$BV:$BV,,0,1)=0,"",_xlfn.XLOOKUP($E103,'[1]Import Eletra'!$B:$B,'[1]Import Eletra'!$BV:$BV,0,1))</f>
        <v/>
      </c>
      <c r="EJ103" s="407">
        <f>IF(_xlfn.XLOOKUP($E103,'[1]Import Eletra'!$B:$B,'[1]Import Eletra'!$CI:$CI,,0,1)=0,"",_xlfn.XLOOKUP($E103,'[1]Import Eletra'!$B:$B,'[1]Import Eletra'!$CI:$CI,0,1))</f>
        <v>46015</v>
      </c>
      <c r="EK103" s="407">
        <f>IF(_xlfn.XLOOKUP($E103,'[1]Import Eletra'!$B:$B,'[1]Import Eletra'!$CD:$CD,,0,1)=0,"",_xlfn.XLOOKUP($E103,'[1]Import Eletra'!$B:$B,'[1]Import Eletra'!$CD:$CD,0,1))</f>
        <v>46022</v>
      </c>
      <c r="EL103" s="407" t="str">
        <f>IF(_xlfn.XLOOKUP($E103,'[1]Import Eletra'!$B:$B,'[1]Import Eletra'!$CE:$CE,,0,1)=0,"",_xlfn.XLOOKUP($E103,'[1]Import Eletra'!$B:$B,'[1]Import Eletra'!$CE:$CE,0,1))</f>
        <v>SIM  7 dias</v>
      </c>
      <c r="EM103" s="408" t="str">
        <f>IF(_xlfn.XLOOKUP($E103,'[1]Import Eletra'!$B:$B,'[1]Import Eletra'!$E:$E,,0,1)=0,"",_xlfn.XLOOKUP($E103,'[1]Import Eletra'!$B:$B,'[1]Import Eletra'!$E:$E,0,1))</f>
        <v>STELLA</v>
      </c>
      <c r="EN103" s="408" t="str">
        <f>IF(_xlfn.XLOOKUP($E103,'[1]Import Eletra'!$B:$B,'[1]Import Eletra'!$E:$E,,0,1)=0,"",_xlfn.XLOOKUP($E103,'[1]Import Eletra'!$B:$B,'[1]Import Eletra'!$E:$E,0,1))</f>
        <v>STELLA</v>
      </c>
      <c r="EO103" s="408" t="str">
        <f>IF(_xlfn.XLOOKUP($E103,'[1]Import Eletra'!$B:$B,'[1]Import Eletra'!$E:$E,,0,1)=0,"",_xlfn.XLOOKUP($E103,'[1]Import Eletra'!$B:$B,'[1]Import Eletra'!$E:$E,0,1))</f>
        <v>STELLA</v>
      </c>
      <c r="EP103" s="408" t="str">
        <f>IF(_xlfn.XLOOKUP($E103,'[1]Import Eletra'!$B:$B,'[1]Import Eletra'!$E:$E,,0,1)=0,"",_xlfn.XLOOKUP($E103,'[1]Import Eletra'!$B:$B,'[1]Import Eletra'!$E:$E,0,1))</f>
        <v>STELLA</v>
      </c>
    </row>
    <row r="104" spans="1:146" s="315" customFormat="1" ht="30" hidden="1" customHeight="1" outlineLevel="1">
      <c r="A104" s="305"/>
      <c r="B104" s="306"/>
      <c r="C104" s="306"/>
      <c r="D104" s="306"/>
      <c r="E104" s="318" t="s">
        <v>400</v>
      </c>
      <c r="F104" s="307">
        <f>IF(_xlfn.XLOOKUP($E104,'[1]Import Eletra'!$B:$B,'[1]Import Eletra'!$U:$U,,0,1)=0,"",_xlfn.XLOOKUP($E104,'[1]Import Eletra'!$B:$B,'[1]Import Eletra'!$U:$U,,0,1))</f>
        <v>0.5</v>
      </c>
      <c r="G104" s="320" t="s">
        <v>244</v>
      </c>
      <c r="H104" s="59" t="str">
        <f>_xlfn.XLOOKUP($E104,'[1]Import Eletra'!$B:$B,'[1]Import Eletra'!$F:$F,,0,1)</f>
        <v>DELIVERED</v>
      </c>
      <c r="I104" s="4" t="str">
        <f>_xlfn.XLOOKUP($E104,'[1]Import Eletra'!$B:$B,'[1]Import Eletra'!$G:$G,,0,1)</f>
        <v>SEA</v>
      </c>
      <c r="J104" s="331"/>
      <c r="K104" s="308"/>
      <c r="L104" s="308"/>
      <c r="M104" s="331">
        <f>IF(_xlfn.XLOOKUP($E104,'[1]Import Eletra'!$B:$B,'[1]Import Eletra'!$J:$J,,0,1)=0,"",_xlfn.XLOOKUP($E104,'[1]Import Eletra'!$B:$B,'[1]Import Eletra'!$J:$J,,0,1))</f>
        <v>45931</v>
      </c>
      <c r="N104" s="334">
        <f>IF(_xlfn.XLOOKUP($E104,'[1]Import Eletra'!$B:$B,'[1]Import Eletra'!$L:$L,,0,1)=0,"",_xlfn.XLOOKUP($E104,'[1]Import Eletra'!$B:$B,'[1]Import Eletra'!$L:$L,,0,1))</f>
        <v>46004</v>
      </c>
      <c r="O104" s="336">
        <f>IF(_xlfn.XLOOKUP($E104,'[1]Import Eletra'!$B:$B,'[1]Import Eletra'!$AK:$AK,,0,1)=0,"",_xlfn.XLOOKUP($E104,'[1]Import Eletra'!$B:$B,'[1]Import Eletra'!$AK:$AK,,0,1))</f>
        <v>45957</v>
      </c>
      <c r="P104" s="331">
        <f>IF(_xlfn.XLOOKUP($E104,'[1]Import Eletra'!$B:$B,'[1]Import Eletra'!$AL:$AL,,0,1)=0,"",_xlfn.XLOOKUP($E104,'[1]Import Eletra'!$B:$B,'[1]Import Eletra'!$AL:$AL,,0,1))</f>
        <v>45957</v>
      </c>
      <c r="Q104" s="331">
        <f>IF(_xlfn.XLOOKUP($E104,'[1]Import Eletra'!$B:$B,'[1]Import Eletra'!$AM:$AM,,0,1)=0,"",_xlfn.XLOOKUP($E104,'[1]Import Eletra'!$B:$B,'[1]Import Eletra'!$AM:$AM,,0,1))</f>
        <v>45958</v>
      </c>
      <c r="R104" s="331">
        <f>IF(_xlfn.XLOOKUP($E104,'[1]Import Eletra'!$B:$B,'[1]Import Eletra'!$AN:$AN,,0,1)=0,"",_xlfn.XLOOKUP($E104,'[1]Import Eletra'!$B:$B,'[1]Import Eletra'!$AN:$AN,,0,1))</f>
        <v>45958</v>
      </c>
      <c r="S104" s="331">
        <f>IF(_xlfn.XLOOKUP($E104,'[1]Import Eletra'!$B:$B,'[1]Import Eletra'!$AO:$AO,,0,1)=0,"",_xlfn.XLOOKUP($E104,'[1]Import Eletra'!$B:$B,'[1]Import Eletra'!$AO:$AO,,0,1))</f>
        <v>45958</v>
      </c>
      <c r="T104" s="331">
        <f>IF(_xlfn.XLOOKUP($E104,'[1]Import Eletra'!$B:$B,'[1]Import Eletra'!$AP:$AP,,0,1)=0,"",_xlfn.XLOOKUP($E104,'[1]Import Eletra'!$B:$B,'[1]Import Eletra'!$AP:$AP,,0,1))</f>
        <v>45959</v>
      </c>
      <c r="U104" s="338">
        <f>IF(_xlfn.XLOOKUP($E104,'[1]Import Eletra'!$B:$B,'[1]Import Eletra'!$AQ:$AQ,,0,1)=0,"",_xlfn.XLOOKUP($E104,'[1]Import Eletra'!$B:$B,'[1]Import Eletra'!$AQ:$AQ,,0,1))</f>
        <v>46007</v>
      </c>
      <c r="V104" s="343">
        <f>IF(_xlfn.XLOOKUP($E104,'[1]Import Eletra'!$B:$B,'[1]Import Eletra'!$AQ:$AQ,,0,1)=0,"",_xlfn.XLOOKUP($E104,'[1]Import Eletra'!$B:$B,'[1]Import Eletra'!$AQ:$AQ,,0,1))</f>
        <v>46007</v>
      </c>
      <c r="W104" s="336">
        <f>AB104-$AB$4</f>
        <v>46017</v>
      </c>
      <c r="X104" s="345">
        <f>IF(_xlfn.XLOOKUP($E104,'[1]Import Eletra'!$B:$B,'[1]Import Eletra'!$AR:$AR,,0,1)=0,"",_xlfn.XLOOKUP($E104,'[1]Import Eletra'!$B:$B,'[1]Import Eletra'!$AR:$AR,,0,1))</f>
        <v>46007</v>
      </c>
      <c r="Y104" s="309">
        <f>$W$4</f>
        <v>0</v>
      </c>
      <c r="Z104" s="309">
        <f ca="1">IF(X104="",TODAY()-W104,X104-W104)</f>
        <v>-10</v>
      </c>
      <c r="AA104" s="310" t="str">
        <f ca="1">IF(AND(ISNUMBER($Z104),$Z104&gt;0),$Z104-$Y104,"")</f>
        <v/>
      </c>
      <c r="AB104" s="350">
        <f>AG104-$AB$4</f>
        <v>46017</v>
      </c>
      <c r="AC104" s="345">
        <f>IF(_xlfn.XLOOKUP($E104,'[1]Import Eletra'!$B:$B,'[1]Import Eletra'!$AD:$AD,,0,1)=0,"",_xlfn.XLOOKUP($E104,'[1]Import Eletra'!$B:$B,'[1]Import Eletra'!$AD:$AD,,0,1))</f>
        <v>46007</v>
      </c>
      <c r="AD104" s="309">
        <f>$AB$4</f>
        <v>0</v>
      </c>
      <c r="AE104" s="309">
        <f ca="1">IF(AC104="",TODAY()-AB104,AC104-AB104)</f>
        <v>-10</v>
      </c>
      <c r="AF104" s="310">
        <f ca="1">AE104-AD104</f>
        <v>-10</v>
      </c>
      <c r="AG104" s="356">
        <f>AL104-$AL$4</f>
        <v>46017</v>
      </c>
      <c r="AH104" s="345">
        <f>IF(_xlfn.XLOOKUP($E104,'[1]Import Eletra'!$B:$B,'[1]Import Eletra'!$AE:$AE,,0,1)=0,"",_xlfn.XLOOKUP($E104,'[1]Import Eletra'!$B:$B,'[1]Import Eletra'!$AE:$AE,,0,1))</f>
        <v>46007</v>
      </c>
      <c r="AI104" s="309">
        <f>$AG$4</f>
        <v>0</v>
      </c>
      <c r="AJ104" s="309">
        <f ca="1">IF(AH104="",TODAY()-AG104,AH104-AG104)</f>
        <v>-10</v>
      </c>
      <c r="AK104" s="310" t="str">
        <f ca="1">IF(AND(ISNUMBER($AJ104),$AJ104&gt;0),$AJ104-$AI104,"")</f>
        <v/>
      </c>
      <c r="AL104" s="356">
        <f>AQ104-$AQ$4</f>
        <v>46017</v>
      </c>
      <c r="AM104" s="345">
        <f>IF(_xlfn.XLOOKUP($E104,'[1]Import Eletra'!$B:$B,'[1]Import Eletra'!$AT:$AT,,0,1)=0,"",_xlfn.XLOOKUP($E104,'[1]Import Eletra'!$B:$B,'[1]Import Eletra'!$AT:$AT,,0,1))</f>
        <v>46007</v>
      </c>
      <c r="AN104" s="309">
        <f>$AL$4</f>
        <v>0</v>
      </c>
      <c r="AO104" s="309">
        <f ca="1">IF(AM104="",TODAY()-AL104,AM104-AL104)</f>
        <v>-10</v>
      </c>
      <c r="AP104" s="310" t="str">
        <f ca="1">IF(AND(ISNUMBER($AO104),$AO104&gt;0),$AO104-$AN104,"")</f>
        <v/>
      </c>
      <c r="AQ104" s="359">
        <f>AV104-$AV$4</f>
        <v>46018</v>
      </c>
      <c r="AR104" s="345">
        <f>IF(_xlfn.XLOOKUP($E104,'[1]Import Eletra'!$B:$B,'[1]Import Eletra'!$AU:$AU,,0,1)=0,"",_xlfn.XLOOKUP($E104,'[1]Import Eletra'!$B:$B,'[1]Import Eletra'!$AU:$AU,,0,1))</f>
        <v>46009</v>
      </c>
      <c r="AS104" s="309">
        <f>$AQ$4</f>
        <v>1</v>
      </c>
      <c r="AT104" s="309">
        <f ca="1">IF(AR104="",TODAY()-AQ104,AR104-AQ104)</f>
        <v>-9</v>
      </c>
      <c r="AU104" s="310" t="str">
        <f ca="1">IF(AND(ISNUMBER($AT104),$AT104&gt;0),$AT104-$AS104,"")</f>
        <v/>
      </c>
      <c r="AV104" s="356">
        <f>BA104-$BA$4</f>
        <v>46018</v>
      </c>
      <c r="AW104" s="345">
        <f>IF(_xlfn.XLOOKUP($E104,'[1]Import Eletra'!$B:$B,'[1]Import Eletra'!$AU:$AU,,0,1)=0,"",_xlfn.XLOOKUP($E104,'[1]Import Eletra'!$B:$B,'[1]Import Eletra'!$AU:$AU,,0,1))</f>
        <v>46009</v>
      </c>
      <c r="AX104" s="309">
        <f>$AV$4</f>
        <v>0</v>
      </c>
      <c r="AY104" s="309">
        <f ca="1">IF(AW104="",TODAY()-AV104,AW104-AV104)</f>
        <v>-9</v>
      </c>
      <c r="AZ104" s="310" t="str">
        <f ca="1">IF(AND(ISNUMBER($AY104),$AY104&gt;0),$AY104-$AX104,"")</f>
        <v/>
      </c>
      <c r="BA104" s="359">
        <f>BF104-$BF$4</f>
        <v>46018</v>
      </c>
      <c r="BB104" s="345" t="str">
        <f>IF(_xlfn.XLOOKUP($E104,'[1]Import Eletra'!$B:$B,'[1]Import Eletra'!$AW:$AW,,0,1)=0,"",_xlfn.XLOOKUP($E104,'[1]Import Eletra'!$B:$B,'[1]Import Eletra'!$AW:$AW,,0,1))</f>
        <v/>
      </c>
      <c r="BC104" s="309">
        <f>$BA$4</f>
        <v>0</v>
      </c>
      <c r="BD104" s="309">
        <f ca="1">IF(BB104="",TODAY()-BA104,BB104-BA104)</f>
        <v>193</v>
      </c>
      <c r="BE104" s="310">
        <f ca="1">BD104-BC104</f>
        <v>193</v>
      </c>
      <c r="BF104" s="336">
        <f>BK104-$BK$4</f>
        <v>46018</v>
      </c>
      <c r="BG104" s="345" t="str">
        <f>IF(_xlfn.XLOOKUP($E104,'[1]Import Eletra'!$B:$B,'[1]Import Eletra'!$AX:$AX,,0,1)=0,"",_xlfn.XLOOKUP($E104,'[1]Import Eletra'!$B:$B,'[1]Import Eletra'!$AX:$AX,,0,1))</f>
        <v/>
      </c>
      <c r="BH104" s="309">
        <f>$BF$4</f>
        <v>0</v>
      </c>
      <c r="BI104" s="309">
        <f ca="1">IF(BG104="",TODAY()-BF104,BG104-BF104)</f>
        <v>193</v>
      </c>
      <c r="BJ104" s="310">
        <f ca="1">IF(AND(ISNUMBER($BI104),$BI104&gt;0),$BI104-$BH104,"")</f>
        <v>193</v>
      </c>
      <c r="BK104" s="363">
        <f>BP104-$BP$4</f>
        <v>46018</v>
      </c>
      <c r="BL104" s="345">
        <f>IF(_xlfn.XLOOKUP($E104,'[1]Import Eletra'!$B:$B,'[1]Import Eletra'!$AY:$AY,,0,1)=0,"",_xlfn.XLOOKUP($E104,'[1]Import Eletra'!$B:$B,'[1]Import Eletra'!$AY:$AY,,0,1))</f>
        <v>46007</v>
      </c>
      <c r="BM104" s="309">
        <f>$BK$4</f>
        <v>0</v>
      </c>
      <c r="BN104" s="309">
        <f ca="1">IF(BL104="",TODAY()-BK104,BL104-BK104)</f>
        <v>-11</v>
      </c>
      <c r="BO104" s="310">
        <f ca="1">BN104-BM104</f>
        <v>-11</v>
      </c>
      <c r="BP104" s="336">
        <f>BU104-$BU$4</f>
        <v>46018</v>
      </c>
      <c r="BQ104" s="345">
        <f>IF(_xlfn.XLOOKUP($E104,'[1]Import Eletra'!$B:$B,'[1]Import Eletra'!$AZ:$AZ,,0,1)=0,"",_xlfn.XLOOKUP($E104,'[1]Import Eletra'!$B:$B,'[1]Import Eletra'!$AZ:$AZ,,0,1))</f>
        <v>46008</v>
      </c>
      <c r="BR104" s="309">
        <f>$BP$4</f>
        <v>0</v>
      </c>
      <c r="BS104" s="309">
        <f ca="1">IF(BQ104="",TODAY()-BP104,BQ104-BP104)</f>
        <v>-10</v>
      </c>
      <c r="BT104" s="310">
        <f ca="1">BS104-BR104</f>
        <v>-10</v>
      </c>
      <c r="BU104" s="363">
        <f>BZ104-$BZ$4</f>
        <v>46020</v>
      </c>
      <c r="BV104" s="345">
        <f>IF(_xlfn.XLOOKUP($E104,'[1]Import Eletra'!$B:$B,'[1]Import Eletra'!$BA:$BA,,0,1)=0,"",_xlfn.XLOOKUP($E104,'[1]Import Eletra'!$B:$B,'[1]Import Eletra'!$BA:$BA,,0,1))</f>
        <v>46009</v>
      </c>
      <c r="BW104" s="309">
        <f>$BU$4</f>
        <v>2</v>
      </c>
      <c r="BX104" s="309">
        <f ca="1">IF(BV104="",TODAY()-BU104,BV104-BU104)</f>
        <v>-11</v>
      </c>
      <c r="BY104" s="310" t="str">
        <f ca="1">IF(AND(ISNUMBER($BX104),$BX104&gt;0),$BX104-$BW104,"")</f>
        <v/>
      </c>
      <c r="BZ104" s="336">
        <f>CE104-$CE$4</f>
        <v>46020</v>
      </c>
      <c r="CA104" s="345">
        <f>IF(_xlfn.XLOOKUP($E104,'[1]Import Eletra'!$B:$B,'[1]Import Eletra'!$BB:$BB,,0,1)=0,"",_xlfn.XLOOKUP($E104,'[1]Import Eletra'!$B:$B,'[1]Import Eletra'!$BB:$BB,,0,1))</f>
        <v>46007</v>
      </c>
      <c r="CB104" s="309">
        <f>$BZ$4</f>
        <v>0</v>
      </c>
      <c r="CC104" s="309">
        <f ca="1">IF(CA104="",TODAY()-BZ104,CA104-BZ104)</f>
        <v>-13</v>
      </c>
      <c r="CD104" s="310">
        <f ca="1">CC104-CB104</f>
        <v>-13</v>
      </c>
      <c r="CE104" s="363">
        <f>CJ104-$CJ$4</f>
        <v>46020</v>
      </c>
      <c r="CF104" s="345">
        <f>IF(_xlfn.XLOOKUP($E104,'[1]Import Eletra'!$B:$B,'[1]Import Eletra'!$BC:$BC,,0,1)=0,"",_xlfn.XLOOKUP($E104,'[1]Import Eletra'!$B:$B,'[1]Import Eletra'!$BC:$BC,,0,1))</f>
        <v>46009</v>
      </c>
      <c r="CG104" s="309">
        <f>$CE$4</f>
        <v>0</v>
      </c>
      <c r="CH104" s="309">
        <f ca="1">IF(CF104="",TODAY()-CE104,CF104-CE104)</f>
        <v>-11</v>
      </c>
      <c r="CI104" s="310">
        <f ca="1">CH104-CG104</f>
        <v>-11</v>
      </c>
      <c r="CJ104" s="336">
        <f>CO104-$CO$4</f>
        <v>46020</v>
      </c>
      <c r="CK104" s="345">
        <f>IF(_xlfn.XLOOKUP($E104,'[1]Import Eletra'!$B:$B,'[1]Import Eletra'!$BD:$BD,,0,1)=0,"",_xlfn.XLOOKUP($E104,'[1]Import Eletra'!$B:$B,'[1]Import Eletra'!$BD:$BD,,0,1))</f>
        <v>46009</v>
      </c>
      <c r="CL104" s="309"/>
      <c r="CM104" s="309">
        <f ca="1">IF(CK104="",TODAY()-CJ104,CK104-CJ104)</f>
        <v>-11</v>
      </c>
      <c r="CN104" s="310">
        <f ca="1">CM104-CL104</f>
        <v>-11</v>
      </c>
      <c r="CO104" s="363">
        <f>CT104-$CT$4</f>
        <v>46020</v>
      </c>
      <c r="CP104" s="345">
        <f>IF(_xlfn.XLOOKUP($E104,'[1]Import Eletra'!$B:$B,'[1]Import Eletra'!$BE:$BE,,0,1)=0,"",_xlfn.XLOOKUP($E104,'[1]Import Eletra'!$B:$B,'[1]Import Eletra'!$BE:$BE,,0,1))</f>
        <v>46009</v>
      </c>
      <c r="CQ104" s="309">
        <f>$CO$4</f>
        <v>0</v>
      </c>
      <c r="CR104" s="309">
        <f ca="1">IF(CP104="",TODAY()-CO104,CP104-CO104)</f>
        <v>-11</v>
      </c>
      <c r="CS104" s="310">
        <f ca="1">CR104-CQ104</f>
        <v>-11</v>
      </c>
      <c r="CT104" s="336">
        <f>CY104-$CY$4</f>
        <v>46020</v>
      </c>
      <c r="CU104" s="345">
        <f>IF(_xlfn.XLOOKUP($E104,'[1]Import Eletra'!$B:$B,'[1]Import Eletra'!$BF:$BF,,0,1)=0,"",_xlfn.XLOOKUP($E104,'[1]Import Eletra'!$B:$B,'[1]Import Eletra'!$BF:$BF,,0,1))</f>
        <v>46009</v>
      </c>
      <c r="CV104" s="309">
        <f>$CT$4</f>
        <v>0</v>
      </c>
      <c r="CW104" s="309">
        <f ca="1">IF(CU104="",TODAY()-CT104,CU104-CT104)</f>
        <v>-11</v>
      </c>
      <c r="CX104" s="310">
        <f ca="1">CW104-CV104</f>
        <v>-11</v>
      </c>
      <c r="CY104" s="85">
        <f>DD104-$DD$4</f>
        <v>46020</v>
      </c>
      <c r="CZ104" s="271">
        <f>IF(_xlfn.XLOOKUP($E104,'[1]Import Eletra'!$B:$B,'[1]Import Eletra'!$BF:$BF,,0,1)=0,"",_xlfn.XLOOKUP($E104,'[1]Import Eletra'!$B:$B,'[1]Import Eletra'!$BF:$BF,,0,1))</f>
        <v>46009</v>
      </c>
      <c r="DA104" s="311">
        <f>$CY$4</f>
        <v>0</v>
      </c>
      <c r="DB104" s="309">
        <f ca="1">IF(CZ104="",TODAY()-CY104,CZ104-CY104)</f>
        <v>-11</v>
      </c>
      <c r="DC104" s="310">
        <f ca="1">DB104-DA104</f>
        <v>-11</v>
      </c>
      <c r="DD104" s="85">
        <f>DI104-$DI$4</f>
        <v>46022</v>
      </c>
      <c r="DE104" s="271">
        <f>IF(_xlfn.XLOOKUP($E104,'[1]Import Eletra'!$B:$B,'[1]Import Eletra'!$BG:$BG,,0,1)=0,"",_xlfn.XLOOKUP($E104,'[1]Import Eletra'!$B:$B,'[1]Import Eletra'!$BG:$BG,0,1))</f>
        <v>46013</v>
      </c>
      <c r="DF104" s="309">
        <f>$DD$4</f>
        <v>2</v>
      </c>
      <c r="DG104" s="309">
        <f ca="1">IF(DE104="",TODAY()-DD104,DE104-DD104)</f>
        <v>-9</v>
      </c>
      <c r="DH104" s="310">
        <f ca="1">DG104-DF104</f>
        <v>-11</v>
      </c>
      <c r="DI104" s="85">
        <f>DO104-$DN$4</f>
        <v>46023</v>
      </c>
      <c r="DJ104" s="271">
        <f>IF(_xlfn.XLOOKUP($E104,'[1]Import Eletra'!$B:$B,'[1]Import Eletra'!$BH:$BH,,0,1)=0,"",_xlfn.XLOOKUP($E104,'[1]Import Eletra'!$B:$B,'[1]Import Eletra'!$BH:$BH,0,1))</f>
        <v>46036</v>
      </c>
      <c r="DK104" s="309">
        <f>$DI$4</f>
        <v>1</v>
      </c>
      <c r="DL104" s="309">
        <f ca="1">IF(DJ104="",TODAY()-DI104,DJ104-DI104)</f>
        <v>13</v>
      </c>
      <c r="DM104" s="310">
        <f ca="1">DL104-DK104</f>
        <v>12</v>
      </c>
      <c r="DN104" s="312"/>
      <c r="DO104" s="313">
        <f>IF(V104="",N104+DT104,V104+DT104)</f>
        <v>46024</v>
      </c>
      <c r="DP104" s="59">
        <f>IF(_xlfn.XLOOKUP($E104,'[1]Import Eletra'!$B:$B,'[1]Import Eletra'!$O:$O,,0,1)=0,"",_xlfn.XLOOKUP($E104,'[1]Import Eletra'!$B:$B,'[1]Import Eletra'!$O:$O,0,1))</f>
        <v>46036</v>
      </c>
      <c r="DQ104" s="309">
        <f>$DN$4</f>
        <v>1</v>
      </c>
      <c r="DR104" s="309">
        <f ca="1">IF(DP104="",TODAY()-DO104,DP104-DO104)</f>
        <v>12</v>
      </c>
      <c r="DS104" s="310">
        <f ca="1">DR104-DQ104</f>
        <v>11</v>
      </c>
      <c r="DT104" s="314">
        <v>17</v>
      </c>
      <c r="DU104" s="140">
        <f ca="1">IF(DP104="",TODAY()-N104,DP104-N104)</f>
        <v>32</v>
      </c>
      <c r="DV104" s="184">
        <f ca="1">DU104-DT104</f>
        <v>15</v>
      </c>
      <c r="DX104" s="316"/>
      <c r="DY104" s="108" t="str">
        <f>IF(_xlfn.XLOOKUP($E104,'[1]Import Eletra'!$B:$B,'[1]Import Eletra'!$DW:$DW,,0,1)=0,"",_xlfn.XLOOKUP($E104,'[1]Import Eletra'!$B:$B,'[1]Import Eletra'!$DW:$DW,0,1))</f>
        <v/>
      </c>
      <c r="EB104" s="317"/>
      <c r="ED104" s="406">
        <f>IF(_xlfn.XLOOKUP($E104,'[1]Import Eletra'!$B:$B,'[1]Import Eletra'!$BQ:$BQ,,0,1)=0,"",_xlfn.XLOOKUP($E104,'[1]Import Eletra'!$B:$B,'[1]Import Eletra'!$BQ:$BQ,0,1))</f>
        <v>1065.03</v>
      </c>
      <c r="EE104" s="407">
        <f>IF(_xlfn.XLOOKUP($E104,'[1]Import Eletra'!$B:$B,'[1]Import Eletra'!$BR:$BR,,0,1)=0,"",_xlfn.XLOOKUP($E104,'[1]Import Eletra'!$B:$B,'[1]Import Eletra'!$BR:$BR,0,1))</f>
        <v>46029</v>
      </c>
      <c r="EF104" s="406" t="str">
        <f>IF(_xlfn.XLOOKUP($E104,'[1]Import Eletra'!$B:$B,'[1]Import Eletra'!$BS:$BS,,0,1)=0,"",_xlfn.XLOOKUP($E104,'[1]Import Eletra'!$B:$B,'[1]Import Eletra'!$BS:$BS,0,1))</f>
        <v/>
      </c>
      <c r="EG104" s="407" t="str">
        <f>IF(_xlfn.XLOOKUP($E104,'[1]Import Eletra'!$B:$B,'[1]Import Eletra'!$BT:$BT,,0,1)=0,"",_xlfn.XLOOKUP($E104,'[1]Import Eletra'!$B:$B,'[1]Import Eletra'!$BT:$BT,0,1))</f>
        <v/>
      </c>
      <c r="EH104" s="406" t="str">
        <f>IF(_xlfn.XLOOKUP($E104,'[1]Import Eletra'!$B:$B,'[1]Import Eletra'!$BU:$BU,,0,1)=0,"",_xlfn.XLOOKUP($E104,'[1]Import Eletra'!$B:$B,'[1]Import Eletra'!$BU:$BU,0,1))</f>
        <v/>
      </c>
      <c r="EI104" s="407" t="str">
        <f>IF(_xlfn.XLOOKUP($E104,'[1]Import Eletra'!$B:$B,'[1]Import Eletra'!$BV:$BV,,0,1)=0,"",_xlfn.XLOOKUP($E104,'[1]Import Eletra'!$B:$B,'[1]Import Eletra'!$BV:$BV,0,1))</f>
        <v/>
      </c>
      <c r="EJ104" s="407">
        <f>IF(_xlfn.XLOOKUP($E104,'[1]Import Eletra'!$B:$B,'[1]Import Eletra'!$CI:$CI,,0,1)=0,"",_xlfn.XLOOKUP($E104,'[1]Import Eletra'!$B:$B,'[1]Import Eletra'!$CI:$CI,0,1))</f>
        <v>46022</v>
      </c>
      <c r="EK104" s="407" t="str">
        <f>IF(_xlfn.XLOOKUP($E104,'[1]Import Eletra'!$B:$B,'[1]Import Eletra'!$CD:$CD,,0,1)=0,"",_xlfn.XLOOKUP($E104,'[1]Import Eletra'!$B:$B,'[1]Import Eletra'!$CD:$CD,0,1))</f>
        <v/>
      </c>
      <c r="EL104" s="407" t="str">
        <f>IF(_xlfn.XLOOKUP($E104,'[1]Import Eletra'!$B:$B,'[1]Import Eletra'!$CE:$CE,,0,1)=0,"",_xlfn.XLOOKUP($E104,'[1]Import Eletra'!$B:$B,'[1]Import Eletra'!$CE:$CE,0,1))</f>
        <v>NÃO</v>
      </c>
      <c r="EM104" s="408" t="str">
        <f>IF(_xlfn.XLOOKUP($E104,'[1]Import Eletra'!$B:$B,'[1]Import Eletra'!$E:$E,,0,1)=0,"",_xlfn.XLOOKUP($E104,'[1]Import Eletra'!$B:$B,'[1]Import Eletra'!$E:$E,0,1))</f>
        <v>LEISIANE</v>
      </c>
      <c r="EN104" s="408" t="str">
        <f>IF(_xlfn.XLOOKUP($E104,'[1]Import Eletra'!$B:$B,'[1]Import Eletra'!$E:$E,,0,1)=0,"",_xlfn.XLOOKUP($E104,'[1]Import Eletra'!$B:$B,'[1]Import Eletra'!$E:$E,0,1))</f>
        <v>LEISIANE</v>
      </c>
      <c r="EO104" s="408" t="str">
        <f>IF(_xlfn.XLOOKUP($E104,'[1]Import Eletra'!$B:$B,'[1]Import Eletra'!$E:$E,,0,1)=0,"",_xlfn.XLOOKUP($E104,'[1]Import Eletra'!$B:$B,'[1]Import Eletra'!$E:$E,0,1))</f>
        <v>LEISIANE</v>
      </c>
      <c r="EP104" s="408" t="str">
        <f>IF(_xlfn.XLOOKUP($E104,'[1]Import Eletra'!$B:$B,'[1]Import Eletra'!$E:$E,,0,1)=0,"",_xlfn.XLOOKUP($E104,'[1]Import Eletra'!$B:$B,'[1]Import Eletra'!$E:$E,0,1))</f>
        <v>LEISIANE</v>
      </c>
    </row>
    <row r="105" spans="1:146" s="315" customFormat="1" ht="30" hidden="1" customHeight="1" outlineLevel="1">
      <c r="A105" s="305"/>
      <c r="B105" s="306"/>
      <c r="C105" s="306"/>
      <c r="D105" s="306"/>
      <c r="E105" s="318" t="s">
        <v>401</v>
      </c>
      <c r="F105" s="307">
        <f>IF(_xlfn.XLOOKUP($E105,'[1]Import Eletra'!$B:$B,'[1]Import Eletra'!$U:$U,,0,1)=0,"",_xlfn.XLOOKUP($E105,'[1]Import Eletra'!$B:$B,'[1]Import Eletra'!$U:$U,,0,1))</f>
        <v>5</v>
      </c>
      <c r="G105" s="320" t="s">
        <v>244</v>
      </c>
      <c r="H105" s="59" t="str">
        <f>_xlfn.XLOOKUP($E105,'[1]Import Eletra'!$B:$B,'[1]Import Eletra'!$F:$F,,0,1)</f>
        <v>DELIVERED</v>
      </c>
      <c r="I105" s="4" t="str">
        <f>_xlfn.XLOOKUP($E105,'[1]Import Eletra'!$B:$B,'[1]Import Eletra'!$G:$G,,0,1)</f>
        <v>SEA</v>
      </c>
      <c r="J105" s="331"/>
      <c r="K105" s="308"/>
      <c r="L105" s="308"/>
      <c r="M105" s="331">
        <f>IF(_xlfn.XLOOKUP($E105,'[1]Import Eletra'!$B:$B,'[1]Import Eletra'!$J:$J,,0,1)=0,"",_xlfn.XLOOKUP($E105,'[1]Import Eletra'!$B:$B,'[1]Import Eletra'!$J:$J,,0,1))</f>
        <v>45962</v>
      </c>
      <c r="N105" s="334">
        <f>IF(_xlfn.XLOOKUP($E105,'[1]Import Eletra'!$B:$B,'[1]Import Eletra'!$L:$L,,0,1)=0,"",_xlfn.XLOOKUP($E105,'[1]Import Eletra'!$B:$B,'[1]Import Eletra'!$L:$L,,0,1))</f>
        <v>46012</v>
      </c>
      <c r="O105" s="336">
        <f>IF(_xlfn.XLOOKUP($E105,'[1]Import Eletra'!$B:$B,'[1]Import Eletra'!$AK:$AK,,0,1)=0,"",_xlfn.XLOOKUP($E105,'[1]Import Eletra'!$B:$B,'[1]Import Eletra'!$AK:$AK,,0,1))</f>
        <v>45979</v>
      </c>
      <c r="P105" s="331">
        <f>IF(_xlfn.XLOOKUP($E105,'[1]Import Eletra'!$B:$B,'[1]Import Eletra'!$AL:$AL,,0,1)=0,"",_xlfn.XLOOKUP($E105,'[1]Import Eletra'!$B:$B,'[1]Import Eletra'!$AL:$AL,,0,1))</f>
        <v>45985</v>
      </c>
      <c r="Q105" s="331">
        <f>IF(_xlfn.XLOOKUP($E105,'[1]Import Eletra'!$B:$B,'[1]Import Eletra'!$AM:$AM,,0,1)=0,"",_xlfn.XLOOKUP($E105,'[1]Import Eletra'!$B:$B,'[1]Import Eletra'!$AM:$AM,,0,1))</f>
        <v>45986</v>
      </c>
      <c r="R105" s="331">
        <f>IF(_xlfn.XLOOKUP($E105,'[1]Import Eletra'!$B:$B,'[1]Import Eletra'!$AN:$AN,,0,1)=0,"",_xlfn.XLOOKUP($E105,'[1]Import Eletra'!$B:$B,'[1]Import Eletra'!$AN:$AN,,0,1))</f>
        <v>45988</v>
      </c>
      <c r="S105" s="331">
        <f>IF(_xlfn.XLOOKUP($E105,'[1]Import Eletra'!$B:$B,'[1]Import Eletra'!$AO:$AO,,0,1)=0,"",_xlfn.XLOOKUP($E105,'[1]Import Eletra'!$B:$B,'[1]Import Eletra'!$AO:$AO,,0,1))</f>
        <v>45993</v>
      </c>
      <c r="T105" s="331">
        <f>IF(_xlfn.XLOOKUP($E105,'[1]Import Eletra'!$B:$B,'[1]Import Eletra'!$AP:$AP,,0,1)=0,"",_xlfn.XLOOKUP($E105,'[1]Import Eletra'!$B:$B,'[1]Import Eletra'!$AP:$AP,,0,1))</f>
        <v>46000</v>
      </c>
      <c r="U105" s="338">
        <f>IF(_xlfn.XLOOKUP($E105,'[1]Import Eletra'!$B:$B,'[1]Import Eletra'!$AQ:$AQ,,0,1)=0,"",_xlfn.XLOOKUP($E105,'[1]Import Eletra'!$B:$B,'[1]Import Eletra'!$AQ:$AQ,,0,1))</f>
        <v>46001</v>
      </c>
      <c r="V105" s="343">
        <f>IF(_xlfn.XLOOKUP($E105,'[1]Import Eletra'!$B:$B,'[1]Import Eletra'!$AQ:$AQ,,0,1)=0,"",_xlfn.XLOOKUP($E105,'[1]Import Eletra'!$B:$B,'[1]Import Eletra'!$AQ:$AQ,,0,1))</f>
        <v>46001</v>
      </c>
      <c r="W105" s="336">
        <f>AB105-$AB$4</f>
        <v>46011</v>
      </c>
      <c r="X105" s="345">
        <f>IF(_xlfn.XLOOKUP($E105,'[1]Import Eletra'!$B:$B,'[1]Import Eletra'!$AR:$AR,,0,1)=0,"",_xlfn.XLOOKUP($E105,'[1]Import Eletra'!$B:$B,'[1]Import Eletra'!$AR:$AR,,0,1))</f>
        <v>46013</v>
      </c>
      <c r="Y105" s="309">
        <f>$W$4</f>
        <v>0</v>
      </c>
      <c r="Z105" s="309">
        <f ca="1">IF(X105="",TODAY()-W105,X105-W105)</f>
        <v>2</v>
      </c>
      <c r="AA105" s="310">
        <f ca="1">IF(AND(ISNUMBER($Z105),$Z105&gt;0),$Z105-$Y105,"")</f>
        <v>2</v>
      </c>
      <c r="AB105" s="350">
        <f>AG105-$AB$4</f>
        <v>46011</v>
      </c>
      <c r="AC105" s="345">
        <f>IF(_xlfn.XLOOKUP($E105,'[1]Import Eletra'!$B:$B,'[1]Import Eletra'!$AD:$AD,,0,1)=0,"",_xlfn.XLOOKUP($E105,'[1]Import Eletra'!$B:$B,'[1]Import Eletra'!$AD:$AD,,0,1))</f>
        <v>46014</v>
      </c>
      <c r="AD105" s="309">
        <f>$AB$4</f>
        <v>0</v>
      </c>
      <c r="AE105" s="309">
        <f ca="1">IF(AC105="",TODAY()-AB105,AC105-AB105)</f>
        <v>3</v>
      </c>
      <c r="AF105" s="310">
        <f ca="1">AE105-AD105</f>
        <v>3</v>
      </c>
      <c r="AG105" s="356">
        <f>AL105-$AL$4</f>
        <v>46011</v>
      </c>
      <c r="AH105" s="345">
        <f>IF(_xlfn.XLOOKUP($E105,'[1]Import Eletra'!$B:$B,'[1]Import Eletra'!$AE:$AE,,0,1)=0,"",_xlfn.XLOOKUP($E105,'[1]Import Eletra'!$B:$B,'[1]Import Eletra'!$AE:$AE,,0,1))</f>
        <v>46014</v>
      </c>
      <c r="AI105" s="309">
        <f>$AG$4</f>
        <v>0</v>
      </c>
      <c r="AJ105" s="309">
        <f ca="1">IF(AH105="",TODAY()-AG105,AH105-AG105)</f>
        <v>3</v>
      </c>
      <c r="AK105" s="310">
        <f ca="1">IF(AND(ISNUMBER($AJ105),$AJ105&gt;0),$AJ105-$AI105,"")</f>
        <v>3</v>
      </c>
      <c r="AL105" s="356">
        <f>AQ105-$AQ$4</f>
        <v>46011</v>
      </c>
      <c r="AM105" s="345">
        <f>IF(_xlfn.XLOOKUP($E105,'[1]Import Eletra'!$B:$B,'[1]Import Eletra'!$AT:$AT,,0,1)=0,"",_xlfn.XLOOKUP($E105,'[1]Import Eletra'!$B:$B,'[1]Import Eletra'!$AT:$AT,,0,1))</f>
        <v>46014</v>
      </c>
      <c r="AN105" s="309">
        <f>$AL$4</f>
        <v>0</v>
      </c>
      <c r="AO105" s="309">
        <f ca="1">IF(AM105="",TODAY()-AL105,AM105-AL105)</f>
        <v>3</v>
      </c>
      <c r="AP105" s="310">
        <f ca="1">IF(AND(ISNUMBER($AO105),$AO105&gt;0),$AO105-$AN105,"")</f>
        <v>3</v>
      </c>
      <c r="AQ105" s="359">
        <f>AV105-$AV$4</f>
        <v>46012</v>
      </c>
      <c r="AR105" s="345">
        <f>IF(_xlfn.XLOOKUP($E105,'[1]Import Eletra'!$B:$B,'[1]Import Eletra'!$AU:$AU,,0,1)=0,"",_xlfn.XLOOKUP($E105,'[1]Import Eletra'!$B:$B,'[1]Import Eletra'!$AU:$AU,,0,1))</f>
        <v>46014</v>
      </c>
      <c r="AS105" s="309">
        <f>$AQ$4</f>
        <v>1</v>
      </c>
      <c r="AT105" s="309">
        <f ca="1">IF(AR105="",TODAY()-AQ105,AR105-AQ105)</f>
        <v>2</v>
      </c>
      <c r="AU105" s="310">
        <f ca="1">IF(AND(ISNUMBER($AT105),$AT105&gt;0),$AT105-$AS105,"")</f>
        <v>1</v>
      </c>
      <c r="AV105" s="356">
        <f>BA105-$BA$4</f>
        <v>46012</v>
      </c>
      <c r="AW105" s="345">
        <f>IF(_xlfn.XLOOKUP($E105,'[1]Import Eletra'!$B:$B,'[1]Import Eletra'!$AU:$AU,,0,1)=0,"",_xlfn.XLOOKUP($E105,'[1]Import Eletra'!$B:$B,'[1]Import Eletra'!$AU:$AU,,0,1))</f>
        <v>46014</v>
      </c>
      <c r="AX105" s="309">
        <f>$AV$4</f>
        <v>0</v>
      </c>
      <c r="AY105" s="309">
        <f ca="1">IF(AW105="",TODAY()-AV105,AW105-AV105)</f>
        <v>2</v>
      </c>
      <c r="AZ105" s="310">
        <f ca="1">IF(AND(ISNUMBER($AY105),$AY105&gt;0),$AY105-$AX105,"")</f>
        <v>2</v>
      </c>
      <c r="BA105" s="359">
        <f>BF105-$BF$4</f>
        <v>46012</v>
      </c>
      <c r="BB105" s="345" t="str">
        <f>IF(_xlfn.XLOOKUP($E105,'[1]Import Eletra'!$B:$B,'[1]Import Eletra'!$AW:$AW,,0,1)=0,"",_xlfn.XLOOKUP($E105,'[1]Import Eletra'!$B:$B,'[1]Import Eletra'!$AW:$AW,,0,1))</f>
        <v/>
      </c>
      <c r="BC105" s="309">
        <f>$BA$4</f>
        <v>0</v>
      </c>
      <c r="BD105" s="309">
        <f ca="1">IF(BB105="",TODAY()-BA105,BB105-BA105)</f>
        <v>199</v>
      </c>
      <c r="BE105" s="310">
        <f ca="1">BD105-BC105</f>
        <v>199</v>
      </c>
      <c r="BF105" s="336">
        <f>BK105-$BK$4</f>
        <v>46012</v>
      </c>
      <c r="BG105" s="345" t="str">
        <f>IF(_xlfn.XLOOKUP($E105,'[1]Import Eletra'!$B:$B,'[1]Import Eletra'!$AX:$AX,,0,1)=0,"",_xlfn.XLOOKUP($E105,'[1]Import Eletra'!$B:$B,'[1]Import Eletra'!$AX:$AX,,0,1))</f>
        <v/>
      </c>
      <c r="BH105" s="309">
        <f>$BF$4</f>
        <v>0</v>
      </c>
      <c r="BI105" s="309">
        <f ca="1">IF(BG105="",TODAY()-BF105,BG105-BF105)</f>
        <v>199</v>
      </c>
      <c r="BJ105" s="310">
        <f ca="1">IF(AND(ISNUMBER($BI105),$BI105&gt;0),$BI105-$BH105,"")</f>
        <v>199</v>
      </c>
      <c r="BK105" s="363">
        <f>BP105-$BP$4</f>
        <v>46012</v>
      </c>
      <c r="BL105" s="345">
        <f>IF(_xlfn.XLOOKUP($E105,'[1]Import Eletra'!$B:$B,'[1]Import Eletra'!$AY:$AY,,0,1)=0,"",_xlfn.XLOOKUP($E105,'[1]Import Eletra'!$B:$B,'[1]Import Eletra'!$AY:$AY,,0,1))</f>
        <v>46014</v>
      </c>
      <c r="BM105" s="309">
        <f>$BK$4</f>
        <v>0</v>
      </c>
      <c r="BN105" s="309">
        <f ca="1">IF(BL105="",TODAY()-BK105,BL105-BK105)</f>
        <v>2</v>
      </c>
      <c r="BO105" s="310">
        <f ca="1">BN105-BM105</f>
        <v>2</v>
      </c>
      <c r="BP105" s="336">
        <f>BU105-$BU$4</f>
        <v>46012</v>
      </c>
      <c r="BQ105" s="345">
        <f>IF(_xlfn.XLOOKUP($E105,'[1]Import Eletra'!$B:$B,'[1]Import Eletra'!$AZ:$AZ,,0,1)=0,"",_xlfn.XLOOKUP($E105,'[1]Import Eletra'!$B:$B,'[1]Import Eletra'!$AZ:$AZ,,0,1))</f>
        <v>46014</v>
      </c>
      <c r="BR105" s="309">
        <f>$BP$4</f>
        <v>0</v>
      </c>
      <c r="BS105" s="309">
        <f ca="1">IF(BQ105="",TODAY()-BP105,BQ105-BP105)</f>
        <v>2</v>
      </c>
      <c r="BT105" s="310">
        <f ca="1">BS105-BR105</f>
        <v>2</v>
      </c>
      <c r="BU105" s="363">
        <f>BZ105-$BZ$4</f>
        <v>46014</v>
      </c>
      <c r="BV105" s="345">
        <f>IF(_xlfn.XLOOKUP($E105,'[1]Import Eletra'!$B:$B,'[1]Import Eletra'!$BA:$BA,,0,1)=0,"",_xlfn.XLOOKUP($E105,'[1]Import Eletra'!$B:$B,'[1]Import Eletra'!$BA:$BA,,0,1))</f>
        <v>46020</v>
      </c>
      <c r="BW105" s="309">
        <f>$BU$4</f>
        <v>2</v>
      </c>
      <c r="BX105" s="309">
        <f ca="1">IF(BV105="",TODAY()-BU105,BV105-BU105)</f>
        <v>6</v>
      </c>
      <c r="BY105" s="310">
        <f ca="1">IF(AND(ISNUMBER($BX105),$BX105&gt;0),$BX105-$BW105,"")</f>
        <v>4</v>
      </c>
      <c r="BZ105" s="336">
        <f>CE105-$CE$4</f>
        <v>46014</v>
      </c>
      <c r="CA105" s="345">
        <f>IF(_xlfn.XLOOKUP($E105,'[1]Import Eletra'!$B:$B,'[1]Import Eletra'!$BB:$BB,,0,1)=0,"",_xlfn.XLOOKUP($E105,'[1]Import Eletra'!$B:$B,'[1]Import Eletra'!$BB:$BB,,0,1))</f>
        <v>46027</v>
      </c>
      <c r="CB105" s="309">
        <f>$BZ$4</f>
        <v>0</v>
      </c>
      <c r="CC105" s="309">
        <f ca="1">IF(CA105="",TODAY()-BZ105,CA105-BZ105)</f>
        <v>13</v>
      </c>
      <c r="CD105" s="310">
        <f ca="1">CC105-CB105</f>
        <v>13</v>
      </c>
      <c r="CE105" s="363">
        <f>CJ105-$CJ$4</f>
        <v>46014</v>
      </c>
      <c r="CF105" s="345">
        <f>IF(_xlfn.XLOOKUP($E105,'[1]Import Eletra'!$B:$B,'[1]Import Eletra'!$BC:$BC,,0,1)=0,"",_xlfn.XLOOKUP($E105,'[1]Import Eletra'!$B:$B,'[1]Import Eletra'!$BC:$BC,,0,1))</f>
        <v>46030</v>
      </c>
      <c r="CG105" s="309">
        <f>$CE$4</f>
        <v>0</v>
      </c>
      <c r="CH105" s="309">
        <f ca="1">IF(CF105="",TODAY()-CE105,CF105-CE105)</f>
        <v>16</v>
      </c>
      <c r="CI105" s="310">
        <f ca="1">CH105-CG105</f>
        <v>16</v>
      </c>
      <c r="CJ105" s="336">
        <f>CO105-$CO$4</f>
        <v>46014</v>
      </c>
      <c r="CK105" s="345">
        <f>IF(_xlfn.XLOOKUP($E105,'[1]Import Eletra'!$B:$B,'[1]Import Eletra'!$BD:$BD,,0,1)=0,"",_xlfn.XLOOKUP($E105,'[1]Import Eletra'!$B:$B,'[1]Import Eletra'!$BD:$BD,,0,1))</f>
        <v>46027</v>
      </c>
      <c r="CL105" s="309"/>
      <c r="CM105" s="309">
        <f ca="1">IF(CK105="",TODAY()-CJ105,CK105-CJ105)</f>
        <v>13</v>
      </c>
      <c r="CN105" s="310">
        <f ca="1">CM105-CL105</f>
        <v>13</v>
      </c>
      <c r="CO105" s="363">
        <f>CT105-$CT$4</f>
        <v>46014</v>
      </c>
      <c r="CP105" s="345">
        <f>IF(_xlfn.XLOOKUP($E105,'[1]Import Eletra'!$B:$B,'[1]Import Eletra'!$BE:$BE,,0,1)=0,"",_xlfn.XLOOKUP($E105,'[1]Import Eletra'!$B:$B,'[1]Import Eletra'!$BE:$BE,,0,1))</f>
        <v>46030</v>
      </c>
      <c r="CQ105" s="309">
        <f>$CO$4</f>
        <v>0</v>
      </c>
      <c r="CR105" s="309">
        <f ca="1">IF(CP105="",TODAY()-CO105,CP105-CO105)</f>
        <v>16</v>
      </c>
      <c r="CS105" s="310">
        <f ca="1">CR105-CQ105</f>
        <v>16</v>
      </c>
      <c r="CT105" s="336">
        <f>CY105-$CY$4</f>
        <v>46014</v>
      </c>
      <c r="CU105" s="345">
        <f>IF(_xlfn.XLOOKUP($E105,'[1]Import Eletra'!$B:$B,'[1]Import Eletra'!$BF:$BF,,0,1)=0,"",_xlfn.XLOOKUP($E105,'[1]Import Eletra'!$B:$B,'[1]Import Eletra'!$BF:$BF,,0,1))</f>
        <v>46030</v>
      </c>
      <c r="CV105" s="309">
        <f>$CT$4</f>
        <v>0</v>
      </c>
      <c r="CW105" s="309">
        <f ca="1">IF(CU105="",TODAY()-CT105,CU105-CT105)</f>
        <v>16</v>
      </c>
      <c r="CX105" s="310">
        <f ca="1">CW105-CV105</f>
        <v>16</v>
      </c>
      <c r="CY105" s="85">
        <f>DD105-$DD$4</f>
        <v>46014</v>
      </c>
      <c r="CZ105" s="271">
        <f>IF(_xlfn.XLOOKUP($E105,'[1]Import Eletra'!$B:$B,'[1]Import Eletra'!$BF:$BF,,0,1)=0,"",_xlfn.XLOOKUP($E105,'[1]Import Eletra'!$B:$B,'[1]Import Eletra'!$BF:$BF,,0,1))</f>
        <v>46030</v>
      </c>
      <c r="DA105" s="311">
        <f>$CY$4</f>
        <v>0</v>
      </c>
      <c r="DB105" s="309">
        <f ca="1">IF(CZ105="",TODAY()-CY105,CZ105-CY105)</f>
        <v>16</v>
      </c>
      <c r="DC105" s="310">
        <f ca="1">DB105-DA105</f>
        <v>16</v>
      </c>
      <c r="DD105" s="85">
        <f>DI105-$DI$4</f>
        <v>46016</v>
      </c>
      <c r="DE105" s="271">
        <f>IF(_xlfn.XLOOKUP($E105,'[1]Import Eletra'!$B:$B,'[1]Import Eletra'!$BG:$BG,,0,1)=0,"",_xlfn.XLOOKUP($E105,'[1]Import Eletra'!$B:$B,'[1]Import Eletra'!$BG:$BG,0,1))</f>
        <v>46034</v>
      </c>
      <c r="DF105" s="309">
        <f>$DD$4</f>
        <v>2</v>
      </c>
      <c r="DG105" s="309">
        <f ca="1">IF(DE105="",TODAY()-DD105,DE105-DD105)</f>
        <v>18</v>
      </c>
      <c r="DH105" s="310">
        <f ca="1">DG105-DF105</f>
        <v>16</v>
      </c>
      <c r="DI105" s="85">
        <f>DO105-$DN$4</f>
        <v>46017</v>
      </c>
      <c r="DJ105" s="271">
        <f>IF(_xlfn.XLOOKUP($E105,'[1]Import Eletra'!$B:$B,'[1]Import Eletra'!$BH:$BH,,0,1)=0,"",_xlfn.XLOOKUP($E105,'[1]Import Eletra'!$B:$B,'[1]Import Eletra'!$BH:$BH,0,1))</f>
        <v>46036</v>
      </c>
      <c r="DK105" s="309">
        <f>$DI$4</f>
        <v>1</v>
      </c>
      <c r="DL105" s="309">
        <f ca="1">IF(DJ105="",TODAY()-DI105,DJ105-DI105)</f>
        <v>19</v>
      </c>
      <c r="DM105" s="310">
        <f ca="1">DL105-DK105</f>
        <v>18</v>
      </c>
      <c r="DN105" s="312"/>
      <c r="DO105" s="313">
        <f>IF(V105="",N105+DT105,V105+DT105)</f>
        <v>46018</v>
      </c>
      <c r="DP105" s="59">
        <f>IF(_xlfn.XLOOKUP($E105,'[1]Import Eletra'!$B:$B,'[1]Import Eletra'!$O:$O,,0,1)=0,"",_xlfn.XLOOKUP($E105,'[1]Import Eletra'!$B:$B,'[1]Import Eletra'!$O:$O,0,1))</f>
        <v>46036</v>
      </c>
      <c r="DQ105" s="309">
        <f>$DN$4</f>
        <v>1</v>
      </c>
      <c r="DR105" s="309">
        <f ca="1">IF(DP105="",TODAY()-DO105,DP105-DO105)</f>
        <v>18</v>
      </c>
      <c r="DS105" s="310">
        <f ca="1">DR105-DQ105</f>
        <v>17</v>
      </c>
      <c r="DT105" s="314">
        <v>17</v>
      </c>
      <c r="DU105" s="140">
        <f ca="1">IF(DP105="",TODAY()-N105,DP105-N105)</f>
        <v>24</v>
      </c>
      <c r="DV105" s="184">
        <f ca="1">DU105-DT105</f>
        <v>7</v>
      </c>
      <c r="DX105" s="316"/>
      <c r="DY105" s="108" t="str">
        <f>IF(_xlfn.XLOOKUP($E105,'[1]Import Eletra'!$B:$B,'[1]Import Eletra'!$DW:$DW,,0,1)=0,"",_xlfn.XLOOKUP($E105,'[1]Import Eletra'!$B:$B,'[1]Import Eletra'!$DW:$DW,0,1))</f>
        <v/>
      </c>
      <c r="EB105" s="317"/>
      <c r="ED105" s="406">
        <f>IF(_xlfn.XLOOKUP($E105,'[1]Import Eletra'!$B:$B,'[1]Import Eletra'!$BQ:$BQ,,0,1)=0,"",_xlfn.XLOOKUP($E105,'[1]Import Eletra'!$B:$B,'[1]Import Eletra'!$BQ:$BQ,0,1))</f>
        <v>19116.73</v>
      </c>
      <c r="EE105" s="407">
        <f>IF(_xlfn.XLOOKUP($E105,'[1]Import Eletra'!$B:$B,'[1]Import Eletra'!$BR:$BR,,0,1)=0,"",_xlfn.XLOOKUP($E105,'[1]Import Eletra'!$B:$B,'[1]Import Eletra'!$BR:$BR,0,1))</f>
        <v>46034</v>
      </c>
      <c r="EF105" s="406">
        <f>IF(_xlfn.XLOOKUP($E105,'[1]Import Eletra'!$B:$B,'[1]Import Eletra'!$BS:$BS,,0,1)=0,"",_xlfn.XLOOKUP($E105,'[1]Import Eletra'!$B:$B,'[1]Import Eletra'!$BS:$BS,0,1))</f>
        <v>31150.03</v>
      </c>
      <c r="EG105" s="407">
        <f>IF(_xlfn.XLOOKUP($E105,'[1]Import Eletra'!$B:$B,'[1]Import Eletra'!$BT:$BT,,0,1)=0,"",_xlfn.XLOOKUP($E105,'[1]Import Eletra'!$B:$B,'[1]Import Eletra'!$BT:$BT,0,1))</f>
        <v>46102</v>
      </c>
      <c r="EH105" s="406" t="str">
        <f>IF(_xlfn.XLOOKUP($E105,'[1]Import Eletra'!$B:$B,'[1]Import Eletra'!$BU:$BU,,0,1)=0,"",_xlfn.XLOOKUP($E105,'[1]Import Eletra'!$B:$B,'[1]Import Eletra'!$BU:$BU,0,1))</f>
        <v/>
      </c>
      <c r="EI105" s="407" t="str">
        <f>IF(_xlfn.XLOOKUP($E105,'[1]Import Eletra'!$B:$B,'[1]Import Eletra'!$BV:$BV,,0,1)=0,"",_xlfn.XLOOKUP($E105,'[1]Import Eletra'!$B:$B,'[1]Import Eletra'!$BV:$BV,0,1))</f>
        <v/>
      </c>
      <c r="EJ105" s="407">
        <f>IF(_xlfn.XLOOKUP($E105,'[1]Import Eletra'!$B:$B,'[1]Import Eletra'!$CI:$CI,,0,1)=0,"",_xlfn.XLOOKUP($E105,'[1]Import Eletra'!$B:$B,'[1]Import Eletra'!$CI:$CI,0,1))</f>
        <v>46033</v>
      </c>
      <c r="EK105" s="407">
        <f>IF(_xlfn.XLOOKUP($E105,'[1]Import Eletra'!$B:$B,'[1]Import Eletra'!$CD:$CD,,0,1)=0,"",_xlfn.XLOOKUP($E105,'[1]Import Eletra'!$B:$B,'[1]Import Eletra'!$CD:$CD,0,1))</f>
        <v>46039</v>
      </c>
      <c r="EL105" s="407" t="str">
        <f>IF(_xlfn.XLOOKUP($E105,'[1]Import Eletra'!$B:$B,'[1]Import Eletra'!$CE:$CE,,0,1)=0,"",_xlfn.XLOOKUP($E105,'[1]Import Eletra'!$B:$B,'[1]Import Eletra'!$CE:$CE,0,1))</f>
        <v>SIM  6 dias</v>
      </c>
      <c r="EM105" s="408" t="str">
        <f>IF(_xlfn.XLOOKUP($E105,'[1]Import Eletra'!$B:$B,'[1]Import Eletra'!$E:$E,,0,1)=0,"",_xlfn.XLOOKUP($E105,'[1]Import Eletra'!$B:$B,'[1]Import Eletra'!$E:$E,0,1))</f>
        <v>LEISIANE</v>
      </c>
      <c r="EN105" s="408" t="str">
        <f>IF(_xlfn.XLOOKUP($E105,'[1]Import Eletra'!$B:$B,'[1]Import Eletra'!$E:$E,,0,1)=0,"",_xlfn.XLOOKUP($E105,'[1]Import Eletra'!$B:$B,'[1]Import Eletra'!$E:$E,0,1))</f>
        <v>LEISIANE</v>
      </c>
      <c r="EO105" s="408" t="str">
        <f>IF(_xlfn.XLOOKUP($E105,'[1]Import Eletra'!$B:$B,'[1]Import Eletra'!$E:$E,,0,1)=0,"",_xlfn.XLOOKUP($E105,'[1]Import Eletra'!$B:$B,'[1]Import Eletra'!$E:$E,0,1))</f>
        <v>LEISIANE</v>
      </c>
      <c r="EP105" s="408" t="str">
        <f>IF(_xlfn.XLOOKUP($E105,'[1]Import Eletra'!$B:$B,'[1]Import Eletra'!$E:$E,,0,1)=0,"",_xlfn.XLOOKUP($E105,'[1]Import Eletra'!$B:$B,'[1]Import Eletra'!$E:$E,0,1))</f>
        <v>LEISIANE</v>
      </c>
    </row>
    <row r="106" spans="1:146" s="315" customFormat="1" ht="30" hidden="1" customHeight="1" outlineLevel="1">
      <c r="A106" s="305"/>
      <c r="B106" s="306"/>
      <c r="C106" s="306"/>
      <c r="D106" s="306"/>
      <c r="E106" s="318" t="s">
        <v>402</v>
      </c>
      <c r="F106" s="307">
        <f>IF(_xlfn.XLOOKUP($E106,'[1]Import Eletra'!$B:$B,'[1]Import Eletra'!$U:$U,,0,1)=0,"",_xlfn.XLOOKUP($E106,'[1]Import Eletra'!$B:$B,'[1]Import Eletra'!$U:$U,,0,1))</f>
        <v>3</v>
      </c>
      <c r="G106" s="320" t="s">
        <v>244</v>
      </c>
      <c r="H106" s="59" t="str">
        <f>_xlfn.XLOOKUP($E106,'[1]Import Eletra'!$B:$B,'[1]Import Eletra'!$F:$F,,0,1)</f>
        <v>DELIVERED</v>
      </c>
      <c r="I106" s="4" t="str">
        <f>_xlfn.XLOOKUP($E106,'[1]Import Eletra'!$B:$B,'[1]Import Eletra'!$G:$G,,0,1)</f>
        <v>SEA</v>
      </c>
      <c r="J106" s="331"/>
      <c r="K106" s="308"/>
      <c r="L106" s="308"/>
      <c r="M106" s="331">
        <f>IF(_xlfn.XLOOKUP($E106,'[1]Import Eletra'!$B:$B,'[1]Import Eletra'!$J:$J,,0,1)=0,"",_xlfn.XLOOKUP($E106,'[1]Import Eletra'!$B:$B,'[1]Import Eletra'!$J:$J,,0,1))</f>
        <v>45931</v>
      </c>
      <c r="N106" s="334">
        <f>IF(_xlfn.XLOOKUP($E106,'[1]Import Eletra'!$B:$B,'[1]Import Eletra'!$L:$L,,0,1)=0,"",_xlfn.XLOOKUP($E106,'[1]Import Eletra'!$B:$B,'[1]Import Eletra'!$L:$L,,0,1))</f>
        <v>46004</v>
      </c>
      <c r="O106" s="336">
        <f>IF(_xlfn.XLOOKUP($E106,'[1]Import Eletra'!$B:$B,'[1]Import Eletra'!$AK:$AK,,0,1)=0,"",_xlfn.XLOOKUP($E106,'[1]Import Eletra'!$B:$B,'[1]Import Eletra'!$AK:$AK,,0,1))</f>
        <v>45959</v>
      </c>
      <c r="P106" s="331">
        <f>IF(_xlfn.XLOOKUP($E106,'[1]Import Eletra'!$B:$B,'[1]Import Eletra'!$AL:$AL,,0,1)=0,"",_xlfn.XLOOKUP($E106,'[1]Import Eletra'!$B:$B,'[1]Import Eletra'!$AL:$AL,,0,1))</f>
        <v>45959</v>
      </c>
      <c r="Q106" s="331">
        <f>IF(_xlfn.XLOOKUP($E106,'[1]Import Eletra'!$B:$B,'[1]Import Eletra'!$AM:$AM,,0,1)=0,"",_xlfn.XLOOKUP($E106,'[1]Import Eletra'!$B:$B,'[1]Import Eletra'!$AM:$AM,,0,1))</f>
        <v>45960</v>
      </c>
      <c r="R106" s="331">
        <f>IF(_xlfn.XLOOKUP($E106,'[1]Import Eletra'!$B:$B,'[1]Import Eletra'!$AN:$AN,,0,1)=0,"",_xlfn.XLOOKUP($E106,'[1]Import Eletra'!$B:$B,'[1]Import Eletra'!$AN:$AN,,0,1))</f>
        <v>45960</v>
      </c>
      <c r="S106" s="331">
        <f>IF(_xlfn.XLOOKUP($E106,'[1]Import Eletra'!$B:$B,'[1]Import Eletra'!$AO:$AO,,0,1)=0,"",_xlfn.XLOOKUP($E106,'[1]Import Eletra'!$B:$B,'[1]Import Eletra'!$AO:$AO,,0,1))</f>
        <v>45964</v>
      </c>
      <c r="T106" s="331">
        <f>IF(_xlfn.XLOOKUP($E106,'[1]Import Eletra'!$B:$B,'[1]Import Eletra'!$AP:$AP,,0,1)=0,"",_xlfn.XLOOKUP($E106,'[1]Import Eletra'!$B:$B,'[1]Import Eletra'!$AP:$AP,,0,1))</f>
        <v>45967</v>
      </c>
      <c r="U106" s="338">
        <f>IF(_xlfn.XLOOKUP($E106,'[1]Import Eletra'!$B:$B,'[1]Import Eletra'!$AQ:$AQ,,0,1)=0,"",_xlfn.XLOOKUP($E106,'[1]Import Eletra'!$B:$B,'[1]Import Eletra'!$AQ:$AQ,,0,1))</f>
        <v>46007</v>
      </c>
      <c r="V106" s="343">
        <f>IF(_xlfn.XLOOKUP($E106,'[1]Import Eletra'!$B:$B,'[1]Import Eletra'!$AQ:$AQ,,0,1)=0,"",_xlfn.XLOOKUP($E106,'[1]Import Eletra'!$B:$B,'[1]Import Eletra'!$AQ:$AQ,,0,1))</f>
        <v>46007</v>
      </c>
      <c r="W106" s="336">
        <f>AB106-$AB$4</f>
        <v>46017</v>
      </c>
      <c r="X106" s="345">
        <f>IF(_xlfn.XLOOKUP($E106,'[1]Import Eletra'!$B:$B,'[1]Import Eletra'!$AR:$AR,,0,1)=0,"",_xlfn.XLOOKUP($E106,'[1]Import Eletra'!$B:$B,'[1]Import Eletra'!$AR:$AR,,0,1))</f>
        <v>46007</v>
      </c>
      <c r="Y106" s="309">
        <f>$W$4</f>
        <v>0</v>
      </c>
      <c r="Z106" s="309">
        <f ca="1">IF(X106="",TODAY()-W106,X106-W106)</f>
        <v>-10</v>
      </c>
      <c r="AA106" s="310" t="str">
        <f ca="1">IF(AND(ISNUMBER($Z106),$Z106&gt;0),$Z106-$Y106,"")</f>
        <v/>
      </c>
      <c r="AB106" s="350">
        <f>AG106-$AB$4</f>
        <v>46017</v>
      </c>
      <c r="AC106" s="345">
        <f>IF(_xlfn.XLOOKUP($E106,'[1]Import Eletra'!$B:$B,'[1]Import Eletra'!$AD:$AD,,0,1)=0,"",_xlfn.XLOOKUP($E106,'[1]Import Eletra'!$B:$B,'[1]Import Eletra'!$AD:$AD,,0,1))</f>
        <v>46007</v>
      </c>
      <c r="AD106" s="309">
        <f>$AB$4</f>
        <v>0</v>
      </c>
      <c r="AE106" s="309">
        <f ca="1">IF(AC106="",TODAY()-AB106,AC106-AB106)</f>
        <v>-10</v>
      </c>
      <c r="AF106" s="310">
        <f ca="1">AE106-AD106</f>
        <v>-10</v>
      </c>
      <c r="AG106" s="356">
        <f>AL106-$AL$4</f>
        <v>46017</v>
      </c>
      <c r="AH106" s="345">
        <f>IF(_xlfn.XLOOKUP($E106,'[1]Import Eletra'!$B:$B,'[1]Import Eletra'!$AE:$AE,,0,1)=0,"",_xlfn.XLOOKUP($E106,'[1]Import Eletra'!$B:$B,'[1]Import Eletra'!$AE:$AE,,0,1))</f>
        <v>46007</v>
      </c>
      <c r="AI106" s="309">
        <f>$AG$4</f>
        <v>0</v>
      </c>
      <c r="AJ106" s="309">
        <f ca="1">IF(AH106="",TODAY()-AG106,AH106-AG106)</f>
        <v>-10</v>
      </c>
      <c r="AK106" s="310" t="str">
        <f ca="1">IF(AND(ISNUMBER($AJ106),$AJ106&gt;0),$AJ106-$AI106,"")</f>
        <v/>
      </c>
      <c r="AL106" s="356">
        <f>AQ106-$AQ$4</f>
        <v>46017</v>
      </c>
      <c r="AM106" s="345">
        <f>IF(_xlfn.XLOOKUP($E106,'[1]Import Eletra'!$B:$B,'[1]Import Eletra'!$AT:$AT,,0,1)=0,"",_xlfn.XLOOKUP($E106,'[1]Import Eletra'!$B:$B,'[1]Import Eletra'!$AT:$AT,,0,1))</f>
        <v>46007</v>
      </c>
      <c r="AN106" s="309">
        <f>$AL$4</f>
        <v>0</v>
      </c>
      <c r="AO106" s="309">
        <f ca="1">IF(AM106="",TODAY()-AL106,AM106-AL106)</f>
        <v>-10</v>
      </c>
      <c r="AP106" s="310" t="str">
        <f ca="1">IF(AND(ISNUMBER($AO106),$AO106&gt;0),$AO106-$AN106,"")</f>
        <v/>
      </c>
      <c r="AQ106" s="359">
        <f>AV106-$AV$4</f>
        <v>46018</v>
      </c>
      <c r="AR106" s="345">
        <f>IF(_xlfn.XLOOKUP($E106,'[1]Import Eletra'!$B:$B,'[1]Import Eletra'!$AU:$AU,,0,1)=0,"",_xlfn.XLOOKUP($E106,'[1]Import Eletra'!$B:$B,'[1]Import Eletra'!$AU:$AU,,0,1))</f>
        <v>46009</v>
      </c>
      <c r="AS106" s="309">
        <f>$AQ$4</f>
        <v>1</v>
      </c>
      <c r="AT106" s="309">
        <f ca="1">IF(AR106="",TODAY()-AQ106,AR106-AQ106)</f>
        <v>-9</v>
      </c>
      <c r="AU106" s="310" t="str">
        <f ca="1">IF(AND(ISNUMBER($AT106),$AT106&gt;0),$AT106-$AS106,"")</f>
        <v/>
      </c>
      <c r="AV106" s="356">
        <f>BA106-$BA$4</f>
        <v>46018</v>
      </c>
      <c r="AW106" s="345">
        <f>IF(_xlfn.XLOOKUP($E106,'[1]Import Eletra'!$B:$B,'[1]Import Eletra'!$AU:$AU,,0,1)=0,"",_xlfn.XLOOKUP($E106,'[1]Import Eletra'!$B:$B,'[1]Import Eletra'!$AU:$AU,,0,1))</f>
        <v>46009</v>
      </c>
      <c r="AX106" s="309">
        <f>$AV$4</f>
        <v>0</v>
      </c>
      <c r="AY106" s="309">
        <f ca="1">IF(AW106="",TODAY()-AV106,AW106-AV106)</f>
        <v>-9</v>
      </c>
      <c r="AZ106" s="310" t="str">
        <f ca="1">IF(AND(ISNUMBER($AY106),$AY106&gt;0),$AY106-$AX106,"")</f>
        <v/>
      </c>
      <c r="BA106" s="359">
        <f>BF106-$BF$4</f>
        <v>46018</v>
      </c>
      <c r="BB106" s="345" t="str">
        <f>IF(_xlfn.XLOOKUP($E106,'[1]Import Eletra'!$B:$B,'[1]Import Eletra'!$AW:$AW,,0,1)=0,"",_xlfn.XLOOKUP($E106,'[1]Import Eletra'!$B:$B,'[1]Import Eletra'!$AW:$AW,,0,1))</f>
        <v/>
      </c>
      <c r="BC106" s="309">
        <f>$BA$4</f>
        <v>0</v>
      </c>
      <c r="BD106" s="309">
        <f ca="1">IF(BB106="",TODAY()-BA106,BB106-BA106)</f>
        <v>193</v>
      </c>
      <c r="BE106" s="310">
        <f ca="1">BD106-BC106</f>
        <v>193</v>
      </c>
      <c r="BF106" s="336">
        <f>BK106-$BK$4</f>
        <v>46018</v>
      </c>
      <c r="BG106" s="345" t="str">
        <f>IF(_xlfn.XLOOKUP($E106,'[1]Import Eletra'!$B:$B,'[1]Import Eletra'!$AX:$AX,,0,1)=0,"",_xlfn.XLOOKUP($E106,'[1]Import Eletra'!$B:$B,'[1]Import Eletra'!$AX:$AX,,0,1))</f>
        <v/>
      </c>
      <c r="BH106" s="309">
        <f>$BF$4</f>
        <v>0</v>
      </c>
      <c r="BI106" s="309">
        <f ca="1">IF(BG106="",TODAY()-BF106,BG106-BF106)</f>
        <v>193</v>
      </c>
      <c r="BJ106" s="310">
        <f ca="1">IF(AND(ISNUMBER($BI106),$BI106&gt;0),$BI106-$BH106,"")</f>
        <v>193</v>
      </c>
      <c r="BK106" s="363">
        <f>BP106-$BP$4</f>
        <v>46018</v>
      </c>
      <c r="BL106" s="345">
        <f>IF(_xlfn.XLOOKUP($E106,'[1]Import Eletra'!$B:$B,'[1]Import Eletra'!$AY:$AY,,0,1)=0,"",_xlfn.XLOOKUP($E106,'[1]Import Eletra'!$B:$B,'[1]Import Eletra'!$AY:$AY,,0,1))</f>
        <v>46007</v>
      </c>
      <c r="BM106" s="309">
        <f>$BK$4</f>
        <v>0</v>
      </c>
      <c r="BN106" s="309">
        <f ca="1">IF(BL106="",TODAY()-BK106,BL106-BK106)</f>
        <v>-11</v>
      </c>
      <c r="BO106" s="310">
        <f ca="1">BN106-BM106</f>
        <v>-11</v>
      </c>
      <c r="BP106" s="336">
        <f>BU106-$BU$4</f>
        <v>46018</v>
      </c>
      <c r="BQ106" s="345">
        <f>IF(_xlfn.XLOOKUP($E106,'[1]Import Eletra'!$B:$B,'[1]Import Eletra'!$AZ:$AZ,,0,1)=0,"",_xlfn.XLOOKUP($E106,'[1]Import Eletra'!$B:$B,'[1]Import Eletra'!$AZ:$AZ,,0,1))</f>
        <v>46009</v>
      </c>
      <c r="BR106" s="309">
        <f>$BP$4</f>
        <v>0</v>
      </c>
      <c r="BS106" s="309">
        <f ca="1">IF(BQ106="",TODAY()-BP106,BQ106-BP106)</f>
        <v>-9</v>
      </c>
      <c r="BT106" s="310">
        <f ca="1">BS106-BR106</f>
        <v>-9</v>
      </c>
      <c r="BU106" s="363">
        <f>BZ106-$BZ$4</f>
        <v>46020</v>
      </c>
      <c r="BV106" s="345">
        <f>IF(_xlfn.XLOOKUP($E106,'[1]Import Eletra'!$B:$B,'[1]Import Eletra'!$BA:$BA,,0,1)=0,"",_xlfn.XLOOKUP($E106,'[1]Import Eletra'!$B:$B,'[1]Import Eletra'!$BA:$BA,,0,1))</f>
        <v>46010</v>
      </c>
      <c r="BW106" s="309">
        <f>$BU$4</f>
        <v>2</v>
      </c>
      <c r="BX106" s="309">
        <f ca="1">IF(BV106="",TODAY()-BU106,BV106-BU106)</f>
        <v>-10</v>
      </c>
      <c r="BY106" s="310" t="str">
        <f ca="1">IF(AND(ISNUMBER($BX106),$BX106&gt;0),$BX106-$BW106,"")</f>
        <v/>
      </c>
      <c r="BZ106" s="336">
        <f>CE106-$CE$4</f>
        <v>46020</v>
      </c>
      <c r="CA106" s="345">
        <f>IF(_xlfn.XLOOKUP($E106,'[1]Import Eletra'!$B:$B,'[1]Import Eletra'!$BB:$BB,,0,1)=0,"",_xlfn.XLOOKUP($E106,'[1]Import Eletra'!$B:$B,'[1]Import Eletra'!$BB:$BB,,0,1))</f>
        <v>46010</v>
      </c>
      <c r="CB106" s="309">
        <f>$BZ$4</f>
        <v>0</v>
      </c>
      <c r="CC106" s="309">
        <f ca="1">IF(CA106="",TODAY()-BZ106,CA106-BZ106)</f>
        <v>-10</v>
      </c>
      <c r="CD106" s="310">
        <f ca="1">CC106-CB106</f>
        <v>-10</v>
      </c>
      <c r="CE106" s="363">
        <f>CJ106-$CJ$4</f>
        <v>46020</v>
      </c>
      <c r="CF106" s="345">
        <f>IF(_xlfn.XLOOKUP($E106,'[1]Import Eletra'!$B:$B,'[1]Import Eletra'!$BC:$BC,,0,1)=0,"",_xlfn.XLOOKUP($E106,'[1]Import Eletra'!$B:$B,'[1]Import Eletra'!$BC:$BC,,0,1))</f>
        <v>46013</v>
      </c>
      <c r="CG106" s="309">
        <f>$CE$4</f>
        <v>0</v>
      </c>
      <c r="CH106" s="309">
        <f ca="1">IF(CF106="",TODAY()-CE106,CF106-CE106)</f>
        <v>-7</v>
      </c>
      <c r="CI106" s="310">
        <f ca="1">CH106-CG106</f>
        <v>-7</v>
      </c>
      <c r="CJ106" s="336">
        <f>CO106-$CO$4</f>
        <v>46020</v>
      </c>
      <c r="CK106" s="345">
        <f>IF(_xlfn.XLOOKUP($E106,'[1]Import Eletra'!$B:$B,'[1]Import Eletra'!$BD:$BD,,0,1)=0,"",_xlfn.XLOOKUP($E106,'[1]Import Eletra'!$B:$B,'[1]Import Eletra'!$BD:$BD,,0,1))</f>
        <v>46010</v>
      </c>
      <c r="CL106" s="309"/>
      <c r="CM106" s="309">
        <f ca="1">IF(CK106="",TODAY()-CJ106,CK106-CJ106)</f>
        <v>-10</v>
      </c>
      <c r="CN106" s="310">
        <f ca="1">CM106-CL106</f>
        <v>-10</v>
      </c>
      <c r="CO106" s="363">
        <f>CT106-$CT$4</f>
        <v>46020</v>
      </c>
      <c r="CP106" s="345">
        <f>IF(_xlfn.XLOOKUP($E106,'[1]Import Eletra'!$B:$B,'[1]Import Eletra'!$BE:$BE,,0,1)=0,"",_xlfn.XLOOKUP($E106,'[1]Import Eletra'!$B:$B,'[1]Import Eletra'!$BE:$BE,,0,1))</f>
        <v>46013</v>
      </c>
      <c r="CQ106" s="309">
        <f>$CO$4</f>
        <v>0</v>
      </c>
      <c r="CR106" s="309">
        <f ca="1">IF(CP106="",TODAY()-CO106,CP106-CO106)</f>
        <v>-7</v>
      </c>
      <c r="CS106" s="310">
        <f ca="1">CR106-CQ106</f>
        <v>-7</v>
      </c>
      <c r="CT106" s="336">
        <f>CY106-$CY$4</f>
        <v>46020</v>
      </c>
      <c r="CU106" s="345">
        <f>IF(_xlfn.XLOOKUP($E106,'[1]Import Eletra'!$B:$B,'[1]Import Eletra'!$BF:$BF,,0,1)=0,"",_xlfn.XLOOKUP($E106,'[1]Import Eletra'!$B:$B,'[1]Import Eletra'!$BF:$BF,,0,1))</f>
        <v>46013</v>
      </c>
      <c r="CV106" s="309">
        <f>$CT$4</f>
        <v>0</v>
      </c>
      <c r="CW106" s="309">
        <f ca="1">IF(CU106="",TODAY()-CT106,CU106-CT106)</f>
        <v>-7</v>
      </c>
      <c r="CX106" s="310">
        <f ca="1">CW106-CV106</f>
        <v>-7</v>
      </c>
      <c r="CY106" s="85">
        <f>DD106-$DD$4</f>
        <v>46020</v>
      </c>
      <c r="CZ106" s="271">
        <f>IF(_xlfn.XLOOKUP($E106,'[1]Import Eletra'!$B:$B,'[1]Import Eletra'!$BF:$BF,,0,1)=0,"",_xlfn.XLOOKUP($E106,'[1]Import Eletra'!$B:$B,'[1]Import Eletra'!$BF:$BF,,0,1))</f>
        <v>46013</v>
      </c>
      <c r="DA106" s="311">
        <f>$CY$4</f>
        <v>0</v>
      </c>
      <c r="DB106" s="309">
        <f ca="1">IF(CZ106="",TODAY()-CY106,CZ106-CY106)</f>
        <v>-7</v>
      </c>
      <c r="DC106" s="310">
        <f ca="1">DB106-DA106</f>
        <v>-7</v>
      </c>
      <c r="DD106" s="85">
        <f>DI106-$DI$4</f>
        <v>46022</v>
      </c>
      <c r="DE106" s="271">
        <f>IF(_xlfn.XLOOKUP($E106,'[1]Import Eletra'!$B:$B,'[1]Import Eletra'!$BG:$BG,,0,1)=0,"",_xlfn.XLOOKUP($E106,'[1]Import Eletra'!$B:$B,'[1]Import Eletra'!$BG:$BG,0,1))</f>
        <v>46014</v>
      </c>
      <c r="DF106" s="309">
        <f>$DD$4</f>
        <v>2</v>
      </c>
      <c r="DG106" s="309">
        <f ca="1">IF(DE106="",TODAY()-DD106,DE106-DD106)</f>
        <v>-8</v>
      </c>
      <c r="DH106" s="310">
        <f ca="1">DG106-DF106</f>
        <v>-10</v>
      </c>
      <c r="DI106" s="85">
        <f>DO106-$DN$4</f>
        <v>46023</v>
      </c>
      <c r="DJ106" s="271" t="str">
        <f>IF(_xlfn.XLOOKUP($E106,'[1]Import Eletra'!$B:$B,'[1]Import Eletra'!$BH:$BH,,0,1)=0,"",_xlfn.XLOOKUP($E106,'[1]Import Eletra'!$B:$B,'[1]Import Eletra'!$BH:$BH,0,1))</f>
        <v/>
      </c>
      <c r="DK106" s="309">
        <f>$DI$4</f>
        <v>1</v>
      </c>
      <c r="DL106" s="309">
        <f ca="1">IF(DJ106="",TODAY()-DI106,DJ106-DI106)</f>
        <v>188</v>
      </c>
      <c r="DM106" s="310">
        <f ca="1">DL106-DK106</f>
        <v>187</v>
      </c>
      <c r="DN106" s="312"/>
      <c r="DO106" s="313">
        <f>IF(V106="",N106+DT106,V106+DT106)</f>
        <v>46024</v>
      </c>
      <c r="DP106" s="59">
        <f>IF(_xlfn.XLOOKUP($E106,'[1]Import Eletra'!$B:$B,'[1]Import Eletra'!$O:$O,,0,1)=0,"",_xlfn.XLOOKUP($E106,'[1]Import Eletra'!$B:$B,'[1]Import Eletra'!$O:$O,0,1))</f>
        <v>46038</v>
      </c>
      <c r="DQ106" s="309">
        <f>$DN$4</f>
        <v>1</v>
      </c>
      <c r="DR106" s="309">
        <f ca="1">IF(DP106="",TODAY()-DO106,DP106-DO106)</f>
        <v>14</v>
      </c>
      <c r="DS106" s="310">
        <f ca="1">DR106-DQ106</f>
        <v>13</v>
      </c>
      <c r="DT106" s="314">
        <v>17</v>
      </c>
      <c r="DU106" s="140">
        <f ca="1">IF(DP106="",TODAY()-N106,DP106-N106)</f>
        <v>34</v>
      </c>
      <c r="DV106" s="184">
        <f ca="1">DU106-DT106</f>
        <v>17</v>
      </c>
      <c r="DX106" s="316"/>
      <c r="DY106" s="108" t="str">
        <f>IF(_xlfn.XLOOKUP($E106,'[1]Import Eletra'!$B:$B,'[1]Import Eletra'!$DW:$DW,,0,1)=0,"",_xlfn.XLOOKUP($E106,'[1]Import Eletra'!$B:$B,'[1]Import Eletra'!$DW:$DW,0,1))</f>
        <v/>
      </c>
      <c r="EB106" s="317"/>
      <c r="ED106" s="406">
        <f>IF(_xlfn.XLOOKUP($E106,'[1]Import Eletra'!$B:$B,'[1]Import Eletra'!$BQ:$BQ,,0,1)=0,"",_xlfn.XLOOKUP($E106,'[1]Import Eletra'!$B:$B,'[1]Import Eletra'!$BQ:$BQ,0,1))</f>
        <v>16905.39</v>
      </c>
      <c r="EE106" s="407">
        <f>IF(_xlfn.XLOOKUP($E106,'[1]Import Eletra'!$B:$B,'[1]Import Eletra'!$BR:$BR,,0,1)=0,"",_xlfn.XLOOKUP($E106,'[1]Import Eletra'!$B:$B,'[1]Import Eletra'!$BR:$BR,0,1))</f>
        <v>46034</v>
      </c>
      <c r="EF106" s="406" t="str">
        <f>IF(_xlfn.XLOOKUP($E106,'[1]Import Eletra'!$B:$B,'[1]Import Eletra'!$BS:$BS,,0,1)=0,"",_xlfn.XLOOKUP($E106,'[1]Import Eletra'!$B:$B,'[1]Import Eletra'!$BS:$BS,0,1))</f>
        <v/>
      </c>
      <c r="EG106" s="407" t="str">
        <f>IF(_xlfn.XLOOKUP($E106,'[1]Import Eletra'!$B:$B,'[1]Import Eletra'!$BT:$BT,,0,1)=0,"",_xlfn.XLOOKUP($E106,'[1]Import Eletra'!$B:$B,'[1]Import Eletra'!$BT:$BT,0,1))</f>
        <v/>
      </c>
      <c r="EH106" s="406" t="str">
        <f>IF(_xlfn.XLOOKUP($E106,'[1]Import Eletra'!$B:$B,'[1]Import Eletra'!$BU:$BU,,0,1)=0,"",_xlfn.XLOOKUP($E106,'[1]Import Eletra'!$B:$B,'[1]Import Eletra'!$BU:$BU,0,1))</f>
        <v/>
      </c>
      <c r="EI106" s="407" t="str">
        <f>IF(_xlfn.XLOOKUP($E106,'[1]Import Eletra'!$B:$B,'[1]Import Eletra'!$BV:$BV,,0,1)=0,"",_xlfn.XLOOKUP($E106,'[1]Import Eletra'!$B:$B,'[1]Import Eletra'!$BV:$BV,0,1))</f>
        <v/>
      </c>
      <c r="EJ106" s="407">
        <f>IF(_xlfn.XLOOKUP($E106,'[1]Import Eletra'!$B:$B,'[1]Import Eletra'!$CI:$CI,,0,1)=0,"",_xlfn.XLOOKUP($E106,'[1]Import Eletra'!$B:$B,'[1]Import Eletra'!$CI:$CI,0,1))</f>
        <v>46022</v>
      </c>
      <c r="EK106" s="407">
        <f>IF(_xlfn.XLOOKUP($E106,'[1]Import Eletra'!$B:$B,'[1]Import Eletra'!$CD:$CD,,0,1)=0,"",_xlfn.XLOOKUP($E106,'[1]Import Eletra'!$B:$B,'[1]Import Eletra'!$CD:$CD,0,1))</f>
        <v>46021</v>
      </c>
      <c r="EL106" s="407" t="str">
        <f>IF(_xlfn.XLOOKUP($E106,'[1]Import Eletra'!$B:$B,'[1]Import Eletra'!$CE:$CE,,0,1)=0,"",_xlfn.XLOOKUP($E106,'[1]Import Eletra'!$B:$B,'[1]Import Eletra'!$CE:$CE,0,1))</f>
        <v>NÃO</v>
      </c>
      <c r="EM106" s="408" t="str">
        <f>IF(_xlfn.XLOOKUP($E106,'[1]Import Eletra'!$B:$B,'[1]Import Eletra'!$E:$E,,0,1)=0,"",_xlfn.XLOOKUP($E106,'[1]Import Eletra'!$B:$B,'[1]Import Eletra'!$E:$E,0,1))</f>
        <v>STELLA</v>
      </c>
      <c r="EN106" s="408" t="str">
        <f>IF(_xlfn.XLOOKUP($E106,'[1]Import Eletra'!$B:$B,'[1]Import Eletra'!$E:$E,,0,1)=0,"",_xlfn.XLOOKUP($E106,'[1]Import Eletra'!$B:$B,'[1]Import Eletra'!$E:$E,0,1))</f>
        <v>STELLA</v>
      </c>
      <c r="EO106" s="408" t="str">
        <f>IF(_xlfn.XLOOKUP($E106,'[1]Import Eletra'!$B:$B,'[1]Import Eletra'!$E:$E,,0,1)=0,"",_xlfn.XLOOKUP($E106,'[1]Import Eletra'!$B:$B,'[1]Import Eletra'!$E:$E,0,1))</f>
        <v>STELLA</v>
      </c>
      <c r="EP106" s="408" t="str">
        <f>IF(_xlfn.XLOOKUP($E106,'[1]Import Eletra'!$B:$B,'[1]Import Eletra'!$E:$E,,0,1)=0,"",_xlfn.XLOOKUP($E106,'[1]Import Eletra'!$B:$B,'[1]Import Eletra'!$E:$E,0,1))</f>
        <v>STELLA</v>
      </c>
    </row>
    <row r="107" spans="1:146" s="315" customFormat="1" ht="30" hidden="1" customHeight="1" outlineLevel="1">
      <c r="A107" s="305"/>
      <c r="B107" s="306"/>
      <c r="C107" s="306"/>
      <c r="D107" s="306"/>
      <c r="E107" s="318" t="s">
        <v>403</v>
      </c>
      <c r="F107" s="307">
        <f>IF(_xlfn.XLOOKUP($E107,'[1]Import Eletra'!$B:$B,'[1]Import Eletra'!$U:$U,,0,1)=0,"",_xlfn.XLOOKUP($E107,'[1]Import Eletra'!$B:$B,'[1]Import Eletra'!$U:$U,,0,1))</f>
        <v>3</v>
      </c>
      <c r="G107" s="320" t="s">
        <v>244</v>
      </c>
      <c r="H107" s="59" t="str">
        <f>_xlfn.XLOOKUP($E107,'[1]Import Eletra'!$B:$B,'[1]Import Eletra'!$F:$F,,0,1)</f>
        <v>DELIVERED</v>
      </c>
      <c r="I107" s="4" t="str">
        <f>_xlfn.XLOOKUP($E107,'[1]Import Eletra'!$B:$B,'[1]Import Eletra'!$G:$G,,0,1)</f>
        <v>SEA</v>
      </c>
      <c r="J107" s="331"/>
      <c r="K107" s="308"/>
      <c r="L107" s="308"/>
      <c r="M107" s="331">
        <f>IF(_xlfn.XLOOKUP($E107,'[1]Import Eletra'!$B:$B,'[1]Import Eletra'!$J:$J,,0,1)=0,"",_xlfn.XLOOKUP($E107,'[1]Import Eletra'!$B:$B,'[1]Import Eletra'!$J:$J,,0,1))</f>
        <v>45931</v>
      </c>
      <c r="N107" s="334">
        <f>IF(_xlfn.XLOOKUP($E107,'[1]Import Eletra'!$B:$B,'[1]Import Eletra'!$L:$L,,0,1)=0,"",_xlfn.XLOOKUP($E107,'[1]Import Eletra'!$B:$B,'[1]Import Eletra'!$L:$L,,0,1))</f>
        <v>46004</v>
      </c>
      <c r="O107" s="336">
        <f>IF(_xlfn.XLOOKUP($E107,'[1]Import Eletra'!$B:$B,'[1]Import Eletra'!$AK:$AK,,0,1)=0,"",_xlfn.XLOOKUP($E107,'[1]Import Eletra'!$B:$B,'[1]Import Eletra'!$AK:$AK,,0,1))</f>
        <v>45958</v>
      </c>
      <c r="P107" s="331">
        <f>IF(_xlfn.XLOOKUP($E107,'[1]Import Eletra'!$B:$B,'[1]Import Eletra'!$AL:$AL,,0,1)=0,"",_xlfn.XLOOKUP($E107,'[1]Import Eletra'!$B:$B,'[1]Import Eletra'!$AL:$AL,,0,1))</f>
        <v>45959</v>
      </c>
      <c r="Q107" s="331">
        <f>IF(_xlfn.XLOOKUP($E107,'[1]Import Eletra'!$B:$B,'[1]Import Eletra'!$AM:$AM,,0,1)=0,"",_xlfn.XLOOKUP($E107,'[1]Import Eletra'!$B:$B,'[1]Import Eletra'!$AM:$AM,,0,1))</f>
        <v>45961</v>
      </c>
      <c r="R107" s="331">
        <f>IF(_xlfn.XLOOKUP($E107,'[1]Import Eletra'!$B:$B,'[1]Import Eletra'!$AN:$AN,,0,1)=0,"",_xlfn.XLOOKUP($E107,'[1]Import Eletra'!$B:$B,'[1]Import Eletra'!$AN:$AN,,0,1))</f>
        <v>45966</v>
      </c>
      <c r="S107" s="331">
        <f>IF(_xlfn.XLOOKUP($E107,'[1]Import Eletra'!$B:$B,'[1]Import Eletra'!$AO:$AO,,0,1)=0,"",_xlfn.XLOOKUP($E107,'[1]Import Eletra'!$B:$B,'[1]Import Eletra'!$AO:$AO,,0,1))</f>
        <v>45980</v>
      </c>
      <c r="T107" s="331">
        <f>IF(_xlfn.XLOOKUP($E107,'[1]Import Eletra'!$B:$B,'[1]Import Eletra'!$AP:$AP,,0,1)=0,"",_xlfn.XLOOKUP($E107,'[1]Import Eletra'!$B:$B,'[1]Import Eletra'!$AP:$AP,,0,1))</f>
        <v>45985</v>
      </c>
      <c r="U107" s="338">
        <f>IF(_xlfn.XLOOKUP($E107,'[1]Import Eletra'!$B:$B,'[1]Import Eletra'!$AQ:$AQ,,0,1)=0,"",_xlfn.XLOOKUP($E107,'[1]Import Eletra'!$B:$B,'[1]Import Eletra'!$AQ:$AQ,,0,1))</f>
        <v>46007</v>
      </c>
      <c r="V107" s="343">
        <f>IF(_xlfn.XLOOKUP($E107,'[1]Import Eletra'!$B:$B,'[1]Import Eletra'!$AQ:$AQ,,0,1)=0,"",_xlfn.XLOOKUP($E107,'[1]Import Eletra'!$B:$B,'[1]Import Eletra'!$AQ:$AQ,,0,1))</f>
        <v>46007</v>
      </c>
      <c r="W107" s="336">
        <f>AB107-$AB$4</f>
        <v>46017</v>
      </c>
      <c r="X107" s="345">
        <f>IF(_xlfn.XLOOKUP($E107,'[1]Import Eletra'!$B:$B,'[1]Import Eletra'!$AR:$AR,,0,1)=0,"",_xlfn.XLOOKUP($E107,'[1]Import Eletra'!$B:$B,'[1]Import Eletra'!$AR:$AR,,0,1))</f>
        <v>46007</v>
      </c>
      <c r="Y107" s="309">
        <f>$W$4</f>
        <v>0</v>
      </c>
      <c r="Z107" s="309">
        <f ca="1">IF(X107="",TODAY()-W107,X107-W107)</f>
        <v>-10</v>
      </c>
      <c r="AA107" s="310" t="str">
        <f ca="1">IF(AND(ISNUMBER($Z107),$Z107&gt;0),$Z107-$Y107,"")</f>
        <v/>
      </c>
      <c r="AB107" s="350">
        <f>AG107-$AB$4</f>
        <v>46017</v>
      </c>
      <c r="AC107" s="345">
        <f>IF(_xlfn.XLOOKUP($E107,'[1]Import Eletra'!$B:$B,'[1]Import Eletra'!$AD:$AD,,0,1)=0,"",_xlfn.XLOOKUP($E107,'[1]Import Eletra'!$B:$B,'[1]Import Eletra'!$AD:$AD,,0,1))</f>
        <v>46013</v>
      </c>
      <c r="AD107" s="309">
        <f>$AB$4</f>
        <v>0</v>
      </c>
      <c r="AE107" s="309">
        <f ca="1">IF(AC107="",TODAY()-AB107,AC107-AB107)</f>
        <v>-4</v>
      </c>
      <c r="AF107" s="310">
        <f ca="1">AE107-AD107</f>
        <v>-4</v>
      </c>
      <c r="AG107" s="356">
        <f>AL107-$AL$4</f>
        <v>46017</v>
      </c>
      <c r="AH107" s="345">
        <f>IF(_xlfn.XLOOKUP($E107,'[1]Import Eletra'!$B:$B,'[1]Import Eletra'!$AE:$AE,,0,1)=0,"",_xlfn.XLOOKUP($E107,'[1]Import Eletra'!$B:$B,'[1]Import Eletra'!$AE:$AE,,0,1))</f>
        <v>46013</v>
      </c>
      <c r="AI107" s="309">
        <f>$AG$4</f>
        <v>0</v>
      </c>
      <c r="AJ107" s="309">
        <f ca="1">IF(AH107="",TODAY()-AG107,AH107-AG107)</f>
        <v>-4</v>
      </c>
      <c r="AK107" s="310" t="str">
        <f ca="1">IF(AND(ISNUMBER($AJ107),$AJ107&gt;0),$AJ107-$AI107,"")</f>
        <v/>
      </c>
      <c r="AL107" s="356">
        <f>AQ107-$AQ$4</f>
        <v>46017</v>
      </c>
      <c r="AM107" s="345">
        <f>IF(_xlfn.XLOOKUP($E107,'[1]Import Eletra'!$B:$B,'[1]Import Eletra'!$AT:$AT,,0,1)=0,"",_xlfn.XLOOKUP($E107,'[1]Import Eletra'!$B:$B,'[1]Import Eletra'!$AT:$AT,,0,1))</f>
        <v>46013</v>
      </c>
      <c r="AN107" s="309">
        <f>$AL$4</f>
        <v>0</v>
      </c>
      <c r="AO107" s="309">
        <f ca="1">IF(AM107="",TODAY()-AL107,AM107-AL107)</f>
        <v>-4</v>
      </c>
      <c r="AP107" s="310" t="str">
        <f ca="1">IF(AND(ISNUMBER($AO107),$AO107&gt;0),$AO107-$AN107,"")</f>
        <v/>
      </c>
      <c r="AQ107" s="359">
        <f>AV107-$AV$4</f>
        <v>46018</v>
      </c>
      <c r="AR107" s="345">
        <f>IF(_xlfn.XLOOKUP($E107,'[1]Import Eletra'!$B:$B,'[1]Import Eletra'!$AU:$AU,,0,1)=0,"",_xlfn.XLOOKUP($E107,'[1]Import Eletra'!$B:$B,'[1]Import Eletra'!$AU:$AU,,0,1))</f>
        <v>46014</v>
      </c>
      <c r="AS107" s="309">
        <f>$AQ$4</f>
        <v>1</v>
      </c>
      <c r="AT107" s="309">
        <f ca="1">IF(AR107="",TODAY()-AQ107,AR107-AQ107)</f>
        <v>-4</v>
      </c>
      <c r="AU107" s="310" t="str">
        <f ca="1">IF(AND(ISNUMBER($AT107),$AT107&gt;0),$AT107-$AS107,"")</f>
        <v/>
      </c>
      <c r="AV107" s="356">
        <f>BA107-$BA$4</f>
        <v>46018</v>
      </c>
      <c r="AW107" s="345">
        <f>IF(_xlfn.XLOOKUP($E107,'[1]Import Eletra'!$B:$B,'[1]Import Eletra'!$AU:$AU,,0,1)=0,"",_xlfn.XLOOKUP($E107,'[1]Import Eletra'!$B:$B,'[1]Import Eletra'!$AU:$AU,,0,1))</f>
        <v>46014</v>
      </c>
      <c r="AX107" s="309">
        <f>$AV$4</f>
        <v>0</v>
      </c>
      <c r="AY107" s="309">
        <f ca="1">IF(AW107="",TODAY()-AV107,AW107-AV107)</f>
        <v>-4</v>
      </c>
      <c r="AZ107" s="310" t="str">
        <f ca="1">IF(AND(ISNUMBER($AY107),$AY107&gt;0),$AY107-$AX107,"")</f>
        <v/>
      </c>
      <c r="BA107" s="359">
        <f>BF107-$BF$4</f>
        <v>46018</v>
      </c>
      <c r="BB107" s="345" t="str">
        <f>IF(_xlfn.XLOOKUP($E107,'[1]Import Eletra'!$B:$B,'[1]Import Eletra'!$AW:$AW,,0,1)=0,"",_xlfn.XLOOKUP($E107,'[1]Import Eletra'!$B:$B,'[1]Import Eletra'!$AW:$AW,,0,1))</f>
        <v/>
      </c>
      <c r="BC107" s="309">
        <f>$BA$4</f>
        <v>0</v>
      </c>
      <c r="BD107" s="309">
        <f ca="1">IF(BB107="",TODAY()-BA107,BB107-BA107)</f>
        <v>193</v>
      </c>
      <c r="BE107" s="310">
        <f ca="1">BD107-BC107</f>
        <v>193</v>
      </c>
      <c r="BF107" s="336">
        <f>BK107-$BK$4</f>
        <v>46018</v>
      </c>
      <c r="BG107" s="345" t="str">
        <f>IF(_xlfn.XLOOKUP($E107,'[1]Import Eletra'!$B:$B,'[1]Import Eletra'!$AX:$AX,,0,1)=0,"",_xlfn.XLOOKUP($E107,'[1]Import Eletra'!$B:$B,'[1]Import Eletra'!$AX:$AX,,0,1))</f>
        <v/>
      </c>
      <c r="BH107" s="309">
        <f>$BF$4</f>
        <v>0</v>
      </c>
      <c r="BI107" s="309">
        <f ca="1">IF(BG107="",TODAY()-BF107,BG107-BF107)</f>
        <v>193</v>
      </c>
      <c r="BJ107" s="310">
        <f ca="1">IF(AND(ISNUMBER($BI107),$BI107&gt;0),$BI107-$BH107,"")</f>
        <v>193</v>
      </c>
      <c r="BK107" s="363">
        <f>BP107-$BP$4</f>
        <v>46018</v>
      </c>
      <c r="BL107" s="345">
        <f>IF(_xlfn.XLOOKUP($E107,'[1]Import Eletra'!$B:$B,'[1]Import Eletra'!$AY:$AY,,0,1)=0,"",_xlfn.XLOOKUP($E107,'[1]Import Eletra'!$B:$B,'[1]Import Eletra'!$AY:$AY,,0,1))</f>
        <v>46013</v>
      </c>
      <c r="BM107" s="309">
        <f>$BK$4</f>
        <v>0</v>
      </c>
      <c r="BN107" s="309">
        <f ca="1">IF(BL107="",TODAY()-BK107,BL107-BK107)</f>
        <v>-5</v>
      </c>
      <c r="BO107" s="310">
        <f ca="1">BN107-BM107</f>
        <v>-5</v>
      </c>
      <c r="BP107" s="336">
        <f>BU107-$BU$4</f>
        <v>46018</v>
      </c>
      <c r="BQ107" s="345">
        <f>IF(_xlfn.XLOOKUP($E107,'[1]Import Eletra'!$B:$B,'[1]Import Eletra'!$AZ:$AZ,,0,1)=0,"",_xlfn.XLOOKUP($E107,'[1]Import Eletra'!$B:$B,'[1]Import Eletra'!$AZ:$AZ,,0,1))</f>
        <v>46013</v>
      </c>
      <c r="BR107" s="309">
        <f>$BP$4</f>
        <v>0</v>
      </c>
      <c r="BS107" s="309">
        <f ca="1">IF(BQ107="",TODAY()-BP107,BQ107-BP107)</f>
        <v>-5</v>
      </c>
      <c r="BT107" s="310">
        <f ca="1">BS107-BR107</f>
        <v>-5</v>
      </c>
      <c r="BU107" s="363">
        <f>BZ107-$BZ$4</f>
        <v>46020</v>
      </c>
      <c r="BV107" s="345">
        <f>IF(_xlfn.XLOOKUP($E107,'[1]Import Eletra'!$B:$B,'[1]Import Eletra'!$BA:$BA,,0,1)=0,"",_xlfn.XLOOKUP($E107,'[1]Import Eletra'!$B:$B,'[1]Import Eletra'!$BA:$BA,,0,1))</f>
        <v>46017</v>
      </c>
      <c r="BW107" s="309">
        <f>$BU$4</f>
        <v>2</v>
      </c>
      <c r="BX107" s="309">
        <f ca="1">IF(BV107="",TODAY()-BU107,BV107-BU107)</f>
        <v>-3</v>
      </c>
      <c r="BY107" s="310" t="str">
        <f ca="1">IF(AND(ISNUMBER($BX107),$BX107&gt;0),$BX107-$BW107,"")</f>
        <v/>
      </c>
      <c r="BZ107" s="336">
        <f>CE107-$CE$4</f>
        <v>46020</v>
      </c>
      <c r="CA107" s="345">
        <f>IF(_xlfn.XLOOKUP($E107,'[1]Import Eletra'!$B:$B,'[1]Import Eletra'!$BB:$BB,,0,1)=0,"",_xlfn.XLOOKUP($E107,'[1]Import Eletra'!$B:$B,'[1]Import Eletra'!$BB:$BB,,0,1))</f>
        <v>46027</v>
      </c>
      <c r="CB107" s="309">
        <f>$BZ$4</f>
        <v>0</v>
      </c>
      <c r="CC107" s="309">
        <f ca="1">IF(CA107="",TODAY()-BZ107,CA107-BZ107)</f>
        <v>7</v>
      </c>
      <c r="CD107" s="310">
        <f ca="1">CC107-CB107</f>
        <v>7</v>
      </c>
      <c r="CE107" s="363">
        <f>CJ107-$CJ$4</f>
        <v>46020</v>
      </c>
      <c r="CF107" s="345">
        <f>IF(_xlfn.XLOOKUP($E107,'[1]Import Eletra'!$B:$B,'[1]Import Eletra'!$BC:$BC,,0,1)=0,"",_xlfn.XLOOKUP($E107,'[1]Import Eletra'!$B:$B,'[1]Import Eletra'!$BC:$BC,,0,1))</f>
        <v>46027</v>
      </c>
      <c r="CG107" s="309">
        <f>$CE$4</f>
        <v>0</v>
      </c>
      <c r="CH107" s="309">
        <f ca="1">IF(CF107="",TODAY()-CE107,CF107-CE107)</f>
        <v>7</v>
      </c>
      <c r="CI107" s="310">
        <f ca="1">CH107-CG107</f>
        <v>7</v>
      </c>
      <c r="CJ107" s="336">
        <f>CO107-$CO$4</f>
        <v>46020</v>
      </c>
      <c r="CK107" s="345">
        <f>IF(_xlfn.XLOOKUP($E107,'[1]Import Eletra'!$B:$B,'[1]Import Eletra'!$BD:$BD,,0,1)=0,"",_xlfn.XLOOKUP($E107,'[1]Import Eletra'!$B:$B,'[1]Import Eletra'!$BD:$BD,,0,1))</f>
        <v>46027</v>
      </c>
      <c r="CL107" s="309"/>
      <c r="CM107" s="309">
        <f ca="1">IF(CK107="",TODAY()-CJ107,CK107-CJ107)</f>
        <v>7</v>
      </c>
      <c r="CN107" s="310">
        <f ca="1">CM107-CL107</f>
        <v>7</v>
      </c>
      <c r="CO107" s="363">
        <f>CT107-$CT$4</f>
        <v>46020</v>
      </c>
      <c r="CP107" s="345">
        <f>IF(_xlfn.XLOOKUP($E107,'[1]Import Eletra'!$B:$B,'[1]Import Eletra'!$BE:$BE,,0,1)=0,"",_xlfn.XLOOKUP($E107,'[1]Import Eletra'!$B:$B,'[1]Import Eletra'!$BE:$BE,,0,1))</f>
        <v>46027</v>
      </c>
      <c r="CQ107" s="309">
        <f>$CO$4</f>
        <v>0</v>
      </c>
      <c r="CR107" s="309">
        <f ca="1">IF(CP107="",TODAY()-CO107,CP107-CO107)</f>
        <v>7</v>
      </c>
      <c r="CS107" s="310">
        <f ca="1">CR107-CQ107</f>
        <v>7</v>
      </c>
      <c r="CT107" s="336">
        <f>CY107-$CY$4</f>
        <v>46020</v>
      </c>
      <c r="CU107" s="345">
        <f>IF(_xlfn.XLOOKUP($E107,'[1]Import Eletra'!$B:$B,'[1]Import Eletra'!$BF:$BF,,0,1)=0,"",_xlfn.XLOOKUP($E107,'[1]Import Eletra'!$B:$B,'[1]Import Eletra'!$BF:$BF,,0,1))</f>
        <v>46027</v>
      </c>
      <c r="CV107" s="309">
        <f>$CT$4</f>
        <v>0</v>
      </c>
      <c r="CW107" s="309">
        <f ca="1">IF(CU107="",TODAY()-CT107,CU107-CT107)</f>
        <v>7</v>
      </c>
      <c r="CX107" s="310">
        <f ca="1">CW107-CV107</f>
        <v>7</v>
      </c>
      <c r="CY107" s="85">
        <f>DD107-$DD$4</f>
        <v>46020</v>
      </c>
      <c r="CZ107" s="271">
        <f>IF(_xlfn.XLOOKUP($E107,'[1]Import Eletra'!$B:$B,'[1]Import Eletra'!$BF:$BF,,0,1)=0,"",_xlfn.XLOOKUP($E107,'[1]Import Eletra'!$B:$B,'[1]Import Eletra'!$BF:$BF,,0,1))</f>
        <v>46027</v>
      </c>
      <c r="DA107" s="311">
        <f>$CY$4</f>
        <v>0</v>
      </c>
      <c r="DB107" s="309">
        <f ca="1">IF(CZ107="",TODAY()-CY107,CZ107-CY107)</f>
        <v>7</v>
      </c>
      <c r="DC107" s="310">
        <f ca="1">DB107-DA107</f>
        <v>7</v>
      </c>
      <c r="DD107" s="85">
        <f>DI107-$DI$4</f>
        <v>46022</v>
      </c>
      <c r="DE107" s="271">
        <f>IF(_xlfn.XLOOKUP($E107,'[1]Import Eletra'!$B:$B,'[1]Import Eletra'!$BG:$BG,,0,1)=0,"",_xlfn.XLOOKUP($E107,'[1]Import Eletra'!$B:$B,'[1]Import Eletra'!$BG:$BG,0,1))</f>
        <v>46027</v>
      </c>
      <c r="DF107" s="309">
        <f>$DD$4</f>
        <v>2</v>
      </c>
      <c r="DG107" s="309">
        <f ca="1">IF(DE107="",TODAY()-DD107,DE107-DD107)</f>
        <v>5</v>
      </c>
      <c r="DH107" s="310">
        <f ca="1">DG107-DF107</f>
        <v>3</v>
      </c>
      <c r="DI107" s="85">
        <f>DO107-$DN$4</f>
        <v>46023</v>
      </c>
      <c r="DJ107" s="271" t="str">
        <f>IF(_xlfn.XLOOKUP($E107,'[1]Import Eletra'!$B:$B,'[1]Import Eletra'!$BH:$BH,,0,1)=0,"",_xlfn.XLOOKUP($E107,'[1]Import Eletra'!$B:$B,'[1]Import Eletra'!$BH:$BH,0,1))</f>
        <v/>
      </c>
      <c r="DK107" s="309">
        <f>$DI$4</f>
        <v>1</v>
      </c>
      <c r="DL107" s="309">
        <f ca="1">IF(DJ107="",TODAY()-DI107,DJ107-DI107)</f>
        <v>188</v>
      </c>
      <c r="DM107" s="310">
        <f ca="1">DL107-DK107</f>
        <v>187</v>
      </c>
      <c r="DN107" s="312"/>
      <c r="DO107" s="313">
        <f>IF(V107="",N107+DT107,V107+DT107)</f>
        <v>46024</v>
      </c>
      <c r="DP107" s="59">
        <f>IF(_xlfn.XLOOKUP($E107,'[1]Import Eletra'!$B:$B,'[1]Import Eletra'!$O:$O,,0,1)=0,"",_xlfn.XLOOKUP($E107,'[1]Import Eletra'!$B:$B,'[1]Import Eletra'!$O:$O,0,1))</f>
        <v>46041</v>
      </c>
      <c r="DQ107" s="309">
        <f>$DN$4</f>
        <v>1</v>
      </c>
      <c r="DR107" s="309">
        <f ca="1">IF(DP107="",TODAY()-DO107,DP107-DO107)</f>
        <v>17</v>
      </c>
      <c r="DS107" s="310">
        <f ca="1">DR107-DQ107</f>
        <v>16</v>
      </c>
      <c r="DT107" s="314">
        <v>17</v>
      </c>
      <c r="DU107" s="140">
        <f ca="1">IF(DP107="",TODAY()-N107,DP107-N107)</f>
        <v>37</v>
      </c>
      <c r="DV107" s="184">
        <f ca="1">DU107-DT107</f>
        <v>20</v>
      </c>
      <c r="DX107" s="316"/>
      <c r="DY107" s="108" t="str">
        <f>IF(_xlfn.XLOOKUP($E107,'[1]Import Eletra'!$B:$B,'[1]Import Eletra'!$DW:$DW,,0,1)=0,"",_xlfn.XLOOKUP($E107,'[1]Import Eletra'!$B:$B,'[1]Import Eletra'!$DW:$DW,0,1))</f>
        <v/>
      </c>
      <c r="EB107" s="317"/>
      <c r="ED107" s="406">
        <f>IF(_xlfn.XLOOKUP($E107,'[1]Import Eletra'!$B:$B,'[1]Import Eletra'!$BQ:$BQ,,0,1)=0,"",_xlfn.XLOOKUP($E107,'[1]Import Eletra'!$B:$B,'[1]Import Eletra'!$BQ:$BQ,0,1))</f>
        <v>16905.39</v>
      </c>
      <c r="EE107" s="407">
        <f>IF(_xlfn.XLOOKUP($E107,'[1]Import Eletra'!$B:$B,'[1]Import Eletra'!$BR:$BR,,0,1)=0,"",_xlfn.XLOOKUP($E107,'[1]Import Eletra'!$B:$B,'[1]Import Eletra'!$BR:$BR,0,1))</f>
        <v>46034</v>
      </c>
      <c r="EF107" s="406" t="str">
        <f>IF(_xlfn.XLOOKUP($E107,'[1]Import Eletra'!$B:$B,'[1]Import Eletra'!$BS:$BS,,0,1)=0,"",_xlfn.XLOOKUP($E107,'[1]Import Eletra'!$B:$B,'[1]Import Eletra'!$BS:$BS,0,1))</f>
        <v/>
      </c>
      <c r="EG107" s="407" t="str">
        <f>IF(_xlfn.XLOOKUP($E107,'[1]Import Eletra'!$B:$B,'[1]Import Eletra'!$BT:$BT,,0,1)=0,"",_xlfn.XLOOKUP($E107,'[1]Import Eletra'!$B:$B,'[1]Import Eletra'!$BT:$BT,0,1))</f>
        <v/>
      </c>
      <c r="EH107" s="406" t="str">
        <f>IF(_xlfn.XLOOKUP($E107,'[1]Import Eletra'!$B:$B,'[1]Import Eletra'!$BU:$BU,,0,1)=0,"",_xlfn.XLOOKUP($E107,'[1]Import Eletra'!$B:$B,'[1]Import Eletra'!$BU:$BU,0,1))</f>
        <v/>
      </c>
      <c r="EI107" s="407" t="str">
        <f>IF(_xlfn.XLOOKUP($E107,'[1]Import Eletra'!$B:$B,'[1]Import Eletra'!$BV:$BV,,0,1)=0,"",_xlfn.XLOOKUP($E107,'[1]Import Eletra'!$B:$B,'[1]Import Eletra'!$BV:$BV,0,1))</f>
        <v/>
      </c>
      <c r="EJ107" s="407">
        <f>IF(_xlfn.XLOOKUP($E107,'[1]Import Eletra'!$B:$B,'[1]Import Eletra'!$CI:$CI,,0,1)=0,"",_xlfn.XLOOKUP($E107,'[1]Import Eletra'!$B:$B,'[1]Import Eletra'!$CI:$CI,0,1))</f>
        <v>46022</v>
      </c>
      <c r="EK107" s="407">
        <f>IF(_xlfn.XLOOKUP($E107,'[1]Import Eletra'!$B:$B,'[1]Import Eletra'!$CD:$CD,,0,1)=0,"",_xlfn.XLOOKUP($E107,'[1]Import Eletra'!$B:$B,'[1]Import Eletra'!$CD:$CD,0,1))</f>
        <v>46021</v>
      </c>
      <c r="EL107" s="407" t="str">
        <f>IF(_xlfn.XLOOKUP($E107,'[1]Import Eletra'!$B:$B,'[1]Import Eletra'!$CE:$CE,,0,1)=0,"",_xlfn.XLOOKUP($E107,'[1]Import Eletra'!$B:$B,'[1]Import Eletra'!$CE:$CE,0,1))</f>
        <v>NÃO</v>
      </c>
      <c r="EM107" s="408" t="str">
        <f>IF(_xlfn.XLOOKUP($E107,'[1]Import Eletra'!$B:$B,'[1]Import Eletra'!$E:$E,,0,1)=0,"",_xlfn.XLOOKUP($E107,'[1]Import Eletra'!$B:$B,'[1]Import Eletra'!$E:$E,0,1))</f>
        <v>STELLA</v>
      </c>
      <c r="EN107" s="408" t="str">
        <f>IF(_xlfn.XLOOKUP($E107,'[1]Import Eletra'!$B:$B,'[1]Import Eletra'!$E:$E,,0,1)=0,"",_xlfn.XLOOKUP($E107,'[1]Import Eletra'!$B:$B,'[1]Import Eletra'!$E:$E,0,1))</f>
        <v>STELLA</v>
      </c>
      <c r="EO107" s="408" t="str">
        <f>IF(_xlfn.XLOOKUP($E107,'[1]Import Eletra'!$B:$B,'[1]Import Eletra'!$E:$E,,0,1)=0,"",_xlfn.XLOOKUP($E107,'[1]Import Eletra'!$B:$B,'[1]Import Eletra'!$E:$E,0,1))</f>
        <v>STELLA</v>
      </c>
      <c r="EP107" s="408" t="str">
        <f>IF(_xlfn.XLOOKUP($E107,'[1]Import Eletra'!$B:$B,'[1]Import Eletra'!$E:$E,,0,1)=0,"",_xlfn.XLOOKUP($E107,'[1]Import Eletra'!$B:$B,'[1]Import Eletra'!$E:$E,0,1))</f>
        <v>STELLA</v>
      </c>
    </row>
    <row r="108" spans="1:146" s="315" customFormat="1" ht="30" hidden="1" customHeight="1" outlineLevel="1">
      <c r="A108" s="305"/>
      <c r="B108" s="306"/>
      <c r="C108" s="306"/>
      <c r="D108" s="306"/>
      <c r="E108" s="318" t="s">
        <v>404</v>
      </c>
      <c r="F108" s="307">
        <f>IF(_xlfn.XLOOKUP($E108,'[1]Import Eletra'!$B:$B,'[1]Import Eletra'!$U:$U,,0,1)=0,"",_xlfn.XLOOKUP($E108,'[1]Import Eletra'!$B:$B,'[1]Import Eletra'!$U:$U,,0,1))</f>
        <v>1</v>
      </c>
      <c r="G108" s="320" t="s">
        <v>244</v>
      </c>
      <c r="H108" s="59" t="str">
        <f>_xlfn.XLOOKUP($E108,'[1]Import Eletra'!$B:$B,'[1]Import Eletra'!$F:$F,,0,1)</f>
        <v>DELIVERED</v>
      </c>
      <c r="I108" s="4" t="str">
        <f>_xlfn.XLOOKUP($E108,'[1]Import Eletra'!$B:$B,'[1]Import Eletra'!$G:$G,,0,1)</f>
        <v>SEA</v>
      </c>
      <c r="J108" s="331"/>
      <c r="K108" s="308"/>
      <c r="L108" s="308"/>
      <c r="M108" s="331">
        <f>IF(_xlfn.XLOOKUP($E108,'[1]Import Eletra'!$B:$B,'[1]Import Eletra'!$J:$J,,0,1)=0,"",_xlfn.XLOOKUP($E108,'[1]Import Eletra'!$B:$B,'[1]Import Eletra'!$J:$J,,0,1))</f>
        <v>45953</v>
      </c>
      <c r="N108" s="334">
        <f>IF(_xlfn.XLOOKUP($E108,'[1]Import Eletra'!$B:$B,'[1]Import Eletra'!$L:$L,,0,1)=0,"",_xlfn.XLOOKUP($E108,'[1]Import Eletra'!$B:$B,'[1]Import Eletra'!$L:$L,,0,1))</f>
        <v>45984</v>
      </c>
      <c r="O108" s="336">
        <f>IF(_xlfn.XLOOKUP($E108,'[1]Import Eletra'!$B:$B,'[1]Import Eletra'!$AK:$AK,,0,1)=0,"",_xlfn.XLOOKUP($E108,'[1]Import Eletra'!$B:$B,'[1]Import Eletra'!$AK:$AK,,0,1))</f>
        <v>45964</v>
      </c>
      <c r="P108" s="331">
        <f>IF(_xlfn.XLOOKUP($E108,'[1]Import Eletra'!$B:$B,'[1]Import Eletra'!$AL:$AL,,0,1)=0,"",_xlfn.XLOOKUP($E108,'[1]Import Eletra'!$B:$B,'[1]Import Eletra'!$AL:$AL,,0,1))</f>
        <v>45965</v>
      </c>
      <c r="Q108" s="331">
        <f>IF(_xlfn.XLOOKUP($E108,'[1]Import Eletra'!$B:$B,'[1]Import Eletra'!$AM:$AM,,0,1)=0,"",_xlfn.XLOOKUP($E108,'[1]Import Eletra'!$B:$B,'[1]Import Eletra'!$AM:$AM,,0,1))</f>
        <v>45967</v>
      </c>
      <c r="R108" s="331">
        <f>IF(_xlfn.XLOOKUP($E108,'[1]Import Eletra'!$B:$B,'[1]Import Eletra'!$AN:$AN,,0,1)=0,"",_xlfn.XLOOKUP($E108,'[1]Import Eletra'!$B:$B,'[1]Import Eletra'!$AN:$AN,,0,1))</f>
        <v>45967</v>
      </c>
      <c r="S108" s="331">
        <f>IF(_xlfn.XLOOKUP($E108,'[1]Import Eletra'!$B:$B,'[1]Import Eletra'!$AO:$AO,,0,1)=0,"",_xlfn.XLOOKUP($E108,'[1]Import Eletra'!$B:$B,'[1]Import Eletra'!$AO:$AO,,0,1))</f>
        <v>45973</v>
      </c>
      <c r="T108" s="331">
        <f>IF(_xlfn.XLOOKUP($E108,'[1]Import Eletra'!$B:$B,'[1]Import Eletra'!$AP:$AP,,0,1)=0,"",_xlfn.XLOOKUP($E108,'[1]Import Eletra'!$B:$B,'[1]Import Eletra'!$AP:$AP,,0,1))</f>
        <v>45974</v>
      </c>
      <c r="U108" s="338">
        <f>IF(_xlfn.XLOOKUP($E108,'[1]Import Eletra'!$B:$B,'[1]Import Eletra'!$AQ:$AQ,,0,1)=0,"",_xlfn.XLOOKUP($E108,'[1]Import Eletra'!$B:$B,'[1]Import Eletra'!$AQ:$AQ,,0,1))</f>
        <v>45986</v>
      </c>
      <c r="V108" s="343">
        <f>IF(_xlfn.XLOOKUP($E108,'[1]Import Eletra'!$B:$B,'[1]Import Eletra'!$AQ:$AQ,,0,1)=0,"",_xlfn.XLOOKUP($E108,'[1]Import Eletra'!$B:$B,'[1]Import Eletra'!$AQ:$AQ,,0,1))</f>
        <v>45986</v>
      </c>
      <c r="W108" s="336">
        <f>AB108-$AB$4</f>
        <v>45996</v>
      </c>
      <c r="X108" s="345">
        <f>IF(_xlfn.XLOOKUP($E108,'[1]Import Eletra'!$B:$B,'[1]Import Eletra'!$AR:$AR,,0,1)=0,"",_xlfn.XLOOKUP($E108,'[1]Import Eletra'!$B:$B,'[1]Import Eletra'!$AR:$AR,,0,1))</f>
        <v>45987</v>
      </c>
      <c r="Y108" s="309">
        <f>$W$4</f>
        <v>0</v>
      </c>
      <c r="Z108" s="309">
        <f ca="1">IF(X108="",TODAY()-W108,X108-W108)</f>
        <v>-9</v>
      </c>
      <c r="AA108" s="310" t="str">
        <f ca="1">IF(AND(ISNUMBER($Z108),$Z108&gt;0),$Z108-$Y108,"")</f>
        <v/>
      </c>
      <c r="AB108" s="350">
        <f>AG108-$AB$4</f>
        <v>45996</v>
      </c>
      <c r="AC108" s="345">
        <f>IF(_xlfn.XLOOKUP($E108,'[1]Import Eletra'!$B:$B,'[1]Import Eletra'!$AD:$AD,,0,1)=0,"",_xlfn.XLOOKUP($E108,'[1]Import Eletra'!$B:$B,'[1]Import Eletra'!$AD:$AD,,0,1))</f>
        <v>45987</v>
      </c>
      <c r="AD108" s="309">
        <f>$AB$4</f>
        <v>0</v>
      </c>
      <c r="AE108" s="309">
        <f ca="1">IF(AC108="",TODAY()-AB108,AC108-AB108)</f>
        <v>-9</v>
      </c>
      <c r="AF108" s="310">
        <f ca="1">AE108-AD108</f>
        <v>-9</v>
      </c>
      <c r="AG108" s="356">
        <f>AL108-$AL$4</f>
        <v>45996</v>
      </c>
      <c r="AH108" s="345">
        <f>IF(_xlfn.XLOOKUP($E108,'[1]Import Eletra'!$B:$B,'[1]Import Eletra'!$AE:$AE,,0,1)=0,"",_xlfn.XLOOKUP($E108,'[1]Import Eletra'!$B:$B,'[1]Import Eletra'!$AE:$AE,,0,1))</f>
        <v>46020</v>
      </c>
      <c r="AI108" s="309">
        <f>$AG$4</f>
        <v>0</v>
      </c>
      <c r="AJ108" s="309">
        <f ca="1">IF(AH108="",TODAY()-AG108,AH108-AG108)</f>
        <v>24</v>
      </c>
      <c r="AK108" s="310">
        <f ca="1">IF(AND(ISNUMBER($AJ108),$AJ108&gt;0),$AJ108-$AI108,"")</f>
        <v>24</v>
      </c>
      <c r="AL108" s="356">
        <f>AQ108-$AQ$4</f>
        <v>45996</v>
      </c>
      <c r="AM108" s="345">
        <f>IF(_xlfn.XLOOKUP($E108,'[1]Import Eletra'!$B:$B,'[1]Import Eletra'!$AT:$AT,,0,1)=0,"",_xlfn.XLOOKUP($E108,'[1]Import Eletra'!$B:$B,'[1]Import Eletra'!$AT:$AT,,0,1))</f>
        <v>45987</v>
      </c>
      <c r="AN108" s="309">
        <f>$AL$4</f>
        <v>0</v>
      </c>
      <c r="AO108" s="309">
        <f ca="1">IF(AM108="",TODAY()-AL108,AM108-AL108)</f>
        <v>-9</v>
      </c>
      <c r="AP108" s="310" t="str">
        <f ca="1">IF(AND(ISNUMBER($AO108),$AO108&gt;0),$AO108-$AN108,"")</f>
        <v/>
      </c>
      <c r="AQ108" s="359">
        <f>AV108-$AV$4</f>
        <v>45997</v>
      </c>
      <c r="AR108" s="345">
        <f>IF(_xlfn.XLOOKUP($E108,'[1]Import Eletra'!$B:$B,'[1]Import Eletra'!$AU:$AU,,0,1)=0,"",_xlfn.XLOOKUP($E108,'[1]Import Eletra'!$B:$B,'[1]Import Eletra'!$AU:$AU,,0,1))</f>
        <v>45992</v>
      </c>
      <c r="AS108" s="309">
        <f>$AQ$4</f>
        <v>1</v>
      </c>
      <c r="AT108" s="309">
        <f ca="1">IF(AR108="",TODAY()-AQ108,AR108-AQ108)</f>
        <v>-5</v>
      </c>
      <c r="AU108" s="310" t="str">
        <f ca="1">IF(AND(ISNUMBER($AT108),$AT108&gt;0),$AT108-$AS108,"")</f>
        <v/>
      </c>
      <c r="AV108" s="356">
        <f>BA108-$BA$4</f>
        <v>45997</v>
      </c>
      <c r="AW108" s="345">
        <f>IF(_xlfn.XLOOKUP($E108,'[1]Import Eletra'!$B:$B,'[1]Import Eletra'!$AU:$AU,,0,1)=0,"",_xlfn.XLOOKUP($E108,'[1]Import Eletra'!$B:$B,'[1]Import Eletra'!$AU:$AU,,0,1))</f>
        <v>45992</v>
      </c>
      <c r="AX108" s="309">
        <f>$AV$4</f>
        <v>0</v>
      </c>
      <c r="AY108" s="309">
        <f ca="1">IF(AW108="",TODAY()-AV108,AW108-AV108)</f>
        <v>-5</v>
      </c>
      <c r="AZ108" s="310" t="str">
        <f ca="1">IF(AND(ISNUMBER($AY108),$AY108&gt;0),$AY108-$AX108,"")</f>
        <v/>
      </c>
      <c r="BA108" s="359">
        <f>BF108-$BF$4</f>
        <v>45997</v>
      </c>
      <c r="BB108" s="345" t="str">
        <f>IF(_xlfn.XLOOKUP($E108,'[1]Import Eletra'!$B:$B,'[1]Import Eletra'!$AW:$AW,,0,1)=0,"",_xlfn.XLOOKUP($E108,'[1]Import Eletra'!$B:$B,'[1]Import Eletra'!$AW:$AW,,0,1))</f>
        <v/>
      </c>
      <c r="BC108" s="309">
        <f>$BA$4</f>
        <v>0</v>
      </c>
      <c r="BD108" s="309">
        <f ca="1">IF(BB108="",TODAY()-BA108,BB108-BA108)</f>
        <v>214</v>
      </c>
      <c r="BE108" s="310">
        <f ca="1">BD108-BC108</f>
        <v>214</v>
      </c>
      <c r="BF108" s="336">
        <f>BK108-$BK$4</f>
        <v>45997</v>
      </c>
      <c r="BG108" s="345" t="str">
        <f>IF(_xlfn.XLOOKUP($E108,'[1]Import Eletra'!$B:$B,'[1]Import Eletra'!$AX:$AX,,0,1)=0,"",_xlfn.XLOOKUP($E108,'[1]Import Eletra'!$B:$B,'[1]Import Eletra'!$AX:$AX,,0,1))</f>
        <v/>
      </c>
      <c r="BH108" s="309">
        <f>$BF$4</f>
        <v>0</v>
      </c>
      <c r="BI108" s="309">
        <f ca="1">IF(BG108="",TODAY()-BF108,BG108-BF108)</f>
        <v>214</v>
      </c>
      <c r="BJ108" s="310">
        <f ca="1">IF(AND(ISNUMBER($BI108),$BI108&gt;0),$BI108-$BH108,"")</f>
        <v>214</v>
      </c>
      <c r="BK108" s="363">
        <f>BP108-$BP$4</f>
        <v>45997</v>
      </c>
      <c r="BL108" s="345">
        <f>IF(_xlfn.XLOOKUP($E108,'[1]Import Eletra'!$B:$B,'[1]Import Eletra'!$AY:$AY,,0,1)=0,"",_xlfn.XLOOKUP($E108,'[1]Import Eletra'!$B:$B,'[1]Import Eletra'!$AY:$AY,,0,1))</f>
        <v>45986</v>
      </c>
      <c r="BM108" s="309">
        <f>$BK$4</f>
        <v>0</v>
      </c>
      <c r="BN108" s="309">
        <f ca="1">IF(BL108="",TODAY()-BK108,BL108-BK108)</f>
        <v>-11</v>
      </c>
      <c r="BO108" s="310">
        <f ca="1">BN108-BM108</f>
        <v>-11</v>
      </c>
      <c r="BP108" s="336">
        <f>BU108-$BU$4</f>
        <v>45997</v>
      </c>
      <c r="BQ108" s="345">
        <f>IF(_xlfn.XLOOKUP($E108,'[1]Import Eletra'!$B:$B,'[1]Import Eletra'!$AZ:$AZ,,0,1)=0,"",_xlfn.XLOOKUP($E108,'[1]Import Eletra'!$B:$B,'[1]Import Eletra'!$AZ:$AZ,,0,1))</f>
        <v>45992</v>
      </c>
      <c r="BR108" s="309">
        <f>$BP$4</f>
        <v>0</v>
      </c>
      <c r="BS108" s="309">
        <f ca="1">IF(BQ108="",TODAY()-BP108,BQ108-BP108)</f>
        <v>-5</v>
      </c>
      <c r="BT108" s="310">
        <f ca="1">BS108-BR108</f>
        <v>-5</v>
      </c>
      <c r="BU108" s="363">
        <f>BZ108-$BZ$4</f>
        <v>45999</v>
      </c>
      <c r="BV108" s="345">
        <f>IF(_xlfn.XLOOKUP($E108,'[1]Import Eletra'!$B:$B,'[1]Import Eletra'!$BA:$BA,,0,1)=0,"",_xlfn.XLOOKUP($E108,'[1]Import Eletra'!$B:$B,'[1]Import Eletra'!$BA:$BA,,0,1))</f>
        <v>45993</v>
      </c>
      <c r="BW108" s="309">
        <f>$BU$4</f>
        <v>2</v>
      </c>
      <c r="BX108" s="309">
        <f ca="1">IF(BV108="",TODAY()-BU108,BV108-BU108)</f>
        <v>-6</v>
      </c>
      <c r="BY108" s="310" t="str">
        <f ca="1">IF(AND(ISNUMBER($BX108),$BX108&gt;0),$BX108-$BW108,"")</f>
        <v/>
      </c>
      <c r="BZ108" s="336">
        <f>CE108-$CE$4</f>
        <v>45999</v>
      </c>
      <c r="CA108" s="345">
        <f>IF(_xlfn.XLOOKUP($E108,'[1]Import Eletra'!$B:$B,'[1]Import Eletra'!$BB:$BB,,0,1)=0,"",_xlfn.XLOOKUP($E108,'[1]Import Eletra'!$B:$B,'[1]Import Eletra'!$BB:$BB,,0,1))</f>
        <v>45992</v>
      </c>
      <c r="CB108" s="309">
        <f>$BZ$4</f>
        <v>0</v>
      </c>
      <c r="CC108" s="309">
        <f ca="1">IF(CA108="",TODAY()-BZ108,CA108-BZ108)</f>
        <v>-7</v>
      </c>
      <c r="CD108" s="310">
        <f ca="1">CC108-CB108</f>
        <v>-7</v>
      </c>
      <c r="CE108" s="363">
        <f>CJ108-$CJ$4</f>
        <v>45999</v>
      </c>
      <c r="CF108" s="345">
        <f>IF(_xlfn.XLOOKUP($E108,'[1]Import Eletra'!$B:$B,'[1]Import Eletra'!$BC:$BC,,0,1)=0,"",_xlfn.XLOOKUP($E108,'[1]Import Eletra'!$B:$B,'[1]Import Eletra'!$BC:$BC,,0,1))</f>
        <v>45992</v>
      </c>
      <c r="CG108" s="309">
        <f>$CE$4</f>
        <v>0</v>
      </c>
      <c r="CH108" s="309">
        <f ca="1">IF(CF108="",TODAY()-CE108,CF108-CE108)</f>
        <v>-7</v>
      </c>
      <c r="CI108" s="310">
        <f ca="1">CH108-CG108</f>
        <v>-7</v>
      </c>
      <c r="CJ108" s="336">
        <f>CO108-$CO$4</f>
        <v>45999</v>
      </c>
      <c r="CK108" s="345">
        <f>IF(_xlfn.XLOOKUP($E108,'[1]Import Eletra'!$B:$B,'[1]Import Eletra'!$BD:$BD,,0,1)=0,"",_xlfn.XLOOKUP($E108,'[1]Import Eletra'!$B:$B,'[1]Import Eletra'!$BD:$BD,,0,1))</f>
        <v>46027</v>
      </c>
      <c r="CL108" s="309"/>
      <c r="CM108" s="309">
        <f ca="1">IF(CK108="",TODAY()-CJ108,CK108-CJ108)</f>
        <v>28</v>
      </c>
      <c r="CN108" s="310">
        <f ca="1">CM108-CL108</f>
        <v>28</v>
      </c>
      <c r="CO108" s="363">
        <f>CT108-$CT$4</f>
        <v>45999</v>
      </c>
      <c r="CP108" s="345">
        <f>IF(_xlfn.XLOOKUP($E108,'[1]Import Eletra'!$B:$B,'[1]Import Eletra'!$BE:$BE,,0,1)=0,"",_xlfn.XLOOKUP($E108,'[1]Import Eletra'!$B:$B,'[1]Import Eletra'!$BE:$BE,,0,1))</f>
        <v>46027</v>
      </c>
      <c r="CQ108" s="309">
        <f>$CO$4</f>
        <v>0</v>
      </c>
      <c r="CR108" s="309">
        <f ca="1">IF(CP108="",TODAY()-CO108,CP108-CO108)</f>
        <v>28</v>
      </c>
      <c r="CS108" s="310">
        <f ca="1">CR108-CQ108</f>
        <v>28</v>
      </c>
      <c r="CT108" s="336">
        <f>CY108-$CY$4</f>
        <v>45999</v>
      </c>
      <c r="CU108" s="345">
        <f>IF(_xlfn.XLOOKUP($E108,'[1]Import Eletra'!$B:$B,'[1]Import Eletra'!$BF:$BF,,0,1)=0,"",_xlfn.XLOOKUP($E108,'[1]Import Eletra'!$B:$B,'[1]Import Eletra'!$BF:$BF,,0,1))</f>
        <v>46027</v>
      </c>
      <c r="CV108" s="309">
        <f>$CT$4</f>
        <v>0</v>
      </c>
      <c r="CW108" s="309">
        <f ca="1">IF(CU108="",TODAY()-CT108,CU108-CT108)</f>
        <v>28</v>
      </c>
      <c r="CX108" s="310">
        <f ca="1">CW108-CV108</f>
        <v>28</v>
      </c>
      <c r="CY108" s="85">
        <f>DD108-$DD$4</f>
        <v>45999</v>
      </c>
      <c r="CZ108" s="271">
        <f>IF(_xlfn.XLOOKUP($E108,'[1]Import Eletra'!$B:$B,'[1]Import Eletra'!$BF:$BF,,0,1)=0,"",_xlfn.XLOOKUP($E108,'[1]Import Eletra'!$B:$B,'[1]Import Eletra'!$BF:$BF,,0,1))</f>
        <v>46027</v>
      </c>
      <c r="DA108" s="311">
        <f>$CY$4</f>
        <v>0</v>
      </c>
      <c r="DB108" s="309">
        <f ca="1">IF(CZ108="",TODAY()-CY108,CZ108-CY108)</f>
        <v>28</v>
      </c>
      <c r="DC108" s="310">
        <f ca="1">DB108-DA108</f>
        <v>28</v>
      </c>
      <c r="DD108" s="85">
        <f>DI108-$DI$4</f>
        <v>46001</v>
      </c>
      <c r="DE108" s="271">
        <f>IF(_xlfn.XLOOKUP($E108,'[1]Import Eletra'!$B:$B,'[1]Import Eletra'!$BG:$BG,,0,1)=0,"",_xlfn.XLOOKUP($E108,'[1]Import Eletra'!$B:$B,'[1]Import Eletra'!$BG:$BG,0,1))</f>
        <v>46034</v>
      </c>
      <c r="DF108" s="309">
        <f>$DD$4</f>
        <v>2</v>
      </c>
      <c r="DG108" s="309">
        <f ca="1">IF(DE108="",TODAY()-DD108,DE108-DD108)</f>
        <v>33</v>
      </c>
      <c r="DH108" s="310">
        <f ca="1">DG108-DF108</f>
        <v>31</v>
      </c>
      <c r="DI108" s="85">
        <f>DO108-$DN$4</f>
        <v>46002</v>
      </c>
      <c r="DJ108" s="271">
        <f>IF(_xlfn.XLOOKUP($E108,'[1]Import Eletra'!$B:$B,'[1]Import Eletra'!$BH:$BH,,0,1)=0,"",_xlfn.XLOOKUP($E108,'[1]Import Eletra'!$B:$B,'[1]Import Eletra'!$BH:$BH,0,1))</f>
        <v>46042</v>
      </c>
      <c r="DK108" s="309">
        <f>$DI$4</f>
        <v>1</v>
      </c>
      <c r="DL108" s="309">
        <f ca="1">IF(DJ108="",TODAY()-DI108,DJ108-DI108)</f>
        <v>40</v>
      </c>
      <c r="DM108" s="310">
        <f ca="1">DL108-DK108</f>
        <v>39</v>
      </c>
      <c r="DN108" s="312"/>
      <c r="DO108" s="313">
        <f>IF(V108="",N108+DT108,V108+DT108)</f>
        <v>46003</v>
      </c>
      <c r="DP108" s="59">
        <f>IF(_xlfn.XLOOKUP($E108,'[1]Import Eletra'!$B:$B,'[1]Import Eletra'!$O:$O,,0,1)=0,"",_xlfn.XLOOKUP($E108,'[1]Import Eletra'!$B:$B,'[1]Import Eletra'!$O:$O,0,1))</f>
        <v>46043</v>
      </c>
      <c r="DQ108" s="309">
        <f>$DN$4</f>
        <v>1</v>
      </c>
      <c r="DR108" s="309">
        <f ca="1">IF(DP108="",TODAY()-DO108,DP108-DO108)</f>
        <v>40</v>
      </c>
      <c r="DS108" s="310">
        <f ca="1">DR108-DQ108</f>
        <v>39</v>
      </c>
      <c r="DT108" s="314">
        <v>17</v>
      </c>
      <c r="DU108" s="140">
        <f ca="1">IF(DP108="",TODAY()-N108,DP108-N108)</f>
        <v>59</v>
      </c>
      <c r="DV108" s="184">
        <f ca="1">DU108-DT108</f>
        <v>42</v>
      </c>
      <c r="DX108" s="316"/>
      <c r="DY108" s="108" t="str">
        <f>IF(_xlfn.XLOOKUP($E108,'[1]Import Eletra'!$B:$B,'[1]Import Eletra'!$DW:$DW,,0,1)=0,"",_xlfn.XLOOKUP($E108,'[1]Import Eletra'!$B:$B,'[1]Import Eletra'!$DW:$DW,0,1))</f>
        <v/>
      </c>
      <c r="EB108" s="317"/>
      <c r="ED108" s="406">
        <f>IF(_xlfn.XLOOKUP($E108,'[1]Import Eletra'!$B:$B,'[1]Import Eletra'!$BQ:$BQ,,0,1)=0,"",_xlfn.XLOOKUP($E108,'[1]Import Eletra'!$B:$B,'[1]Import Eletra'!$BQ:$BQ,0,1))</f>
        <v>26337.73</v>
      </c>
      <c r="EE108" s="407">
        <f>IF(_xlfn.XLOOKUP($E108,'[1]Import Eletra'!$B:$B,'[1]Import Eletra'!$BR:$BR,,0,1)=0,"",_xlfn.XLOOKUP($E108,'[1]Import Eletra'!$B:$B,'[1]Import Eletra'!$BR:$BR,0,1))</f>
        <v>46031</v>
      </c>
      <c r="EF108" s="406" t="str">
        <f>IF(_xlfn.XLOOKUP($E108,'[1]Import Eletra'!$B:$B,'[1]Import Eletra'!$BS:$BS,,0,1)=0,"",_xlfn.XLOOKUP($E108,'[1]Import Eletra'!$B:$B,'[1]Import Eletra'!$BS:$BS,0,1))</f>
        <v/>
      </c>
      <c r="EG108" s="407" t="str">
        <f>IF(_xlfn.XLOOKUP($E108,'[1]Import Eletra'!$B:$B,'[1]Import Eletra'!$BT:$BT,,0,1)=0,"",_xlfn.XLOOKUP($E108,'[1]Import Eletra'!$B:$B,'[1]Import Eletra'!$BT:$BT,0,1))</f>
        <v/>
      </c>
      <c r="EH108" s="406" t="str">
        <f>IF(_xlfn.XLOOKUP($E108,'[1]Import Eletra'!$B:$B,'[1]Import Eletra'!$BU:$BU,,0,1)=0,"",_xlfn.XLOOKUP($E108,'[1]Import Eletra'!$B:$B,'[1]Import Eletra'!$BU:$BU,0,1))</f>
        <v/>
      </c>
      <c r="EI108" s="407" t="str">
        <f>IF(_xlfn.XLOOKUP($E108,'[1]Import Eletra'!$B:$B,'[1]Import Eletra'!$BV:$BV,,0,1)=0,"",_xlfn.XLOOKUP($E108,'[1]Import Eletra'!$B:$B,'[1]Import Eletra'!$BV:$BV,0,1))</f>
        <v/>
      </c>
      <c r="EJ108" s="407">
        <f>IF(_xlfn.XLOOKUP($E108,'[1]Import Eletra'!$B:$B,'[1]Import Eletra'!$CI:$CI,,0,1)=0,"",_xlfn.XLOOKUP($E108,'[1]Import Eletra'!$B:$B,'[1]Import Eletra'!$CI:$CI,0,1))</f>
        <v>46002</v>
      </c>
      <c r="EK108" s="407" t="str">
        <f>IF(_xlfn.XLOOKUP($E108,'[1]Import Eletra'!$B:$B,'[1]Import Eletra'!$CD:$CD,,0,1)=0,"",_xlfn.XLOOKUP($E108,'[1]Import Eletra'!$B:$B,'[1]Import Eletra'!$CD:$CD,0,1))</f>
        <v/>
      </c>
      <c r="EL108" s="407" t="str">
        <f>IF(_xlfn.XLOOKUP($E108,'[1]Import Eletra'!$B:$B,'[1]Import Eletra'!$CE:$CE,,0,1)=0,"",_xlfn.XLOOKUP($E108,'[1]Import Eletra'!$B:$B,'[1]Import Eletra'!$CE:$CE,0,1))</f>
        <v>NÃO</v>
      </c>
      <c r="EM108" s="408" t="str">
        <f>IF(_xlfn.XLOOKUP($E108,'[1]Import Eletra'!$B:$B,'[1]Import Eletra'!$E:$E,,0,1)=0,"",_xlfn.XLOOKUP($E108,'[1]Import Eletra'!$B:$B,'[1]Import Eletra'!$E:$E,0,1))</f>
        <v>LEISIANE</v>
      </c>
      <c r="EN108" s="408" t="str">
        <f>IF(_xlfn.XLOOKUP($E108,'[1]Import Eletra'!$B:$B,'[1]Import Eletra'!$E:$E,,0,1)=0,"",_xlfn.XLOOKUP($E108,'[1]Import Eletra'!$B:$B,'[1]Import Eletra'!$E:$E,0,1))</f>
        <v>LEISIANE</v>
      </c>
      <c r="EO108" s="408" t="str">
        <f>IF(_xlfn.XLOOKUP($E108,'[1]Import Eletra'!$B:$B,'[1]Import Eletra'!$E:$E,,0,1)=0,"",_xlfn.XLOOKUP($E108,'[1]Import Eletra'!$B:$B,'[1]Import Eletra'!$E:$E,0,1))</f>
        <v>LEISIANE</v>
      </c>
      <c r="EP108" s="408" t="str">
        <f>IF(_xlfn.XLOOKUP($E108,'[1]Import Eletra'!$B:$B,'[1]Import Eletra'!$E:$E,,0,1)=0,"",_xlfn.XLOOKUP($E108,'[1]Import Eletra'!$B:$B,'[1]Import Eletra'!$E:$E,0,1))</f>
        <v>LEISIANE</v>
      </c>
    </row>
    <row r="109" spans="1:146" s="315" customFormat="1" ht="30" hidden="1" customHeight="1" outlineLevel="1">
      <c r="A109" s="305"/>
      <c r="B109" s="306"/>
      <c r="C109" s="306"/>
      <c r="D109" s="306"/>
      <c r="E109" s="318" t="s">
        <v>405</v>
      </c>
      <c r="F109" s="307">
        <f>IF(_xlfn.XLOOKUP($E109,'[1]Import Eletra'!$B:$B,'[1]Import Eletra'!$U:$U,,0,1)=0,"",_xlfn.XLOOKUP($E109,'[1]Import Eletra'!$B:$B,'[1]Import Eletra'!$U:$U,,0,1))</f>
        <v>0.5</v>
      </c>
      <c r="G109" s="320" t="s">
        <v>244</v>
      </c>
      <c r="H109" s="59" t="str">
        <f>_xlfn.XLOOKUP($E109,'[1]Import Eletra'!$B:$B,'[1]Import Eletra'!$F:$F,,0,1)</f>
        <v>DELIVERED</v>
      </c>
      <c r="I109" s="4" t="str">
        <f>_xlfn.XLOOKUP($E109,'[1]Import Eletra'!$B:$B,'[1]Import Eletra'!$G:$G,,0,1)</f>
        <v>SEA</v>
      </c>
      <c r="J109" s="331"/>
      <c r="K109" s="308"/>
      <c r="L109" s="308"/>
      <c r="M109" s="331">
        <f>IF(_xlfn.XLOOKUP($E109,'[1]Import Eletra'!$B:$B,'[1]Import Eletra'!$J:$J,,0,1)=0,"",_xlfn.XLOOKUP($E109,'[1]Import Eletra'!$B:$B,'[1]Import Eletra'!$J:$J,,0,1))</f>
        <v>45975</v>
      </c>
      <c r="N109" s="334">
        <f>IF(_xlfn.XLOOKUP($E109,'[1]Import Eletra'!$B:$B,'[1]Import Eletra'!$L:$L,,0,1)=0,"",_xlfn.XLOOKUP($E109,'[1]Import Eletra'!$B:$B,'[1]Import Eletra'!$L:$L,,0,1))</f>
        <v>46025</v>
      </c>
      <c r="O109" s="336">
        <f>IF(_xlfn.XLOOKUP($E109,'[1]Import Eletra'!$B:$B,'[1]Import Eletra'!$AK:$AK,,0,1)=0,"",_xlfn.XLOOKUP($E109,'[1]Import Eletra'!$B:$B,'[1]Import Eletra'!$AK:$AK,,0,1))</f>
        <v>46000</v>
      </c>
      <c r="P109" s="331">
        <f>IF(_xlfn.XLOOKUP($E109,'[1]Import Eletra'!$B:$B,'[1]Import Eletra'!$AL:$AL,,0,1)=0,"",_xlfn.XLOOKUP($E109,'[1]Import Eletra'!$B:$B,'[1]Import Eletra'!$AL:$AL,,0,1))</f>
        <v>46002</v>
      </c>
      <c r="Q109" s="331">
        <f>IF(_xlfn.XLOOKUP($E109,'[1]Import Eletra'!$B:$B,'[1]Import Eletra'!$AM:$AM,,0,1)=0,"",_xlfn.XLOOKUP($E109,'[1]Import Eletra'!$B:$B,'[1]Import Eletra'!$AM:$AM,,0,1))</f>
        <v>46020</v>
      </c>
      <c r="R109" s="331">
        <f>IF(_xlfn.XLOOKUP($E109,'[1]Import Eletra'!$B:$B,'[1]Import Eletra'!$AN:$AN,,0,1)=0,"",_xlfn.XLOOKUP($E109,'[1]Import Eletra'!$B:$B,'[1]Import Eletra'!$AN:$AN,,0,1))</f>
        <v>46021</v>
      </c>
      <c r="S109" s="331">
        <f>IF(_xlfn.XLOOKUP($E109,'[1]Import Eletra'!$B:$B,'[1]Import Eletra'!$AO:$AO,,0,1)=0,"",_xlfn.XLOOKUP($E109,'[1]Import Eletra'!$B:$B,'[1]Import Eletra'!$AO:$AO,,0,1))</f>
        <v>46027</v>
      </c>
      <c r="T109" s="331">
        <f>IF(_xlfn.XLOOKUP($E109,'[1]Import Eletra'!$B:$B,'[1]Import Eletra'!$AP:$AP,,0,1)=0,"",_xlfn.XLOOKUP($E109,'[1]Import Eletra'!$B:$B,'[1]Import Eletra'!$AP:$AP,,0,1))</f>
        <v>46028</v>
      </c>
      <c r="U109" s="338">
        <f>IF(_xlfn.XLOOKUP($E109,'[1]Import Eletra'!$B:$B,'[1]Import Eletra'!$AQ:$AQ,,0,1)=0,"",_xlfn.XLOOKUP($E109,'[1]Import Eletra'!$B:$B,'[1]Import Eletra'!$AQ:$AQ,,0,1))</f>
        <v>46030</v>
      </c>
      <c r="V109" s="343">
        <f>IF(_xlfn.XLOOKUP($E109,'[1]Import Eletra'!$B:$B,'[1]Import Eletra'!$AQ:$AQ,,0,1)=0,"",_xlfn.XLOOKUP($E109,'[1]Import Eletra'!$B:$B,'[1]Import Eletra'!$AQ:$AQ,,0,1))</f>
        <v>46030</v>
      </c>
      <c r="W109" s="336">
        <f>AB109-$AB$4</f>
        <v>46040</v>
      </c>
      <c r="X109" s="345">
        <f>IF(_xlfn.XLOOKUP($E109,'[1]Import Eletra'!$B:$B,'[1]Import Eletra'!$AR:$AR,,0,1)=0,"",_xlfn.XLOOKUP($E109,'[1]Import Eletra'!$B:$B,'[1]Import Eletra'!$AR:$AR,,0,1))</f>
        <v>46028</v>
      </c>
      <c r="Y109" s="309">
        <f>$W$4</f>
        <v>0</v>
      </c>
      <c r="Z109" s="309">
        <f ca="1">IF(X109="",TODAY()-W109,X109-W109)</f>
        <v>-12</v>
      </c>
      <c r="AA109" s="310" t="str">
        <f ca="1">IF(AND(ISNUMBER($Z109),$Z109&gt;0),$Z109-$Y109,"")</f>
        <v/>
      </c>
      <c r="AB109" s="350">
        <f>AG109-$AB$4</f>
        <v>46040</v>
      </c>
      <c r="AC109" s="345">
        <f>IF(_xlfn.XLOOKUP($E109,'[1]Import Eletra'!$B:$B,'[1]Import Eletra'!$AD:$AD,,0,1)=0,"",_xlfn.XLOOKUP($E109,'[1]Import Eletra'!$B:$B,'[1]Import Eletra'!$AD:$AD,,0,1))</f>
        <v>46031</v>
      </c>
      <c r="AD109" s="309">
        <f>$AB$4</f>
        <v>0</v>
      </c>
      <c r="AE109" s="309">
        <f ca="1">IF(AC109="",TODAY()-AB109,AC109-AB109)</f>
        <v>-9</v>
      </c>
      <c r="AF109" s="310">
        <f ca="1">AE109-AD109</f>
        <v>-9</v>
      </c>
      <c r="AG109" s="356">
        <f>AL109-$AL$4</f>
        <v>46040</v>
      </c>
      <c r="AH109" s="345">
        <f>IF(_xlfn.XLOOKUP($E109,'[1]Import Eletra'!$B:$B,'[1]Import Eletra'!$AE:$AE,,0,1)=0,"",_xlfn.XLOOKUP($E109,'[1]Import Eletra'!$B:$B,'[1]Import Eletra'!$AE:$AE,,0,1))</f>
        <v>46031</v>
      </c>
      <c r="AI109" s="309">
        <f>$AG$4</f>
        <v>0</v>
      </c>
      <c r="AJ109" s="309">
        <f ca="1">IF(AH109="",TODAY()-AG109,AH109-AG109)</f>
        <v>-9</v>
      </c>
      <c r="AK109" s="310" t="str">
        <f ca="1">IF(AND(ISNUMBER($AJ109),$AJ109&gt;0),$AJ109-$AI109,"")</f>
        <v/>
      </c>
      <c r="AL109" s="356">
        <f>AQ109-$AQ$4</f>
        <v>46040</v>
      </c>
      <c r="AM109" s="345">
        <f>IF(_xlfn.XLOOKUP($E109,'[1]Import Eletra'!$B:$B,'[1]Import Eletra'!$AT:$AT,,0,1)=0,"",_xlfn.XLOOKUP($E109,'[1]Import Eletra'!$B:$B,'[1]Import Eletra'!$AT:$AT,,0,1))</f>
        <v>46031</v>
      </c>
      <c r="AN109" s="309">
        <f>$AL$4</f>
        <v>0</v>
      </c>
      <c r="AO109" s="309">
        <f ca="1">IF(AM109="",TODAY()-AL109,AM109-AL109)</f>
        <v>-9</v>
      </c>
      <c r="AP109" s="310" t="str">
        <f ca="1">IF(AND(ISNUMBER($AO109),$AO109&gt;0),$AO109-$AN109,"")</f>
        <v/>
      </c>
      <c r="AQ109" s="359">
        <f>AV109-$AV$4</f>
        <v>46041</v>
      </c>
      <c r="AR109" s="345">
        <f>IF(_xlfn.XLOOKUP($E109,'[1]Import Eletra'!$B:$B,'[1]Import Eletra'!$AU:$AU,,0,1)=0,"",_xlfn.XLOOKUP($E109,'[1]Import Eletra'!$B:$B,'[1]Import Eletra'!$AU:$AU,,0,1))</f>
        <v>46031</v>
      </c>
      <c r="AS109" s="309">
        <f>$AQ$4</f>
        <v>1</v>
      </c>
      <c r="AT109" s="309">
        <f ca="1">IF(AR109="",TODAY()-AQ109,AR109-AQ109)</f>
        <v>-10</v>
      </c>
      <c r="AU109" s="310" t="str">
        <f ca="1">IF(AND(ISNUMBER($AT109),$AT109&gt;0),$AT109-$AS109,"")</f>
        <v/>
      </c>
      <c r="AV109" s="356">
        <f>BA109-$BA$4</f>
        <v>46041</v>
      </c>
      <c r="AW109" s="345">
        <f>IF(_xlfn.XLOOKUP($E109,'[1]Import Eletra'!$B:$B,'[1]Import Eletra'!$AU:$AU,,0,1)=0,"",_xlfn.XLOOKUP($E109,'[1]Import Eletra'!$B:$B,'[1]Import Eletra'!$AU:$AU,,0,1))</f>
        <v>46031</v>
      </c>
      <c r="AX109" s="309">
        <f>$AV$4</f>
        <v>0</v>
      </c>
      <c r="AY109" s="309">
        <f ca="1">IF(AW109="",TODAY()-AV109,AW109-AV109)</f>
        <v>-10</v>
      </c>
      <c r="AZ109" s="310" t="str">
        <f ca="1">IF(AND(ISNUMBER($AY109),$AY109&gt;0),$AY109-$AX109,"")</f>
        <v/>
      </c>
      <c r="BA109" s="359">
        <f>BF109-$BF$4</f>
        <v>46041</v>
      </c>
      <c r="BB109" s="345" t="str">
        <f>IF(_xlfn.XLOOKUP($E109,'[1]Import Eletra'!$B:$B,'[1]Import Eletra'!$AW:$AW,,0,1)=0,"",_xlfn.XLOOKUP($E109,'[1]Import Eletra'!$B:$B,'[1]Import Eletra'!$AW:$AW,,0,1))</f>
        <v/>
      </c>
      <c r="BC109" s="309">
        <f>$BA$4</f>
        <v>0</v>
      </c>
      <c r="BD109" s="309">
        <f ca="1">IF(BB109="",TODAY()-BA109,BB109-BA109)</f>
        <v>170</v>
      </c>
      <c r="BE109" s="310">
        <f ca="1">BD109-BC109</f>
        <v>170</v>
      </c>
      <c r="BF109" s="336">
        <f>BK109-$BK$4</f>
        <v>46041</v>
      </c>
      <c r="BG109" s="345" t="str">
        <f>IF(_xlfn.XLOOKUP($E109,'[1]Import Eletra'!$B:$B,'[1]Import Eletra'!$AX:$AX,,0,1)=0,"",_xlfn.XLOOKUP($E109,'[1]Import Eletra'!$B:$B,'[1]Import Eletra'!$AX:$AX,,0,1))</f>
        <v/>
      </c>
      <c r="BH109" s="309">
        <f>$BF$4</f>
        <v>0</v>
      </c>
      <c r="BI109" s="309">
        <f ca="1">IF(BG109="",TODAY()-BF109,BG109-BF109)</f>
        <v>170</v>
      </c>
      <c r="BJ109" s="310">
        <f ca="1">IF(AND(ISNUMBER($BI109),$BI109&gt;0),$BI109-$BH109,"")</f>
        <v>170</v>
      </c>
      <c r="BK109" s="363">
        <f>BP109-$BP$4</f>
        <v>46041</v>
      </c>
      <c r="BL109" s="345">
        <f>IF(_xlfn.XLOOKUP($E109,'[1]Import Eletra'!$B:$B,'[1]Import Eletra'!$AY:$AY,,0,1)=0,"",_xlfn.XLOOKUP($E109,'[1]Import Eletra'!$B:$B,'[1]Import Eletra'!$AY:$AY,,0,1))</f>
        <v>46031</v>
      </c>
      <c r="BM109" s="309">
        <f>$BK$4</f>
        <v>0</v>
      </c>
      <c r="BN109" s="309">
        <f ca="1">IF(BL109="",TODAY()-BK109,BL109-BK109)</f>
        <v>-10</v>
      </c>
      <c r="BO109" s="310">
        <f ca="1">BN109-BM109</f>
        <v>-10</v>
      </c>
      <c r="BP109" s="336">
        <f>BU109-$BU$4</f>
        <v>46041</v>
      </c>
      <c r="BQ109" s="345">
        <f>IF(_xlfn.XLOOKUP($E109,'[1]Import Eletra'!$B:$B,'[1]Import Eletra'!$AZ:$AZ,,0,1)=0,"",_xlfn.XLOOKUP($E109,'[1]Import Eletra'!$B:$B,'[1]Import Eletra'!$AZ:$AZ,,0,1))</f>
        <v>46031</v>
      </c>
      <c r="BR109" s="309">
        <f>$BP$4</f>
        <v>0</v>
      </c>
      <c r="BS109" s="309">
        <f ca="1">IF(BQ109="",TODAY()-BP109,BQ109-BP109)</f>
        <v>-10</v>
      </c>
      <c r="BT109" s="310">
        <f ca="1">BS109-BR109</f>
        <v>-10</v>
      </c>
      <c r="BU109" s="363">
        <f>BZ109-$BZ$4</f>
        <v>46043</v>
      </c>
      <c r="BV109" s="345">
        <f>IF(_xlfn.XLOOKUP($E109,'[1]Import Eletra'!$B:$B,'[1]Import Eletra'!$BA:$BA,,0,1)=0,"",_xlfn.XLOOKUP($E109,'[1]Import Eletra'!$B:$B,'[1]Import Eletra'!$BA:$BA,,0,1))</f>
        <v>46038</v>
      </c>
      <c r="BW109" s="309">
        <f>$BU$4</f>
        <v>2</v>
      </c>
      <c r="BX109" s="309">
        <f ca="1">IF(BV109="",TODAY()-BU109,BV109-BU109)</f>
        <v>-5</v>
      </c>
      <c r="BY109" s="310" t="str">
        <f ca="1">IF(AND(ISNUMBER($BX109),$BX109&gt;0),$BX109-$BW109,"")</f>
        <v/>
      </c>
      <c r="BZ109" s="336">
        <f>CE109-$CE$4</f>
        <v>46043</v>
      </c>
      <c r="CA109" s="345">
        <f>IF(_xlfn.XLOOKUP($E109,'[1]Import Eletra'!$B:$B,'[1]Import Eletra'!$BB:$BB,,0,1)=0,"",_xlfn.XLOOKUP($E109,'[1]Import Eletra'!$B:$B,'[1]Import Eletra'!$BB:$BB,,0,1))</f>
        <v>46038</v>
      </c>
      <c r="CB109" s="309">
        <f>$BZ$4</f>
        <v>0</v>
      </c>
      <c r="CC109" s="309">
        <f ca="1">IF(CA109="",TODAY()-BZ109,CA109-BZ109)</f>
        <v>-5</v>
      </c>
      <c r="CD109" s="310">
        <f ca="1">CC109-CB109</f>
        <v>-5</v>
      </c>
      <c r="CE109" s="363">
        <f>CJ109-$CJ$4</f>
        <v>46043</v>
      </c>
      <c r="CF109" s="345">
        <f>IF(_xlfn.XLOOKUP($E109,'[1]Import Eletra'!$B:$B,'[1]Import Eletra'!$BC:$BC,,0,1)=0,"",_xlfn.XLOOKUP($E109,'[1]Import Eletra'!$B:$B,'[1]Import Eletra'!$BC:$BC,,0,1))</f>
        <v>46041</v>
      </c>
      <c r="CG109" s="309">
        <f>$CE$4</f>
        <v>0</v>
      </c>
      <c r="CH109" s="309">
        <f ca="1">IF(CF109="",TODAY()-CE109,CF109-CE109)</f>
        <v>-2</v>
      </c>
      <c r="CI109" s="310">
        <f ca="1">CH109-CG109</f>
        <v>-2</v>
      </c>
      <c r="CJ109" s="336">
        <f>CO109-$CO$4</f>
        <v>46043</v>
      </c>
      <c r="CK109" s="345">
        <f>IF(_xlfn.XLOOKUP($E109,'[1]Import Eletra'!$B:$B,'[1]Import Eletra'!$BD:$BD,,0,1)=0,"",_xlfn.XLOOKUP($E109,'[1]Import Eletra'!$B:$B,'[1]Import Eletra'!$BD:$BD,,0,1))</f>
        <v>46038</v>
      </c>
      <c r="CL109" s="309"/>
      <c r="CM109" s="309">
        <f ca="1">IF(CK109="",TODAY()-CJ109,CK109-CJ109)</f>
        <v>-5</v>
      </c>
      <c r="CN109" s="310">
        <f ca="1">CM109-CL109</f>
        <v>-5</v>
      </c>
      <c r="CO109" s="363">
        <f>CT109-$CT$4</f>
        <v>46043</v>
      </c>
      <c r="CP109" s="345">
        <f>IF(_xlfn.XLOOKUP($E109,'[1]Import Eletra'!$B:$B,'[1]Import Eletra'!$BE:$BE,,0,1)=0,"",_xlfn.XLOOKUP($E109,'[1]Import Eletra'!$B:$B,'[1]Import Eletra'!$BE:$BE,,0,1))</f>
        <v>46041</v>
      </c>
      <c r="CQ109" s="309">
        <f>$CO$4</f>
        <v>0</v>
      </c>
      <c r="CR109" s="309">
        <f ca="1">IF(CP109="",TODAY()-CO109,CP109-CO109)</f>
        <v>-2</v>
      </c>
      <c r="CS109" s="310">
        <f ca="1">CR109-CQ109</f>
        <v>-2</v>
      </c>
      <c r="CT109" s="336">
        <f>CY109-$CY$4</f>
        <v>46043</v>
      </c>
      <c r="CU109" s="345">
        <f>IF(_xlfn.XLOOKUP($E109,'[1]Import Eletra'!$B:$B,'[1]Import Eletra'!$BF:$BF,,0,1)=0,"",_xlfn.XLOOKUP($E109,'[1]Import Eletra'!$B:$B,'[1]Import Eletra'!$BF:$BF,,0,1))</f>
        <v>46041</v>
      </c>
      <c r="CV109" s="309">
        <f>$CT$4</f>
        <v>0</v>
      </c>
      <c r="CW109" s="309">
        <f ca="1">IF(CU109="",TODAY()-CT109,CU109-CT109)</f>
        <v>-2</v>
      </c>
      <c r="CX109" s="310">
        <f ca="1">CW109-CV109</f>
        <v>-2</v>
      </c>
      <c r="CY109" s="85">
        <f>DD109-$DD$4</f>
        <v>46043</v>
      </c>
      <c r="CZ109" s="271">
        <f>IF(_xlfn.XLOOKUP($E109,'[1]Import Eletra'!$B:$B,'[1]Import Eletra'!$BF:$BF,,0,1)=0,"",_xlfn.XLOOKUP($E109,'[1]Import Eletra'!$B:$B,'[1]Import Eletra'!$BF:$BF,,0,1))</f>
        <v>46041</v>
      </c>
      <c r="DA109" s="311">
        <f>$CY$4</f>
        <v>0</v>
      </c>
      <c r="DB109" s="309">
        <f ca="1">IF(CZ109="",TODAY()-CY109,CZ109-CY109)</f>
        <v>-2</v>
      </c>
      <c r="DC109" s="310">
        <f ca="1">DB109-DA109</f>
        <v>-2</v>
      </c>
      <c r="DD109" s="85">
        <f>DI109-$DI$4</f>
        <v>46045</v>
      </c>
      <c r="DE109" s="271">
        <f>IF(_xlfn.XLOOKUP($E109,'[1]Import Eletra'!$B:$B,'[1]Import Eletra'!$BG:$BG,,0,1)=0,"",_xlfn.XLOOKUP($E109,'[1]Import Eletra'!$B:$B,'[1]Import Eletra'!$BG:$BG,0,1))</f>
        <v>46042</v>
      </c>
      <c r="DF109" s="309">
        <f>$DD$4</f>
        <v>2</v>
      </c>
      <c r="DG109" s="309">
        <f ca="1">IF(DE109="",TODAY()-DD109,DE109-DD109)</f>
        <v>-3</v>
      </c>
      <c r="DH109" s="310">
        <f ca="1">DG109-DF109</f>
        <v>-5</v>
      </c>
      <c r="DI109" s="85">
        <f>DO109-$DN$4</f>
        <v>46046</v>
      </c>
      <c r="DJ109" s="271">
        <f>IF(_xlfn.XLOOKUP($E109,'[1]Import Eletra'!$B:$B,'[1]Import Eletra'!$BH:$BH,,0,1)=0,"",_xlfn.XLOOKUP($E109,'[1]Import Eletra'!$B:$B,'[1]Import Eletra'!$BH:$BH,0,1))</f>
        <v>46044</v>
      </c>
      <c r="DK109" s="309">
        <f>$DI$4</f>
        <v>1</v>
      </c>
      <c r="DL109" s="309">
        <f ca="1">IF(DJ109="",TODAY()-DI109,DJ109-DI109)</f>
        <v>-2</v>
      </c>
      <c r="DM109" s="310">
        <f ca="1">DL109-DK109</f>
        <v>-3</v>
      </c>
      <c r="DN109" s="312"/>
      <c r="DO109" s="313">
        <f>IF(V109="",N109+DT109,V109+DT109)</f>
        <v>46047</v>
      </c>
      <c r="DP109" s="59">
        <f>IF(_xlfn.XLOOKUP($E109,'[1]Import Eletra'!$B:$B,'[1]Import Eletra'!$O:$O,,0,1)=0,"",_xlfn.XLOOKUP($E109,'[1]Import Eletra'!$B:$B,'[1]Import Eletra'!$O:$O,0,1))</f>
        <v>46044</v>
      </c>
      <c r="DQ109" s="309">
        <f>$DN$4</f>
        <v>1</v>
      </c>
      <c r="DR109" s="309">
        <f ca="1">IF(DP109="",TODAY()-DO109,DP109-DO109)</f>
        <v>-3</v>
      </c>
      <c r="DS109" s="310">
        <f ca="1">DR109-DQ109</f>
        <v>-4</v>
      </c>
      <c r="DT109" s="314">
        <v>17</v>
      </c>
      <c r="DU109" s="140">
        <f ca="1">IF(DP109="",TODAY()-N109,DP109-N109)</f>
        <v>19</v>
      </c>
      <c r="DV109" s="184">
        <f ca="1">DU109-DT109</f>
        <v>2</v>
      </c>
      <c r="DX109" s="316"/>
      <c r="DY109" s="108" t="str">
        <f>IF(_xlfn.XLOOKUP($E109,'[1]Import Eletra'!$B:$B,'[1]Import Eletra'!$DW:$DW,,0,1)=0,"",_xlfn.XLOOKUP($E109,'[1]Import Eletra'!$B:$B,'[1]Import Eletra'!$DW:$DW,0,1))</f>
        <v/>
      </c>
      <c r="EB109" s="317"/>
      <c r="ED109" s="406">
        <f>IF(_xlfn.XLOOKUP($E109,'[1]Import Eletra'!$B:$B,'[1]Import Eletra'!$BQ:$BQ,,0,1)=0,"",_xlfn.XLOOKUP($E109,'[1]Import Eletra'!$B:$B,'[1]Import Eletra'!$BQ:$BQ,0,1))</f>
        <v>367.94</v>
      </c>
      <c r="EE109" s="407">
        <f>IF(_xlfn.XLOOKUP($E109,'[1]Import Eletra'!$B:$B,'[1]Import Eletra'!$BR:$BR,,0,1)=0,"",_xlfn.XLOOKUP($E109,'[1]Import Eletra'!$B:$B,'[1]Import Eletra'!$BR:$BR,0,1))</f>
        <v>46038</v>
      </c>
      <c r="EF109" s="406">
        <f>IF(_xlfn.XLOOKUP($E109,'[1]Import Eletra'!$B:$B,'[1]Import Eletra'!$BS:$BS,,0,1)=0,"",_xlfn.XLOOKUP($E109,'[1]Import Eletra'!$B:$B,'[1]Import Eletra'!$BS:$BS,0,1))</f>
        <v>893.99</v>
      </c>
      <c r="EG109" s="407">
        <f>IF(_xlfn.XLOOKUP($E109,'[1]Import Eletra'!$B:$B,'[1]Import Eletra'!$BT:$BT,,0,1)=0,"",_xlfn.XLOOKUP($E109,'[1]Import Eletra'!$B:$B,'[1]Import Eletra'!$BT:$BT,0,1))</f>
        <v>46108</v>
      </c>
      <c r="EH109" s="406" t="str">
        <f>IF(_xlfn.XLOOKUP($E109,'[1]Import Eletra'!$B:$B,'[1]Import Eletra'!$BU:$BU,,0,1)=0,"",_xlfn.XLOOKUP($E109,'[1]Import Eletra'!$B:$B,'[1]Import Eletra'!$BU:$BU,0,1))</f>
        <v/>
      </c>
      <c r="EI109" s="407" t="str">
        <f>IF(_xlfn.XLOOKUP($E109,'[1]Import Eletra'!$B:$B,'[1]Import Eletra'!$BV:$BV,,0,1)=0,"",_xlfn.XLOOKUP($E109,'[1]Import Eletra'!$B:$B,'[1]Import Eletra'!$BV:$BV,0,1))</f>
        <v/>
      </c>
      <c r="EJ109" s="407">
        <f>IF(_xlfn.XLOOKUP($E109,'[1]Import Eletra'!$B:$B,'[1]Import Eletra'!$CI:$CI,,0,1)=0,"",_xlfn.XLOOKUP($E109,'[1]Import Eletra'!$B:$B,'[1]Import Eletra'!$CI:$CI,0,1))</f>
        <v>46044</v>
      </c>
      <c r="EK109" s="407">
        <f>IF(_xlfn.XLOOKUP($E109,'[1]Import Eletra'!$B:$B,'[1]Import Eletra'!$CD:$CD,,0,1)=0,"",_xlfn.XLOOKUP($E109,'[1]Import Eletra'!$B:$B,'[1]Import Eletra'!$CD:$CD,0,1))</f>
        <v>46045</v>
      </c>
      <c r="EL109" s="407" t="str">
        <f>IF(_xlfn.XLOOKUP($E109,'[1]Import Eletra'!$B:$B,'[1]Import Eletra'!$CE:$CE,,0,1)=0,"",_xlfn.XLOOKUP($E109,'[1]Import Eletra'!$B:$B,'[1]Import Eletra'!$CE:$CE,0,1))</f>
        <v>SIM  1 dias</v>
      </c>
      <c r="EM109" s="408" t="str">
        <f>IF(_xlfn.XLOOKUP($E109,'[1]Import Eletra'!$B:$B,'[1]Import Eletra'!$E:$E,,0,1)=0,"",_xlfn.XLOOKUP($E109,'[1]Import Eletra'!$B:$B,'[1]Import Eletra'!$E:$E,0,1))</f>
        <v>STELLA</v>
      </c>
      <c r="EN109" s="408" t="str">
        <f>IF(_xlfn.XLOOKUP($E109,'[1]Import Eletra'!$B:$B,'[1]Import Eletra'!$E:$E,,0,1)=0,"",_xlfn.XLOOKUP($E109,'[1]Import Eletra'!$B:$B,'[1]Import Eletra'!$E:$E,0,1))</f>
        <v>STELLA</v>
      </c>
      <c r="EO109" s="408" t="str">
        <f>IF(_xlfn.XLOOKUP($E109,'[1]Import Eletra'!$B:$B,'[1]Import Eletra'!$E:$E,,0,1)=0,"",_xlfn.XLOOKUP($E109,'[1]Import Eletra'!$B:$B,'[1]Import Eletra'!$E:$E,0,1))</f>
        <v>STELLA</v>
      </c>
      <c r="EP109" s="408" t="str">
        <f>IF(_xlfn.XLOOKUP($E109,'[1]Import Eletra'!$B:$B,'[1]Import Eletra'!$E:$E,,0,1)=0,"",_xlfn.XLOOKUP($E109,'[1]Import Eletra'!$B:$B,'[1]Import Eletra'!$E:$E,0,1))</f>
        <v>STELLA</v>
      </c>
    </row>
    <row r="110" spans="1:146" s="315" customFormat="1" ht="30" hidden="1" customHeight="1" outlineLevel="1">
      <c r="A110" s="305"/>
      <c r="B110" s="306"/>
      <c r="C110" s="306"/>
      <c r="D110" s="306"/>
      <c r="E110" s="318" t="s">
        <v>406</v>
      </c>
      <c r="F110" s="307">
        <f>IF(_xlfn.XLOOKUP($E110,'[1]Import Eletra'!$B:$B,'[1]Import Eletra'!$U:$U,,0,1)=0,"",_xlfn.XLOOKUP($E110,'[1]Import Eletra'!$B:$B,'[1]Import Eletra'!$U:$U,,0,1))</f>
        <v>0.5</v>
      </c>
      <c r="G110" s="320" t="s">
        <v>244</v>
      </c>
      <c r="H110" s="59" t="str">
        <f>_xlfn.XLOOKUP($E110,'[1]Import Eletra'!$B:$B,'[1]Import Eletra'!$F:$F,,0,1)</f>
        <v>DELIVERED</v>
      </c>
      <c r="I110" s="4" t="str">
        <f>_xlfn.XLOOKUP($E110,'[1]Import Eletra'!$B:$B,'[1]Import Eletra'!$G:$G,,0,1)</f>
        <v>SEA</v>
      </c>
      <c r="J110" s="331"/>
      <c r="K110" s="308"/>
      <c r="L110" s="308"/>
      <c r="M110" s="331">
        <f>IF(_xlfn.XLOOKUP($E110,'[1]Import Eletra'!$B:$B,'[1]Import Eletra'!$J:$J,,0,1)=0,"",_xlfn.XLOOKUP($E110,'[1]Import Eletra'!$B:$B,'[1]Import Eletra'!$J:$J,,0,1))</f>
        <v>45975</v>
      </c>
      <c r="N110" s="334">
        <f>IF(_xlfn.XLOOKUP($E110,'[1]Import Eletra'!$B:$B,'[1]Import Eletra'!$L:$L,,0,1)=0,"",_xlfn.XLOOKUP($E110,'[1]Import Eletra'!$B:$B,'[1]Import Eletra'!$L:$L,,0,1))</f>
        <v>46025</v>
      </c>
      <c r="O110" s="336">
        <f>IF(_xlfn.XLOOKUP($E110,'[1]Import Eletra'!$B:$B,'[1]Import Eletra'!$AK:$AK,,0,1)=0,"",_xlfn.XLOOKUP($E110,'[1]Import Eletra'!$B:$B,'[1]Import Eletra'!$AK:$AK,,0,1))</f>
        <v>46001</v>
      </c>
      <c r="P110" s="331">
        <f>IF(_xlfn.XLOOKUP($E110,'[1]Import Eletra'!$B:$B,'[1]Import Eletra'!$AL:$AL,,0,1)=0,"",_xlfn.XLOOKUP($E110,'[1]Import Eletra'!$B:$B,'[1]Import Eletra'!$AL:$AL,,0,1))</f>
        <v>46002</v>
      </c>
      <c r="Q110" s="331">
        <f>IF(_xlfn.XLOOKUP($E110,'[1]Import Eletra'!$B:$B,'[1]Import Eletra'!$AM:$AM,,0,1)=0,"",_xlfn.XLOOKUP($E110,'[1]Import Eletra'!$B:$B,'[1]Import Eletra'!$AM:$AM,,0,1))</f>
        <v>46020</v>
      </c>
      <c r="R110" s="331">
        <f>IF(_xlfn.XLOOKUP($E110,'[1]Import Eletra'!$B:$B,'[1]Import Eletra'!$AN:$AN,,0,1)=0,"",_xlfn.XLOOKUP($E110,'[1]Import Eletra'!$B:$B,'[1]Import Eletra'!$AN:$AN,,0,1))</f>
        <v>46034</v>
      </c>
      <c r="S110" s="331">
        <f>IF(_xlfn.XLOOKUP($E110,'[1]Import Eletra'!$B:$B,'[1]Import Eletra'!$AO:$AO,,0,1)=0,"",_xlfn.XLOOKUP($E110,'[1]Import Eletra'!$B:$B,'[1]Import Eletra'!$AO:$AO,,0,1))</f>
        <v>46034</v>
      </c>
      <c r="T110" s="331">
        <f>IF(_xlfn.XLOOKUP($E110,'[1]Import Eletra'!$B:$B,'[1]Import Eletra'!$AP:$AP,,0,1)=0,"",_xlfn.XLOOKUP($E110,'[1]Import Eletra'!$B:$B,'[1]Import Eletra'!$AP:$AP,,0,1))</f>
        <v>46036</v>
      </c>
      <c r="U110" s="338">
        <f>IF(_xlfn.XLOOKUP($E110,'[1]Import Eletra'!$B:$B,'[1]Import Eletra'!$AQ:$AQ,,0,1)=0,"",_xlfn.XLOOKUP($E110,'[1]Import Eletra'!$B:$B,'[1]Import Eletra'!$AQ:$AQ,,0,1))</f>
        <v>46037</v>
      </c>
      <c r="V110" s="343">
        <f>IF(_xlfn.XLOOKUP($E110,'[1]Import Eletra'!$B:$B,'[1]Import Eletra'!$AQ:$AQ,,0,1)=0,"",_xlfn.XLOOKUP($E110,'[1]Import Eletra'!$B:$B,'[1]Import Eletra'!$AQ:$AQ,,0,1))</f>
        <v>46037</v>
      </c>
      <c r="W110" s="336">
        <f>AB110-$AB$4</f>
        <v>46047</v>
      </c>
      <c r="X110" s="345">
        <f>IF(_xlfn.XLOOKUP($E110,'[1]Import Eletra'!$B:$B,'[1]Import Eletra'!$AR:$AR,,0,1)=0,"",_xlfn.XLOOKUP($E110,'[1]Import Eletra'!$B:$B,'[1]Import Eletra'!$AR:$AR,,0,1))</f>
        <v>46028</v>
      </c>
      <c r="Y110" s="309">
        <f>$W$4</f>
        <v>0</v>
      </c>
      <c r="Z110" s="309">
        <f ca="1">IF(X110="",TODAY()-W110,X110-W110)</f>
        <v>-19</v>
      </c>
      <c r="AA110" s="310" t="str">
        <f ca="1">IF(AND(ISNUMBER($Z110),$Z110&gt;0),$Z110-$Y110,"")</f>
        <v/>
      </c>
      <c r="AB110" s="350">
        <f>AG110-$AB$4</f>
        <v>46047</v>
      </c>
      <c r="AC110" s="345">
        <f>IF(_xlfn.XLOOKUP($E110,'[1]Import Eletra'!$B:$B,'[1]Import Eletra'!$AD:$AD,,0,1)=0,"",_xlfn.XLOOKUP($E110,'[1]Import Eletra'!$B:$B,'[1]Import Eletra'!$AD:$AD,,0,1))</f>
        <v>46037</v>
      </c>
      <c r="AD110" s="309">
        <f>$AB$4</f>
        <v>0</v>
      </c>
      <c r="AE110" s="309">
        <f ca="1">IF(AC110="",TODAY()-AB110,AC110-AB110)</f>
        <v>-10</v>
      </c>
      <c r="AF110" s="310">
        <f ca="1">AE110-AD110</f>
        <v>-10</v>
      </c>
      <c r="AG110" s="356">
        <f>AL110-$AL$4</f>
        <v>46047</v>
      </c>
      <c r="AH110" s="345">
        <f>IF(_xlfn.XLOOKUP($E110,'[1]Import Eletra'!$B:$B,'[1]Import Eletra'!$AE:$AE,,0,1)=0,"",_xlfn.XLOOKUP($E110,'[1]Import Eletra'!$B:$B,'[1]Import Eletra'!$AE:$AE,,0,1))</f>
        <v>46037</v>
      </c>
      <c r="AI110" s="309">
        <f>$AG$4</f>
        <v>0</v>
      </c>
      <c r="AJ110" s="309">
        <f ca="1">IF(AH110="",TODAY()-AG110,AH110-AG110)</f>
        <v>-10</v>
      </c>
      <c r="AK110" s="310" t="str">
        <f ca="1">IF(AND(ISNUMBER($AJ110),$AJ110&gt;0),$AJ110-$AI110,"")</f>
        <v/>
      </c>
      <c r="AL110" s="356">
        <f>AQ110-$AQ$4</f>
        <v>46047</v>
      </c>
      <c r="AM110" s="345">
        <f>IF(_xlfn.XLOOKUP($E110,'[1]Import Eletra'!$B:$B,'[1]Import Eletra'!$AT:$AT,,0,1)=0,"",_xlfn.XLOOKUP($E110,'[1]Import Eletra'!$B:$B,'[1]Import Eletra'!$AT:$AT,,0,1))</f>
        <v>46037</v>
      </c>
      <c r="AN110" s="309">
        <f>$AL$4</f>
        <v>0</v>
      </c>
      <c r="AO110" s="309">
        <f ca="1">IF(AM110="",TODAY()-AL110,AM110-AL110)</f>
        <v>-10</v>
      </c>
      <c r="AP110" s="310" t="str">
        <f ca="1">IF(AND(ISNUMBER($AO110),$AO110&gt;0),$AO110-$AN110,"")</f>
        <v/>
      </c>
      <c r="AQ110" s="359">
        <f>AV110-$AV$4</f>
        <v>46048</v>
      </c>
      <c r="AR110" s="345">
        <f>IF(_xlfn.XLOOKUP($E110,'[1]Import Eletra'!$B:$B,'[1]Import Eletra'!$AU:$AU,,0,1)=0,"",_xlfn.XLOOKUP($E110,'[1]Import Eletra'!$B:$B,'[1]Import Eletra'!$AU:$AU,,0,1))</f>
        <v>46037</v>
      </c>
      <c r="AS110" s="309">
        <f>$AQ$4</f>
        <v>1</v>
      </c>
      <c r="AT110" s="309">
        <f ca="1">IF(AR110="",TODAY()-AQ110,AR110-AQ110)</f>
        <v>-11</v>
      </c>
      <c r="AU110" s="310" t="str">
        <f ca="1">IF(AND(ISNUMBER($AT110),$AT110&gt;0),$AT110-$AS110,"")</f>
        <v/>
      </c>
      <c r="AV110" s="356">
        <f>BA110-$BA$4</f>
        <v>46048</v>
      </c>
      <c r="AW110" s="345">
        <f>IF(_xlfn.XLOOKUP($E110,'[1]Import Eletra'!$B:$B,'[1]Import Eletra'!$AU:$AU,,0,1)=0,"",_xlfn.XLOOKUP($E110,'[1]Import Eletra'!$B:$B,'[1]Import Eletra'!$AU:$AU,,0,1))</f>
        <v>46037</v>
      </c>
      <c r="AX110" s="309">
        <f>$AV$4</f>
        <v>0</v>
      </c>
      <c r="AY110" s="309">
        <f ca="1">IF(AW110="",TODAY()-AV110,AW110-AV110)</f>
        <v>-11</v>
      </c>
      <c r="AZ110" s="310" t="str">
        <f ca="1">IF(AND(ISNUMBER($AY110),$AY110&gt;0),$AY110-$AX110,"")</f>
        <v/>
      </c>
      <c r="BA110" s="359">
        <f>BF110-$BF$4</f>
        <v>46048</v>
      </c>
      <c r="BB110" s="345">
        <f>IF(_xlfn.XLOOKUP($E110,'[1]Import Eletra'!$B:$B,'[1]Import Eletra'!$AW:$AW,,0,1)=0,"",_xlfn.XLOOKUP($E110,'[1]Import Eletra'!$B:$B,'[1]Import Eletra'!$AW:$AW,,0,1))</f>
        <v>46037</v>
      </c>
      <c r="BC110" s="309">
        <f>$BA$4</f>
        <v>0</v>
      </c>
      <c r="BD110" s="309">
        <f ca="1">IF(BB110="",TODAY()-BA110,BB110-BA110)</f>
        <v>-11</v>
      </c>
      <c r="BE110" s="310">
        <f ca="1">BD110-BC110</f>
        <v>-11</v>
      </c>
      <c r="BF110" s="336">
        <f>BK110-$BK$4</f>
        <v>46048</v>
      </c>
      <c r="BG110" s="345">
        <f>IF(_xlfn.XLOOKUP($E110,'[1]Import Eletra'!$B:$B,'[1]Import Eletra'!$AX:$AX,,0,1)=0,"",_xlfn.XLOOKUP($E110,'[1]Import Eletra'!$B:$B,'[1]Import Eletra'!$AX:$AX,,0,1))</f>
        <v>46038</v>
      </c>
      <c r="BH110" s="309">
        <f>$BF$4</f>
        <v>0</v>
      </c>
      <c r="BI110" s="309">
        <f ca="1">IF(BG110="",TODAY()-BF110,BG110-BF110)</f>
        <v>-10</v>
      </c>
      <c r="BJ110" s="310" t="str">
        <f ca="1">IF(AND(ISNUMBER($BI110),$BI110&gt;0),$BI110-$BH110,"")</f>
        <v/>
      </c>
      <c r="BK110" s="363">
        <f>BP110-$BP$4</f>
        <v>46048</v>
      </c>
      <c r="BL110" s="345">
        <f>IF(_xlfn.XLOOKUP($E110,'[1]Import Eletra'!$B:$B,'[1]Import Eletra'!$AY:$AY,,0,1)=0,"",_xlfn.XLOOKUP($E110,'[1]Import Eletra'!$B:$B,'[1]Import Eletra'!$AY:$AY,,0,1))</f>
        <v>46037</v>
      </c>
      <c r="BM110" s="309">
        <f>$BK$4</f>
        <v>0</v>
      </c>
      <c r="BN110" s="309">
        <f ca="1">IF(BL110="",TODAY()-BK110,BL110-BK110)</f>
        <v>-11</v>
      </c>
      <c r="BO110" s="310">
        <f ca="1">BN110-BM110</f>
        <v>-11</v>
      </c>
      <c r="BP110" s="336">
        <f>BU110-$BU$4</f>
        <v>46048</v>
      </c>
      <c r="BQ110" s="345">
        <f>IF(_xlfn.XLOOKUP($E110,'[1]Import Eletra'!$B:$B,'[1]Import Eletra'!$AZ:$AZ,,0,1)=0,"",_xlfn.XLOOKUP($E110,'[1]Import Eletra'!$B:$B,'[1]Import Eletra'!$AZ:$AZ,,0,1))</f>
        <v>46037</v>
      </c>
      <c r="BR110" s="309">
        <f>$BP$4</f>
        <v>0</v>
      </c>
      <c r="BS110" s="309">
        <f ca="1">IF(BQ110="",TODAY()-BP110,BQ110-BP110)</f>
        <v>-11</v>
      </c>
      <c r="BT110" s="310">
        <f ca="1">BS110-BR110</f>
        <v>-11</v>
      </c>
      <c r="BU110" s="363">
        <f>BZ110-$BZ$4</f>
        <v>46050</v>
      </c>
      <c r="BV110" s="345">
        <f>IF(_xlfn.XLOOKUP($E110,'[1]Import Eletra'!$B:$B,'[1]Import Eletra'!$BA:$BA,,0,1)=0,"",_xlfn.XLOOKUP($E110,'[1]Import Eletra'!$B:$B,'[1]Import Eletra'!$BA:$BA,,0,1))</f>
        <v>46041</v>
      </c>
      <c r="BW110" s="309">
        <f>$BU$4</f>
        <v>2</v>
      </c>
      <c r="BX110" s="309">
        <f ca="1">IF(BV110="",TODAY()-BU110,BV110-BU110)</f>
        <v>-9</v>
      </c>
      <c r="BY110" s="310" t="str">
        <f ca="1">IF(AND(ISNUMBER($BX110),$BX110&gt;0),$BX110-$BW110,"")</f>
        <v/>
      </c>
      <c r="BZ110" s="336">
        <f>CE110-$CE$4</f>
        <v>46050</v>
      </c>
      <c r="CA110" s="345">
        <f>IF(_xlfn.XLOOKUP($E110,'[1]Import Eletra'!$B:$B,'[1]Import Eletra'!$BB:$BB,,0,1)=0,"",_xlfn.XLOOKUP($E110,'[1]Import Eletra'!$B:$B,'[1]Import Eletra'!$BB:$BB,,0,1))</f>
        <v>46041</v>
      </c>
      <c r="CB110" s="309">
        <f>$BZ$4</f>
        <v>0</v>
      </c>
      <c r="CC110" s="309">
        <f ca="1">IF(CA110="",TODAY()-BZ110,CA110-BZ110)</f>
        <v>-9</v>
      </c>
      <c r="CD110" s="310">
        <f ca="1">CC110-CB110</f>
        <v>-9</v>
      </c>
      <c r="CE110" s="363">
        <f>CJ110-$CJ$4</f>
        <v>46050</v>
      </c>
      <c r="CF110" s="345">
        <f>IF(_xlfn.XLOOKUP($E110,'[1]Import Eletra'!$B:$B,'[1]Import Eletra'!$BC:$BC,,0,1)=0,"",_xlfn.XLOOKUP($E110,'[1]Import Eletra'!$B:$B,'[1]Import Eletra'!$BC:$BC,,0,1))</f>
        <v>46042</v>
      </c>
      <c r="CG110" s="309">
        <f>$CE$4</f>
        <v>0</v>
      </c>
      <c r="CH110" s="309">
        <f ca="1">IF(CF110="",TODAY()-CE110,CF110-CE110)</f>
        <v>-8</v>
      </c>
      <c r="CI110" s="310">
        <f ca="1">CH110-CG110</f>
        <v>-8</v>
      </c>
      <c r="CJ110" s="336">
        <f>CO110-$CO$4</f>
        <v>46050</v>
      </c>
      <c r="CK110" s="345">
        <f>IF(_xlfn.XLOOKUP($E110,'[1]Import Eletra'!$B:$B,'[1]Import Eletra'!$BD:$BD,,0,1)=0,"",_xlfn.XLOOKUP($E110,'[1]Import Eletra'!$B:$B,'[1]Import Eletra'!$BD:$BD,,0,1))</f>
        <v>46041</v>
      </c>
      <c r="CL110" s="309"/>
      <c r="CM110" s="309">
        <f ca="1">IF(CK110="",TODAY()-CJ110,CK110-CJ110)</f>
        <v>-9</v>
      </c>
      <c r="CN110" s="310">
        <f ca="1">CM110-CL110</f>
        <v>-9</v>
      </c>
      <c r="CO110" s="363">
        <f>CT110-$CT$4</f>
        <v>46050</v>
      </c>
      <c r="CP110" s="345">
        <f>IF(_xlfn.XLOOKUP($E110,'[1]Import Eletra'!$B:$B,'[1]Import Eletra'!$BE:$BE,,0,1)=0,"",_xlfn.XLOOKUP($E110,'[1]Import Eletra'!$B:$B,'[1]Import Eletra'!$BE:$BE,,0,1))</f>
        <v>46042</v>
      </c>
      <c r="CQ110" s="309">
        <f>$CO$4</f>
        <v>0</v>
      </c>
      <c r="CR110" s="309">
        <f ca="1">IF(CP110="",TODAY()-CO110,CP110-CO110)</f>
        <v>-8</v>
      </c>
      <c r="CS110" s="310">
        <f ca="1">CR110-CQ110</f>
        <v>-8</v>
      </c>
      <c r="CT110" s="336">
        <f>CY110-$CY$4</f>
        <v>46050</v>
      </c>
      <c r="CU110" s="345">
        <f>IF(_xlfn.XLOOKUP($E110,'[1]Import Eletra'!$B:$B,'[1]Import Eletra'!$BF:$BF,,0,1)=0,"",_xlfn.XLOOKUP($E110,'[1]Import Eletra'!$B:$B,'[1]Import Eletra'!$BF:$BF,,0,1))</f>
        <v>46042</v>
      </c>
      <c r="CV110" s="309">
        <f>$CT$4</f>
        <v>0</v>
      </c>
      <c r="CW110" s="309">
        <f ca="1">IF(CU110="",TODAY()-CT110,CU110-CT110)</f>
        <v>-8</v>
      </c>
      <c r="CX110" s="310">
        <f ca="1">CW110-CV110</f>
        <v>-8</v>
      </c>
      <c r="CY110" s="85">
        <f>DD110-$DD$4</f>
        <v>46050</v>
      </c>
      <c r="CZ110" s="271">
        <f>IF(_xlfn.XLOOKUP($E110,'[1]Import Eletra'!$B:$B,'[1]Import Eletra'!$BF:$BF,,0,1)=0,"",_xlfn.XLOOKUP($E110,'[1]Import Eletra'!$B:$B,'[1]Import Eletra'!$BF:$BF,,0,1))</f>
        <v>46042</v>
      </c>
      <c r="DA110" s="311">
        <f>$CY$4</f>
        <v>0</v>
      </c>
      <c r="DB110" s="309">
        <f ca="1">IF(CZ110="",TODAY()-CY110,CZ110-CY110)</f>
        <v>-8</v>
      </c>
      <c r="DC110" s="310">
        <f ca="1">DB110-DA110</f>
        <v>-8</v>
      </c>
      <c r="DD110" s="85">
        <f>DI110-$DI$4</f>
        <v>46052</v>
      </c>
      <c r="DE110" s="271">
        <f>IF(_xlfn.XLOOKUP($E110,'[1]Import Eletra'!$B:$B,'[1]Import Eletra'!$BG:$BG,,0,1)=0,"",_xlfn.XLOOKUP($E110,'[1]Import Eletra'!$B:$B,'[1]Import Eletra'!$BG:$BG,0,1))</f>
        <v>46042</v>
      </c>
      <c r="DF110" s="309">
        <f>$DD$4</f>
        <v>2</v>
      </c>
      <c r="DG110" s="309">
        <f ca="1">IF(DE110="",TODAY()-DD110,DE110-DD110)</f>
        <v>-10</v>
      </c>
      <c r="DH110" s="310">
        <f ca="1">DG110-DF110</f>
        <v>-12</v>
      </c>
      <c r="DI110" s="85">
        <f>DO110-$DN$4</f>
        <v>46053</v>
      </c>
      <c r="DJ110" s="271">
        <f>IF(_xlfn.XLOOKUP($E110,'[1]Import Eletra'!$B:$B,'[1]Import Eletra'!$BH:$BH,,0,1)=0,"",_xlfn.XLOOKUP($E110,'[1]Import Eletra'!$B:$B,'[1]Import Eletra'!$BH:$BH,0,1))</f>
        <v>46044</v>
      </c>
      <c r="DK110" s="309">
        <f>$DI$4</f>
        <v>1</v>
      </c>
      <c r="DL110" s="309">
        <f ca="1">IF(DJ110="",TODAY()-DI110,DJ110-DI110)</f>
        <v>-9</v>
      </c>
      <c r="DM110" s="310">
        <f ca="1">DL110-DK110</f>
        <v>-10</v>
      </c>
      <c r="DN110" s="312"/>
      <c r="DO110" s="313">
        <f>IF(V110="",N110+DT110,V110+DT110)</f>
        <v>46054</v>
      </c>
      <c r="DP110" s="59">
        <f>IF(_xlfn.XLOOKUP($E110,'[1]Import Eletra'!$B:$B,'[1]Import Eletra'!$O:$O,,0,1)=0,"",_xlfn.XLOOKUP($E110,'[1]Import Eletra'!$B:$B,'[1]Import Eletra'!$O:$O,0,1))</f>
        <v>46044</v>
      </c>
      <c r="DQ110" s="309">
        <f>$DN$4</f>
        <v>1</v>
      </c>
      <c r="DR110" s="309">
        <f ca="1">IF(DP110="",TODAY()-DO110,DP110-DO110)</f>
        <v>-10</v>
      </c>
      <c r="DS110" s="310">
        <f ca="1">DR110-DQ110</f>
        <v>-11</v>
      </c>
      <c r="DT110" s="314">
        <v>17</v>
      </c>
      <c r="DU110" s="140">
        <f ca="1">IF(DP110="",TODAY()-N110,DP110-N110)</f>
        <v>19</v>
      </c>
      <c r="DV110" s="184">
        <f ca="1">DU110-DT110</f>
        <v>2</v>
      </c>
      <c r="DX110" s="316"/>
      <c r="DY110" s="108" t="str">
        <f>IF(_xlfn.XLOOKUP($E110,'[1]Import Eletra'!$B:$B,'[1]Import Eletra'!$DW:$DW,,0,1)=0,"",_xlfn.XLOOKUP($E110,'[1]Import Eletra'!$B:$B,'[1]Import Eletra'!$DW:$DW,0,1))</f>
        <v/>
      </c>
      <c r="EB110" s="317"/>
      <c r="ED110" s="406">
        <f>IF(_xlfn.XLOOKUP($E110,'[1]Import Eletra'!$B:$B,'[1]Import Eletra'!$BQ:$BQ,,0,1)=0,"",_xlfn.XLOOKUP($E110,'[1]Import Eletra'!$B:$B,'[1]Import Eletra'!$BQ:$BQ,0,1))</f>
        <v>367.94</v>
      </c>
      <c r="EE110" s="407">
        <f>IF(_xlfn.XLOOKUP($E110,'[1]Import Eletra'!$B:$B,'[1]Import Eletra'!$BR:$BR,,0,1)=0,"",_xlfn.XLOOKUP($E110,'[1]Import Eletra'!$B:$B,'[1]Import Eletra'!$BR:$BR,0,1))</f>
        <v>46038</v>
      </c>
      <c r="EF110" s="406">
        <f>IF(_xlfn.XLOOKUP($E110,'[1]Import Eletra'!$B:$B,'[1]Import Eletra'!$BS:$BS,,0,1)=0,"",_xlfn.XLOOKUP($E110,'[1]Import Eletra'!$B:$B,'[1]Import Eletra'!$BS:$BS,0,1))</f>
        <v>893.99</v>
      </c>
      <c r="EG110" s="407">
        <f>IF(_xlfn.XLOOKUP($E110,'[1]Import Eletra'!$B:$B,'[1]Import Eletra'!$BT:$BT,,0,1)=0,"",_xlfn.XLOOKUP($E110,'[1]Import Eletra'!$B:$B,'[1]Import Eletra'!$BT:$BT,0,1))</f>
        <v>46108</v>
      </c>
      <c r="EH110" s="406" t="str">
        <f>IF(_xlfn.XLOOKUP($E110,'[1]Import Eletra'!$B:$B,'[1]Import Eletra'!$BU:$BU,,0,1)=0,"",_xlfn.XLOOKUP($E110,'[1]Import Eletra'!$B:$B,'[1]Import Eletra'!$BU:$BU,0,1))</f>
        <v/>
      </c>
      <c r="EI110" s="407" t="str">
        <f>IF(_xlfn.XLOOKUP($E110,'[1]Import Eletra'!$B:$B,'[1]Import Eletra'!$BV:$BV,,0,1)=0,"",_xlfn.XLOOKUP($E110,'[1]Import Eletra'!$B:$B,'[1]Import Eletra'!$BV:$BV,0,1))</f>
        <v/>
      </c>
      <c r="EJ110" s="407">
        <f>IF(_xlfn.XLOOKUP($E110,'[1]Import Eletra'!$B:$B,'[1]Import Eletra'!$CI:$CI,,0,1)=0,"",_xlfn.XLOOKUP($E110,'[1]Import Eletra'!$B:$B,'[1]Import Eletra'!$CI:$CI,0,1))</f>
        <v>46044</v>
      </c>
      <c r="EK110" s="407">
        <f>IF(_xlfn.XLOOKUP($E110,'[1]Import Eletra'!$B:$B,'[1]Import Eletra'!$CD:$CD,,0,1)=0,"",_xlfn.XLOOKUP($E110,'[1]Import Eletra'!$B:$B,'[1]Import Eletra'!$CD:$CD,0,1))</f>
        <v>46045</v>
      </c>
      <c r="EL110" s="407" t="str">
        <f>IF(_xlfn.XLOOKUP($E110,'[1]Import Eletra'!$B:$B,'[1]Import Eletra'!$CE:$CE,,0,1)=0,"",_xlfn.XLOOKUP($E110,'[1]Import Eletra'!$B:$B,'[1]Import Eletra'!$CE:$CE,0,1))</f>
        <v>SIM  1 dias</v>
      </c>
      <c r="EM110" s="408" t="str">
        <f>IF(_xlfn.XLOOKUP($E110,'[1]Import Eletra'!$B:$B,'[1]Import Eletra'!$E:$E,,0,1)=0,"",_xlfn.XLOOKUP($E110,'[1]Import Eletra'!$B:$B,'[1]Import Eletra'!$E:$E,0,1))</f>
        <v>STELLA</v>
      </c>
      <c r="EN110" s="408" t="str">
        <f>IF(_xlfn.XLOOKUP($E110,'[1]Import Eletra'!$B:$B,'[1]Import Eletra'!$E:$E,,0,1)=0,"",_xlfn.XLOOKUP($E110,'[1]Import Eletra'!$B:$B,'[1]Import Eletra'!$E:$E,0,1))</f>
        <v>STELLA</v>
      </c>
      <c r="EO110" s="408" t="str">
        <f>IF(_xlfn.XLOOKUP($E110,'[1]Import Eletra'!$B:$B,'[1]Import Eletra'!$E:$E,,0,1)=0,"",_xlfn.XLOOKUP($E110,'[1]Import Eletra'!$B:$B,'[1]Import Eletra'!$E:$E,0,1))</f>
        <v>STELLA</v>
      </c>
      <c r="EP110" s="408" t="str">
        <f>IF(_xlfn.XLOOKUP($E110,'[1]Import Eletra'!$B:$B,'[1]Import Eletra'!$E:$E,,0,1)=0,"",_xlfn.XLOOKUP($E110,'[1]Import Eletra'!$B:$B,'[1]Import Eletra'!$E:$E,0,1))</f>
        <v>STELLA</v>
      </c>
    </row>
    <row r="111" spans="1:146" s="315" customFormat="1" ht="30" hidden="1" customHeight="1" outlineLevel="1">
      <c r="A111" s="305"/>
      <c r="B111" s="306"/>
      <c r="C111" s="306"/>
      <c r="D111" s="306"/>
      <c r="E111" s="318" t="s">
        <v>407</v>
      </c>
      <c r="F111" s="307" t="str">
        <f>IF(_xlfn.XLOOKUP($E111,'[1]Import Eletra'!$B:$B,'[1]Import Eletra'!$U:$U,,0,1)=0,"",_xlfn.XLOOKUP($E111,'[1]Import Eletra'!$B:$B,'[1]Import Eletra'!$U:$U,,0,1))</f>
        <v/>
      </c>
      <c r="G111" s="320" t="s">
        <v>244</v>
      </c>
      <c r="H111" s="59" t="str">
        <f>_xlfn.XLOOKUP($E111,'[1]Import Eletra'!$B:$B,'[1]Import Eletra'!$F:$F,,0,1)</f>
        <v>DELIVERED</v>
      </c>
      <c r="I111" s="4" t="str">
        <f>_xlfn.XLOOKUP($E111,'[1]Import Eletra'!$B:$B,'[1]Import Eletra'!$G:$G,,0,1)</f>
        <v>AIR</v>
      </c>
      <c r="J111" s="331"/>
      <c r="K111" s="308"/>
      <c r="L111" s="308"/>
      <c r="M111" s="331">
        <f>IF(_xlfn.XLOOKUP($E111,'[1]Import Eletra'!$B:$B,'[1]Import Eletra'!$J:$J,,0,1)=0,"",_xlfn.XLOOKUP($E111,'[1]Import Eletra'!$B:$B,'[1]Import Eletra'!$J:$J,,0,1))</f>
        <v>46027</v>
      </c>
      <c r="N111" s="334">
        <f>IF(_xlfn.XLOOKUP($E111,'[1]Import Eletra'!$B:$B,'[1]Import Eletra'!$L:$L,,0,1)=0,"",_xlfn.XLOOKUP($E111,'[1]Import Eletra'!$B:$B,'[1]Import Eletra'!$L:$L,,0,1))</f>
        <v>46036</v>
      </c>
      <c r="O111" s="336">
        <f>IF(_xlfn.XLOOKUP($E111,'[1]Import Eletra'!$B:$B,'[1]Import Eletra'!$AK:$AK,,0,1)=0,"",_xlfn.XLOOKUP($E111,'[1]Import Eletra'!$B:$B,'[1]Import Eletra'!$AK:$AK,,0,1))</f>
        <v>46028</v>
      </c>
      <c r="P111" s="331">
        <f>IF(_xlfn.XLOOKUP($E111,'[1]Import Eletra'!$B:$B,'[1]Import Eletra'!$AL:$AL,,0,1)=0,"",_xlfn.XLOOKUP($E111,'[1]Import Eletra'!$B:$B,'[1]Import Eletra'!$AL:$AL,,0,1))</f>
        <v>46028</v>
      </c>
      <c r="Q111" s="331">
        <f>IF(_xlfn.XLOOKUP($E111,'[1]Import Eletra'!$B:$B,'[1]Import Eletra'!$AM:$AM,,0,1)=0,"",_xlfn.XLOOKUP($E111,'[1]Import Eletra'!$B:$B,'[1]Import Eletra'!$AM:$AM,,0,1))</f>
        <v>46035</v>
      </c>
      <c r="R111" s="331">
        <f>IF(_xlfn.XLOOKUP($E111,'[1]Import Eletra'!$B:$B,'[1]Import Eletra'!$AN:$AN,,0,1)=0,"",_xlfn.XLOOKUP($E111,'[1]Import Eletra'!$B:$B,'[1]Import Eletra'!$AN:$AN,,0,1))</f>
        <v>46035</v>
      </c>
      <c r="S111" s="331">
        <f>IF(_xlfn.XLOOKUP($E111,'[1]Import Eletra'!$B:$B,'[1]Import Eletra'!$AO:$AO,,0,1)=0,"",_xlfn.XLOOKUP($E111,'[1]Import Eletra'!$B:$B,'[1]Import Eletra'!$AO:$AO,,0,1))</f>
        <v>46041</v>
      </c>
      <c r="T111" s="331">
        <f>IF(_xlfn.XLOOKUP($E111,'[1]Import Eletra'!$B:$B,'[1]Import Eletra'!$AP:$AP,,0,1)=0,"",_xlfn.XLOOKUP($E111,'[1]Import Eletra'!$B:$B,'[1]Import Eletra'!$AP:$AP,,0,1))</f>
        <v>46041</v>
      </c>
      <c r="U111" s="338">
        <f>IF(_xlfn.XLOOKUP($E111,'[1]Import Eletra'!$B:$B,'[1]Import Eletra'!$AQ:$AQ,,0,1)=0,"",_xlfn.XLOOKUP($E111,'[1]Import Eletra'!$B:$B,'[1]Import Eletra'!$AQ:$AQ,,0,1))</f>
        <v>46041</v>
      </c>
      <c r="V111" s="343">
        <f>IF(_xlfn.XLOOKUP($E111,'[1]Import Eletra'!$B:$B,'[1]Import Eletra'!$AQ:$AQ,,0,1)=0,"",_xlfn.XLOOKUP($E111,'[1]Import Eletra'!$B:$B,'[1]Import Eletra'!$AQ:$AQ,,0,1))</f>
        <v>46041</v>
      </c>
      <c r="W111" s="336">
        <f>AB111-$AB$4</f>
        <v>46051</v>
      </c>
      <c r="X111" s="345">
        <f>IF(_xlfn.XLOOKUP($E111,'[1]Import Eletra'!$B:$B,'[1]Import Eletra'!$AR:$AR,,0,1)=0,"",_xlfn.XLOOKUP($E111,'[1]Import Eletra'!$B:$B,'[1]Import Eletra'!$AR:$AR,,0,1))</f>
        <v>46036</v>
      </c>
      <c r="Y111" s="309">
        <f>$W$4</f>
        <v>0</v>
      </c>
      <c r="Z111" s="309">
        <f ca="1">IF(X111="",TODAY()-W111,X111-W111)</f>
        <v>-15</v>
      </c>
      <c r="AA111" s="310" t="str">
        <f ca="1">IF(AND(ISNUMBER($Z111),$Z111&gt;0),$Z111-$Y111,"")</f>
        <v/>
      </c>
      <c r="AB111" s="350">
        <f>AG111-$AB$4</f>
        <v>46051</v>
      </c>
      <c r="AC111" s="345">
        <f>IF(_xlfn.XLOOKUP($E111,'[1]Import Eletra'!$B:$B,'[1]Import Eletra'!$AD:$AD,,0,1)=0,"",_xlfn.XLOOKUP($E111,'[1]Import Eletra'!$B:$B,'[1]Import Eletra'!$AD:$AD,,0,1))</f>
        <v>46041</v>
      </c>
      <c r="AD111" s="309">
        <f>$AB$4</f>
        <v>0</v>
      </c>
      <c r="AE111" s="309">
        <f ca="1">IF(AC111="",TODAY()-AB111,AC111-AB111)</f>
        <v>-10</v>
      </c>
      <c r="AF111" s="310">
        <f ca="1">AE111-AD111</f>
        <v>-10</v>
      </c>
      <c r="AG111" s="356">
        <f>AL111-$AL$4</f>
        <v>46051</v>
      </c>
      <c r="AH111" s="345">
        <f>IF(_xlfn.XLOOKUP($E111,'[1]Import Eletra'!$B:$B,'[1]Import Eletra'!$AE:$AE,,0,1)=0,"",_xlfn.XLOOKUP($E111,'[1]Import Eletra'!$B:$B,'[1]Import Eletra'!$AE:$AE,,0,1))</f>
        <v>46042</v>
      </c>
      <c r="AI111" s="309">
        <f>$AG$4</f>
        <v>0</v>
      </c>
      <c r="AJ111" s="309">
        <f ca="1">IF(AH111="",TODAY()-AG111,AH111-AG111)</f>
        <v>-9</v>
      </c>
      <c r="AK111" s="310" t="str">
        <f ca="1">IF(AND(ISNUMBER($AJ111),$AJ111&gt;0),$AJ111-$AI111,"")</f>
        <v/>
      </c>
      <c r="AL111" s="356">
        <f>AQ111-$AQ$4</f>
        <v>46051</v>
      </c>
      <c r="AM111" s="345">
        <f>IF(_xlfn.XLOOKUP($E111,'[1]Import Eletra'!$B:$B,'[1]Import Eletra'!$AT:$AT,,0,1)=0,"",_xlfn.XLOOKUP($E111,'[1]Import Eletra'!$B:$B,'[1]Import Eletra'!$AT:$AT,,0,1))</f>
        <v>46041</v>
      </c>
      <c r="AN111" s="309">
        <f>$AL$4</f>
        <v>0</v>
      </c>
      <c r="AO111" s="309">
        <f ca="1">IF(AM111="",TODAY()-AL111,AM111-AL111)</f>
        <v>-10</v>
      </c>
      <c r="AP111" s="310" t="str">
        <f ca="1">IF(AND(ISNUMBER($AO111),$AO111&gt;0),$AO111-$AN111,"")</f>
        <v/>
      </c>
      <c r="AQ111" s="359">
        <f>AV111-$AV$4</f>
        <v>46052</v>
      </c>
      <c r="AR111" s="345">
        <f>IF(_xlfn.XLOOKUP($E111,'[1]Import Eletra'!$B:$B,'[1]Import Eletra'!$AU:$AU,,0,1)=0,"",_xlfn.XLOOKUP($E111,'[1]Import Eletra'!$B:$B,'[1]Import Eletra'!$AU:$AU,,0,1))</f>
        <v>46042</v>
      </c>
      <c r="AS111" s="309">
        <f>$AQ$4</f>
        <v>1</v>
      </c>
      <c r="AT111" s="309">
        <f ca="1">IF(AR111="",TODAY()-AQ111,AR111-AQ111)</f>
        <v>-10</v>
      </c>
      <c r="AU111" s="310" t="str">
        <f ca="1">IF(AND(ISNUMBER($AT111),$AT111&gt;0),$AT111-$AS111,"")</f>
        <v/>
      </c>
      <c r="AV111" s="356">
        <f>BA111-$BA$4</f>
        <v>46052</v>
      </c>
      <c r="AW111" s="345">
        <f>IF(_xlfn.XLOOKUP($E111,'[1]Import Eletra'!$B:$B,'[1]Import Eletra'!$AU:$AU,,0,1)=0,"",_xlfn.XLOOKUP($E111,'[1]Import Eletra'!$B:$B,'[1]Import Eletra'!$AU:$AU,,0,1))</f>
        <v>46042</v>
      </c>
      <c r="AX111" s="309">
        <f>$AV$4</f>
        <v>0</v>
      </c>
      <c r="AY111" s="309">
        <f ca="1">IF(AW111="",TODAY()-AV111,AW111-AV111)</f>
        <v>-10</v>
      </c>
      <c r="AZ111" s="310" t="str">
        <f ca="1">IF(AND(ISNUMBER($AY111),$AY111&gt;0),$AY111-$AX111,"")</f>
        <v/>
      </c>
      <c r="BA111" s="359">
        <f>BF111-$BF$4</f>
        <v>46052</v>
      </c>
      <c r="BB111" s="345" t="str">
        <f>IF(_xlfn.XLOOKUP($E111,'[1]Import Eletra'!$B:$B,'[1]Import Eletra'!$AW:$AW,,0,1)=0,"",_xlfn.XLOOKUP($E111,'[1]Import Eletra'!$B:$B,'[1]Import Eletra'!$AW:$AW,,0,1))</f>
        <v/>
      </c>
      <c r="BC111" s="309">
        <f>$BA$4</f>
        <v>0</v>
      </c>
      <c r="BD111" s="309">
        <f ca="1">IF(BB111="",TODAY()-BA111,BB111-BA111)</f>
        <v>159</v>
      </c>
      <c r="BE111" s="310">
        <f ca="1">BD111-BC111</f>
        <v>159</v>
      </c>
      <c r="BF111" s="336">
        <f>BK111-$BK$4</f>
        <v>46052</v>
      </c>
      <c r="BG111" s="345" t="str">
        <f>IF(_xlfn.XLOOKUP($E111,'[1]Import Eletra'!$B:$B,'[1]Import Eletra'!$AX:$AX,,0,1)=0,"",_xlfn.XLOOKUP($E111,'[1]Import Eletra'!$B:$B,'[1]Import Eletra'!$AX:$AX,,0,1))</f>
        <v/>
      </c>
      <c r="BH111" s="309">
        <f>$BF$4</f>
        <v>0</v>
      </c>
      <c r="BI111" s="309">
        <f ca="1">IF(BG111="",TODAY()-BF111,BG111-BF111)</f>
        <v>159</v>
      </c>
      <c r="BJ111" s="310">
        <f ca="1">IF(AND(ISNUMBER($BI111),$BI111&gt;0),$BI111-$BH111,"")</f>
        <v>159</v>
      </c>
      <c r="BK111" s="363">
        <f>BP111-$BP$4</f>
        <v>46052</v>
      </c>
      <c r="BL111" s="345">
        <f>IF(_xlfn.XLOOKUP($E111,'[1]Import Eletra'!$B:$B,'[1]Import Eletra'!$AY:$AY,,0,1)=0,"",_xlfn.XLOOKUP($E111,'[1]Import Eletra'!$B:$B,'[1]Import Eletra'!$AY:$AY,,0,1))</f>
        <v>46042</v>
      </c>
      <c r="BM111" s="309">
        <f>$BK$4</f>
        <v>0</v>
      </c>
      <c r="BN111" s="309">
        <f ca="1">IF(BL111="",TODAY()-BK111,BL111-BK111)</f>
        <v>-10</v>
      </c>
      <c r="BO111" s="310">
        <f ca="1">BN111-BM111</f>
        <v>-10</v>
      </c>
      <c r="BP111" s="336">
        <f>BU111-$BU$4</f>
        <v>46052</v>
      </c>
      <c r="BQ111" s="345">
        <f>IF(_xlfn.XLOOKUP($E111,'[1]Import Eletra'!$B:$B,'[1]Import Eletra'!$AZ:$AZ,,0,1)=0,"",_xlfn.XLOOKUP($E111,'[1]Import Eletra'!$B:$B,'[1]Import Eletra'!$AZ:$AZ,,0,1))</f>
        <v>46042</v>
      </c>
      <c r="BR111" s="309">
        <f>$BP$4</f>
        <v>0</v>
      </c>
      <c r="BS111" s="309">
        <f ca="1">IF(BQ111="",TODAY()-BP111,BQ111-BP111)</f>
        <v>-10</v>
      </c>
      <c r="BT111" s="310">
        <f ca="1">BS111-BR111</f>
        <v>-10</v>
      </c>
      <c r="BU111" s="363">
        <f>BZ111-$BZ$4</f>
        <v>46054</v>
      </c>
      <c r="BV111" s="345">
        <f>IF(_xlfn.XLOOKUP($E111,'[1]Import Eletra'!$B:$B,'[1]Import Eletra'!$BA:$BA,,0,1)=0,"",_xlfn.XLOOKUP($E111,'[1]Import Eletra'!$B:$B,'[1]Import Eletra'!$BA:$BA,,0,1))</f>
        <v>46043</v>
      </c>
      <c r="BW111" s="309">
        <f>$BU$4</f>
        <v>2</v>
      </c>
      <c r="BX111" s="309">
        <f ca="1">IF(BV111="",TODAY()-BU111,BV111-BU111)</f>
        <v>-11</v>
      </c>
      <c r="BY111" s="310" t="str">
        <f ca="1">IF(AND(ISNUMBER($BX111),$BX111&gt;0),$BX111-$BW111,"")</f>
        <v/>
      </c>
      <c r="BZ111" s="336">
        <f>CE111-$CE$4</f>
        <v>46054</v>
      </c>
      <c r="CA111" s="345">
        <f>IF(_xlfn.XLOOKUP($E111,'[1]Import Eletra'!$B:$B,'[1]Import Eletra'!$BB:$BB,,0,1)=0,"",_xlfn.XLOOKUP($E111,'[1]Import Eletra'!$B:$B,'[1]Import Eletra'!$BB:$BB,,0,1))</f>
        <v>46043</v>
      </c>
      <c r="CB111" s="309">
        <f>$BZ$4</f>
        <v>0</v>
      </c>
      <c r="CC111" s="309">
        <f ca="1">IF(CA111="",TODAY()-BZ111,CA111-BZ111)</f>
        <v>-11</v>
      </c>
      <c r="CD111" s="310">
        <f ca="1">CC111-CB111</f>
        <v>-11</v>
      </c>
      <c r="CE111" s="363">
        <f>CJ111-$CJ$4</f>
        <v>46054</v>
      </c>
      <c r="CF111" s="345">
        <f>IF(_xlfn.XLOOKUP($E111,'[1]Import Eletra'!$B:$B,'[1]Import Eletra'!$BC:$BC,,0,1)=0,"",_xlfn.XLOOKUP($E111,'[1]Import Eletra'!$B:$B,'[1]Import Eletra'!$BC:$BC,,0,1))</f>
        <v>46045</v>
      </c>
      <c r="CG111" s="309">
        <f>$CE$4</f>
        <v>0</v>
      </c>
      <c r="CH111" s="309">
        <f ca="1">IF(CF111="",TODAY()-CE111,CF111-CE111)</f>
        <v>-9</v>
      </c>
      <c r="CI111" s="310">
        <f ca="1">CH111-CG111</f>
        <v>-9</v>
      </c>
      <c r="CJ111" s="336">
        <f>CO111-$CO$4</f>
        <v>46054</v>
      </c>
      <c r="CK111" s="345">
        <f>IF(_xlfn.XLOOKUP($E111,'[1]Import Eletra'!$B:$B,'[1]Import Eletra'!$BD:$BD,,0,1)=0,"",_xlfn.XLOOKUP($E111,'[1]Import Eletra'!$B:$B,'[1]Import Eletra'!$BD:$BD,,0,1))</f>
        <v>46043</v>
      </c>
      <c r="CL111" s="309"/>
      <c r="CM111" s="309">
        <f ca="1">IF(CK111="",TODAY()-CJ111,CK111-CJ111)</f>
        <v>-11</v>
      </c>
      <c r="CN111" s="310">
        <f ca="1">CM111-CL111</f>
        <v>-11</v>
      </c>
      <c r="CO111" s="363">
        <f>CT111-$CT$4</f>
        <v>46054</v>
      </c>
      <c r="CP111" s="345">
        <f>IF(_xlfn.XLOOKUP($E111,'[1]Import Eletra'!$B:$B,'[1]Import Eletra'!$BE:$BE,,0,1)=0,"",_xlfn.XLOOKUP($E111,'[1]Import Eletra'!$B:$B,'[1]Import Eletra'!$BE:$BE,,0,1))</f>
        <v>46045</v>
      </c>
      <c r="CQ111" s="309">
        <f>$CO$4</f>
        <v>0</v>
      </c>
      <c r="CR111" s="309">
        <f ca="1">IF(CP111="",TODAY()-CO111,CP111-CO111)</f>
        <v>-9</v>
      </c>
      <c r="CS111" s="310">
        <f ca="1">CR111-CQ111</f>
        <v>-9</v>
      </c>
      <c r="CT111" s="336">
        <f>CY111-$CY$4</f>
        <v>46054</v>
      </c>
      <c r="CU111" s="345">
        <f>IF(_xlfn.XLOOKUP($E111,'[1]Import Eletra'!$B:$B,'[1]Import Eletra'!$BF:$BF,,0,1)=0,"",_xlfn.XLOOKUP($E111,'[1]Import Eletra'!$B:$B,'[1]Import Eletra'!$BF:$BF,,0,1))</f>
        <v>46045</v>
      </c>
      <c r="CV111" s="309">
        <f>$CT$4</f>
        <v>0</v>
      </c>
      <c r="CW111" s="309">
        <f ca="1">IF(CU111="",TODAY()-CT111,CU111-CT111)</f>
        <v>-9</v>
      </c>
      <c r="CX111" s="310">
        <f ca="1">CW111-CV111</f>
        <v>-9</v>
      </c>
      <c r="CY111" s="85">
        <f>DD111-$DD$4</f>
        <v>46054</v>
      </c>
      <c r="CZ111" s="271">
        <f>IF(_xlfn.XLOOKUP($E111,'[1]Import Eletra'!$B:$B,'[1]Import Eletra'!$BF:$BF,,0,1)=0,"",_xlfn.XLOOKUP($E111,'[1]Import Eletra'!$B:$B,'[1]Import Eletra'!$BF:$BF,,0,1))</f>
        <v>46045</v>
      </c>
      <c r="DA111" s="311">
        <f>$CY$4</f>
        <v>0</v>
      </c>
      <c r="DB111" s="309">
        <f ca="1">IF(CZ111="",TODAY()-CY111,CZ111-CY111)</f>
        <v>-9</v>
      </c>
      <c r="DC111" s="310">
        <f ca="1">DB111-DA111</f>
        <v>-9</v>
      </c>
      <c r="DD111" s="85">
        <f>DI111-$DI$4</f>
        <v>46056</v>
      </c>
      <c r="DE111" s="271">
        <f>IF(_xlfn.XLOOKUP($E111,'[1]Import Eletra'!$B:$B,'[1]Import Eletra'!$BG:$BG,,0,1)=0,"",_xlfn.XLOOKUP($E111,'[1]Import Eletra'!$B:$B,'[1]Import Eletra'!$BG:$BG,0,1))</f>
        <v>46049</v>
      </c>
      <c r="DF111" s="309">
        <f>$DD$4</f>
        <v>2</v>
      </c>
      <c r="DG111" s="309">
        <f ca="1">IF(DE111="",TODAY()-DD111,DE111-DD111)</f>
        <v>-7</v>
      </c>
      <c r="DH111" s="310">
        <f ca="1">DG111-DF111</f>
        <v>-9</v>
      </c>
      <c r="DI111" s="85">
        <f>DO111-$DN$4</f>
        <v>46057</v>
      </c>
      <c r="DJ111" s="271">
        <f>IF(_xlfn.XLOOKUP($E111,'[1]Import Eletra'!$B:$B,'[1]Import Eletra'!$BH:$BH,,0,1)=0,"",_xlfn.XLOOKUP($E111,'[1]Import Eletra'!$B:$B,'[1]Import Eletra'!$BH:$BH,0,1))</f>
        <v>46049</v>
      </c>
      <c r="DK111" s="309">
        <f>$DI$4</f>
        <v>1</v>
      </c>
      <c r="DL111" s="309">
        <f ca="1">IF(DJ111="",TODAY()-DI111,DJ111-DI111)</f>
        <v>-8</v>
      </c>
      <c r="DM111" s="310">
        <f ca="1">DL111-DK111</f>
        <v>-9</v>
      </c>
      <c r="DN111" s="312"/>
      <c r="DO111" s="313">
        <f>IF(V111="",N111+DT111,V111+DT111)</f>
        <v>46058</v>
      </c>
      <c r="DP111" s="59">
        <f>IF(_xlfn.XLOOKUP($E111,'[1]Import Eletra'!$B:$B,'[1]Import Eletra'!$O:$O,,0,1)=0,"",_xlfn.XLOOKUP($E111,'[1]Import Eletra'!$B:$B,'[1]Import Eletra'!$O:$O,0,1))</f>
        <v>46049</v>
      </c>
      <c r="DQ111" s="309">
        <f>$DN$4</f>
        <v>1</v>
      </c>
      <c r="DR111" s="309">
        <f ca="1">IF(DP111="",TODAY()-DO111,DP111-DO111)</f>
        <v>-9</v>
      </c>
      <c r="DS111" s="310">
        <f ca="1">DR111-DQ111</f>
        <v>-10</v>
      </c>
      <c r="DT111" s="314">
        <v>17</v>
      </c>
      <c r="DU111" s="140">
        <f ca="1">IF(DP111="",TODAY()-N111,DP111-N111)</f>
        <v>13</v>
      </c>
      <c r="DV111" s="184">
        <f ca="1">DU111-DT111</f>
        <v>-4</v>
      </c>
      <c r="DX111" s="316"/>
      <c r="DY111" s="108" t="str">
        <f>IF(_xlfn.XLOOKUP($E111,'[1]Import Eletra'!$B:$B,'[1]Import Eletra'!$DW:$DW,,0,1)=0,"",_xlfn.XLOOKUP($E111,'[1]Import Eletra'!$B:$B,'[1]Import Eletra'!$DW:$DW,0,1))</f>
        <v/>
      </c>
      <c r="EB111" s="317"/>
      <c r="ED111" s="406" t="str">
        <f>IF(_xlfn.XLOOKUP($E111,'[1]Import Eletra'!$B:$B,'[1]Import Eletra'!$BQ:$BQ,,0,1)=0,"",_xlfn.XLOOKUP($E111,'[1]Import Eletra'!$B:$B,'[1]Import Eletra'!$BQ:$BQ,0,1))</f>
        <v/>
      </c>
      <c r="EE111" s="407" t="str">
        <f>IF(_xlfn.XLOOKUP($E111,'[1]Import Eletra'!$B:$B,'[1]Import Eletra'!$BR:$BR,,0,1)=0,"",_xlfn.XLOOKUP($E111,'[1]Import Eletra'!$B:$B,'[1]Import Eletra'!$BR:$BR,0,1))</f>
        <v/>
      </c>
      <c r="EF111" s="406" t="str">
        <f>IF(_xlfn.XLOOKUP($E111,'[1]Import Eletra'!$B:$B,'[1]Import Eletra'!$BS:$BS,,0,1)=0,"",_xlfn.XLOOKUP($E111,'[1]Import Eletra'!$B:$B,'[1]Import Eletra'!$BS:$BS,0,1))</f>
        <v/>
      </c>
      <c r="EG111" s="407" t="str">
        <f>IF(_xlfn.XLOOKUP($E111,'[1]Import Eletra'!$B:$B,'[1]Import Eletra'!$BT:$BT,,0,1)=0,"",_xlfn.XLOOKUP($E111,'[1]Import Eletra'!$B:$B,'[1]Import Eletra'!$BT:$BT,0,1))</f>
        <v/>
      </c>
      <c r="EH111" s="406" t="str">
        <f>IF(_xlfn.XLOOKUP($E111,'[1]Import Eletra'!$B:$B,'[1]Import Eletra'!$BU:$BU,,0,1)=0,"",_xlfn.XLOOKUP($E111,'[1]Import Eletra'!$B:$B,'[1]Import Eletra'!$BU:$BU,0,1))</f>
        <v/>
      </c>
      <c r="EI111" s="407" t="str">
        <f>IF(_xlfn.XLOOKUP($E111,'[1]Import Eletra'!$B:$B,'[1]Import Eletra'!$BV:$BV,,0,1)=0,"",_xlfn.XLOOKUP($E111,'[1]Import Eletra'!$B:$B,'[1]Import Eletra'!$BV:$BV,0,1))</f>
        <v/>
      </c>
      <c r="EJ111" s="407" t="str">
        <f>IF(_xlfn.XLOOKUP($E111,'[1]Import Eletra'!$B:$B,'[1]Import Eletra'!$CI:$CI,,0,1)=0,"",_xlfn.XLOOKUP($E111,'[1]Import Eletra'!$B:$B,'[1]Import Eletra'!$CI:$CI,0,1))</f>
        <v/>
      </c>
      <c r="EK111" s="407" t="str">
        <f>IF(_xlfn.XLOOKUP($E111,'[1]Import Eletra'!$B:$B,'[1]Import Eletra'!$CD:$CD,,0,1)=0,"",_xlfn.XLOOKUP($E111,'[1]Import Eletra'!$B:$B,'[1]Import Eletra'!$CD:$CD,0,1))</f>
        <v/>
      </c>
      <c r="EL111" s="407" t="str">
        <f>IF(_xlfn.XLOOKUP($E111,'[1]Import Eletra'!$B:$B,'[1]Import Eletra'!$CE:$CE,,0,1)=0,"",_xlfn.XLOOKUP($E111,'[1]Import Eletra'!$B:$B,'[1]Import Eletra'!$CE:$CE,0,1))</f>
        <v>NÃO</v>
      </c>
      <c r="EM111" s="408" t="str">
        <f>IF(_xlfn.XLOOKUP($E111,'[1]Import Eletra'!$B:$B,'[1]Import Eletra'!$E:$E,,0,1)=0,"",_xlfn.XLOOKUP($E111,'[1]Import Eletra'!$B:$B,'[1]Import Eletra'!$E:$E,0,1))</f>
        <v>LEISIANE</v>
      </c>
      <c r="EN111" s="408" t="str">
        <f>IF(_xlfn.XLOOKUP($E111,'[1]Import Eletra'!$B:$B,'[1]Import Eletra'!$E:$E,,0,1)=0,"",_xlfn.XLOOKUP($E111,'[1]Import Eletra'!$B:$B,'[1]Import Eletra'!$E:$E,0,1))</f>
        <v>LEISIANE</v>
      </c>
      <c r="EO111" s="408" t="str">
        <f>IF(_xlfn.XLOOKUP($E111,'[1]Import Eletra'!$B:$B,'[1]Import Eletra'!$E:$E,,0,1)=0,"",_xlfn.XLOOKUP($E111,'[1]Import Eletra'!$B:$B,'[1]Import Eletra'!$E:$E,0,1))</f>
        <v>LEISIANE</v>
      </c>
      <c r="EP111" s="408" t="str">
        <f>IF(_xlfn.XLOOKUP($E111,'[1]Import Eletra'!$B:$B,'[1]Import Eletra'!$E:$E,,0,1)=0,"",_xlfn.XLOOKUP($E111,'[1]Import Eletra'!$B:$B,'[1]Import Eletra'!$E:$E,0,1))</f>
        <v>LEISIANE</v>
      </c>
    </row>
    <row r="112" spans="1:146" s="315" customFormat="1" ht="30" hidden="1" customHeight="1" outlineLevel="1">
      <c r="A112" s="305"/>
      <c r="B112" s="306"/>
      <c r="C112" s="306"/>
      <c r="D112" s="306"/>
      <c r="E112" s="318" t="s">
        <v>408</v>
      </c>
      <c r="F112" s="307">
        <f>IF(_xlfn.XLOOKUP($E112,'[1]Import Eletra'!$B:$B,'[1]Import Eletra'!$U:$U,,0,1)=0,"",_xlfn.XLOOKUP($E112,'[1]Import Eletra'!$B:$B,'[1]Import Eletra'!$U:$U,,0,1))</f>
        <v>1</v>
      </c>
      <c r="G112" s="320" t="s">
        <v>244</v>
      </c>
      <c r="H112" s="59" t="str">
        <f>_xlfn.XLOOKUP($E112,'[1]Import Eletra'!$B:$B,'[1]Import Eletra'!$F:$F,,0,1)</f>
        <v>DELIVERED</v>
      </c>
      <c r="I112" s="4" t="str">
        <f>_xlfn.XLOOKUP($E112,'[1]Import Eletra'!$B:$B,'[1]Import Eletra'!$G:$G,,0,1)</f>
        <v>SEA</v>
      </c>
      <c r="J112" s="331"/>
      <c r="K112" s="308"/>
      <c r="L112" s="308"/>
      <c r="M112" s="331">
        <f>IF(_xlfn.XLOOKUP($E112,'[1]Import Eletra'!$B:$B,'[1]Import Eletra'!$J:$J,,0,1)=0,"",_xlfn.XLOOKUP($E112,'[1]Import Eletra'!$B:$B,'[1]Import Eletra'!$J:$J,,0,1))</f>
        <v>45985</v>
      </c>
      <c r="N112" s="334">
        <f>IF(_xlfn.XLOOKUP($E112,'[1]Import Eletra'!$B:$B,'[1]Import Eletra'!$L:$L,,0,1)=0,"",_xlfn.XLOOKUP($E112,'[1]Import Eletra'!$B:$B,'[1]Import Eletra'!$L:$L,,0,1))</f>
        <v>46040</v>
      </c>
      <c r="O112" s="336">
        <f>IF(_xlfn.XLOOKUP($E112,'[1]Import Eletra'!$B:$B,'[1]Import Eletra'!$AK:$AK,,0,1)=0,"",_xlfn.XLOOKUP($E112,'[1]Import Eletra'!$B:$B,'[1]Import Eletra'!$AK:$AK,,0,1))</f>
        <v>46009</v>
      </c>
      <c r="P112" s="331">
        <f>IF(_xlfn.XLOOKUP($E112,'[1]Import Eletra'!$B:$B,'[1]Import Eletra'!$AL:$AL,,0,1)=0,"",_xlfn.XLOOKUP($E112,'[1]Import Eletra'!$B:$B,'[1]Import Eletra'!$AL:$AL,,0,1))</f>
        <v>46009</v>
      </c>
      <c r="Q112" s="331">
        <f>IF(_xlfn.XLOOKUP($E112,'[1]Import Eletra'!$B:$B,'[1]Import Eletra'!$AM:$AM,,0,1)=0,"",_xlfn.XLOOKUP($E112,'[1]Import Eletra'!$B:$B,'[1]Import Eletra'!$AM:$AM,,0,1))</f>
        <v>46024</v>
      </c>
      <c r="R112" s="331">
        <f>IF(_xlfn.XLOOKUP($E112,'[1]Import Eletra'!$B:$B,'[1]Import Eletra'!$AN:$AN,,0,1)=0,"",_xlfn.XLOOKUP($E112,'[1]Import Eletra'!$B:$B,'[1]Import Eletra'!$AN:$AN,,0,1))</f>
        <v>46037</v>
      </c>
      <c r="S112" s="331">
        <f>IF(_xlfn.XLOOKUP($E112,'[1]Import Eletra'!$B:$B,'[1]Import Eletra'!$AO:$AO,,0,1)=0,"",_xlfn.XLOOKUP($E112,'[1]Import Eletra'!$B:$B,'[1]Import Eletra'!$AO:$AO,,0,1))</f>
        <v>46041</v>
      </c>
      <c r="T112" s="331">
        <f>IF(_xlfn.XLOOKUP($E112,'[1]Import Eletra'!$B:$B,'[1]Import Eletra'!$AP:$AP,,0,1)=0,"",_xlfn.XLOOKUP($E112,'[1]Import Eletra'!$B:$B,'[1]Import Eletra'!$AP:$AP,,0,1))</f>
        <v>46042</v>
      </c>
      <c r="U112" s="338">
        <f>IF(_xlfn.XLOOKUP($E112,'[1]Import Eletra'!$B:$B,'[1]Import Eletra'!$AQ:$AQ,,0,1)=0,"",_xlfn.XLOOKUP($E112,'[1]Import Eletra'!$B:$B,'[1]Import Eletra'!$AQ:$AQ,,0,1))</f>
        <v>46042</v>
      </c>
      <c r="V112" s="343">
        <f>IF(_xlfn.XLOOKUP($E112,'[1]Import Eletra'!$B:$B,'[1]Import Eletra'!$AQ:$AQ,,0,1)=0,"",_xlfn.XLOOKUP($E112,'[1]Import Eletra'!$B:$B,'[1]Import Eletra'!$AQ:$AQ,,0,1))</f>
        <v>46042</v>
      </c>
      <c r="W112" s="336">
        <f>AB112-$AB$4</f>
        <v>46052</v>
      </c>
      <c r="X112" s="345">
        <f>IF(_xlfn.XLOOKUP($E112,'[1]Import Eletra'!$B:$B,'[1]Import Eletra'!$AR:$AR,,0,1)=0,"",_xlfn.XLOOKUP($E112,'[1]Import Eletra'!$B:$B,'[1]Import Eletra'!$AR:$AR,,0,1))</f>
        <v>46041</v>
      </c>
      <c r="Y112" s="309">
        <f>$W$4</f>
        <v>0</v>
      </c>
      <c r="Z112" s="309">
        <f ca="1">IF(X112="",TODAY()-W112,X112-W112)</f>
        <v>-11</v>
      </c>
      <c r="AA112" s="310" t="str">
        <f ca="1">IF(AND(ISNUMBER($Z112),$Z112&gt;0),$Z112-$Y112,"")</f>
        <v/>
      </c>
      <c r="AB112" s="350">
        <f>AG112-$AB$4</f>
        <v>46052</v>
      </c>
      <c r="AC112" s="345">
        <f>IF(_xlfn.XLOOKUP($E112,'[1]Import Eletra'!$B:$B,'[1]Import Eletra'!$AD:$AD,,0,1)=0,"",_xlfn.XLOOKUP($E112,'[1]Import Eletra'!$B:$B,'[1]Import Eletra'!$AD:$AD,,0,1))</f>
        <v>46049</v>
      </c>
      <c r="AD112" s="309">
        <f>$AB$4</f>
        <v>0</v>
      </c>
      <c r="AE112" s="309">
        <f ca="1">IF(AC112="",TODAY()-AB112,AC112-AB112)</f>
        <v>-3</v>
      </c>
      <c r="AF112" s="310">
        <f ca="1">AE112-AD112</f>
        <v>-3</v>
      </c>
      <c r="AG112" s="356">
        <f>AL112-$AL$4</f>
        <v>46052</v>
      </c>
      <c r="AH112" s="345">
        <f>IF(_xlfn.XLOOKUP($E112,'[1]Import Eletra'!$B:$B,'[1]Import Eletra'!$AE:$AE,,0,1)=0,"",_xlfn.XLOOKUP($E112,'[1]Import Eletra'!$B:$B,'[1]Import Eletra'!$AE:$AE,,0,1))</f>
        <v>46050</v>
      </c>
      <c r="AI112" s="309">
        <f>$AG$4</f>
        <v>0</v>
      </c>
      <c r="AJ112" s="309">
        <f ca="1">IF(AH112="",TODAY()-AG112,AH112-AG112)</f>
        <v>-2</v>
      </c>
      <c r="AK112" s="310" t="str">
        <f ca="1">IF(AND(ISNUMBER($AJ112),$AJ112&gt;0),$AJ112-$AI112,"")</f>
        <v/>
      </c>
      <c r="AL112" s="356">
        <f>AQ112-$AQ$4</f>
        <v>46052</v>
      </c>
      <c r="AM112" s="345">
        <f>IF(_xlfn.XLOOKUP($E112,'[1]Import Eletra'!$B:$B,'[1]Import Eletra'!$AT:$AT,,0,1)=0,"",_xlfn.XLOOKUP($E112,'[1]Import Eletra'!$B:$B,'[1]Import Eletra'!$AT:$AT,,0,1))</f>
        <v>46049</v>
      </c>
      <c r="AN112" s="309">
        <f>$AL$4</f>
        <v>0</v>
      </c>
      <c r="AO112" s="309">
        <f ca="1">IF(AM112="",TODAY()-AL112,AM112-AL112)</f>
        <v>-3</v>
      </c>
      <c r="AP112" s="310" t="str">
        <f ca="1">IF(AND(ISNUMBER($AO112),$AO112&gt;0),$AO112-$AN112,"")</f>
        <v/>
      </c>
      <c r="AQ112" s="359">
        <f>AV112-$AV$4</f>
        <v>46053</v>
      </c>
      <c r="AR112" s="345">
        <f>IF(_xlfn.XLOOKUP($E112,'[1]Import Eletra'!$B:$B,'[1]Import Eletra'!$AU:$AU,,0,1)=0,"",_xlfn.XLOOKUP($E112,'[1]Import Eletra'!$B:$B,'[1]Import Eletra'!$AU:$AU,,0,1))</f>
        <v>46049</v>
      </c>
      <c r="AS112" s="309">
        <f>$AQ$4</f>
        <v>1</v>
      </c>
      <c r="AT112" s="309">
        <f ca="1">IF(AR112="",TODAY()-AQ112,AR112-AQ112)</f>
        <v>-4</v>
      </c>
      <c r="AU112" s="310" t="str">
        <f ca="1">IF(AND(ISNUMBER($AT112),$AT112&gt;0),$AT112-$AS112,"")</f>
        <v/>
      </c>
      <c r="AV112" s="356">
        <f>BA112-$BA$4</f>
        <v>46053</v>
      </c>
      <c r="AW112" s="345">
        <f>IF(_xlfn.XLOOKUP($E112,'[1]Import Eletra'!$B:$B,'[1]Import Eletra'!$AU:$AU,,0,1)=0,"",_xlfn.XLOOKUP($E112,'[1]Import Eletra'!$B:$B,'[1]Import Eletra'!$AU:$AU,,0,1))</f>
        <v>46049</v>
      </c>
      <c r="AX112" s="309">
        <f>$AV$4</f>
        <v>0</v>
      </c>
      <c r="AY112" s="309">
        <f ca="1">IF(AW112="",TODAY()-AV112,AW112-AV112)</f>
        <v>-4</v>
      </c>
      <c r="AZ112" s="310" t="str">
        <f ca="1">IF(AND(ISNUMBER($AY112),$AY112&gt;0),$AY112-$AX112,"")</f>
        <v/>
      </c>
      <c r="BA112" s="359">
        <f>BF112-$BF$4</f>
        <v>46053</v>
      </c>
      <c r="BB112" s="345" t="str">
        <f>IF(_xlfn.XLOOKUP($E112,'[1]Import Eletra'!$B:$B,'[1]Import Eletra'!$AW:$AW,,0,1)=0,"",_xlfn.XLOOKUP($E112,'[1]Import Eletra'!$B:$B,'[1]Import Eletra'!$AW:$AW,,0,1))</f>
        <v/>
      </c>
      <c r="BC112" s="309">
        <f>$BA$4</f>
        <v>0</v>
      </c>
      <c r="BD112" s="309">
        <f ca="1">IF(BB112="",TODAY()-BA112,BB112-BA112)</f>
        <v>158</v>
      </c>
      <c r="BE112" s="310">
        <f ca="1">BD112-BC112</f>
        <v>158</v>
      </c>
      <c r="BF112" s="336">
        <f>BK112-$BK$4</f>
        <v>46053</v>
      </c>
      <c r="BG112" s="345" t="str">
        <f>IF(_xlfn.XLOOKUP($E112,'[1]Import Eletra'!$B:$B,'[1]Import Eletra'!$AX:$AX,,0,1)=0,"",_xlfn.XLOOKUP($E112,'[1]Import Eletra'!$B:$B,'[1]Import Eletra'!$AX:$AX,,0,1))</f>
        <v/>
      </c>
      <c r="BH112" s="309">
        <f>$BF$4</f>
        <v>0</v>
      </c>
      <c r="BI112" s="309">
        <f ca="1">IF(BG112="",TODAY()-BF112,BG112-BF112)</f>
        <v>158</v>
      </c>
      <c r="BJ112" s="310">
        <f ca="1">IF(AND(ISNUMBER($BI112),$BI112&gt;0),$BI112-$BH112,"")</f>
        <v>158</v>
      </c>
      <c r="BK112" s="363">
        <f>BP112-$BP$4</f>
        <v>46053</v>
      </c>
      <c r="BL112" s="345">
        <f>IF(_xlfn.XLOOKUP($E112,'[1]Import Eletra'!$B:$B,'[1]Import Eletra'!$AY:$AY,,0,1)=0,"",_xlfn.XLOOKUP($E112,'[1]Import Eletra'!$B:$B,'[1]Import Eletra'!$AY:$AY,,0,1))</f>
        <v>46049</v>
      </c>
      <c r="BM112" s="309">
        <f>$BK$4</f>
        <v>0</v>
      </c>
      <c r="BN112" s="309">
        <f ca="1">IF(BL112="",TODAY()-BK112,BL112-BK112)</f>
        <v>-4</v>
      </c>
      <c r="BO112" s="310">
        <f ca="1">BN112-BM112</f>
        <v>-4</v>
      </c>
      <c r="BP112" s="336">
        <f>BU112-$BU$4</f>
        <v>46053</v>
      </c>
      <c r="BQ112" s="345">
        <f>IF(_xlfn.XLOOKUP($E112,'[1]Import Eletra'!$B:$B,'[1]Import Eletra'!$AZ:$AZ,,0,1)=0,"",_xlfn.XLOOKUP($E112,'[1]Import Eletra'!$B:$B,'[1]Import Eletra'!$AZ:$AZ,,0,1))</f>
        <v>46049</v>
      </c>
      <c r="BR112" s="309">
        <f>$BP$4</f>
        <v>0</v>
      </c>
      <c r="BS112" s="309">
        <f ca="1">IF(BQ112="",TODAY()-BP112,BQ112-BP112)</f>
        <v>-4</v>
      </c>
      <c r="BT112" s="310">
        <f ca="1">BS112-BR112</f>
        <v>-4</v>
      </c>
      <c r="BU112" s="363">
        <f>BZ112-$BZ$4</f>
        <v>46055</v>
      </c>
      <c r="BV112" s="345">
        <f>IF(_xlfn.XLOOKUP($E112,'[1]Import Eletra'!$B:$B,'[1]Import Eletra'!$BA:$BA,,0,1)=0,"",_xlfn.XLOOKUP($E112,'[1]Import Eletra'!$B:$B,'[1]Import Eletra'!$BA:$BA,,0,1))</f>
        <v>46050</v>
      </c>
      <c r="BW112" s="309">
        <f>$BU$4</f>
        <v>2</v>
      </c>
      <c r="BX112" s="309">
        <f ca="1">IF(BV112="",TODAY()-BU112,BV112-BU112)</f>
        <v>-5</v>
      </c>
      <c r="BY112" s="310" t="str">
        <f ca="1">IF(AND(ISNUMBER($BX112),$BX112&gt;0),$BX112-$BW112,"")</f>
        <v/>
      </c>
      <c r="BZ112" s="336">
        <f>CE112-$CE$4</f>
        <v>46055</v>
      </c>
      <c r="CA112" s="345">
        <f>IF(_xlfn.XLOOKUP($E112,'[1]Import Eletra'!$B:$B,'[1]Import Eletra'!$BB:$BB,,0,1)=0,"",_xlfn.XLOOKUP($E112,'[1]Import Eletra'!$B:$B,'[1]Import Eletra'!$BB:$BB,,0,1))</f>
        <v>46050</v>
      </c>
      <c r="CB112" s="309">
        <f>$BZ$4</f>
        <v>0</v>
      </c>
      <c r="CC112" s="309">
        <f ca="1">IF(CA112="",TODAY()-BZ112,CA112-BZ112)</f>
        <v>-5</v>
      </c>
      <c r="CD112" s="310">
        <f ca="1">CC112-CB112</f>
        <v>-5</v>
      </c>
      <c r="CE112" s="363">
        <f>CJ112-$CJ$4</f>
        <v>46055</v>
      </c>
      <c r="CF112" s="345">
        <f>IF(_xlfn.XLOOKUP($E112,'[1]Import Eletra'!$B:$B,'[1]Import Eletra'!$BC:$BC,,0,1)=0,"",_xlfn.XLOOKUP($E112,'[1]Import Eletra'!$B:$B,'[1]Import Eletra'!$BC:$BC,,0,1))</f>
        <v>46050</v>
      </c>
      <c r="CG112" s="309">
        <f>$CE$4</f>
        <v>0</v>
      </c>
      <c r="CH112" s="309">
        <f ca="1">IF(CF112="",TODAY()-CE112,CF112-CE112)</f>
        <v>-5</v>
      </c>
      <c r="CI112" s="310">
        <f ca="1">CH112-CG112</f>
        <v>-5</v>
      </c>
      <c r="CJ112" s="336">
        <f>CO112-$CO$4</f>
        <v>46055</v>
      </c>
      <c r="CK112" s="345">
        <f>IF(_xlfn.XLOOKUP($E112,'[1]Import Eletra'!$B:$B,'[1]Import Eletra'!$BD:$BD,,0,1)=0,"",_xlfn.XLOOKUP($E112,'[1]Import Eletra'!$B:$B,'[1]Import Eletra'!$BD:$BD,,0,1))</f>
        <v>46050</v>
      </c>
      <c r="CL112" s="309"/>
      <c r="CM112" s="309">
        <f ca="1">IF(CK112="",TODAY()-CJ112,CK112-CJ112)</f>
        <v>-5</v>
      </c>
      <c r="CN112" s="310">
        <f ca="1">CM112-CL112</f>
        <v>-5</v>
      </c>
      <c r="CO112" s="363">
        <f>CT112-$CT$4</f>
        <v>46055</v>
      </c>
      <c r="CP112" s="345">
        <f>IF(_xlfn.XLOOKUP($E112,'[1]Import Eletra'!$B:$B,'[1]Import Eletra'!$BE:$BE,,0,1)=0,"",_xlfn.XLOOKUP($E112,'[1]Import Eletra'!$B:$B,'[1]Import Eletra'!$BE:$BE,,0,1))</f>
        <v>46050</v>
      </c>
      <c r="CQ112" s="309">
        <f>$CO$4</f>
        <v>0</v>
      </c>
      <c r="CR112" s="309">
        <f ca="1">IF(CP112="",TODAY()-CO112,CP112-CO112)</f>
        <v>-5</v>
      </c>
      <c r="CS112" s="310">
        <f ca="1">CR112-CQ112</f>
        <v>-5</v>
      </c>
      <c r="CT112" s="336">
        <f>CY112-$CY$4</f>
        <v>46055</v>
      </c>
      <c r="CU112" s="345">
        <f>IF(_xlfn.XLOOKUP($E112,'[1]Import Eletra'!$B:$B,'[1]Import Eletra'!$BF:$BF,,0,1)=0,"",_xlfn.XLOOKUP($E112,'[1]Import Eletra'!$B:$B,'[1]Import Eletra'!$BF:$BF,,0,1))</f>
        <v>46050</v>
      </c>
      <c r="CV112" s="309">
        <f>$CT$4</f>
        <v>0</v>
      </c>
      <c r="CW112" s="309">
        <f ca="1">IF(CU112="",TODAY()-CT112,CU112-CT112)</f>
        <v>-5</v>
      </c>
      <c r="CX112" s="310">
        <f ca="1">CW112-CV112</f>
        <v>-5</v>
      </c>
      <c r="CY112" s="85">
        <f>DD112-$DD$4</f>
        <v>46055</v>
      </c>
      <c r="CZ112" s="271">
        <f>IF(_xlfn.XLOOKUP($E112,'[1]Import Eletra'!$B:$B,'[1]Import Eletra'!$BF:$BF,,0,1)=0,"",_xlfn.XLOOKUP($E112,'[1]Import Eletra'!$B:$B,'[1]Import Eletra'!$BF:$BF,,0,1))</f>
        <v>46050</v>
      </c>
      <c r="DA112" s="311">
        <f>$CY$4</f>
        <v>0</v>
      </c>
      <c r="DB112" s="309">
        <f ca="1">IF(CZ112="",TODAY()-CY112,CZ112-CY112)</f>
        <v>-5</v>
      </c>
      <c r="DC112" s="310">
        <f ca="1">DB112-DA112</f>
        <v>-5</v>
      </c>
      <c r="DD112" s="85">
        <f>DI112-$DI$4</f>
        <v>46057</v>
      </c>
      <c r="DE112" s="271">
        <f>IF(_xlfn.XLOOKUP($E112,'[1]Import Eletra'!$B:$B,'[1]Import Eletra'!$BG:$BG,,0,1)=0,"",_xlfn.XLOOKUP($E112,'[1]Import Eletra'!$B:$B,'[1]Import Eletra'!$BG:$BG,0,1))</f>
        <v>46052</v>
      </c>
      <c r="DF112" s="309">
        <f>$DD$4</f>
        <v>2</v>
      </c>
      <c r="DG112" s="309">
        <f ca="1">IF(DE112="",TODAY()-DD112,DE112-DD112)</f>
        <v>-5</v>
      </c>
      <c r="DH112" s="310">
        <f ca="1">DG112-DF112</f>
        <v>-7</v>
      </c>
      <c r="DI112" s="85">
        <f>DO112-$DN$4</f>
        <v>46058</v>
      </c>
      <c r="DJ112" s="271">
        <f>IF(_xlfn.XLOOKUP($E112,'[1]Import Eletra'!$B:$B,'[1]Import Eletra'!$BH:$BH,,0,1)=0,"",_xlfn.XLOOKUP($E112,'[1]Import Eletra'!$B:$B,'[1]Import Eletra'!$BH:$BH,0,1))</f>
        <v>46053</v>
      </c>
      <c r="DK112" s="309">
        <f>$DI$4</f>
        <v>1</v>
      </c>
      <c r="DL112" s="309">
        <f ca="1">IF(DJ112="",TODAY()-DI112,DJ112-DI112)</f>
        <v>-5</v>
      </c>
      <c r="DM112" s="310">
        <f ca="1">DL112-DK112</f>
        <v>-6</v>
      </c>
      <c r="DN112" s="312"/>
      <c r="DO112" s="313">
        <f>IF(V112="",N112+DT112,V112+DT112)</f>
        <v>46059</v>
      </c>
      <c r="DP112" s="59">
        <f>IF(_xlfn.XLOOKUP($E112,'[1]Import Eletra'!$B:$B,'[1]Import Eletra'!$O:$O,,0,1)=0,"",_xlfn.XLOOKUP($E112,'[1]Import Eletra'!$B:$B,'[1]Import Eletra'!$O:$O,0,1))</f>
        <v>46053</v>
      </c>
      <c r="DQ112" s="309">
        <f>$DN$4</f>
        <v>1</v>
      </c>
      <c r="DR112" s="309">
        <f ca="1">IF(DP112="",TODAY()-DO112,DP112-DO112)</f>
        <v>-6</v>
      </c>
      <c r="DS112" s="310">
        <f ca="1">DR112-DQ112</f>
        <v>-7</v>
      </c>
      <c r="DT112" s="314">
        <v>17</v>
      </c>
      <c r="DU112" s="140">
        <f ca="1">IF(DP112="",TODAY()-N112,DP112-N112)</f>
        <v>13</v>
      </c>
      <c r="DV112" s="184">
        <f ca="1">DU112-DT112</f>
        <v>-4</v>
      </c>
      <c r="DX112" s="316"/>
      <c r="DY112" s="108" t="str">
        <f>IF(_xlfn.XLOOKUP($E112,'[1]Import Eletra'!$B:$B,'[1]Import Eletra'!$DW:$DW,,0,1)=0,"",_xlfn.XLOOKUP($E112,'[1]Import Eletra'!$B:$B,'[1]Import Eletra'!$DW:$DW,0,1))</f>
        <v/>
      </c>
      <c r="EB112" s="317"/>
      <c r="ED112" s="406">
        <f>IF(_xlfn.XLOOKUP($E112,'[1]Import Eletra'!$B:$B,'[1]Import Eletra'!$BQ:$BQ,,0,1)=0,"",_xlfn.XLOOKUP($E112,'[1]Import Eletra'!$B:$B,'[1]Import Eletra'!$BQ:$BQ,0,1))</f>
        <v>788.85</v>
      </c>
      <c r="EE112" s="407">
        <f>IF(_xlfn.XLOOKUP($E112,'[1]Import Eletra'!$B:$B,'[1]Import Eletra'!$BR:$BR,,0,1)=0,"",_xlfn.XLOOKUP($E112,'[1]Import Eletra'!$B:$B,'[1]Import Eletra'!$BR:$BR,0,1))</f>
        <v>46059</v>
      </c>
      <c r="EF112" s="406" t="str">
        <f>IF(_xlfn.XLOOKUP($E112,'[1]Import Eletra'!$B:$B,'[1]Import Eletra'!$BS:$BS,,0,1)=0,"",_xlfn.XLOOKUP($E112,'[1]Import Eletra'!$B:$B,'[1]Import Eletra'!$BS:$BS,0,1))</f>
        <v/>
      </c>
      <c r="EG112" s="407" t="str">
        <f>IF(_xlfn.XLOOKUP($E112,'[1]Import Eletra'!$B:$B,'[1]Import Eletra'!$BT:$BT,,0,1)=0,"",_xlfn.XLOOKUP($E112,'[1]Import Eletra'!$B:$B,'[1]Import Eletra'!$BT:$BT,0,1))</f>
        <v/>
      </c>
      <c r="EH112" s="406" t="str">
        <f>IF(_xlfn.XLOOKUP($E112,'[1]Import Eletra'!$B:$B,'[1]Import Eletra'!$BU:$BU,,0,1)=0,"",_xlfn.XLOOKUP($E112,'[1]Import Eletra'!$B:$B,'[1]Import Eletra'!$BU:$BU,0,1))</f>
        <v/>
      </c>
      <c r="EI112" s="407" t="str">
        <f>IF(_xlfn.XLOOKUP($E112,'[1]Import Eletra'!$B:$B,'[1]Import Eletra'!$BV:$BV,,0,1)=0,"",_xlfn.XLOOKUP($E112,'[1]Import Eletra'!$B:$B,'[1]Import Eletra'!$BV:$BV,0,1))</f>
        <v/>
      </c>
      <c r="EJ112" s="407">
        <f>IF(_xlfn.XLOOKUP($E112,'[1]Import Eletra'!$B:$B,'[1]Import Eletra'!$CI:$CI,,0,1)=0,"",_xlfn.XLOOKUP($E112,'[1]Import Eletra'!$B:$B,'[1]Import Eletra'!$CI:$CI,0,1))</f>
        <v>46058</v>
      </c>
      <c r="EK112" s="407" t="str">
        <f>IF(_xlfn.XLOOKUP($E112,'[1]Import Eletra'!$B:$B,'[1]Import Eletra'!$CD:$CD,,0,1)=0,"",_xlfn.XLOOKUP($E112,'[1]Import Eletra'!$B:$B,'[1]Import Eletra'!$CD:$CD,0,1))</f>
        <v/>
      </c>
      <c r="EL112" s="407" t="str">
        <f>IF(_xlfn.XLOOKUP($E112,'[1]Import Eletra'!$B:$B,'[1]Import Eletra'!$CE:$CE,,0,1)=0,"",_xlfn.XLOOKUP($E112,'[1]Import Eletra'!$B:$B,'[1]Import Eletra'!$CE:$CE,0,1))</f>
        <v/>
      </c>
      <c r="EM112" s="408" t="str">
        <f>IF(_xlfn.XLOOKUP($E112,'[1]Import Eletra'!$B:$B,'[1]Import Eletra'!$E:$E,,0,1)=0,"",_xlfn.XLOOKUP($E112,'[1]Import Eletra'!$B:$B,'[1]Import Eletra'!$E:$E,0,1))</f>
        <v>LEISIANE</v>
      </c>
      <c r="EN112" s="408" t="str">
        <f>IF(_xlfn.XLOOKUP($E112,'[1]Import Eletra'!$B:$B,'[1]Import Eletra'!$E:$E,,0,1)=0,"",_xlfn.XLOOKUP($E112,'[1]Import Eletra'!$B:$B,'[1]Import Eletra'!$E:$E,0,1))</f>
        <v>LEISIANE</v>
      </c>
      <c r="EO112" s="408" t="str">
        <f>IF(_xlfn.XLOOKUP($E112,'[1]Import Eletra'!$B:$B,'[1]Import Eletra'!$E:$E,,0,1)=0,"",_xlfn.XLOOKUP($E112,'[1]Import Eletra'!$B:$B,'[1]Import Eletra'!$E:$E,0,1))</f>
        <v>LEISIANE</v>
      </c>
      <c r="EP112" s="408" t="str">
        <f>IF(_xlfn.XLOOKUP($E112,'[1]Import Eletra'!$B:$B,'[1]Import Eletra'!$E:$E,,0,1)=0,"",_xlfn.XLOOKUP($E112,'[1]Import Eletra'!$B:$B,'[1]Import Eletra'!$E:$E,0,1))</f>
        <v>LEISIANE</v>
      </c>
    </row>
    <row r="113" spans="1:146" s="315" customFormat="1" ht="30" hidden="1" customHeight="1" outlineLevel="1">
      <c r="A113" s="305"/>
      <c r="B113" s="306"/>
      <c r="C113" s="306"/>
      <c r="D113" s="306"/>
      <c r="E113" s="318" t="s">
        <v>409</v>
      </c>
      <c r="F113" s="307" t="str">
        <f>IF(_xlfn.XLOOKUP($E113,'[1]Import Eletra'!$B:$B,'[1]Import Eletra'!$U:$U,,0,1)=0,"",_xlfn.XLOOKUP($E113,'[1]Import Eletra'!$B:$B,'[1]Import Eletra'!$U:$U,,0,1))</f>
        <v/>
      </c>
      <c r="G113" s="320" t="s">
        <v>244</v>
      </c>
      <c r="H113" s="59" t="str">
        <f>_xlfn.XLOOKUP($E113,'[1]Import Eletra'!$B:$B,'[1]Import Eletra'!$F:$F,,0,1)</f>
        <v>DELIVERED</v>
      </c>
      <c r="I113" s="4" t="str">
        <f>_xlfn.XLOOKUP($E113,'[1]Import Eletra'!$B:$B,'[1]Import Eletra'!$G:$G,,0,1)</f>
        <v>AIR</v>
      </c>
      <c r="J113" s="331"/>
      <c r="K113" s="308"/>
      <c r="L113" s="308"/>
      <c r="M113" s="331">
        <f>IF(_xlfn.XLOOKUP($E113,'[1]Import Eletra'!$B:$B,'[1]Import Eletra'!$J:$J,,0,1)=0,"",_xlfn.XLOOKUP($E113,'[1]Import Eletra'!$B:$B,'[1]Import Eletra'!$J:$J,,0,1))</f>
        <v>46025</v>
      </c>
      <c r="N113" s="334">
        <f>IF(_xlfn.XLOOKUP($E113,'[1]Import Eletra'!$B:$B,'[1]Import Eletra'!$L:$L,,0,1)=0,"",_xlfn.XLOOKUP($E113,'[1]Import Eletra'!$B:$B,'[1]Import Eletra'!$L:$L,,0,1))</f>
        <v>46028</v>
      </c>
      <c r="O113" s="336">
        <f>IF(_xlfn.XLOOKUP($E113,'[1]Import Eletra'!$B:$B,'[1]Import Eletra'!$AK:$AK,,0,1)=0,"",_xlfn.XLOOKUP($E113,'[1]Import Eletra'!$B:$B,'[1]Import Eletra'!$AK:$AK,,0,1))</f>
        <v>46028</v>
      </c>
      <c r="P113" s="331">
        <f>IF(_xlfn.XLOOKUP($E113,'[1]Import Eletra'!$B:$B,'[1]Import Eletra'!$AL:$AL,,0,1)=0,"",_xlfn.XLOOKUP($E113,'[1]Import Eletra'!$B:$B,'[1]Import Eletra'!$AL:$AL,,0,1))</f>
        <v>46029</v>
      </c>
      <c r="Q113" s="331">
        <f>IF(_xlfn.XLOOKUP($E113,'[1]Import Eletra'!$B:$B,'[1]Import Eletra'!$AM:$AM,,0,1)=0,"",_xlfn.XLOOKUP($E113,'[1]Import Eletra'!$B:$B,'[1]Import Eletra'!$AM:$AM,,0,1))</f>
        <v>46031</v>
      </c>
      <c r="R113" s="331">
        <f>IF(_xlfn.XLOOKUP($E113,'[1]Import Eletra'!$B:$B,'[1]Import Eletra'!$AN:$AN,,0,1)=0,"",_xlfn.XLOOKUP($E113,'[1]Import Eletra'!$B:$B,'[1]Import Eletra'!$AN:$AN,,0,1))</f>
        <v>46031</v>
      </c>
      <c r="S113" s="331">
        <f>IF(_xlfn.XLOOKUP($E113,'[1]Import Eletra'!$B:$B,'[1]Import Eletra'!$AO:$AO,,0,1)=0,"",_xlfn.XLOOKUP($E113,'[1]Import Eletra'!$B:$B,'[1]Import Eletra'!$AO:$AO,,0,1))</f>
        <v>46031</v>
      </c>
      <c r="T113" s="331">
        <f>IF(_xlfn.XLOOKUP($E113,'[1]Import Eletra'!$B:$B,'[1]Import Eletra'!$AP:$AP,,0,1)=0,"",_xlfn.XLOOKUP($E113,'[1]Import Eletra'!$B:$B,'[1]Import Eletra'!$AP:$AP,,0,1))</f>
        <v>46034</v>
      </c>
      <c r="U113" s="338">
        <f>IF(_xlfn.XLOOKUP($E113,'[1]Import Eletra'!$B:$B,'[1]Import Eletra'!$AQ:$AQ,,0,1)=0,"",_xlfn.XLOOKUP($E113,'[1]Import Eletra'!$B:$B,'[1]Import Eletra'!$AQ:$AQ,,0,1))</f>
        <v>46034</v>
      </c>
      <c r="V113" s="343">
        <f>IF(_xlfn.XLOOKUP($E113,'[1]Import Eletra'!$B:$B,'[1]Import Eletra'!$AQ:$AQ,,0,1)=0,"",_xlfn.XLOOKUP($E113,'[1]Import Eletra'!$B:$B,'[1]Import Eletra'!$AQ:$AQ,,0,1))</f>
        <v>46034</v>
      </c>
      <c r="W113" s="336">
        <f>AB113-$AB$4</f>
        <v>46044</v>
      </c>
      <c r="X113" s="345">
        <f>IF(_xlfn.XLOOKUP($E113,'[1]Import Eletra'!$B:$B,'[1]Import Eletra'!$AR:$AR,,0,1)=0,"",_xlfn.XLOOKUP($E113,'[1]Import Eletra'!$B:$B,'[1]Import Eletra'!$AR:$AR,,0,1))</f>
        <v>46028</v>
      </c>
      <c r="Y113" s="309">
        <f>$W$4</f>
        <v>0</v>
      </c>
      <c r="Z113" s="309">
        <f ca="1">IF(X113="",TODAY()-W113,X113-W113)</f>
        <v>-16</v>
      </c>
      <c r="AA113" s="310" t="str">
        <f ca="1">IF(AND(ISNUMBER($Z113),$Z113&gt;0),$Z113-$Y113,"")</f>
        <v/>
      </c>
      <c r="AB113" s="350">
        <f>AG113-$AB$4</f>
        <v>46044</v>
      </c>
      <c r="AC113" s="345">
        <f>IF(_xlfn.XLOOKUP($E113,'[1]Import Eletra'!$B:$B,'[1]Import Eletra'!$AD:$AD,,0,1)=0,"",_xlfn.XLOOKUP($E113,'[1]Import Eletra'!$B:$B,'[1]Import Eletra'!$AD:$AD,,0,1))</f>
        <v>46036</v>
      </c>
      <c r="AD113" s="309">
        <f>$AB$4</f>
        <v>0</v>
      </c>
      <c r="AE113" s="309">
        <f ca="1">IF(AC113="",TODAY()-AB113,AC113-AB113)</f>
        <v>-8</v>
      </c>
      <c r="AF113" s="310">
        <f ca="1">AE113-AD113</f>
        <v>-8</v>
      </c>
      <c r="AG113" s="356">
        <f>AL113-$AL$4</f>
        <v>46044</v>
      </c>
      <c r="AH113" s="345">
        <f>IF(_xlfn.XLOOKUP($E113,'[1]Import Eletra'!$B:$B,'[1]Import Eletra'!$AE:$AE,,0,1)=0,"",_xlfn.XLOOKUP($E113,'[1]Import Eletra'!$B:$B,'[1]Import Eletra'!$AE:$AE,,0,1))</f>
        <v>46036</v>
      </c>
      <c r="AI113" s="309">
        <f>$AG$4</f>
        <v>0</v>
      </c>
      <c r="AJ113" s="309">
        <f ca="1">IF(AH113="",TODAY()-AG113,AH113-AG113)</f>
        <v>-8</v>
      </c>
      <c r="AK113" s="310" t="str">
        <f ca="1">IF(AND(ISNUMBER($AJ113),$AJ113&gt;0),$AJ113-$AI113,"")</f>
        <v/>
      </c>
      <c r="AL113" s="356">
        <f>AQ113-$AQ$4</f>
        <v>46044</v>
      </c>
      <c r="AM113" s="345">
        <f>IF(_xlfn.XLOOKUP($E113,'[1]Import Eletra'!$B:$B,'[1]Import Eletra'!$AT:$AT,,0,1)=0,"",_xlfn.XLOOKUP($E113,'[1]Import Eletra'!$B:$B,'[1]Import Eletra'!$AT:$AT,,0,1))</f>
        <v>46037</v>
      </c>
      <c r="AN113" s="309">
        <f>$AL$4</f>
        <v>0</v>
      </c>
      <c r="AO113" s="309">
        <f ca="1">IF(AM113="",TODAY()-AL113,AM113-AL113)</f>
        <v>-7</v>
      </c>
      <c r="AP113" s="310" t="str">
        <f ca="1">IF(AND(ISNUMBER($AO113),$AO113&gt;0),$AO113-$AN113,"")</f>
        <v/>
      </c>
      <c r="AQ113" s="359">
        <f>AV113-$AV$4</f>
        <v>46045</v>
      </c>
      <c r="AR113" s="345">
        <f>IF(_xlfn.XLOOKUP($E113,'[1]Import Eletra'!$B:$B,'[1]Import Eletra'!$AU:$AU,,0,1)=0,"",_xlfn.XLOOKUP($E113,'[1]Import Eletra'!$B:$B,'[1]Import Eletra'!$AU:$AU,,0,1))</f>
        <v>46041</v>
      </c>
      <c r="AS113" s="309">
        <f>$AQ$4</f>
        <v>1</v>
      </c>
      <c r="AT113" s="309">
        <f ca="1">IF(AR113="",TODAY()-AQ113,AR113-AQ113)</f>
        <v>-4</v>
      </c>
      <c r="AU113" s="310" t="str">
        <f ca="1">IF(AND(ISNUMBER($AT113),$AT113&gt;0),$AT113-$AS113,"")</f>
        <v/>
      </c>
      <c r="AV113" s="356">
        <f>BA113-$BA$4</f>
        <v>46045</v>
      </c>
      <c r="AW113" s="345">
        <f>IF(_xlfn.XLOOKUP($E113,'[1]Import Eletra'!$B:$B,'[1]Import Eletra'!$AU:$AU,,0,1)=0,"",_xlfn.XLOOKUP($E113,'[1]Import Eletra'!$B:$B,'[1]Import Eletra'!$AU:$AU,,0,1))</f>
        <v>46041</v>
      </c>
      <c r="AX113" s="309">
        <f>$AV$4</f>
        <v>0</v>
      </c>
      <c r="AY113" s="309">
        <f ca="1">IF(AW113="",TODAY()-AV113,AW113-AV113)</f>
        <v>-4</v>
      </c>
      <c r="AZ113" s="310" t="str">
        <f ca="1">IF(AND(ISNUMBER($AY113),$AY113&gt;0),$AY113-$AX113,"")</f>
        <v/>
      </c>
      <c r="BA113" s="359">
        <f>BF113-$BF$4</f>
        <v>46045</v>
      </c>
      <c r="BB113" s="345" t="str">
        <f>IF(_xlfn.XLOOKUP($E113,'[1]Import Eletra'!$B:$B,'[1]Import Eletra'!$AW:$AW,,0,1)=0,"",_xlfn.XLOOKUP($E113,'[1]Import Eletra'!$B:$B,'[1]Import Eletra'!$AW:$AW,,0,1))</f>
        <v/>
      </c>
      <c r="BC113" s="309">
        <f>$BA$4</f>
        <v>0</v>
      </c>
      <c r="BD113" s="309">
        <f ca="1">IF(BB113="",TODAY()-BA113,BB113-BA113)</f>
        <v>166</v>
      </c>
      <c r="BE113" s="310">
        <f ca="1">BD113-BC113</f>
        <v>166</v>
      </c>
      <c r="BF113" s="336">
        <f>BK113-$BK$4</f>
        <v>46045</v>
      </c>
      <c r="BG113" s="345" t="str">
        <f>IF(_xlfn.XLOOKUP($E113,'[1]Import Eletra'!$B:$B,'[1]Import Eletra'!$AX:$AX,,0,1)=0,"",_xlfn.XLOOKUP($E113,'[1]Import Eletra'!$B:$B,'[1]Import Eletra'!$AX:$AX,,0,1))</f>
        <v/>
      </c>
      <c r="BH113" s="309">
        <f>$BF$4</f>
        <v>0</v>
      </c>
      <c r="BI113" s="309">
        <f ca="1">IF(BG113="",TODAY()-BF113,BG113-BF113)</f>
        <v>166</v>
      </c>
      <c r="BJ113" s="310">
        <f ca="1">IF(AND(ISNUMBER($BI113),$BI113&gt;0),$BI113-$BH113,"")</f>
        <v>166</v>
      </c>
      <c r="BK113" s="363">
        <f>BP113-$BP$4</f>
        <v>46045</v>
      </c>
      <c r="BL113" s="345">
        <f>IF(_xlfn.XLOOKUP($E113,'[1]Import Eletra'!$B:$B,'[1]Import Eletra'!$AY:$AY,,0,1)=0,"",_xlfn.XLOOKUP($E113,'[1]Import Eletra'!$B:$B,'[1]Import Eletra'!$AY:$AY,,0,1))</f>
        <v>46037</v>
      </c>
      <c r="BM113" s="309">
        <f>$BK$4</f>
        <v>0</v>
      </c>
      <c r="BN113" s="309">
        <f ca="1">IF(BL113="",TODAY()-BK113,BL113-BK113)</f>
        <v>-8</v>
      </c>
      <c r="BO113" s="310">
        <f ca="1">BN113-BM113</f>
        <v>-8</v>
      </c>
      <c r="BP113" s="336">
        <f>BU113-$BU$4</f>
        <v>46045</v>
      </c>
      <c r="BQ113" s="345">
        <f>IF(_xlfn.XLOOKUP($E113,'[1]Import Eletra'!$B:$B,'[1]Import Eletra'!$AZ:$AZ,,0,1)=0,"",_xlfn.XLOOKUP($E113,'[1]Import Eletra'!$B:$B,'[1]Import Eletra'!$AZ:$AZ,,0,1))</f>
        <v>46041</v>
      </c>
      <c r="BR113" s="309">
        <f>$BP$4</f>
        <v>0</v>
      </c>
      <c r="BS113" s="309">
        <f ca="1">IF(BQ113="",TODAY()-BP113,BQ113-BP113)</f>
        <v>-4</v>
      </c>
      <c r="BT113" s="310">
        <f ca="1">BS113-BR113</f>
        <v>-4</v>
      </c>
      <c r="BU113" s="363">
        <f>BZ113-$BZ$4</f>
        <v>46047</v>
      </c>
      <c r="BV113" s="345">
        <f>IF(_xlfn.XLOOKUP($E113,'[1]Import Eletra'!$B:$B,'[1]Import Eletra'!$BA:$BA,,0,1)=0,"",_xlfn.XLOOKUP($E113,'[1]Import Eletra'!$B:$B,'[1]Import Eletra'!$BA:$BA,,0,1))</f>
        <v>46043</v>
      </c>
      <c r="BW113" s="309">
        <f>$BU$4</f>
        <v>2</v>
      </c>
      <c r="BX113" s="309">
        <f ca="1">IF(BV113="",TODAY()-BU113,BV113-BU113)</f>
        <v>-4</v>
      </c>
      <c r="BY113" s="310" t="str">
        <f ca="1">IF(AND(ISNUMBER($BX113),$BX113&gt;0),$BX113-$BW113,"")</f>
        <v/>
      </c>
      <c r="BZ113" s="336">
        <f>CE113-$CE$4</f>
        <v>46047</v>
      </c>
      <c r="CA113" s="345">
        <f>IF(_xlfn.XLOOKUP($E113,'[1]Import Eletra'!$B:$B,'[1]Import Eletra'!$BB:$BB,,0,1)=0,"",_xlfn.XLOOKUP($E113,'[1]Import Eletra'!$B:$B,'[1]Import Eletra'!$BB:$BB,,0,1))</f>
        <v>46043</v>
      </c>
      <c r="CB113" s="309">
        <f>$BZ$4</f>
        <v>0</v>
      </c>
      <c r="CC113" s="309">
        <f ca="1">IF(CA113="",TODAY()-BZ113,CA113-BZ113)</f>
        <v>-4</v>
      </c>
      <c r="CD113" s="310">
        <f ca="1">CC113-CB113</f>
        <v>-4</v>
      </c>
      <c r="CE113" s="363">
        <f>CJ113-$CJ$4</f>
        <v>46047</v>
      </c>
      <c r="CF113" s="345">
        <f>IF(_xlfn.XLOOKUP($E113,'[1]Import Eletra'!$B:$B,'[1]Import Eletra'!$BC:$BC,,0,1)=0,"",_xlfn.XLOOKUP($E113,'[1]Import Eletra'!$B:$B,'[1]Import Eletra'!$BC:$BC,,0,1))</f>
        <v>46044</v>
      </c>
      <c r="CG113" s="309">
        <f>$CE$4</f>
        <v>0</v>
      </c>
      <c r="CH113" s="309">
        <f ca="1">IF(CF113="",TODAY()-CE113,CF113-CE113)</f>
        <v>-3</v>
      </c>
      <c r="CI113" s="310">
        <f ca="1">CH113-CG113</f>
        <v>-3</v>
      </c>
      <c r="CJ113" s="336">
        <f>CO113-$CO$4</f>
        <v>46047</v>
      </c>
      <c r="CK113" s="345">
        <f>IF(_xlfn.XLOOKUP($E113,'[1]Import Eletra'!$B:$B,'[1]Import Eletra'!$BD:$BD,,0,1)=0,"",_xlfn.XLOOKUP($E113,'[1]Import Eletra'!$B:$B,'[1]Import Eletra'!$BD:$BD,,0,1))</f>
        <v>46043</v>
      </c>
      <c r="CL113" s="309"/>
      <c r="CM113" s="309">
        <f ca="1">IF(CK113="",TODAY()-CJ113,CK113-CJ113)</f>
        <v>-4</v>
      </c>
      <c r="CN113" s="310">
        <f ca="1">CM113-CL113</f>
        <v>-4</v>
      </c>
      <c r="CO113" s="363">
        <f>CT113-$CT$4</f>
        <v>46047</v>
      </c>
      <c r="CP113" s="345">
        <f>IF(_xlfn.XLOOKUP($E113,'[1]Import Eletra'!$B:$B,'[1]Import Eletra'!$BE:$BE,,0,1)=0,"",_xlfn.XLOOKUP($E113,'[1]Import Eletra'!$B:$B,'[1]Import Eletra'!$BE:$BE,,0,1))</f>
        <v>46044</v>
      </c>
      <c r="CQ113" s="309">
        <f>$CO$4</f>
        <v>0</v>
      </c>
      <c r="CR113" s="309">
        <f ca="1">IF(CP113="",TODAY()-CO113,CP113-CO113)</f>
        <v>-3</v>
      </c>
      <c r="CS113" s="310">
        <f ca="1">CR113-CQ113</f>
        <v>-3</v>
      </c>
      <c r="CT113" s="336">
        <f>CY113-$CY$4</f>
        <v>46047</v>
      </c>
      <c r="CU113" s="345">
        <f>IF(_xlfn.XLOOKUP($E113,'[1]Import Eletra'!$B:$B,'[1]Import Eletra'!$BF:$BF,,0,1)=0,"",_xlfn.XLOOKUP($E113,'[1]Import Eletra'!$B:$B,'[1]Import Eletra'!$BF:$BF,,0,1))</f>
        <v>46044</v>
      </c>
      <c r="CV113" s="309">
        <f>$CT$4</f>
        <v>0</v>
      </c>
      <c r="CW113" s="309">
        <f ca="1">IF(CU113="",TODAY()-CT113,CU113-CT113)</f>
        <v>-3</v>
      </c>
      <c r="CX113" s="310">
        <f ca="1">CW113-CV113</f>
        <v>-3</v>
      </c>
      <c r="CY113" s="85">
        <f>DD113-$DD$4</f>
        <v>46047</v>
      </c>
      <c r="CZ113" s="271">
        <f>IF(_xlfn.XLOOKUP($E113,'[1]Import Eletra'!$B:$B,'[1]Import Eletra'!$BF:$BF,,0,1)=0,"",_xlfn.XLOOKUP($E113,'[1]Import Eletra'!$B:$B,'[1]Import Eletra'!$BF:$BF,,0,1))</f>
        <v>46044</v>
      </c>
      <c r="DA113" s="311">
        <f>$CY$4</f>
        <v>0</v>
      </c>
      <c r="DB113" s="309">
        <f ca="1">IF(CZ113="",TODAY()-CY113,CZ113-CY113)</f>
        <v>-3</v>
      </c>
      <c r="DC113" s="310">
        <f ca="1">DB113-DA113</f>
        <v>-3</v>
      </c>
      <c r="DD113" s="85">
        <f>DI113-$DI$4</f>
        <v>46049</v>
      </c>
      <c r="DE113" s="271">
        <f>IF(_xlfn.XLOOKUP($E113,'[1]Import Eletra'!$B:$B,'[1]Import Eletra'!$BG:$BG,,0,1)=0,"",_xlfn.XLOOKUP($E113,'[1]Import Eletra'!$B:$B,'[1]Import Eletra'!$BG:$BG,0,1))</f>
        <v>46044</v>
      </c>
      <c r="DF113" s="309">
        <f>$DD$4</f>
        <v>2</v>
      </c>
      <c r="DG113" s="309">
        <f ca="1">IF(DE113="",TODAY()-DD113,DE113-DD113)</f>
        <v>-5</v>
      </c>
      <c r="DH113" s="310">
        <f ca="1">DG113-DF113</f>
        <v>-7</v>
      </c>
      <c r="DI113" s="85">
        <f>DO113-$DN$4</f>
        <v>46050</v>
      </c>
      <c r="DJ113" s="271" t="str">
        <f>IF(_xlfn.XLOOKUP($E113,'[1]Import Eletra'!$B:$B,'[1]Import Eletra'!$BH:$BH,,0,1)=0,"",_xlfn.XLOOKUP($E113,'[1]Import Eletra'!$B:$B,'[1]Import Eletra'!$BH:$BH,0,1))</f>
        <v/>
      </c>
      <c r="DK113" s="309">
        <f>$DI$4</f>
        <v>1</v>
      </c>
      <c r="DL113" s="309">
        <f ca="1">IF(DJ113="",TODAY()-DI113,DJ113-DI113)</f>
        <v>161</v>
      </c>
      <c r="DM113" s="310">
        <f ca="1">DL113-DK113</f>
        <v>160</v>
      </c>
      <c r="DN113" s="312"/>
      <c r="DO113" s="313">
        <f>IF(V113="",N113+DT113,V113+DT113)</f>
        <v>46051</v>
      </c>
      <c r="DP113" s="59">
        <f>IF(_xlfn.XLOOKUP($E113,'[1]Import Eletra'!$B:$B,'[1]Import Eletra'!$O:$O,,0,1)=0,"",_xlfn.XLOOKUP($E113,'[1]Import Eletra'!$B:$B,'[1]Import Eletra'!$O:$O,0,1))</f>
        <v>46056</v>
      </c>
      <c r="DQ113" s="309">
        <f>$DN$4</f>
        <v>1</v>
      </c>
      <c r="DR113" s="309">
        <f ca="1">IF(DP113="",TODAY()-DO113,DP113-DO113)</f>
        <v>5</v>
      </c>
      <c r="DS113" s="310">
        <f ca="1">DR113-DQ113</f>
        <v>4</v>
      </c>
      <c r="DT113" s="314">
        <v>17</v>
      </c>
      <c r="DU113" s="140">
        <f ca="1">IF(DP113="",TODAY()-N113,DP113-N113)</f>
        <v>28</v>
      </c>
      <c r="DV113" s="184">
        <f ca="1">DU113-DT113</f>
        <v>11</v>
      </c>
      <c r="DX113" s="316"/>
      <c r="DY113" s="108" t="str">
        <f>IF(_xlfn.XLOOKUP($E113,'[1]Import Eletra'!$B:$B,'[1]Import Eletra'!$DW:$DW,,0,1)=0,"",_xlfn.XLOOKUP($E113,'[1]Import Eletra'!$B:$B,'[1]Import Eletra'!$DW:$DW,0,1))</f>
        <v/>
      </c>
      <c r="EB113" s="317"/>
      <c r="ED113" s="406">
        <f>IF(_xlfn.XLOOKUP($E113,'[1]Import Eletra'!$B:$B,'[1]Import Eletra'!$BQ:$BQ,,0,1)=0,"",_xlfn.XLOOKUP($E113,'[1]Import Eletra'!$B:$B,'[1]Import Eletra'!$BQ:$BQ,0,1))</f>
        <v>1092.4000000000001</v>
      </c>
      <c r="EE113" s="407">
        <f>IF(_xlfn.XLOOKUP($E113,'[1]Import Eletra'!$B:$B,'[1]Import Eletra'!$BR:$BR,,0,1)=0,"",_xlfn.XLOOKUP($E113,'[1]Import Eletra'!$B:$B,'[1]Import Eletra'!$BR:$BR,0,1))</f>
        <v>46056</v>
      </c>
      <c r="EF113" s="406" t="str">
        <f>IF(_xlfn.XLOOKUP($E113,'[1]Import Eletra'!$B:$B,'[1]Import Eletra'!$BS:$BS,,0,1)=0,"",_xlfn.XLOOKUP($E113,'[1]Import Eletra'!$B:$B,'[1]Import Eletra'!$BS:$BS,0,1))</f>
        <v/>
      </c>
      <c r="EG113" s="407" t="str">
        <f>IF(_xlfn.XLOOKUP($E113,'[1]Import Eletra'!$B:$B,'[1]Import Eletra'!$BT:$BT,,0,1)=0,"",_xlfn.XLOOKUP($E113,'[1]Import Eletra'!$B:$B,'[1]Import Eletra'!$BT:$BT,0,1))</f>
        <v/>
      </c>
      <c r="EH113" s="406" t="str">
        <f>IF(_xlfn.XLOOKUP($E113,'[1]Import Eletra'!$B:$B,'[1]Import Eletra'!$BU:$BU,,0,1)=0,"",_xlfn.XLOOKUP($E113,'[1]Import Eletra'!$B:$B,'[1]Import Eletra'!$BU:$BU,0,1))</f>
        <v/>
      </c>
      <c r="EI113" s="407" t="str">
        <f>IF(_xlfn.XLOOKUP($E113,'[1]Import Eletra'!$B:$B,'[1]Import Eletra'!$BV:$BV,,0,1)=0,"",_xlfn.XLOOKUP($E113,'[1]Import Eletra'!$B:$B,'[1]Import Eletra'!$BV:$BV,0,1))</f>
        <v/>
      </c>
      <c r="EJ113" s="407" t="str">
        <f>IF(_xlfn.XLOOKUP($E113,'[1]Import Eletra'!$B:$B,'[1]Import Eletra'!$CI:$CI,,0,1)=0,"",_xlfn.XLOOKUP($E113,'[1]Import Eletra'!$B:$B,'[1]Import Eletra'!$CI:$CI,0,1))</f>
        <v/>
      </c>
      <c r="EK113" s="407">
        <f>IF(_xlfn.XLOOKUP($E113,'[1]Import Eletra'!$B:$B,'[1]Import Eletra'!$CD:$CD,,0,1)=0,"",_xlfn.XLOOKUP($E113,'[1]Import Eletra'!$B:$B,'[1]Import Eletra'!$CD:$CD,0,1))</f>
        <v>46056</v>
      </c>
      <c r="EL113" s="407" t="str">
        <f>IF(_xlfn.XLOOKUP($E113,'[1]Import Eletra'!$B:$B,'[1]Import Eletra'!$CE:$CE,,0,1)=0,"",_xlfn.XLOOKUP($E113,'[1]Import Eletra'!$B:$B,'[1]Import Eletra'!$CE:$CE,0,1))</f>
        <v>NÃO</v>
      </c>
      <c r="EM113" s="408" t="str">
        <f>IF(_xlfn.XLOOKUP($E113,'[1]Import Eletra'!$B:$B,'[1]Import Eletra'!$E:$E,,0,1)=0,"",_xlfn.XLOOKUP($E113,'[1]Import Eletra'!$B:$B,'[1]Import Eletra'!$E:$E,0,1))</f>
        <v>LEISIANE</v>
      </c>
      <c r="EN113" s="408" t="str">
        <f>IF(_xlfn.XLOOKUP($E113,'[1]Import Eletra'!$B:$B,'[1]Import Eletra'!$E:$E,,0,1)=0,"",_xlfn.XLOOKUP($E113,'[1]Import Eletra'!$B:$B,'[1]Import Eletra'!$E:$E,0,1))</f>
        <v>LEISIANE</v>
      </c>
      <c r="EO113" s="408" t="str">
        <f>IF(_xlfn.XLOOKUP($E113,'[1]Import Eletra'!$B:$B,'[1]Import Eletra'!$E:$E,,0,1)=0,"",_xlfn.XLOOKUP($E113,'[1]Import Eletra'!$B:$B,'[1]Import Eletra'!$E:$E,0,1))</f>
        <v>LEISIANE</v>
      </c>
      <c r="EP113" s="408" t="str">
        <f>IF(_xlfn.XLOOKUP($E113,'[1]Import Eletra'!$B:$B,'[1]Import Eletra'!$E:$E,,0,1)=0,"",_xlfn.XLOOKUP($E113,'[1]Import Eletra'!$B:$B,'[1]Import Eletra'!$E:$E,0,1))</f>
        <v>LEISIANE</v>
      </c>
    </row>
    <row r="114" spans="1:146" s="315" customFormat="1" ht="30" hidden="1" customHeight="1" outlineLevel="1">
      <c r="A114" s="305"/>
      <c r="B114" s="306"/>
      <c r="C114" s="306"/>
      <c r="D114" s="306"/>
      <c r="E114" s="318" t="s">
        <v>410</v>
      </c>
      <c r="F114" s="307">
        <f>IF(_xlfn.XLOOKUP($E114,'[1]Import Eletra'!$B:$B,'[1]Import Eletra'!$U:$U,,0,1)=0,"",_xlfn.XLOOKUP($E114,'[1]Import Eletra'!$B:$B,'[1]Import Eletra'!$U:$U,,0,1))</f>
        <v>2</v>
      </c>
      <c r="G114" s="320" t="s">
        <v>244</v>
      </c>
      <c r="H114" s="59" t="str">
        <f>_xlfn.XLOOKUP($E114,'[1]Import Eletra'!$B:$B,'[1]Import Eletra'!$F:$F,,0,1)</f>
        <v>DELIVERED</v>
      </c>
      <c r="I114" s="4" t="str">
        <f>_xlfn.XLOOKUP($E114,'[1]Import Eletra'!$B:$B,'[1]Import Eletra'!$G:$G,,0,1)</f>
        <v>SEA</v>
      </c>
      <c r="J114" s="331"/>
      <c r="K114" s="308"/>
      <c r="L114" s="308"/>
      <c r="M114" s="331">
        <f>IF(_xlfn.XLOOKUP($E114,'[1]Import Eletra'!$B:$B,'[1]Import Eletra'!$J:$J,,0,1)=0,"",_xlfn.XLOOKUP($E114,'[1]Import Eletra'!$B:$B,'[1]Import Eletra'!$J:$J,,0,1))</f>
        <v>45992</v>
      </c>
      <c r="N114" s="334">
        <f>IF(_xlfn.XLOOKUP($E114,'[1]Import Eletra'!$B:$B,'[1]Import Eletra'!$L:$L,,0,1)=0,"",_xlfn.XLOOKUP($E114,'[1]Import Eletra'!$B:$B,'[1]Import Eletra'!$L:$L,,0,1))</f>
        <v>46040</v>
      </c>
      <c r="O114" s="336">
        <f>IF(_xlfn.XLOOKUP($E114,'[1]Import Eletra'!$B:$B,'[1]Import Eletra'!$AK:$AK,,0,1)=0,"",_xlfn.XLOOKUP($E114,'[1]Import Eletra'!$B:$B,'[1]Import Eletra'!$AK:$AK,,0,1))</f>
        <v>46008</v>
      </c>
      <c r="P114" s="331">
        <f>IF(_xlfn.XLOOKUP($E114,'[1]Import Eletra'!$B:$B,'[1]Import Eletra'!$AL:$AL,,0,1)=0,"",_xlfn.XLOOKUP($E114,'[1]Import Eletra'!$B:$B,'[1]Import Eletra'!$AL:$AL,,0,1))</f>
        <v>46008</v>
      </c>
      <c r="Q114" s="331">
        <f>IF(_xlfn.XLOOKUP($E114,'[1]Import Eletra'!$B:$B,'[1]Import Eletra'!$AM:$AM,,0,1)=0,"",_xlfn.XLOOKUP($E114,'[1]Import Eletra'!$B:$B,'[1]Import Eletra'!$AM:$AM,,0,1))</f>
        <v>46021</v>
      </c>
      <c r="R114" s="331">
        <f>IF(_xlfn.XLOOKUP($E114,'[1]Import Eletra'!$B:$B,'[1]Import Eletra'!$AN:$AN,,0,1)=0,"",_xlfn.XLOOKUP($E114,'[1]Import Eletra'!$B:$B,'[1]Import Eletra'!$AN:$AN,,0,1))</f>
        <v>46021</v>
      </c>
      <c r="S114" s="331">
        <f>IF(_xlfn.XLOOKUP($E114,'[1]Import Eletra'!$B:$B,'[1]Import Eletra'!$AO:$AO,,0,1)=0,"",_xlfn.XLOOKUP($E114,'[1]Import Eletra'!$B:$B,'[1]Import Eletra'!$AO:$AO,,0,1))</f>
        <v>46027</v>
      </c>
      <c r="T114" s="331">
        <f>IF(_xlfn.XLOOKUP($E114,'[1]Import Eletra'!$B:$B,'[1]Import Eletra'!$AP:$AP,,0,1)=0,"",_xlfn.XLOOKUP($E114,'[1]Import Eletra'!$B:$B,'[1]Import Eletra'!$AP:$AP,,0,1))</f>
        <v>46028</v>
      </c>
      <c r="U114" s="338">
        <f>IF(_xlfn.XLOOKUP($E114,'[1]Import Eletra'!$B:$B,'[1]Import Eletra'!$AQ:$AQ,,0,1)=0,"",_xlfn.XLOOKUP($E114,'[1]Import Eletra'!$B:$B,'[1]Import Eletra'!$AQ:$AQ,,0,1))</f>
        <v>46041</v>
      </c>
      <c r="V114" s="343">
        <f>IF(_xlfn.XLOOKUP($E114,'[1]Import Eletra'!$B:$B,'[1]Import Eletra'!$AQ:$AQ,,0,1)=0,"",_xlfn.XLOOKUP($E114,'[1]Import Eletra'!$B:$B,'[1]Import Eletra'!$AQ:$AQ,,0,1))</f>
        <v>46041</v>
      </c>
      <c r="W114" s="336">
        <f>AB114-$AB$4</f>
        <v>46051</v>
      </c>
      <c r="X114" s="345">
        <f>IF(_xlfn.XLOOKUP($E114,'[1]Import Eletra'!$B:$B,'[1]Import Eletra'!$AR:$AR,,0,1)=0,"",_xlfn.XLOOKUP($E114,'[1]Import Eletra'!$B:$B,'[1]Import Eletra'!$AR:$AR,,0,1))</f>
        <v>46042</v>
      </c>
      <c r="Y114" s="309">
        <f>$W$4</f>
        <v>0</v>
      </c>
      <c r="Z114" s="309">
        <f ca="1">IF(X114="",TODAY()-W114,X114-W114)</f>
        <v>-9</v>
      </c>
      <c r="AA114" s="310" t="str">
        <f ca="1">IF(AND(ISNUMBER($Z114),$Z114&gt;0),$Z114-$Y114,"")</f>
        <v/>
      </c>
      <c r="AB114" s="350">
        <f>AG114-$AB$4</f>
        <v>46051</v>
      </c>
      <c r="AC114" s="345">
        <f>IF(_xlfn.XLOOKUP($E114,'[1]Import Eletra'!$B:$B,'[1]Import Eletra'!$AD:$AD,,0,1)=0,"",_xlfn.XLOOKUP($E114,'[1]Import Eletra'!$B:$B,'[1]Import Eletra'!$AD:$AD,,0,1))</f>
        <v>46043</v>
      </c>
      <c r="AD114" s="309">
        <f>$AB$4</f>
        <v>0</v>
      </c>
      <c r="AE114" s="309">
        <f ca="1">IF(AC114="",TODAY()-AB114,AC114-AB114)</f>
        <v>-8</v>
      </c>
      <c r="AF114" s="310">
        <f ca="1">AE114-AD114</f>
        <v>-8</v>
      </c>
      <c r="AG114" s="356">
        <f>AL114-$AL$4</f>
        <v>46051</v>
      </c>
      <c r="AH114" s="345">
        <f>IF(_xlfn.XLOOKUP($E114,'[1]Import Eletra'!$B:$B,'[1]Import Eletra'!$AE:$AE,,0,1)=0,"",_xlfn.XLOOKUP($E114,'[1]Import Eletra'!$B:$B,'[1]Import Eletra'!$AE:$AE,,0,1))</f>
        <v>46043</v>
      </c>
      <c r="AI114" s="309">
        <f>$AG$4</f>
        <v>0</v>
      </c>
      <c r="AJ114" s="309">
        <f ca="1">IF(AH114="",TODAY()-AG114,AH114-AG114)</f>
        <v>-8</v>
      </c>
      <c r="AK114" s="310" t="str">
        <f ca="1">IF(AND(ISNUMBER($AJ114),$AJ114&gt;0),$AJ114-$AI114,"")</f>
        <v/>
      </c>
      <c r="AL114" s="356">
        <f>AQ114-$AQ$4</f>
        <v>46051</v>
      </c>
      <c r="AM114" s="345">
        <f>IF(_xlfn.XLOOKUP($E114,'[1]Import Eletra'!$B:$B,'[1]Import Eletra'!$AT:$AT,,0,1)=0,"",_xlfn.XLOOKUP($E114,'[1]Import Eletra'!$B:$B,'[1]Import Eletra'!$AT:$AT,,0,1))</f>
        <v>46044</v>
      </c>
      <c r="AN114" s="309">
        <f>$AL$4</f>
        <v>0</v>
      </c>
      <c r="AO114" s="309">
        <f ca="1">IF(AM114="",TODAY()-AL114,AM114-AL114)</f>
        <v>-7</v>
      </c>
      <c r="AP114" s="310" t="str">
        <f ca="1">IF(AND(ISNUMBER($AO114),$AO114&gt;0),$AO114-$AN114,"")</f>
        <v/>
      </c>
      <c r="AQ114" s="359">
        <f>AV114-$AV$4</f>
        <v>46052</v>
      </c>
      <c r="AR114" s="345">
        <f>IF(_xlfn.XLOOKUP($E114,'[1]Import Eletra'!$B:$B,'[1]Import Eletra'!$AU:$AU,,0,1)=0,"",_xlfn.XLOOKUP($E114,'[1]Import Eletra'!$B:$B,'[1]Import Eletra'!$AU:$AU,,0,1))</f>
        <v>46044</v>
      </c>
      <c r="AS114" s="309">
        <f>$AQ$4</f>
        <v>1</v>
      </c>
      <c r="AT114" s="309">
        <f ca="1">IF(AR114="",TODAY()-AQ114,AR114-AQ114)</f>
        <v>-8</v>
      </c>
      <c r="AU114" s="310" t="str">
        <f ca="1">IF(AND(ISNUMBER($AT114),$AT114&gt;0),$AT114-$AS114,"")</f>
        <v/>
      </c>
      <c r="AV114" s="356">
        <f>BA114-$BA$4</f>
        <v>46052</v>
      </c>
      <c r="AW114" s="345">
        <f>IF(_xlfn.XLOOKUP($E114,'[1]Import Eletra'!$B:$B,'[1]Import Eletra'!$AU:$AU,,0,1)=0,"",_xlfn.XLOOKUP($E114,'[1]Import Eletra'!$B:$B,'[1]Import Eletra'!$AU:$AU,,0,1))</f>
        <v>46044</v>
      </c>
      <c r="AX114" s="309">
        <f>$AV$4</f>
        <v>0</v>
      </c>
      <c r="AY114" s="309">
        <f ca="1">IF(AW114="",TODAY()-AV114,AW114-AV114)</f>
        <v>-8</v>
      </c>
      <c r="AZ114" s="310" t="str">
        <f ca="1">IF(AND(ISNUMBER($AY114),$AY114&gt;0),$AY114-$AX114,"")</f>
        <v/>
      </c>
      <c r="BA114" s="359">
        <f>BF114-$BF$4</f>
        <v>46052</v>
      </c>
      <c r="BB114" s="345" t="str">
        <f>IF(_xlfn.XLOOKUP($E114,'[1]Import Eletra'!$B:$B,'[1]Import Eletra'!$AW:$AW,,0,1)=0,"",_xlfn.XLOOKUP($E114,'[1]Import Eletra'!$B:$B,'[1]Import Eletra'!$AW:$AW,,0,1))</f>
        <v/>
      </c>
      <c r="BC114" s="309">
        <f>$BA$4</f>
        <v>0</v>
      </c>
      <c r="BD114" s="309">
        <f ca="1">IF(BB114="",TODAY()-BA114,BB114-BA114)</f>
        <v>159</v>
      </c>
      <c r="BE114" s="310">
        <f ca="1">BD114-BC114</f>
        <v>159</v>
      </c>
      <c r="BF114" s="336">
        <f>BK114-$BK$4</f>
        <v>46052</v>
      </c>
      <c r="BG114" s="345" t="str">
        <f>IF(_xlfn.XLOOKUP($E114,'[1]Import Eletra'!$B:$B,'[1]Import Eletra'!$AX:$AX,,0,1)=0,"",_xlfn.XLOOKUP($E114,'[1]Import Eletra'!$B:$B,'[1]Import Eletra'!$AX:$AX,,0,1))</f>
        <v/>
      </c>
      <c r="BH114" s="309">
        <f>$BF$4</f>
        <v>0</v>
      </c>
      <c r="BI114" s="309">
        <f ca="1">IF(BG114="",TODAY()-BF114,BG114-BF114)</f>
        <v>159</v>
      </c>
      <c r="BJ114" s="310">
        <f ca="1">IF(AND(ISNUMBER($BI114),$BI114&gt;0),$BI114-$BH114,"")</f>
        <v>159</v>
      </c>
      <c r="BK114" s="363">
        <f>BP114-$BP$4</f>
        <v>46052</v>
      </c>
      <c r="BL114" s="345">
        <f>IF(_xlfn.XLOOKUP($E114,'[1]Import Eletra'!$B:$B,'[1]Import Eletra'!$AY:$AY,,0,1)=0,"",_xlfn.XLOOKUP($E114,'[1]Import Eletra'!$B:$B,'[1]Import Eletra'!$AY:$AY,,0,1))</f>
        <v>46044</v>
      </c>
      <c r="BM114" s="309">
        <f>$BK$4</f>
        <v>0</v>
      </c>
      <c r="BN114" s="309">
        <f ca="1">IF(BL114="",TODAY()-BK114,BL114-BK114)</f>
        <v>-8</v>
      </c>
      <c r="BO114" s="310">
        <f ca="1">BN114-BM114</f>
        <v>-8</v>
      </c>
      <c r="BP114" s="336">
        <f>BU114-$BU$4</f>
        <v>46052</v>
      </c>
      <c r="BQ114" s="345">
        <f>IF(_xlfn.XLOOKUP($E114,'[1]Import Eletra'!$B:$B,'[1]Import Eletra'!$AZ:$AZ,,0,1)=0,"",_xlfn.XLOOKUP($E114,'[1]Import Eletra'!$B:$B,'[1]Import Eletra'!$AZ:$AZ,,0,1))</f>
        <v>46044</v>
      </c>
      <c r="BR114" s="309">
        <f>$BP$4</f>
        <v>0</v>
      </c>
      <c r="BS114" s="309">
        <f ca="1">IF(BQ114="",TODAY()-BP114,BQ114-BP114)</f>
        <v>-8</v>
      </c>
      <c r="BT114" s="310">
        <f ca="1">BS114-BR114</f>
        <v>-8</v>
      </c>
      <c r="BU114" s="363">
        <f>BZ114-$BZ$4</f>
        <v>46054</v>
      </c>
      <c r="BV114" s="345">
        <f>IF(_xlfn.XLOOKUP($E114,'[1]Import Eletra'!$B:$B,'[1]Import Eletra'!$BA:$BA,,0,1)=0,"",_xlfn.XLOOKUP($E114,'[1]Import Eletra'!$B:$B,'[1]Import Eletra'!$BA:$BA,,0,1))</f>
        <v>46045</v>
      </c>
      <c r="BW114" s="309">
        <f>$BU$4</f>
        <v>2</v>
      </c>
      <c r="BX114" s="309">
        <f ca="1">IF(BV114="",TODAY()-BU114,BV114-BU114)</f>
        <v>-9</v>
      </c>
      <c r="BY114" s="310" t="str">
        <f ca="1">IF(AND(ISNUMBER($BX114),$BX114&gt;0),$BX114-$BW114,"")</f>
        <v/>
      </c>
      <c r="BZ114" s="336">
        <f>CE114-$CE$4</f>
        <v>46054</v>
      </c>
      <c r="CA114" s="345">
        <f>IF(_xlfn.XLOOKUP($E114,'[1]Import Eletra'!$B:$B,'[1]Import Eletra'!$BB:$BB,,0,1)=0,"",_xlfn.XLOOKUP($E114,'[1]Import Eletra'!$B:$B,'[1]Import Eletra'!$BB:$BB,,0,1))</f>
        <v>46048</v>
      </c>
      <c r="CB114" s="309">
        <f>$BZ$4</f>
        <v>0</v>
      </c>
      <c r="CC114" s="309">
        <f ca="1">IF(CA114="",TODAY()-BZ114,CA114-BZ114)</f>
        <v>-6</v>
      </c>
      <c r="CD114" s="310">
        <f ca="1">CC114-CB114</f>
        <v>-6</v>
      </c>
      <c r="CE114" s="363">
        <f>CJ114-$CJ$4</f>
        <v>46054</v>
      </c>
      <c r="CF114" s="345">
        <f>IF(_xlfn.XLOOKUP($E114,'[1]Import Eletra'!$B:$B,'[1]Import Eletra'!$BC:$BC,,0,1)=0,"",_xlfn.XLOOKUP($E114,'[1]Import Eletra'!$B:$B,'[1]Import Eletra'!$BC:$BC,,0,1))</f>
        <v>46049</v>
      </c>
      <c r="CG114" s="309">
        <f>$CE$4</f>
        <v>0</v>
      </c>
      <c r="CH114" s="309">
        <f ca="1">IF(CF114="",TODAY()-CE114,CF114-CE114)</f>
        <v>-5</v>
      </c>
      <c r="CI114" s="310">
        <f ca="1">CH114-CG114</f>
        <v>-5</v>
      </c>
      <c r="CJ114" s="336">
        <f>CO114-$CO$4</f>
        <v>46054</v>
      </c>
      <c r="CK114" s="345">
        <f>IF(_xlfn.XLOOKUP($E114,'[1]Import Eletra'!$B:$B,'[1]Import Eletra'!$BD:$BD,,0,1)=0,"",_xlfn.XLOOKUP($E114,'[1]Import Eletra'!$B:$B,'[1]Import Eletra'!$BD:$BD,,0,1))</f>
        <v>46048</v>
      </c>
      <c r="CL114" s="309"/>
      <c r="CM114" s="309">
        <f ca="1">IF(CK114="",TODAY()-CJ114,CK114-CJ114)</f>
        <v>-6</v>
      </c>
      <c r="CN114" s="310">
        <f ca="1">CM114-CL114</f>
        <v>-6</v>
      </c>
      <c r="CO114" s="363">
        <f>CT114-$CT$4</f>
        <v>46054</v>
      </c>
      <c r="CP114" s="345">
        <f>IF(_xlfn.XLOOKUP($E114,'[1]Import Eletra'!$B:$B,'[1]Import Eletra'!$BE:$BE,,0,1)=0,"",_xlfn.XLOOKUP($E114,'[1]Import Eletra'!$B:$B,'[1]Import Eletra'!$BE:$BE,,0,1))</f>
        <v>46049</v>
      </c>
      <c r="CQ114" s="309">
        <f>$CO$4</f>
        <v>0</v>
      </c>
      <c r="CR114" s="309">
        <f ca="1">IF(CP114="",TODAY()-CO114,CP114-CO114)</f>
        <v>-5</v>
      </c>
      <c r="CS114" s="310">
        <f ca="1">CR114-CQ114</f>
        <v>-5</v>
      </c>
      <c r="CT114" s="336">
        <f>CY114-$CY$4</f>
        <v>46054</v>
      </c>
      <c r="CU114" s="345">
        <f>IF(_xlfn.XLOOKUP($E114,'[1]Import Eletra'!$B:$B,'[1]Import Eletra'!$BF:$BF,,0,1)=0,"",_xlfn.XLOOKUP($E114,'[1]Import Eletra'!$B:$B,'[1]Import Eletra'!$BF:$BF,,0,1))</f>
        <v>46049</v>
      </c>
      <c r="CV114" s="309">
        <f>$CT$4</f>
        <v>0</v>
      </c>
      <c r="CW114" s="309">
        <f ca="1">IF(CU114="",TODAY()-CT114,CU114-CT114)</f>
        <v>-5</v>
      </c>
      <c r="CX114" s="310">
        <f ca="1">CW114-CV114</f>
        <v>-5</v>
      </c>
      <c r="CY114" s="85">
        <f>DD114-$DD$4</f>
        <v>46054</v>
      </c>
      <c r="CZ114" s="271">
        <f>IF(_xlfn.XLOOKUP($E114,'[1]Import Eletra'!$B:$B,'[1]Import Eletra'!$BF:$BF,,0,1)=0,"",_xlfn.XLOOKUP($E114,'[1]Import Eletra'!$B:$B,'[1]Import Eletra'!$BF:$BF,,0,1))</f>
        <v>46049</v>
      </c>
      <c r="DA114" s="311">
        <f>$CY$4</f>
        <v>0</v>
      </c>
      <c r="DB114" s="309">
        <f ca="1">IF(CZ114="",TODAY()-CY114,CZ114-CY114)</f>
        <v>-5</v>
      </c>
      <c r="DC114" s="310">
        <f ca="1">DB114-DA114</f>
        <v>-5</v>
      </c>
      <c r="DD114" s="85">
        <f>DI114-$DI$4</f>
        <v>46056</v>
      </c>
      <c r="DE114" s="271">
        <f>IF(_xlfn.XLOOKUP($E114,'[1]Import Eletra'!$B:$B,'[1]Import Eletra'!$BG:$BG,,0,1)=0,"",_xlfn.XLOOKUP($E114,'[1]Import Eletra'!$B:$B,'[1]Import Eletra'!$BG:$BG,0,1))</f>
        <v>46051</v>
      </c>
      <c r="DF114" s="309">
        <f>$DD$4</f>
        <v>2</v>
      </c>
      <c r="DG114" s="309">
        <f ca="1">IF(DE114="",TODAY()-DD114,DE114-DD114)</f>
        <v>-5</v>
      </c>
      <c r="DH114" s="310">
        <f ca="1">DG114-DF114</f>
        <v>-7</v>
      </c>
      <c r="DI114" s="85">
        <f>DO114-$DN$4</f>
        <v>46057</v>
      </c>
      <c r="DJ114" s="271" t="str">
        <f>IF(_xlfn.XLOOKUP($E114,'[1]Import Eletra'!$B:$B,'[1]Import Eletra'!$BH:$BH,,0,1)=0,"",_xlfn.XLOOKUP($E114,'[1]Import Eletra'!$B:$B,'[1]Import Eletra'!$BH:$BH,0,1))</f>
        <v/>
      </c>
      <c r="DK114" s="309">
        <f>$DI$4</f>
        <v>1</v>
      </c>
      <c r="DL114" s="309">
        <f ca="1">IF(DJ114="",TODAY()-DI114,DJ114-DI114)</f>
        <v>154</v>
      </c>
      <c r="DM114" s="310">
        <f ca="1">DL114-DK114</f>
        <v>153</v>
      </c>
      <c r="DN114" s="312"/>
      <c r="DO114" s="313">
        <f>IF(V114="",N114+DT114,V114+DT114)</f>
        <v>46058</v>
      </c>
      <c r="DP114" s="59">
        <f>IF(_xlfn.XLOOKUP($E114,'[1]Import Eletra'!$B:$B,'[1]Import Eletra'!$O:$O,,0,1)=0,"",_xlfn.XLOOKUP($E114,'[1]Import Eletra'!$B:$B,'[1]Import Eletra'!$O:$O,0,1))</f>
        <v>46057</v>
      </c>
      <c r="DQ114" s="309">
        <f>$DN$4</f>
        <v>1</v>
      </c>
      <c r="DR114" s="309">
        <f ca="1">IF(DP114="",TODAY()-DO114,DP114-DO114)</f>
        <v>-1</v>
      </c>
      <c r="DS114" s="310">
        <f ca="1">DR114-DQ114</f>
        <v>-2</v>
      </c>
      <c r="DT114" s="314">
        <v>17</v>
      </c>
      <c r="DU114" s="140">
        <f ca="1">IF(DP114="",TODAY()-N114,DP114-N114)</f>
        <v>17</v>
      </c>
      <c r="DV114" s="184">
        <f ca="1">DU114-DT114</f>
        <v>0</v>
      </c>
      <c r="DX114" s="316"/>
      <c r="DY114" s="108" t="str">
        <f>IF(_xlfn.XLOOKUP($E114,'[1]Import Eletra'!$B:$B,'[1]Import Eletra'!$DW:$DW,,0,1)=0,"",_xlfn.XLOOKUP($E114,'[1]Import Eletra'!$B:$B,'[1]Import Eletra'!$DW:$DW,0,1))</f>
        <v/>
      </c>
      <c r="EB114" s="317"/>
      <c r="ED114" s="406">
        <f>IF(_xlfn.XLOOKUP($E114,'[1]Import Eletra'!$B:$B,'[1]Import Eletra'!$BQ:$BQ,,0,1)=0,"",_xlfn.XLOOKUP($E114,'[1]Import Eletra'!$B:$B,'[1]Import Eletra'!$BQ:$BQ,0,1))</f>
        <v>1636.58</v>
      </c>
      <c r="EE114" s="407">
        <f>IF(_xlfn.XLOOKUP($E114,'[1]Import Eletra'!$B:$B,'[1]Import Eletra'!$BR:$BR,,0,1)=0,"",_xlfn.XLOOKUP($E114,'[1]Import Eletra'!$B:$B,'[1]Import Eletra'!$BR:$BR,0,1))</f>
        <v>46055</v>
      </c>
      <c r="EF114" s="406" t="str">
        <f>IF(_xlfn.XLOOKUP($E114,'[1]Import Eletra'!$B:$B,'[1]Import Eletra'!$BS:$BS,,0,1)=0,"",_xlfn.XLOOKUP($E114,'[1]Import Eletra'!$B:$B,'[1]Import Eletra'!$BS:$BS,0,1))</f>
        <v/>
      </c>
      <c r="EG114" s="407" t="str">
        <f>IF(_xlfn.XLOOKUP($E114,'[1]Import Eletra'!$B:$B,'[1]Import Eletra'!$BT:$BT,,0,1)=0,"",_xlfn.XLOOKUP($E114,'[1]Import Eletra'!$B:$B,'[1]Import Eletra'!$BT:$BT,0,1))</f>
        <v/>
      </c>
      <c r="EH114" s="406" t="str">
        <f>IF(_xlfn.XLOOKUP($E114,'[1]Import Eletra'!$B:$B,'[1]Import Eletra'!$BU:$BU,,0,1)=0,"",_xlfn.XLOOKUP($E114,'[1]Import Eletra'!$B:$B,'[1]Import Eletra'!$BU:$BU,0,1))</f>
        <v/>
      </c>
      <c r="EI114" s="407" t="str">
        <f>IF(_xlfn.XLOOKUP($E114,'[1]Import Eletra'!$B:$B,'[1]Import Eletra'!$BV:$BV,,0,1)=0,"",_xlfn.XLOOKUP($E114,'[1]Import Eletra'!$B:$B,'[1]Import Eletra'!$BV:$BV,0,1))</f>
        <v/>
      </c>
      <c r="EJ114" s="407">
        <f>IF(_xlfn.XLOOKUP($E114,'[1]Import Eletra'!$B:$B,'[1]Import Eletra'!$CI:$CI,,0,1)=0,"",_xlfn.XLOOKUP($E114,'[1]Import Eletra'!$B:$B,'[1]Import Eletra'!$CI:$CI,0,1))</f>
        <v>46061</v>
      </c>
      <c r="EK114" s="407">
        <f>IF(_xlfn.XLOOKUP($E114,'[1]Import Eletra'!$B:$B,'[1]Import Eletra'!$CD:$CD,,0,1)=0,"",_xlfn.XLOOKUP($E114,'[1]Import Eletra'!$B:$B,'[1]Import Eletra'!$CD:$CD,0,1))</f>
        <v>46057</v>
      </c>
      <c r="EL114" s="407" t="str">
        <f>IF(_xlfn.XLOOKUP($E114,'[1]Import Eletra'!$B:$B,'[1]Import Eletra'!$CE:$CE,,0,1)=0,"",_xlfn.XLOOKUP($E114,'[1]Import Eletra'!$B:$B,'[1]Import Eletra'!$CE:$CE,0,1))</f>
        <v>NÃO</v>
      </c>
      <c r="EM114" s="408" t="str">
        <f>IF(_xlfn.XLOOKUP($E114,'[1]Import Eletra'!$B:$B,'[1]Import Eletra'!$E:$E,,0,1)=0,"",_xlfn.XLOOKUP($E114,'[1]Import Eletra'!$B:$B,'[1]Import Eletra'!$E:$E,0,1))</f>
        <v>STELLA</v>
      </c>
      <c r="EN114" s="408" t="str">
        <f>IF(_xlfn.XLOOKUP($E114,'[1]Import Eletra'!$B:$B,'[1]Import Eletra'!$E:$E,,0,1)=0,"",_xlfn.XLOOKUP($E114,'[1]Import Eletra'!$B:$B,'[1]Import Eletra'!$E:$E,0,1))</f>
        <v>STELLA</v>
      </c>
      <c r="EO114" s="408" t="str">
        <f>IF(_xlfn.XLOOKUP($E114,'[1]Import Eletra'!$B:$B,'[1]Import Eletra'!$E:$E,,0,1)=0,"",_xlfn.XLOOKUP($E114,'[1]Import Eletra'!$B:$B,'[1]Import Eletra'!$E:$E,0,1))</f>
        <v>STELLA</v>
      </c>
      <c r="EP114" s="408" t="str">
        <f>IF(_xlfn.XLOOKUP($E114,'[1]Import Eletra'!$B:$B,'[1]Import Eletra'!$E:$E,,0,1)=0,"",_xlfn.XLOOKUP($E114,'[1]Import Eletra'!$B:$B,'[1]Import Eletra'!$E:$E,0,1))</f>
        <v>STELLA</v>
      </c>
    </row>
    <row r="115" spans="1:146" s="315" customFormat="1" ht="30" hidden="1" customHeight="1" outlineLevel="1">
      <c r="A115" s="305"/>
      <c r="B115" s="306"/>
      <c r="C115" s="306"/>
      <c r="D115" s="306"/>
      <c r="E115" s="318" t="s">
        <v>411</v>
      </c>
      <c r="F115" s="307" t="str">
        <f>IF(_xlfn.XLOOKUP($E115,'[1]Import Eletra'!$B:$B,'[1]Import Eletra'!$U:$U,,0,1)=0,"",_xlfn.XLOOKUP($E115,'[1]Import Eletra'!$B:$B,'[1]Import Eletra'!$U:$U,,0,1))</f>
        <v/>
      </c>
      <c r="G115" s="320" t="s">
        <v>244</v>
      </c>
      <c r="H115" s="59" t="str">
        <f>_xlfn.XLOOKUP($E115,'[1]Import Eletra'!$B:$B,'[1]Import Eletra'!$F:$F,,0,1)</f>
        <v>DELIVERED</v>
      </c>
      <c r="I115" s="4" t="str">
        <f>_xlfn.XLOOKUP($E115,'[1]Import Eletra'!$B:$B,'[1]Import Eletra'!$G:$G,,0,1)</f>
        <v>AIR</v>
      </c>
      <c r="J115" s="331"/>
      <c r="K115" s="308"/>
      <c r="L115" s="308"/>
      <c r="M115" s="331">
        <f>IF(_xlfn.XLOOKUP($E115,'[1]Import Eletra'!$B:$B,'[1]Import Eletra'!$J:$J,,0,1)=0,"",_xlfn.XLOOKUP($E115,'[1]Import Eletra'!$B:$B,'[1]Import Eletra'!$J:$J,,0,1))</f>
        <v>46036</v>
      </c>
      <c r="N115" s="334">
        <f>IF(_xlfn.XLOOKUP($E115,'[1]Import Eletra'!$B:$B,'[1]Import Eletra'!$L:$L,,0,1)=0,"",_xlfn.XLOOKUP($E115,'[1]Import Eletra'!$B:$B,'[1]Import Eletra'!$L:$L,,0,1))</f>
        <v>46039</v>
      </c>
      <c r="O115" s="336">
        <f>IF(_xlfn.XLOOKUP($E115,'[1]Import Eletra'!$B:$B,'[1]Import Eletra'!$AK:$AK,,0,1)=0,"",_xlfn.XLOOKUP($E115,'[1]Import Eletra'!$B:$B,'[1]Import Eletra'!$AK:$AK,,0,1))</f>
        <v>46036</v>
      </c>
      <c r="P115" s="331">
        <f>IF(_xlfn.XLOOKUP($E115,'[1]Import Eletra'!$B:$B,'[1]Import Eletra'!$AL:$AL,,0,1)=0,"",_xlfn.XLOOKUP($E115,'[1]Import Eletra'!$B:$B,'[1]Import Eletra'!$AL:$AL,,0,1))</f>
        <v>46038</v>
      </c>
      <c r="Q115" s="331">
        <f>IF(_xlfn.XLOOKUP($E115,'[1]Import Eletra'!$B:$B,'[1]Import Eletra'!$AM:$AM,,0,1)=0,"",_xlfn.XLOOKUP($E115,'[1]Import Eletra'!$B:$B,'[1]Import Eletra'!$AM:$AM,,0,1))</f>
        <v>46038</v>
      </c>
      <c r="R115" s="331">
        <f>IF(_xlfn.XLOOKUP($E115,'[1]Import Eletra'!$B:$B,'[1]Import Eletra'!$AN:$AN,,0,1)=0,"",_xlfn.XLOOKUP($E115,'[1]Import Eletra'!$B:$B,'[1]Import Eletra'!$AN:$AN,,0,1))</f>
        <v>46041</v>
      </c>
      <c r="S115" s="331">
        <f>IF(_xlfn.XLOOKUP($E115,'[1]Import Eletra'!$B:$B,'[1]Import Eletra'!$AO:$AO,,0,1)=0,"",_xlfn.XLOOKUP($E115,'[1]Import Eletra'!$B:$B,'[1]Import Eletra'!$AO:$AO,,0,1))</f>
        <v>46041</v>
      </c>
      <c r="T115" s="331">
        <f>IF(_xlfn.XLOOKUP($E115,'[1]Import Eletra'!$B:$B,'[1]Import Eletra'!$AP:$AP,,0,1)=0,"",_xlfn.XLOOKUP($E115,'[1]Import Eletra'!$B:$B,'[1]Import Eletra'!$AP:$AP,,0,1))</f>
        <v>46042</v>
      </c>
      <c r="U115" s="338">
        <f>IF(_xlfn.XLOOKUP($E115,'[1]Import Eletra'!$B:$B,'[1]Import Eletra'!$AQ:$AQ,,0,1)=0,"",_xlfn.XLOOKUP($E115,'[1]Import Eletra'!$B:$B,'[1]Import Eletra'!$AQ:$AQ,,0,1))</f>
        <v>46045</v>
      </c>
      <c r="V115" s="343">
        <f>IF(_xlfn.XLOOKUP($E115,'[1]Import Eletra'!$B:$B,'[1]Import Eletra'!$AQ:$AQ,,0,1)=0,"",_xlfn.XLOOKUP($E115,'[1]Import Eletra'!$B:$B,'[1]Import Eletra'!$AQ:$AQ,,0,1))</f>
        <v>46045</v>
      </c>
      <c r="W115" s="336">
        <f>AB115-$AB$4</f>
        <v>46055</v>
      </c>
      <c r="X115" s="345">
        <f>IF(_xlfn.XLOOKUP($E115,'[1]Import Eletra'!$B:$B,'[1]Import Eletra'!$AR:$AR,,0,1)=0,"",_xlfn.XLOOKUP($E115,'[1]Import Eletra'!$B:$B,'[1]Import Eletra'!$AR:$AR,,0,1))</f>
        <v>46039</v>
      </c>
      <c r="Y115" s="309">
        <f>$W$4</f>
        <v>0</v>
      </c>
      <c r="Z115" s="309">
        <f ca="1">IF(X115="",TODAY()-W115,X115-W115)</f>
        <v>-16</v>
      </c>
      <c r="AA115" s="310" t="str">
        <f ca="1">IF(AND(ISNUMBER($Z115),$Z115&gt;0),$Z115-$Y115,"")</f>
        <v/>
      </c>
      <c r="AB115" s="350">
        <f>AG115-$AB$4</f>
        <v>46055</v>
      </c>
      <c r="AC115" s="345">
        <f>IF(_xlfn.XLOOKUP($E115,'[1]Import Eletra'!$B:$B,'[1]Import Eletra'!$AD:$AD,,0,1)=0,"",_xlfn.XLOOKUP($E115,'[1]Import Eletra'!$B:$B,'[1]Import Eletra'!$AD:$AD,,0,1))</f>
        <v>46050</v>
      </c>
      <c r="AD115" s="309">
        <f>$AB$4</f>
        <v>0</v>
      </c>
      <c r="AE115" s="309">
        <f ca="1">IF(AC115="",TODAY()-AB115,AC115-AB115)</f>
        <v>-5</v>
      </c>
      <c r="AF115" s="310">
        <f ca="1">AE115-AD115</f>
        <v>-5</v>
      </c>
      <c r="AG115" s="356">
        <f>AL115-$AL$4</f>
        <v>46055</v>
      </c>
      <c r="AH115" s="345">
        <f>IF(_xlfn.XLOOKUP($E115,'[1]Import Eletra'!$B:$B,'[1]Import Eletra'!$AE:$AE,,0,1)=0,"",_xlfn.XLOOKUP($E115,'[1]Import Eletra'!$B:$B,'[1]Import Eletra'!$AE:$AE,,0,1))</f>
        <v>46051</v>
      </c>
      <c r="AI115" s="309">
        <f>$AG$4</f>
        <v>0</v>
      </c>
      <c r="AJ115" s="309">
        <f ca="1">IF(AH115="",TODAY()-AG115,AH115-AG115)</f>
        <v>-4</v>
      </c>
      <c r="AK115" s="310" t="str">
        <f ca="1">IF(AND(ISNUMBER($AJ115),$AJ115&gt;0),$AJ115-$AI115,"")</f>
        <v/>
      </c>
      <c r="AL115" s="356">
        <f>AQ115-$AQ$4</f>
        <v>46055</v>
      </c>
      <c r="AM115" s="345">
        <f>IF(_xlfn.XLOOKUP($E115,'[1]Import Eletra'!$B:$B,'[1]Import Eletra'!$AT:$AT,,0,1)=0,"",_xlfn.XLOOKUP($E115,'[1]Import Eletra'!$B:$B,'[1]Import Eletra'!$AT:$AT,,0,1))</f>
        <v>46051</v>
      </c>
      <c r="AN115" s="309">
        <f>$AL$4</f>
        <v>0</v>
      </c>
      <c r="AO115" s="309">
        <f ca="1">IF(AM115="",TODAY()-AL115,AM115-AL115)</f>
        <v>-4</v>
      </c>
      <c r="AP115" s="310" t="str">
        <f ca="1">IF(AND(ISNUMBER($AO115),$AO115&gt;0),$AO115-$AN115,"")</f>
        <v/>
      </c>
      <c r="AQ115" s="359">
        <f>AV115-$AV$4</f>
        <v>46056</v>
      </c>
      <c r="AR115" s="345">
        <f>IF(_xlfn.XLOOKUP($E115,'[1]Import Eletra'!$B:$B,'[1]Import Eletra'!$AU:$AU,,0,1)=0,"",_xlfn.XLOOKUP($E115,'[1]Import Eletra'!$B:$B,'[1]Import Eletra'!$AU:$AU,,0,1))</f>
        <v>46051</v>
      </c>
      <c r="AS115" s="309">
        <f>$AQ$4</f>
        <v>1</v>
      </c>
      <c r="AT115" s="309">
        <f ca="1">IF(AR115="",TODAY()-AQ115,AR115-AQ115)</f>
        <v>-5</v>
      </c>
      <c r="AU115" s="310" t="str">
        <f ca="1">IF(AND(ISNUMBER($AT115),$AT115&gt;0),$AT115-$AS115,"")</f>
        <v/>
      </c>
      <c r="AV115" s="356">
        <f>BA115-$BA$4</f>
        <v>46056</v>
      </c>
      <c r="AW115" s="345">
        <f>IF(_xlfn.XLOOKUP($E115,'[1]Import Eletra'!$B:$B,'[1]Import Eletra'!$AU:$AU,,0,1)=0,"",_xlfn.XLOOKUP($E115,'[1]Import Eletra'!$B:$B,'[1]Import Eletra'!$AU:$AU,,0,1))</f>
        <v>46051</v>
      </c>
      <c r="AX115" s="309">
        <f>$AV$4</f>
        <v>0</v>
      </c>
      <c r="AY115" s="309">
        <f ca="1">IF(AW115="",TODAY()-AV115,AW115-AV115)</f>
        <v>-5</v>
      </c>
      <c r="AZ115" s="310" t="str">
        <f ca="1">IF(AND(ISNUMBER($AY115),$AY115&gt;0),$AY115-$AX115,"")</f>
        <v/>
      </c>
      <c r="BA115" s="359">
        <f>BF115-$BF$4</f>
        <v>46056</v>
      </c>
      <c r="BB115" s="345" t="str">
        <f>IF(_xlfn.XLOOKUP($E115,'[1]Import Eletra'!$B:$B,'[1]Import Eletra'!$AW:$AW,,0,1)=0,"",_xlfn.XLOOKUP($E115,'[1]Import Eletra'!$B:$B,'[1]Import Eletra'!$AW:$AW,,0,1))</f>
        <v/>
      </c>
      <c r="BC115" s="309">
        <f>$BA$4</f>
        <v>0</v>
      </c>
      <c r="BD115" s="309">
        <f ca="1">IF(BB115="",TODAY()-BA115,BB115-BA115)</f>
        <v>155</v>
      </c>
      <c r="BE115" s="310">
        <f ca="1">BD115-BC115</f>
        <v>155</v>
      </c>
      <c r="BF115" s="336">
        <f>BK115-$BK$4</f>
        <v>46056</v>
      </c>
      <c r="BG115" s="345" t="str">
        <f>IF(_xlfn.XLOOKUP($E115,'[1]Import Eletra'!$B:$B,'[1]Import Eletra'!$AX:$AX,,0,1)=0,"",_xlfn.XLOOKUP($E115,'[1]Import Eletra'!$B:$B,'[1]Import Eletra'!$AX:$AX,,0,1))</f>
        <v/>
      </c>
      <c r="BH115" s="309">
        <f>$BF$4</f>
        <v>0</v>
      </c>
      <c r="BI115" s="309">
        <f ca="1">IF(BG115="",TODAY()-BF115,BG115-BF115)</f>
        <v>155</v>
      </c>
      <c r="BJ115" s="310">
        <f ca="1">IF(AND(ISNUMBER($BI115),$BI115&gt;0),$BI115-$BH115,"")</f>
        <v>155</v>
      </c>
      <c r="BK115" s="363">
        <f>BP115-$BP$4</f>
        <v>46056</v>
      </c>
      <c r="BL115" s="345">
        <f>IF(_xlfn.XLOOKUP($E115,'[1]Import Eletra'!$B:$B,'[1]Import Eletra'!$AY:$AY,,0,1)=0,"",_xlfn.XLOOKUP($E115,'[1]Import Eletra'!$B:$B,'[1]Import Eletra'!$AY:$AY,,0,1))</f>
        <v>46051</v>
      </c>
      <c r="BM115" s="309">
        <f>$BK$4</f>
        <v>0</v>
      </c>
      <c r="BN115" s="309">
        <f ca="1">IF(BL115="",TODAY()-BK115,BL115-BK115)</f>
        <v>-5</v>
      </c>
      <c r="BO115" s="310">
        <f ca="1">BN115-BM115</f>
        <v>-5</v>
      </c>
      <c r="BP115" s="336">
        <f>BU115-$BU$4</f>
        <v>46056</v>
      </c>
      <c r="BQ115" s="345">
        <f>IF(_xlfn.XLOOKUP($E115,'[1]Import Eletra'!$B:$B,'[1]Import Eletra'!$AZ:$AZ,,0,1)=0,"",_xlfn.XLOOKUP($E115,'[1]Import Eletra'!$B:$B,'[1]Import Eletra'!$AZ:$AZ,,0,1))</f>
        <v>46051</v>
      </c>
      <c r="BR115" s="309">
        <f>$BP$4</f>
        <v>0</v>
      </c>
      <c r="BS115" s="309">
        <f ca="1">IF(BQ115="",TODAY()-BP115,BQ115-BP115)</f>
        <v>-5</v>
      </c>
      <c r="BT115" s="310">
        <f ca="1">BS115-BR115</f>
        <v>-5</v>
      </c>
      <c r="BU115" s="363">
        <f>BZ115-$BZ$4</f>
        <v>46058</v>
      </c>
      <c r="BV115" s="345">
        <f>IF(_xlfn.XLOOKUP($E115,'[1]Import Eletra'!$B:$B,'[1]Import Eletra'!$BA:$BA,,0,1)=0,"",_xlfn.XLOOKUP($E115,'[1]Import Eletra'!$B:$B,'[1]Import Eletra'!$BA:$BA,,0,1))</f>
        <v>46055</v>
      </c>
      <c r="BW115" s="309">
        <f>$BU$4</f>
        <v>2</v>
      </c>
      <c r="BX115" s="309">
        <f ca="1">IF(BV115="",TODAY()-BU115,BV115-BU115)</f>
        <v>-3</v>
      </c>
      <c r="BY115" s="310" t="str">
        <f ca="1">IF(AND(ISNUMBER($BX115),$BX115&gt;0),$BX115-$BW115,"")</f>
        <v/>
      </c>
      <c r="BZ115" s="336">
        <f>CE115-$CE$4</f>
        <v>46058</v>
      </c>
      <c r="CA115" s="345">
        <f>IF(_xlfn.XLOOKUP($E115,'[1]Import Eletra'!$B:$B,'[1]Import Eletra'!$BB:$BB,,0,1)=0,"",_xlfn.XLOOKUP($E115,'[1]Import Eletra'!$B:$B,'[1]Import Eletra'!$BB:$BB,,0,1))</f>
        <v>46055</v>
      </c>
      <c r="CB115" s="309">
        <f>$BZ$4</f>
        <v>0</v>
      </c>
      <c r="CC115" s="309">
        <f ca="1">IF(CA115="",TODAY()-BZ115,CA115-BZ115)</f>
        <v>-3</v>
      </c>
      <c r="CD115" s="310">
        <f ca="1">CC115-CB115</f>
        <v>-3</v>
      </c>
      <c r="CE115" s="363">
        <f>CJ115-$CJ$4</f>
        <v>46058</v>
      </c>
      <c r="CF115" s="345">
        <f>IF(_xlfn.XLOOKUP($E115,'[1]Import Eletra'!$B:$B,'[1]Import Eletra'!$BC:$BC,,0,1)=0,"",_xlfn.XLOOKUP($E115,'[1]Import Eletra'!$B:$B,'[1]Import Eletra'!$BC:$BC,,0,1))</f>
        <v>46056</v>
      </c>
      <c r="CG115" s="309">
        <f>$CE$4</f>
        <v>0</v>
      </c>
      <c r="CH115" s="309">
        <f ca="1">IF(CF115="",TODAY()-CE115,CF115-CE115)</f>
        <v>-2</v>
      </c>
      <c r="CI115" s="310">
        <f ca="1">CH115-CG115</f>
        <v>-2</v>
      </c>
      <c r="CJ115" s="336">
        <f>CO115-$CO$4</f>
        <v>46058</v>
      </c>
      <c r="CK115" s="345">
        <f>IF(_xlfn.XLOOKUP($E115,'[1]Import Eletra'!$B:$B,'[1]Import Eletra'!$BD:$BD,,0,1)=0,"",_xlfn.XLOOKUP($E115,'[1]Import Eletra'!$B:$B,'[1]Import Eletra'!$BD:$BD,,0,1))</f>
        <v>46055</v>
      </c>
      <c r="CL115" s="309"/>
      <c r="CM115" s="309">
        <f ca="1">IF(CK115="",TODAY()-CJ115,CK115-CJ115)</f>
        <v>-3</v>
      </c>
      <c r="CN115" s="310">
        <f ca="1">CM115-CL115</f>
        <v>-3</v>
      </c>
      <c r="CO115" s="363">
        <f>CT115-$CT$4</f>
        <v>46058</v>
      </c>
      <c r="CP115" s="345">
        <f>IF(_xlfn.XLOOKUP($E115,'[1]Import Eletra'!$B:$B,'[1]Import Eletra'!$BE:$BE,,0,1)=0,"",_xlfn.XLOOKUP($E115,'[1]Import Eletra'!$B:$B,'[1]Import Eletra'!$BE:$BE,,0,1))</f>
        <v>46056</v>
      </c>
      <c r="CQ115" s="309">
        <f>$CO$4</f>
        <v>0</v>
      </c>
      <c r="CR115" s="309">
        <f ca="1">IF(CP115="",TODAY()-CO115,CP115-CO115)</f>
        <v>-2</v>
      </c>
      <c r="CS115" s="310">
        <f ca="1">CR115-CQ115</f>
        <v>-2</v>
      </c>
      <c r="CT115" s="336">
        <f>CY115-$CY$4</f>
        <v>46058</v>
      </c>
      <c r="CU115" s="345">
        <f>IF(_xlfn.XLOOKUP($E115,'[1]Import Eletra'!$B:$B,'[1]Import Eletra'!$BF:$BF,,0,1)=0,"",_xlfn.XLOOKUP($E115,'[1]Import Eletra'!$B:$B,'[1]Import Eletra'!$BF:$BF,,0,1))</f>
        <v>46056</v>
      </c>
      <c r="CV115" s="309">
        <f>$CT$4</f>
        <v>0</v>
      </c>
      <c r="CW115" s="309">
        <f ca="1">IF(CU115="",TODAY()-CT115,CU115-CT115)</f>
        <v>-2</v>
      </c>
      <c r="CX115" s="310">
        <f ca="1">CW115-CV115</f>
        <v>-2</v>
      </c>
      <c r="CY115" s="85">
        <f>DD115-$DD$4</f>
        <v>46058</v>
      </c>
      <c r="CZ115" s="271">
        <f>IF(_xlfn.XLOOKUP($E115,'[1]Import Eletra'!$B:$B,'[1]Import Eletra'!$BF:$BF,,0,1)=0,"",_xlfn.XLOOKUP($E115,'[1]Import Eletra'!$B:$B,'[1]Import Eletra'!$BF:$BF,,0,1))</f>
        <v>46056</v>
      </c>
      <c r="DA115" s="311">
        <f>$CY$4</f>
        <v>0</v>
      </c>
      <c r="DB115" s="309">
        <f ca="1">IF(CZ115="",TODAY()-CY115,CZ115-CY115)</f>
        <v>-2</v>
      </c>
      <c r="DC115" s="310">
        <f ca="1">DB115-DA115</f>
        <v>-2</v>
      </c>
      <c r="DD115" s="85">
        <f>DI115-$DI$4</f>
        <v>46060</v>
      </c>
      <c r="DE115" s="271">
        <f>IF(_xlfn.XLOOKUP($E115,'[1]Import Eletra'!$B:$B,'[1]Import Eletra'!$BG:$BG,,0,1)=0,"",_xlfn.XLOOKUP($E115,'[1]Import Eletra'!$B:$B,'[1]Import Eletra'!$BG:$BG,0,1))</f>
        <v>46058</v>
      </c>
      <c r="DF115" s="309">
        <f>$DD$4</f>
        <v>2</v>
      </c>
      <c r="DG115" s="309">
        <f ca="1">IF(DE115="",TODAY()-DD115,DE115-DD115)</f>
        <v>-2</v>
      </c>
      <c r="DH115" s="310">
        <f ca="1">DG115-DF115</f>
        <v>-4</v>
      </c>
      <c r="DI115" s="85">
        <f>DO115-$DN$4</f>
        <v>46061</v>
      </c>
      <c r="DJ115" s="271">
        <f>IF(_xlfn.XLOOKUP($E115,'[1]Import Eletra'!$B:$B,'[1]Import Eletra'!$BH:$BH,,0,1)=0,"",_xlfn.XLOOKUP($E115,'[1]Import Eletra'!$B:$B,'[1]Import Eletra'!$BH:$BH,0,1))</f>
        <v>46058</v>
      </c>
      <c r="DK115" s="309">
        <f>$DI$4</f>
        <v>1</v>
      </c>
      <c r="DL115" s="309">
        <f ca="1">IF(DJ115="",TODAY()-DI115,DJ115-DI115)</f>
        <v>-3</v>
      </c>
      <c r="DM115" s="310">
        <f ca="1">DL115-DK115</f>
        <v>-4</v>
      </c>
      <c r="DN115" s="312"/>
      <c r="DO115" s="313">
        <f>IF(V115="",N115+DT115,V115+DT115)</f>
        <v>46062</v>
      </c>
      <c r="DP115" s="59">
        <f>IF(_xlfn.XLOOKUP($E115,'[1]Import Eletra'!$B:$B,'[1]Import Eletra'!$O:$O,,0,1)=0,"",_xlfn.XLOOKUP($E115,'[1]Import Eletra'!$B:$B,'[1]Import Eletra'!$O:$O,0,1))</f>
        <v>46058</v>
      </c>
      <c r="DQ115" s="309">
        <f>$DN$4</f>
        <v>1</v>
      </c>
      <c r="DR115" s="309">
        <f ca="1">IF(DP115="",TODAY()-DO115,DP115-DO115)</f>
        <v>-4</v>
      </c>
      <c r="DS115" s="310">
        <f ca="1">DR115-DQ115</f>
        <v>-5</v>
      </c>
      <c r="DT115" s="314">
        <v>17</v>
      </c>
      <c r="DU115" s="140">
        <f ca="1">IF(DP115="",TODAY()-N115,DP115-N115)</f>
        <v>19</v>
      </c>
      <c r="DV115" s="184">
        <f ca="1">DU115-DT115</f>
        <v>2</v>
      </c>
      <c r="DX115" s="316"/>
      <c r="DY115" s="108" t="str">
        <f>IF(_xlfn.XLOOKUP($E115,'[1]Import Eletra'!$B:$B,'[1]Import Eletra'!$DW:$DW,,0,1)=0,"",_xlfn.XLOOKUP($E115,'[1]Import Eletra'!$B:$B,'[1]Import Eletra'!$DW:$DW,0,1))</f>
        <v/>
      </c>
      <c r="EB115" s="317"/>
      <c r="ED115" s="406">
        <f>IF(_xlfn.XLOOKUP($E115,'[1]Import Eletra'!$B:$B,'[1]Import Eletra'!$BQ:$BQ,,0,1)=0,"",_xlfn.XLOOKUP($E115,'[1]Import Eletra'!$B:$B,'[1]Import Eletra'!$BQ:$BQ,0,1))</f>
        <v>6493.24</v>
      </c>
      <c r="EE115" s="407">
        <f>IF(_xlfn.XLOOKUP($E115,'[1]Import Eletra'!$B:$B,'[1]Import Eletra'!$BR:$BR,,0,1)=0,"",_xlfn.XLOOKUP($E115,'[1]Import Eletra'!$B:$B,'[1]Import Eletra'!$BR:$BR,0,1))</f>
        <v>46104</v>
      </c>
      <c r="EF115" s="406" t="str">
        <f>IF(_xlfn.XLOOKUP($E115,'[1]Import Eletra'!$B:$B,'[1]Import Eletra'!$BS:$BS,,0,1)=0,"",_xlfn.XLOOKUP($E115,'[1]Import Eletra'!$B:$B,'[1]Import Eletra'!$BS:$BS,0,1))</f>
        <v/>
      </c>
      <c r="EG115" s="407" t="str">
        <f>IF(_xlfn.XLOOKUP($E115,'[1]Import Eletra'!$B:$B,'[1]Import Eletra'!$BT:$BT,,0,1)=0,"",_xlfn.XLOOKUP($E115,'[1]Import Eletra'!$B:$B,'[1]Import Eletra'!$BT:$BT,0,1))</f>
        <v/>
      </c>
      <c r="EH115" s="406" t="str">
        <f>IF(_xlfn.XLOOKUP($E115,'[1]Import Eletra'!$B:$B,'[1]Import Eletra'!$BU:$BU,,0,1)=0,"",_xlfn.XLOOKUP($E115,'[1]Import Eletra'!$B:$B,'[1]Import Eletra'!$BU:$BU,0,1))</f>
        <v/>
      </c>
      <c r="EI115" s="407" t="str">
        <f>IF(_xlfn.XLOOKUP($E115,'[1]Import Eletra'!$B:$B,'[1]Import Eletra'!$BV:$BV,,0,1)=0,"",_xlfn.XLOOKUP($E115,'[1]Import Eletra'!$B:$B,'[1]Import Eletra'!$BV:$BV,0,1))</f>
        <v/>
      </c>
      <c r="EJ115" s="407" t="str">
        <f>IF(_xlfn.XLOOKUP($E115,'[1]Import Eletra'!$B:$B,'[1]Import Eletra'!$CI:$CI,,0,1)=0,"",_xlfn.XLOOKUP($E115,'[1]Import Eletra'!$B:$B,'[1]Import Eletra'!$CI:$CI,0,1))</f>
        <v/>
      </c>
      <c r="EK115" s="407" t="str">
        <f>IF(_xlfn.XLOOKUP($E115,'[1]Import Eletra'!$B:$B,'[1]Import Eletra'!$CD:$CD,,0,1)=0,"",_xlfn.XLOOKUP($E115,'[1]Import Eletra'!$B:$B,'[1]Import Eletra'!$CD:$CD,0,1))</f>
        <v/>
      </c>
      <c r="EL115" s="407" t="str">
        <f>IF(_xlfn.XLOOKUP($E115,'[1]Import Eletra'!$B:$B,'[1]Import Eletra'!$CE:$CE,,0,1)=0,"",_xlfn.XLOOKUP($E115,'[1]Import Eletra'!$B:$B,'[1]Import Eletra'!$CE:$CE,0,1))</f>
        <v>NÃO</v>
      </c>
      <c r="EM115" s="408" t="str">
        <f>IF(_xlfn.XLOOKUP($E115,'[1]Import Eletra'!$B:$B,'[1]Import Eletra'!$E:$E,,0,1)=0,"",_xlfn.XLOOKUP($E115,'[1]Import Eletra'!$B:$B,'[1]Import Eletra'!$E:$E,0,1))</f>
        <v>LEISIANE</v>
      </c>
      <c r="EN115" s="408" t="str">
        <f>IF(_xlfn.XLOOKUP($E115,'[1]Import Eletra'!$B:$B,'[1]Import Eletra'!$E:$E,,0,1)=0,"",_xlfn.XLOOKUP($E115,'[1]Import Eletra'!$B:$B,'[1]Import Eletra'!$E:$E,0,1))</f>
        <v>LEISIANE</v>
      </c>
      <c r="EO115" s="408" t="str">
        <f>IF(_xlfn.XLOOKUP($E115,'[1]Import Eletra'!$B:$B,'[1]Import Eletra'!$E:$E,,0,1)=0,"",_xlfn.XLOOKUP($E115,'[1]Import Eletra'!$B:$B,'[1]Import Eletra'!$E:$E,0,1))</f>
        <v>LEISIANE</v>
      </c>
      <c r="EP115" s="408" t="str">
        <f>IF(_xlfn.XLOOKUP($E115,'[1]Import Eletra'!$B:$B,'[1]Import Eletra'!$E:$E,,0,1)=0,"",_xlfn.XLOOKUP($E115,'[1]Import Eletra'!$B:$B,'[1]Import Eletra'!$E:$E,0,1))</f>
        <v>LEISIANE</v>
      </c>
    </row>
    <row r="116" spans="1:146" s="315" customFormat="1" ht="30" hidden="1" customHeight="1" outlineLevel="1">
      <c r="A116" s="305"/>
      <c r="B116" s="306"/>
      <c r="C116" s="306"/>
      <c r="D116" s="306"/>
      <c r="E116" s="318" t="s">
        <v>412</v>
      </c>
      <c r="F116" s="307">
        <f>IF(_xlfn.XLOOKUP($E116,'[1]Import Eletra'!$B:$B,'[1]Import Eletra'!$U:$U,,0,1)=0,"",_xlfn.XLOOKUP($E116,'[1]Import Eletra'!$B:$B,'[1]Import Eletra'!$U:$U,,0,1))</f>
        <v>3</v>
      </c>
      <c r="G116" s="320" t="s">
        <v>244</v>
      </c>
      <c r="H116" s="59" t="str">
        <f>_xlfn.XLOOKUP($E116,'[1]Import Eletra'!$B:$B,'[1]Import Eletra'!$F:$F,,0,1)</f>
        <v>DELIVERED</v>
      </c>
      <c r="I116" s="4" t="str">
        <f>_xlfn.XLOOKUP($E116,'[1]Import Eletra'!$B:$B,'[1]Import Eletra'!$G:$G,,0,1)</f>
        <v>SEA</v>
      </c>
      <c r="J116" s="331"/>
      <c r="K116" s="308"/>
      <c r="L116" s="308"/>
      <c r="M116" s="331">
        <f>IF(_xlfn.XLOOKUP($E116,'[1]Import Eletra'!$B:$B,'[1]Import Eletra'!$J:$J,,0,1)=0,"",_xlfn.XLOOKUP($E116,'[1]Import Eletra'!$B:$B,'[1]Import Eletra'!$J:$J,,0,1))</f>
        <v>45992</v>
      </c>
      <c r="N116" s="334">
        <f>IF(_xlfn.XLOOKUP($E116,'[1]Import Eletra'!$B:$B,'[1]Import Eletra'!$L:$L,,0,1)=0,"",_xlfn.XLOOKUP($E116,'[1]Import Eletra'!$B:$B,'[1]Import Eletra'!$L:$L,,0,1))</f>
        <v>46040</v>
      </c>
      <c r="O116" s="336">
        <f>IF(_xlfn.XLOOKUP($E116,'[1]Import Eletra'!$B:$B,'[1]Import Eletra'!$AK:$AK,,0,1)=0,"",_xlfn.XLOOKUP($E116,'[1]Import Eletra'!$B:$B,'[1]Import Eletra'!$AK:$AK,,0,1))</f>
        <v>46030</v>
      </c>
      <c r="P116" s="331">
        <f>IF(_xlfn.XLOOKUP($E116,'[1]Import Eletra'!$B:$B,'[1]Import Eletra'!$AL:$AL,,0,1)=0,"",_xlfn.XLOOKUP($E116,'[1]Import Eletra'!$B:$B,'[1]Import Eletra'!$AL:$AL,,0,1))</f>
        <v>46031</v>
      </c>
      <c r="Q116" s="331">
        <f>IF(_xlfn.XLOOKUP($E116,'[1]Import Eletra'!$B:$B,'[1]Import Eletra'!$AM:$AM,,0,1)=0,"",_xlfn.XLOOKUP($E116,'[1]Import Eletra'!$B:$B,'[1]Import Eletra'!$AM:$AM,,0,1))</f>
        <v>46034</v>
      </c>
      <c r="R116" s="331">
        <f>IF(_xlfn.XLOOKUP($E116,'[1]Import Eletra'!$B:$B,'[1]Import Eletra'!$AN:$AN,,0,1)=0,"",_xlfn.XLOOKUP($E116,'[1]Import Eletra'!$B:$B,'[1]Import Eletra'!$AN:$AN,,0,1))</f>
        <v>46036</v>
      </c>
      <c r="S116" s="331">
        <f>IF(_xlfn.XLOOKUP($E116,'[1]Import Eletra'!$B:$B,'[1]Import Eletra'!$AO:$AO,,0,1)=0,"",_xlfn.XLOOKUP($E116,'[1]Import Eletra'!$B:$B,'[1]Import Eletra'!$AO:$AO,,0,1))</f>
        <v>46037</v>
      </c>
      <c r="T116" s="331">
        <f>IF(_xlfn.XLOOKUP($E116,'[1]Import Eletra'!$B:$B,'[1]Import Eletra'!$AP:$AP,,0,1)=0,"",_xlfn.XLOOKUP($E116,'[1]Import Eletra'!$B:$B,'[1]Import Eletra'!$AP:$AP,,0,1))</f>
        <v>46041</v>
      </c>
      <c r="U116" s="338">
        <f>IF(_xlfn.XLOOKUP($E116,'[1]Import Eletra'!$B:$B,'[1]Import Eletra'!$AQ:$AQ,,0,1)=0,"",_xlfn.XLOOKUP($E116,'[1]Import Eletra'!$B:$B,'[1]Import Eletra'!$AQ:$AQ,,0,1))</f>
        <v>46041</v>
      </c>
      <c r="V116" s="343">
        <f>IF(_xlfn.XLOOKUP($E116,'[1]Import Eletra'!$B:$B,'[1]Import Eletra'!$AQ:$AQ,,0,1)=0,"",_xlfn.XLOOKUP($E116,'[1]Import Eletra'!$B:$B,'[1]Import Eletra'!$AQ:$AQ,,0,1))</f>
        <v>46041</v>
      </c>
      <c r="W116" s="336">
        <f>AB116-$AB$4</f>
        <v>46051</v>
      </c>
      <c r="X116" s="345">
        <f>IF(_xlfn.XLOOKUP($E116,'[1]Import Eletra'!$B:$B,'[1]Import Eletra'!$AR:$AR,,0,1)=0,"",_xlfn.XLOOKUP($E116,'[1]Import Eletra'!$B:$B,'[1]Import Eletra'!$AR:$AR,,0,1))</f>
        <v>46042</v>
      </c>
      <c r="Y116" s="309">
        <f>$W$4</f>
        <v>0</v>
      </c>
      <c r="Z116" s="309">
        <f ca="1">IF(X116="",TODAY()-W116,X116-W116)</f>
        <v>-9</v>
      </c>
      <c r="AA116" s="310" t="str">
        <f ca="1">IF(AND(ISNUMBER($Z116),$Z116&gt;0),$Z116-$Y116,"")</f>
        <v/>
      </c>
      <c r="AB116" s="350">
        <f>AG116-$AB$4</f>
        <v>46051</v>
      </c>
      <c r="AC116" s="345">
        <f>IF(_xlfn.XLOOKUP($E116,'[1]Import Eletra'!$B:$B,'[1]Import Eletra'!$AD:$AD,,0,1)=0,"",_xlfn.XLOOKUP($E116,'[1]Import Eletra'!$B:$B,'[1]Import Eletra'!$AD:$AD,,0,1))</f>
        <v>46050</v>
      </c>
      <c r="AD116" s="309">
        <f>$AB$4</f>
        <v>0</v>
      </c>
      <c r="AE116" s="309">
        <f ca="1">IF(AC116="",TODAY()-AB116,AC116-AB116)</f>
        <v>-1</v>
      </c>
      <c r="AF116" s="310">
        <f ca="1">AE116-AD116</f>
        <v>-1</v>
      </c>
      <c r="AG116" s="356">
        <f>AL116-$AL$4</f>
        <v>46051</v>
      </c>
      <c r="AH116" s="345">
        <f>IF(_xlfn.XLOOKUP($E116,'[1]Import Eletra'!$B:$B,'[1]Import Eletra'!$AE:$AE,,0,1)=0,"",_xlfn.XLOOKUP($E116,'[1]Import Eletra'!$B:$B,'[1]Import Eletra'!$AE:$AE,,0,1))</f>
        <v>46050</v>
      </c>
      <c r="AI116" s="309">
        <f>$AG$4</f>
        <v>0</v>
      </c>
      <c r="AJ116" s="309">
        <f ca="1">IF(AH116="",TODAY()-AG116,AH116-AG116)</f>
        <v>-1</v>
      </c>
      <c r="AK116" s="310" t="str">
        <f ca="1">IF(AND(ISNUMBER($AJ116),$AJ116&gt;0),$AJ116-$AI116,"")</f>
        <v/>
      </c>
      <c r="AL116" s="356">
        <f>AQ116-$AQ$4</f>
        <v>46051</v>
      </c>
      <c r="AM116" s="345">
        <f>IF(_xlfn.XLOOKUP($E116,'[1]Import Eletra'!$B:$B,'[1]Import Eletra'!$AT:$AT,,0,1)=0,"",_xlfn.XLOOKUP($E116,'[1]Import Eletra'!$B:$B,'[1]Import Eletra'!$AT:$AT,,0,1))</f>
        <v>46050</v>
      </c>
      <c r="AN116" s="309">
        <f>$AL$4</f>
        <v>0</v>
      </c>
      <c r="AO116" s="309">
        <f ca="1">IF(AM116="",TODAY()-AL116,AM116-AL116)</f>
        <v>-1</v>
      </c>
      <c r="AP116" s="310" t="str">
        <f ca="1">IF(AND(ISNUMBER($AO116),$AO116&gt;0),$AO116-$AN116,"")</f>
        <v/>
      </c>
      <c r="AQ116" s="359">
        <f>AV116-$AV$4</f>
        <v>46052</v>
      </c>
      <c r="AR116" s="345">
        <f>IF(_xlfn.XLOOKUP($E116,'[1]Import Eletra'!$B:$B,'[1]Import Eletra'!$AU:$AU,,0,1)=0,"",_xlfn.XLOOKUP($E116,'[1]Import Eletra'!$B:$B,'[1]Import Eletra'!$AU:$AU,,0,1))</f>
        <v>46051</v>
      </c>
      <c r="AS116" s="309">
        <f>$AQ$4</f>
        <v>1</v>
      </c>
      <c r="AT116" s="309">
        <f ca="1">IF(AR116="",TODAY()-AQ116,AR116-AQ116)</f>
        <v>-1</v>
      </c>
      <c r="AU116" s="310" t="str">
        <f ca="1">IF(AND(ISNUMBER($AT116),$AT116&gt;0),$AT116-$AS116,"")</f>
        <v/>
      </c>
      <c r="AV116" s="356">
        <f>BA116-$BA$4</f>
        <v>46052</v>
      </c>
      <c r="AW116" s="345">
        <f>IF(_xlfn.XLOOKUP($E116,'[1]Import Eletra'!$B:$B,'[1]Import Eletra'!$AU:$AU,,0,1)=0,"",_xlfn.XLOOKUP($E116,'[1]Import Eletra'!$B:$B,'[1]Import Eletra'!$AU:$AU,,0,1))</f>
        <v>46051</v>
      </c>
      <c r="AX116" s="309">
        <f>$AV$4</f>
        <v>0</v>
      </c>
      <c r="AY116" s="309">
        <f ca="1">IF(AW116="",TODAY()-AV116,AW116-AV116)</f>
        <v>-1</v>
      </c>
      <c r="AZ116" s="310" t="str">
        <f ca="1">IF(AND(ISNUMBER($AY116),$AY116&gt;0),$AY116-$AX116,"")</f>
        <v/>
      </c>
      <c r="BA116" s="359">
        <f>BF116-$BF$4</f>
        <v>46052</v>
      </c>
      <c r="BB116" s="345" t="str">
        <f>IF(_xlfn.XLOOKUP($E116,'[1]Import Eletra'!$B:$B,'[1]Import Eletra'!$AW:$AW,,0,1)=0,"",_xlfn.XLOOKUP($E116,'[1]Import Eletra'!$B:$B,'[1]Import Eletra'!$AW:$AW,,0,1))</f>
        <v/>
      </c>
      <c r="BC116" s="309">
        <f>$BA$4</f>
        <v>0</v>
      </c>
      <c r="BD116" s="309">
        <f ca="1">IF(BB116="",TODAY()-BA116,BB116-BA116)</f>
        <v>159</v>
      </c>
      <c r="BE116" s="310">
        <f ca="1">BD116-BC116</f>
        <v>159</v>
      </c>
      <c r="BF116" s="336">
        <f>BK116-$BK$4</f>
        <v>46052</v>
      </c>
      <c r="BG116" s="345" t="str">
        <f>IF(_xlfn.XLOOKUP($E116,'[1]Import Eletra'!$B:$B,'[1]Import Eletra'!$AX:$AX,,0,1)=0,"",_xlfn.XLOOKUP($E116,'[1]Import Eletra'!$B:$B,'[1]Import Eletra'!$AX:$AX,,0,1))</f>
        <v/>
      </c>
      <c r="BH116" s="309">
        <f>$BF$4</f>
        <v>0</v>
      </c>
      <c r="BI116" s="309">
        <f ca="1">IF(BG116="",TODAY()-BF116,BG116-BF116)</f>
        <v>159</v>
      </c>
      <c r="BJ116" s="310">
        <f ca="1">IF(AND(ISNUMBER($BI116),$BI116&gt;0),$BI116-$BH116,"")</f>
        <v>159</v>
      </c>
      <c r="BK116" s="363">
        <f>BP116-$BP$4</f>
        <v>46052</v>
      </c>
      <c r="BL116" s="345">
        <f>IF(_xlfn.XLOOKUP($E116,'[1]Import Eletra'!$B:$B,'[1]Import Eletra'!$AY:$AY,,0,1)=0,"",_xlfn.XLOOKUP($E116,'[1]Import Eletra'!$B:$B,'[1]Import Eletra'!$AY:$AY,,0,1))</f>
        <v>46050</v>
      </c>
      <c r="BM116" s="309">
        <f>$BK$4</f>
        <v>0</v>
      </c>
      <c r="BN116" s="309">
        <f ca="1">IF(BL116="",TODAY()-BK116,BL116-BK116)</f>
        <v>-2</v>
      </c>
      <c r="BO116" s="310">
        <f ca="1">BN116-BM116</f>
        <v>-2</v>
      </c>
      <c r="BP116" s="336">
        <f>BU116-$BU$4</f>
        <v>46052</v>
      </c>
      <c r="BQ116" s="345">
        <f>IF(_xlfn.XLOOKUP($E116,'[1]Import Eletra'!$B:$B,'[1]Import Eletra'!$AZ:$AZ,,0,1)=0,"",_xlfn.XLOOKUP($E116,'[1]Import Eletra'!$B:$B,'[1]Import Eletra'!$AZ:$AZ,,0,1))</f>
        <v>46051</v>
      </c>
      <c r="BR116" s="309">
        <f>$BP$4</f>
        <v>0</v>
      </c>
      <c r="BS116" s="309">
        <f ca="1">IF(BQ116="",TODAY()-BP116,BQ116-BP116)</f>
        <v>-1</v>
      </c>
      <c r="BT116" s="310">
        <f ca="1">BS116-BR116</f>
        <v>-1</v>
      </c>
      <c r="BU116" s="363">
        <f>BZ116-$BZ$4</f>
        <v>46054</v>
      </c>
      <c r="BV116" s="345">
        <f>IF(_xlfn.XLOOKUP($E116,'[1]Import Eletra'!$B:$B,'[1]Import Eletra'!$BA:$BA,,0,1)=0,"",_xlfn.XLOOKUP($E116,'[1]Import Eletra'!$B:$B,'[1]Import Eletra'!$BA:$BA,,0,1))</f>
        <v>46052</v>
      </c>
      <c r="BW116" s="309">
        <f>$BU$4</f>
        <v>2</v>
      </c>
      <c r="BX116" s="309">
        <f ca="1">IF(BV116="",TODAY()-BU116,BV116-BU116)</f>
        <v>-2</v>
      </c>
      <c r="BY116" s="310" t="str">
        <f ca="1">IF(AND(ISNUMBER($BX116),$BX116&gt;0),$BX116-$BW116,"")</f>
        <v/>
      </c>
      <c r="BZ116" s="336">
        <f>CE116-$CE$4</f>
        <v>46054</v>
      </c>
      <c r="CA116" s="345">
        <f>IF(_xlfn.XLOOKUP($E116,'[1]Import Eletra'!$B:$B,'[1]Import Eletra'!$BB:$BB,,0,1)=0,"",_xlfn.XLOOKUP($E116,'[1]Import Eletra'!$B:$B,'[1]Import Eletra'!$BB:$BB,,0,1))</f>
        <v>46052</v>
      </c>
      <c r="CB116" s="309">
        <f>$BZ$4</f>
        <v>0</v>
      </c>
      <c r="CC116" s="309">
        <f ca="1">IF(CA116="",TODAY()-BZ116,CA116-BZ116)</f>
        <v>-2</v>
      </c>
      <c r="CD116" s="310">
        <f ca="1">CC116-CB116</f>
        <v>-2</v>
      </c>
      <c r="CE116" s="363">
        <f>CJ116-$CJ$4</f>
        <v>46054</v>
      </c>
      <c r="CF116" s="345">
        <f>IF(_xlfn.XLOOKUP($E116,'[1]Import Eletra'!$B:$B,'[1]Import Eletra'!$BC:$BC,,0,1)=0,"",_xlfn.XLOOKUP($E116,'[1]Import Eletra'!$B:$B,'[1]Import Eletra'!$BC:$BC,,0,1))</f>
        <v>46056</v>
      </c>
      <c r="CG116" s="309">
        <f>$CE$4</f>
        <v>0</v>
      </c>
      <c r="CH116" s="309">
        <f ca="1">IF(CF116="",TODAY()-CE116,CF116-CE116)</f>
        <v>2</v>
      </c>
      <c r="CI116" s="310">
        <f ca="1">CH116-CG116</f>
        <v>2</v>
      </c>
      <c r="CJ116" s="336">
        <f>CO116-$CO$4</f>
        <v>46054</v>
      </c>
      <c r="CK116" s="345">
        <f>IF(_xlfn.XLOOKUP($E116,'[1]Import Eletra'!$B:$B,'[1]Import Eletra'!$BD:$BD,,0,1)=0,"",_xlfn.XLOOKUP($E116,'[1]Import Eletra'!$B:$B,'[1]Import Eletra'!$BD:$BD,,0,1))</f>
        <v>46052</v>
      </c>
      <c r="CL116" s="309"/>
      <c r="CM116" s="309">
        <f ca="1">IF(CK116="",TODAY()-CJ116,CK116-CJ116)</f>
        <v>-2</v>
      </c>
      <c r="CN116" s="310">
        <f ca="1">CM116-CL116</f>
        <v>-2</v>
      </c>
      <c r="CO116" s="363">
        <f>CT116-$CT$4</f>
        <v>46054</v>
      </c>
      <c r="CP116" s="345">
        <f>IF(_xlfn.XLOOKUP($E116,'[1]Import Eletra'!$B:$B,'[1]Import Eletra'!$BE:$BE,,0,1)=0,"",_xlfn.XLOOKUP($E116,'[1]Import Eletra'!$B:$B,'[1]Import Eletra'!$BE:$BE,,0,1))</f>
        <v>46056</v>
      </c>
      <c r="CQ116" s="309">
        <f>$CO$4</f>
        <v>0</v>
      </c>
      <c r="CR116" s="309">
        <f ca="1">IF(CP116="",TODAY()-CO116,CP116-CO116)</f>
        <v>2</v>
      </c>
      <c r="CS116" s="310">
        <f ca="1">CR116-CQ116</f>
        <v>2</v>
      </c>
      <c r="CT116" s="336">
        <f>CY116-$CY$4</f>
        <v>46054</v>
      </c>
      <c r="CU116" s="345">
        <f>IF(_xlfn.XLOOKUP($E116,'[1]Import Eletra'!$B:$B,'[1]Import Eletra'!$BF:$BF,,0,1)=0,"",_xlfn.XLOOKUP($E116,'[1]Import Eletra'!$B:$B,'[1]Import Eletra'!$BF:$BF,,0,1))</f>
        <v>46056</v>
      </c>
      <c r="CV116" s="309">
        <f>$CT$4</f>
        <v>0</v>
      </c>
      <c r="CW116" s="309">
        <f ca="1">IF(CU116="",TODAY()-CT116,CU116-CT116)</f>
        <v>2</v>
      </c>
      <c r="CX116" s="310">
        <f ca="1">CW116-CV116</f>
        <v>2</v>
      </c>
      <c r="CY116" s="85">
        <f>DD116-$DD$4</f>
        <v>46054</v>
      </c>
      <c r="CZ116" s="271">
        <f>IF(_xlfn.XLOOKUP($E116,'[1]Import Eletra'!$B:$B,'[1]Import Eletra'!$BF:$BF,,0,1)=0,"",_xlfn.XLOOKUP($E116,'[1]Import Eletra'!$B:$B,'[1]Import Eletra'!$BF:$BF,,0,1))</f>
        <v>46056</v>
      </c>
      <c r="DA116" s="311">
        <f>$CY$4</f>
        <v>0</v>
      </c>
      <c r="DB116" s="309">
        <f ca="1">IF(CZ116="",TODAY()-CY116,CZ116-CY116)</f>
        <v>2</v>
      </c>
      <c r="DC116" s="310">
        <f ca="1">DB116-DA116</f>
        <v>2</v>
      </c>
      <c r="DD116" s="85">
        <f>DI116-$DI$4</f>
        <v>46056</v>
      </c>
      <c r="DE116" s="271">
        <f>IF(_xlfn.XLOOKUP($E116,'[1]Import Eletra'!$B:$B,'[1]Import Eletra'!$BG:$BG,,0,1)=0,"",_xlfn.XLOOKUP($E116,'[1]Import Eletra'!$B:$B,'[1]Import Eletra'!$BG:$BG,0,1))</f>
        <v>46059</v>
      </c>
      <c r="DF116" s="309">
        <f>$DD$4</f>
        <v>2</v>
      </c>
      <c r="DG116" s="309">
        <f ca="1">IF(DE116="",TODAY()-DD116,DE116-DD116)</f>
        <v>3</v>
      </c>
      <c r="DH116" s="310">
        <f ca="1">DG116-DF116</f>
        <v>1</v>
      </c>
      <c r="DI116" s="85">
        <f>DO116-$DN$4</f>
        <v>46057</v>
      </c>
      <c r="DJ116" s="271" t="str">
        <f>IF(_xlfn.XLOOKUP($E116,'[1]Import Eletra'!$B:$B,'[1]Import Eletra'!$BH:$BH,,0,1)=0,"",_xlfn.XLOOKUP($E116,'[1]Import Eletra'!$B:$B,'[1]Import Eletra'!$BH:$BH,0,1))</f>
        <v/>
      </c>
      <c r="DK116" s="309">
        <f>$DI$4</f>
        <v>1</v>
      </c>
      <c r="DL116" s="309">
        <f ca="1">IF(DJ116="",TODAY()-DI116,DJ116-DI116)</f>
        <v>154</v>
      </c>
      <c r="DM116" s="310">
        <f ca="1">DL116-DK116</f>
        <v>153</v>
      </c>
      <c r="DN116" s="312"/>
      <c r="DO116" s="313">
        <f>IF(V116="",N116+DT116,V116+DT116)</f>
        <v>46058</v>
      </c>
      <c r="DP116" s="59">
        <f>IF(_xlfn.XLOOKUP($E116,'[1]Import Eletra'!$B:$B,'[1]Import Eletra'!$O:$O,,0,1)=0,"",_xlfn.XLOOKUP($E116,'[1]Import Eletra'!$B:$B,'[1]Import Eletra'!$O:$O,0,1))</f>
        <v>46059</v>
      </c>
      <c r="DQ116" s="309">
        <f>$DN$4</f>
        <v>1</v>
      </c>
      <c r="DR116" s="309">
        <f ca="1">IF(DP116="",TODAY()-DO116,DP116-DO116)</f>
        <v>1</v>
      </c>
      <c r="DS116" s="310">
        <f ca="1">DR116-DQ116</f>
        <v>0</v>
      </c>
      <c r="DT116" s="314">
        <v>17</v>
      </c>
      <c r="DU116" s="140">
        <f ca="1">IF(DP116="",TODAY()-N116,DP116-N116)</f>
        <v>19</v>
      </c>
      <c r="DV116" s="184">
        <f ca="1">DU116-DT116</f>
        <v>2</v>
      </c>
      <c r="DX116" s="316"/>
      <c r="DY116" s="108" t="str">
        <f>IF(_xlfn.XLOOKUP($E116,'[1]Import Eletra'!$B:$B,'[1]Import Eletra'!$DW:$DW,,0,1)=0,"",_xlfn.XLOOKUP($E116,'[1]Import Eletra'!$B:$B,'[1]Import Eletra'!$DW:$DW,0,1))</f>
        <v/>
      </c>
      <c r="EB116" s="317"/>
      <c r="ED116" s="406">
        <f>IF(_xlfn.XLOOKUP($E116,'[1]Import Eletra'!$B:$B,'[1]Import Eletra'!$BQ:$BQ,,0,1)=0,"",_xlfn.XLOOKUP($E116,'[1]Import Eletra'!$B:$B,'[1]Import Eletra'!$BQ:$BQ,0,1))</f>
        <v>2454.5700000000002</v>
      </c>
      <c r="EE116" s="407">
        <f>IF(_xlfn.XLOOKUP($E116,'[1]Import Eletra'!$B:$B,'[1]Import Eletra'!$BR:$BR,,0,1)=0,"",_xlfn.XLOOKUP($E116,'[1]Import Eletra'!$B:$B,'[1]Import Eletra'!$BR:$BR,0,1))</f>
        <v>46052</v>
      </c>
      <c r="EF116" s="406">
        <f>IF(_xlfn.XLOOKUP($E116,'[1]Import Eletra'!$B:$B,'[1]Import Eletra'!$BS:$BS,,0,1)=0,"",_xlfn.XLOOKUP($E116,'[1]Import Eletra'!$B:$B,'[1]Import Eletra'!$BS:$BS,0,1))</f>
        <v>6091.12</v>
      </c>
      <c r="EG116" s="407">
        <f>IF(_xlfn.XLOOKUP($E116,'[1]Import Eletra'!$B:$B,'[1]Import Eletra'!$BT:$BT,,0,1)=0,"",_xlfn.XLOOKUP($E116,'[1]Import Eletra'!$B:$B,'[1]Import Eletra'!$BT:$BT,0,1))</f>
        <v>46124</v>
      </c>
      <c r="EH116" s="406" t="str">
        <f>IF(_xlfn.XLOOKUP($E116,'[1]Import Eletra'!$B:$B,'[1]Import Eletra'!$BU:$BU,,0,1)=0,"",_xlfn.XLOOKUP($E116,'[1]Import Eletra'!$B:$B,'[1]Import Eletra'!$BU:$BU,0,1))</f>
        <v/>
      </c>
      <c r="EI116" s="407" t="str">
        <f>IF(_xlfn.XLOOKUP($E116,'[1]Import Eletra'!$B:$B,'[1]Import Eletra'!$BV:$BV,,0,1)=0,"",_xlfn.XLOOKUP($E116,'[1]Import Eletra'!$B:$B,'[1]Import Eletra'!$BV:$BV,0,1))</f>
        <v/>
      </c>
      <c r="EJ116" s="407">
        <f>IF(_xlfn.XLOOKUP($E116,'[1]Import Eletra'!$B:$B,'[1]Import Eletra'!$CI:$CI,,0,1)=0,"",_xlfn.XLOOKUP($E116,'[1]Import Eletra'!$B:$B,'[1]Import Eletra'!$CI:$CI,0,1))</f>
        <v>46061</v>
      </c>
      <c r="EK116" s="407">
        <f>IF(_xlfn.XLOOKUP($E116,'[1]Import Eletra'!$B:$B,'[1]Import Eletra'!$CD:$CD,,0,1)=0,"",_xlfn.XLOOKUP($E116,'[1]Import Eletra'!$B:$B,'[1]Import Eletra'!$CD:$CD,0,1))</f>
        <v>46062</v>
      </c>
      <c r="EL116" s="407" t="str">
        <f>IF(_xlfn.XLOOKUP($E116,'[1]Import Eletra'!$B:$B,'[1]Import Eletra'!$CE:$CE,,0,1)=0,"",_xlfn.XLOOKUP($E116,'[1]Import Eletra'!$B:$B,'[1]Import Eletra'!$CE:$CE,0,1))</f>
        <v>SIM  1 dias</v>
      </c>
      <c r="EM116" s="408" t="str">
        <f>IF(_xlfn.XLOOKUP($E116,'[1]Import Eletra'!$B:$B,'[1]Import Eletra'!$E:$E,,0,1)=0,"",_xlfn.XLOOKUP($E116,'[1]Import Eletra'!$B:$B,'[1]Import Eletra'!$E:$E,0,1))</f>
        <v>STELLA</v>
      </c>
      <c r="EN116" s="408" t="str">
        <f>IF(_xlfn.XLOOKUP($E116,'[1]Import Eletra'!$B:$B,'[1]Import Eletra'!$E:$E,,0,1)=0,"",_xlfn.XLOOKUP($E116,'[1]Import Eletra'!$B:$B,'[1]Import Eletra'!$E:$E,0,1))</f>
        <v>STELLA</v>
      </c>
      <c r="EO116" s="408" t="str">
        <f>IF(_xlfn.XLOOKUP($E116,'[1]Import Eletra'!$B:$B,'[1]Import Eletra'!$E:$E,,0,1)=0,"",_xlfn.XLOOKUP($E116,'[1]Import Eletra'!$B:$B,'[1]Import Eletra'!$E:$E,0,1))</f>
        <v>STELLA</v>
      </c>
      <c r="EP116" s="408" t="str">
        <f>IF(_xlfn.XLOOKUP($E116,'[1]Import Eletra'!$B:$B,'[1]Import Eletra'!$E:$E,,0,1)=0,"",_xlfn.XLOOKUP($E116,'[1]Import Eletra'!$B:$B,'[1]Import Eletra'!$E:$E,0,1))</f>
        <v>STELLA</v>
      </c>
    </row>
    <row r="117" spans="1:146" s="315" customFormat="1" ht="30" hidden="1" customHeight="1" outlineLevel="1">
      <c r="A117" s="305"/>
      <c r="B117" s="306"/>
      <c r="C117" s="306"/>
      <c r="D117" s="306"/>
      <c r="E117" s="318" t="s">
        <v>413</v>
      </c>
      <c r="F117" s="307" t="str">
        <f>IF(_xlfn.XLOOKUP($E117,'[1]Import Eletra'!$B:$B,'[1]Import Eletra'!$U:$U,,0,1)=0,"",_xlfn.XLOOKUP($E117,'[1]Import Eletra'!$B:$B,'[1]Import Eletra'!$U:$U,,0,1))</f>
        <v/>
      </c>
      <c r="G117" s="320" t="s">
        <v>244</v>
      </c>
      <c r="H117" s="59" t="str">
        <f>_xlfn.XLOOKUP($E117,'[1]Import Eletra'!$B:$B,'[1]Import Eletra'!$F:$F,,0,1)</f>
        <v>DELIVERED</v>
      </c>
      <c r="I117" s="4" t="str">
        <f>_xlfn.XLOOKUP($E117,'[1]Import Eletra'!$B:$B,'[1]Import Eletra'!$G:$G,,0,1)</f>
        <v>AIR</v>
      </c>
      <c r="J117" s="331"/>
      <c r="K117" s="308"/>
      <c r="L117" s="308"/>
      <c r="M117" s="331">
        <f>IF(_xlfn.XLOOKUP($E117,'[1]Import Eletra'!$B:$B,'[1]Import Eletra'!$J:$J,,0,1)=0,"",_xlfn.XLOOKUP($E117,'[1]Import Eletra'!$B:$B,'[1]Import Eletra'!$J:$J,,0,1))</f>
        <v>46019</v>
      </c>
      <c r="N117" s="334">
        <f>IF(_xlfn.XLOOKUP($E117,'[1]Import Eletra'!$B:$B,'[1]Import Eletra'!$L:$L,,0,1)=0,"",_xlfn.XLOOKUP($E117,'[1]Import Eletra'!$B:$B,'[1]Import Eletra'!$L:$L,,0,1))</f>
        <v>46056</v>
      </c>
      <c r="O117" s="336">
        <f>IF(_xlfn.XLOOKUP($E117,'[1]Import Eletra'!$B:$B,'[1]Import Eletra'!$AK:$AK,,0,1)=0,"",_xlfn.XLOOKUP($E117,'[1]Import Eletra'!$B:$B,'[1]Import Eletra'!$AK:$AK,,0,1))</f>
        <v>46052</v>
      </c>
      <c r="P117" s="331">
        <f>IF(_xlfn.XLOOKUP($E117,'[1]Import Eletra'!$B:$B,'[1]Import Eletra'!$AL:$AL,,0,1)=0,"",_xlfn.XLOOKUP($E117,'[1]Import Eletra'!$B:$B,'[1]Import Eletra'!$AL:$AL,,0,1))</f>
        <v>46052</v>
      </c>
      <c r="Q117" s="331">
        <f>IF(_xlfn.XLOOKUP($E117,'[1]Import Eletra'!$B:$B,'[1]Import Eletra'!$AM:$AM,,0,1)=0,"",_xlfn.XLOOKUP($E117,'[1]Import Eletra'!$B:$B,'[1]Import Eletra'!$AM:$AM,,0,1))</f>
        <v>46055</v>
      </c>
      <c r="R117" s="331">
        <f>IF(_xlfn.XLOOKUP($E117,'[1]Import Eletra'!$B:$B,'[1]Import Eletra'!$AN:$AN,,0,1)=0,"",_xlfn.XLOOKUP($E117,'[1]Import Eletra'!$B:$B,'[1]Import Eletra'!$AN:$AN,,0,1))</f>
        <v>46055</v>
      </c>
      <c r="S117" s="331">
        <f>IF(_xlfn.XLOOKUP($E117,'[1]Import Eletra'!$B:$B,'[1]Import Eletra'!$AO:$AO,,0,1)=0,"",_xlfn.XLOOKUP($E117,'[1]Import Eletra'!$B:$B,'[1]Import Eletra'!$AO:$AO,,0,1))</f>
        <v>46055</v>
      </c>
      <c r="T117" s="331">
        <f>IF(_xlfn.XLOOKUP($E117,'[1]Import Eletra'!$B:$B,'[1]Import Eletra'!$AP:$AP,,0,1)=0,"",_xlfn.XLOOKUP($E117,'[1]Import Eletra'!$B:$B,'[1]Import Eletra'!$AP:$AP,,0,1))</f>
        <v>46057</v>
      </c>
      <c r="U117" s="338">
        <f>IF(_xlfn.XLOOKUP($E117,'[1]Import Eletra'!$B:$B,'[1]Import Eletra'!$AQ:$AQ,,0,1)=0,"",_xlfn.XLOOKUP($E117,'[1]Import Eletra'!$B:$B,'[1]Import Eletra'!$AQ:$AQ,,0,1))</f>
        <v>46057</v>
      </c>
      <c r="V117" s="343">
        <f>IF(_xlfn.XLOOKUP($E117,'[1]Import Eletra'!$B:$B,'[1]Import Eletra'!$AQ:$AQ,,0,1)=0,"",_xlfn.XLOOKUP($E117,'[1]Import Eletra'!$B:$B,'[1]Import Eletra'!$AQ:$AQ,,0,1))</f>
        <v>46057</v>
      </c>
      <c r="W117" s="336">
        <f>AB117-$AB$4</f>
        <v>46067</v>
      </c>
      <c r="X117" s="345">
        <f>IF(_xlfn.XLOOKUP($E117,'[1]Import Eletra'!$B:$B,'[1]Import Eletra'!$AR:$AR,,0,1)=0,"",_xlfn.XLOOKUP($E117,'[1]Import Eletra'!$B:$B,'[1]Import Eletra'!$AR:$AR,,0,1))</f>
        <v>46057</v>
      </c>
      <c r="Y117" s="309">
        <f>$W$4</f>
        <v>0</v>
      </c>
      <c r="Z117" s="309">
        <f ca="1">IF(X117="",TODAY()-W117,X117-W117)</f>
        <v>-10</v>
      </c>
      <c r="AA117" s="310" t="str">
        <f ca="1">IF(AND(ISNUMBER($Z117),$Z117&gt;0),$Z117-$Y117,"")</f>
        <v/>
      </c>
      <c r="AB117" s="350">
        <f>AG117-$AB$4</f>
        <v>46067</v>
      </c>
      <c r="AC117" s="345">
        <f>IF(_xlfn.XLOOKUP($E117,'[1]Import Eletra'!$B:$B,'[1]Import Eletra'!$AD:$AD,,0,1)=0,"",_xlfn.XLOOKUP($E117,'[1]Import Eletra'!$B:$B,'[1]Import Eletra'!$AD:$AD,,0,1))</f>
        <v>46057</v>
      </c>
      <c r="AD117" s="309">
        <f>$AB$4</f>
        <v>0</v>
      </c>
      <c r="AE117" s="309">
        <f ca="1">IF(AC117="",TODAY()-AB117,AC117-AB117)</f>
        <v>-10</v>
      </c>
      <c r="AF117" s="310">
        <f ca="1">AE117-AD117</f>
        <v>-10</v>
      </c>
      <c r="AG117" s="356">
        <f>AL117-$AL$4</f>
        <v>46067</v>
      </c>
      <c r="AH117" s="345">
        <f>IF(_xlfn.XLOOKUP($E117,'[1]Import Eletra'!$B:$B,'[1]Import Eletra'!$AE:$AE,,0,1)=0,"",_xlfn.XLOOKUP($E117,'[1]Import Eletra'!$B:$B,'[1]Import Eletra'!$AE:$AE,,0,1))</f>
        <v>46057</v>
      </c>
      <c r="AI117" s="309">
        <f>$AG$4</f>
        <v>0</v>
      </c>
      <c r="AJ117" s="309">
        <f ca="1">IF(AH117="",TODAY()-AG117,AH117-AG117)</f>
        <v>-10</v>
      </c>
      <c r="AK117" s="310" t="str">
        <f ca="1">IF(AND(ISNUMBER($AJ117),$AJ117&gt;0),$AJ117-$AI117,"")</f>
        <v/>
      </c>
      <c r="AL117" s="356">
        <f>AQ117-$AQ$4</f>
        <v>46067</v>
      </c>
      <c r="AM117" s="345">
        <f>IF(_xlfn.XLOOKUP($E117,'[1]Import Eletra'!$B:$B,'[1]Import Eletra'!$AT:$AT,,0,1)=0,"",_xlfn.XLOOKUP($E117,'[1]Import Eletra'!$B:$B,'[1]Import Eletra'!$AT:$AT,,0,1))</f>
        <v>46057</v>
      </c>
      <c r="AN117" s="309">
        <f>$AL$4</f>
        <v>0</v>
      </c>
      <c r="AO117" s="309">
        <f ca="1">IF(AM117="",TODAY()-AL117,AM117-AL117)</f>
        <v>-10</v>
      </c>
      <c r="AP117" s="310" t="str">
        <f ca="1">IF(AND(ISNUMBER($AO117),$AO117&gt;0),$AO117-$AN117,"")</f>
        <v/>
      </c>
      <c r="AQ117" s="359">
        <f>AV117-$AV$4</f>
        <v>46068</v>
      </c>
      <c r="AR117" s="345">
        <f>IF(_xlfn.XLOOKUP($E117,'[1]Import Eletra'!$B:$B,'[1]Import Eletra'!$AU:$AU,,0,1)=0,"",_xlfn.XLOOKUP($E117,'[1]Import Eletra'!$B:$B,'[1]Import Eletra'!$AU:$AU,,0,1))</f>
        <v>46057</v>
      </c>
      <c r="AS117" s="309">
        <f>$AQ$4</f>
        <v>1</v>
      </c>
      <c r="AT117" s="309">
        <f ca="1">IF(AR117="",TODAY()-AQ117,AR117-AQ117)</f>
        <v>-11</v>
      </c>
      <c r="AU117" s="310" t="str">
        <f ca="1">IF(AND(ISNUMBER($AT117),$AT117&gt;0),$AT117-$AS117,"")</f>
        <v/>
      </c>
      <c r="AV117" s="356">
        <f>BA117-$BA$4</f>
        <v>46068</v>
      </c>
      <c r="AW117" s="345">
        <f>IF(_xlfn.XLOOKUP($E117,'[1]Import Eletra'!$B:$B,'[1]Import Eletra'!$AU:$AU,,0,1)=0,"",_xlfn.XLOOKUP($E117,'[1]Import Eletra'!$B:$B,'[1]Import Eletra'!$AU:$AU,,0,1))</f>
        <v>46057</v>
      </c>
      <c r="AX117" s="309">
        <f>$AV$4</f>
        <v>0</v>
      </c>
      <c r="AY117" s="309">
        <f ca="1">IF(AW117="",TODAY()-AV117,AW117-AV117)</f>
        <v>-11</v>
      </c>
      <c r="AZ117" s="310" t="str">
        <f ca="1">IF(AND(ISNUMBER($AY117),$AY117&gt;0),$AY117-$AX117,"")</f>
        <v/>
      </c>
      <c r="BA117" s="359">
        <f>BF117-$BF$4</f>
        <v>46068</v>
      </c>
      <c r="BB117" s="345" t="str">
        <f>IF(_xlfn.XLOOKUP($E117,'[1]Import Eletra'!$B:$B,'[1]Import Eletra'!$AW:$AW,,0,1)=0,"",_xlfn.XLOOKUP($E117,'[1]Import Eletra'!$B:$B,'[1]Import Eletra'!$AW:$AW,,0,1))</f>
        <v/>
      </c>
      <c r="BC117" s="309">
        <f>$BA$4</f>
        <v>0</v>
      </c>
      <c r="BD117" s="309">
        <f ca="1">IF(BB117="",TODAY()-BA117,BB117-BA117)</f>
        <v>143</v>
      </c>
      <c r="BE117" s="310">
        <f ca="1">BD117-BC117</f>
        <v>143</v>
      </c>
      <c r="BF117" s="336">
        <f>BK117-$BK$4</f>
        <v>46068</v>
      </c>
      <c r="BG117" s="345" t="str">
        <f>IF(_xlfn.XLOOKUP($E117,'[1]Import Eletra'!$B:$B,'[1]Import Eletra'!$AX:$AX,,0,1)=0,"",_xlfn.XLOOKUP($E117,'[1]Import Eletra'!$B:$B,'[1]Import Eletra'!$AX:$AX,,0,1))</f>
        <v/>
      </c>
      <c r="BH117" s="309">
        <f>$BF$4</f>
        <v>0</v>
      </c>
      <c r="BI117" s="309">
        <f ca="1">IF(BG117="",TODAY()-BF117,BG117-BF117)</f>
        <v>143</v>
      </c>
      <c r="BJ117" s="310">
        <f ca="1">IF(AND(ISNUMBER($BI117),$BI117&gt;0),$BI117-$BH117,"")</f>
        <v>143</v>
      </c>
      <c r="BK117" s="363">
        <f>BP117-$BP$4</f>
        <v>46068</v>
      </c>
      <c r="BL117" s="345">
        <f>IF(_xlfn.XLOOKUP($E117,'[1]Import Eletra'!$B:$B,'[1]Import Eletra'!$AY:$AY,,0,1)=0,"",_xlfn.XLOOKUP($E117,'[1]Import Eletra'!$B:$B,'[1]Import Eletra'!$AY:$AY,,0,1))</f>
        <v>46057</v>
      </c>
      <c r="BM117" s="309">
        <f>$BK$4</f>
        <v>0</v>
      </c>
      <c r="BN117" s="309">
        <f ca="1">IF(BL117="",TODAY()-BK117,BL117-BK117)</f>
        <v>-11</v>
      </c>
      <c r="BO117" s="310">
        <f ca="1">BN117-BM117</f>
        <v>-11</v>
      </c>
      <c r="BP117" s="336">
        <f>BU117-$BU$4</f>
        <v>46068</v>
      </c>
      <c r="BQ117" s="345">
        <f>IF(_xlfn.XLOOKUP($E117,'[1]Import Eletra'!$B:$B,'[1]Import Eletra'!$AZ:$AZ,,0,1)=0,"",_xlfn.XLOOKUP($E117,'[1]Import Eletra'!$B:$B,'[1]Import Eletra'!$AZ:$AZ,,0,1))</f>
        <v>46057</v>
      </c>
      <c r="BR117" s="309">
        <f>$BP$4</f>
        <v>0</v>
      </c>
      <c r="BS117" s="309">
        <f ca="1">IF(BQ117="",TODAY()-BP117,BQ117-BP117)</f>
        <v>-11</v>
      </c>
      <c r="BT117" s="310">
        <f ca="1">BS117-BR117</f>
        <v>-11</v>
      </c>
      <c r="BU117" s="363">
        <f>BZ117-$BZ$4</f>
        <v>46070</v>
      </c>
      <c r="BV117" s="345">
        <f>IF(_xlfn.XLOOKUP($E117,'[1]Import Eletra'!$B:$B,'[1]Import Eletra'!$BA:$BA,,0,1)=0,"",_xlfn.XLOOKUP($E117,'[1]Import Eletra'!$B:$B,'[1]Import Eletra'!$BA:$BA,,0,1))</f>
        <v>46059</v>
      </c>
      <c r="BW117" s="309">
        <f>$BU$4</f>
        <v>2</v>
      </c>
      <c r="BX117" s="309">
        <f ca="1">IF(BV117="",TODAY()-BU117,BV117-BU117)</f>
        <v>-11</v>
      </c>
      <c r="BY117" s="310" t="str">
        <f ca="1">IF(AND(ISNUMBER($BX117),$BX117&gt;0),$BX117-$BW117,"")</f>
        <v/>
      </c>
      <c r="BZ117" s="336">
        <f>CE117-$CE$4</f>
        <v>46070</v>
      </c>
      <c r="CA117" s="345">
        <f>IF(_xlfn.XLOOKUP($E117,'[1]Import Eletra'!$B:$B,'[1]Import Eletra'!$BB:$BB,,0,1)=0,"",_xlfn.XLOOKUP($E117,'[1]Import Eletra'!$B:$B,'[1]Import Eletra'!$BB:$BB,,0,1))</f>
        <v>46059</v>
      </c>
      <c r="CB117" s="309">
        <f>$BZ$4</f>
        <v>0</v>
      </c>
      <c r="CC117" s="309">
        <f ca="1">IF(CA117="",TODAY()-BZ117,CA117-BZ117)</f>
        <v>-11</v>
      </c>
      <c r="CD117" s="310">
        <f ca="1">CC117-CB117</f>
        <v>-11</v>
      </c>
      <c r="CE117" s="363">
        <f>CJ117-$CJ$4</f>
        <v>46070</v>
      </c>
      <c r="CF117" s="345">
        <f>IF(_xlfn.XLOOKUP($E117,'[1]Import Eletra'!$B:$B,'[1]Import Eletra'!$BC:$BC,,0,1)=0,"",_xlfn.XLOOKUP($E117,'[1]Import Eletra'!$B:$B,'[1]Import Eletra'!$BC:$BC,,0,1))</f>
        <v>46059</v>
      </c>
      <c r="CG117" s="309">
        <f>$CE$4</f>
        <v>0</v>
      </c>
      <c r="CH117" s="309">
        <f ca="1">IF(CF117="",TODAY()-CE117,CF117-CE117)</f>
        <v>-11</v>
      </c>
      <c r="CI117" s="310">
        <f ca="1">CH117-CG117</f>
        <v>-11</v>
      </c>
      <c r="CJ117" s="336">
        <f>CO117-$CO$4</f>
        <v>46070</v>
      </c>
      <c r="CK117" s="345">
        <f>IF(_xlfn.XLOOKUP($E117,'[1]Import Eletra'!$B:$B,'[1]Import Eletra'!$BD:$BD,,0,1)=0,"",_xlfn.XLOOKUP($E117,'[1]Import Eletra'!$B:$B,'[1]Import Eletra'!$BD:$BD,,0,1))</f>
        <v>46059</v>
      </c>
      <c r="CL117" s="309"/>
      <c r="CM117" s="309">
        <f ca="1">IF(CK117="",TODAY()-CJ117,CK117-CJ117)</f>
        <v>-11</v>
      </c>
      <c r="CN117" s="310">
        <f ca="1">CM117-CL117</f>
        <v>-11</v>
      </c>
      <c r="CO117" s="363">
        <f>CT117-$CT$4</f>
        <v>46070</v>
      </c>
      <c r="CP117" s="345">
        <f>IF(_xlfn.XLOOKUP($E117,'[1]Import Eletra'!$B:$B,'[1]Import Eletra'!$BE:$BE,,0,1)=0,"",_xlfn.XLOOKUP($E117,'[1]Import Eletra'!$B:$B,'[1]Import Eletra'!$BE:$BE,,0,1))</f>
        <v>46059</v>
      </c>
      <c r="CQ117" s="309">
        <f>$CO$4</f>
        <v>0</v>
      </c>
      <c r="CR117" s="309">
        <f ca="1">IF(CP117="",TODAY()-CO117,CP117-CO117)</f>
        <v>-11</v>
      </c>
      <c r="CS117" s="310">
        <f ca="1">CR117-CQ117</f>
        <v>-11</v>
      </c>
      <c r="CT117" s="336">
        <f>CY117-$CY$4</f>
        <v>46070</v>
      </c>
      <c r="CU117" s="345">
        <f>IF(_xlfn.XLOOKUP($E117,'[1]Import Eletra'!$B:$B,'[1]Import Eletra'!$BF:$BF,,0,1)=0,"",_xlfn.XLOOKUP($E117,'[1]Import Eletra'!$B:$B,'[1]Import Eletra'!$BF:$BF,,0,1))</f>
        <v>46059</v>
      </c>
      <c r="CV117" s="309">
        <f>$CT$4</f>
        <v>0</v>
      </c>
      <c r="CW117" s="309">
        <f ca="1">IF(CU117="",TODAY()-CT117,CU117-CT117)</f>
        <v>-11</v>
      </c>
      <c r="CX117" s="310">
        <f ca="1">CW117-CV117</f>
        <v>-11</v>
      </c>
      <c r="CY117" s="85">
        <f>DD117-$DD$4</f>
        <v>46070</v>
      </c>
      <c r="CZ117" s="271">
        <f>IF(_xlfn.XLOOKUP($E117,'[1]Import Eletra'!$B:$B,'[1]Import Eletra'!$BF:$BF,,0,1)=0,"",_xlfn.XLOOKUP($E117,'[1]Import Eletra'!$B:$B,'[1]Import Eletra'!$BF:$BF,,0,1))</f>
        <v>46059</v>
      </c>
      <c r="DA117" s="311">
        <f>$CY$4</f>
        <v>0</v>
      </c>
      <c r="DB117" s="309">
        <f ca="1">IF(CZ117="",TODAY()-CY117,CZ117-CY117)</f>
        <v>-11</v>
      </c>
      <c r="DC117" s="310">
        <f ca="1">DB117-DA117</f>
        <v>-11</v>
      </c>
      <c r="DD117" s="85">
        <f>DI117-$DI$4</f>
        <v>46072</v>
      </c>
      <c r="DE117" s="271">
        <f>IF(_xlfn.XLOOKUP($E117,'[1]Import Eletra'!$B:$B,'[1]Import Eletra'!$BG:$BG,,0,1)=0,"",_xlfn.XLOOKUP($E117,'[1]Import Eletra'!$B:$B,'[1]Import Eletra'!$BG:$BG,0,1))</f>
        <v>46063</v>
      </c>
      <c r="DF117" s="309">
        <f>$DD$4</f>
        <v>2</v>
      </c>
      <c r="DG117" s="309">
        <f ca="1">IF(DE117="",TODAY()-DD117,DE117-DD117)</f>
        <v>-9</v>
      </c>
      <c r="DH117" s="310">
        <f ca="1">DG117-DF117</f>
        <v>-11</v>
      </c>
      <c r="DI117" s="85">
        <f>DO117-$DN$4</f>
        <v>46073</v>
      </c>
      <c r="DJ117" s="271">
        <f>IF(_xlfn.XLOOKUP($E117,'[1]Import Eletra'!$B:$B,'[1]Import Eletra'!$BH:$BH,,0,1)=0,"",_xlfn.XLOOKUP($E117,'[1]Import Eletra'!$B:$B,'[1]Import Eletra'!$BH:$BH,0,1))</f>
        <v>46063</v>
      </c>
      <c r="DK117" s="309">
        <f>$DI$4</f>
        <v>1</v>
      </c>
      <c r="DL117" s="309">
        <f ca="1">IF(DJ117="",TODAY()-DI117,DJ117-DI117)</f>
        <v>-10</v>
      </c>
      <c r="DM117" s="310">
        <f ca="1">DL117-DK117</f>
        <v>-11</v>
      </c>
      <c r="DN117" s="312"/>
      <c r="DO117" s="313">
        <f>IF(V117="",N117+DT117,V117+DT117)</f>
        <v>46074</v>
      </c>
      <c r="DP117" s="59">
        <f>IF(_xlfn.XLOOKUP($E117,'[1]Import Eletra'!$B:$B,'[1]Import Eletra'!$O:$O,,0,1)=0,"",_xlfn.XLOOKUP($E117,'[1]Import Eletra'!$B:$B,'[1]Import Eletra'!$O:$O,0,1))</f>
        <v>46063</v>
      </c>
      <c r="DQ117" s="309">
        <f>$DN$4</f>
        <v>1</v>
      </c>
      <c r="DR117" s="309">
        <f ca="1">IF(DP117="",TODAY()-DO117,DP117-DO117)</f>
        <v>-11</v>
      </c>
      <c r="DS117" s="310">
        <f ca="1">DR117-DQ117</f>
        <v>-12</v>
      </c>
      <c r="DT117" s="314">
        <v>17</v>
      </c>
      <c r="DU117" s="140">
        <f ca="1">IF(DP117="",TODAY()-N117,DP117-N117)</f>
        <v>7</v>
      </c>
      <c r="DV117" s="184">
        <f ca="1">DU117-DT117</f>
        <v>-10</v>
      </c>
      <c r="DX117" s="316"/>
      <c r="DY117" s="108" t="str">
        <f>IF(_xlfn.XLOOKUP($E117,'[1]Import Eletra'!$B:$B,'[1]Import Eletra'!$DW:$DW,,0,1)=0,"",_xlfn.XLOOKUP($E117,'[1]Import Eletra'!$B:$B,'[1]Import Eletra'!$DW:$DW,0,1))</f>
        <v/>
      </c>
      <c r="EB117" s="317"/>
      <c r="ED117" s="406">
        <f>IF(_xlfn.XLOOKUP($E117,'[1]Import Eletra'!$B:$B,'[1]Import Eletra'!$BQ:$BQ,,0,1)=0,"",_xlfn.XLOOKUP($E117,'[1]Import Eletra'!$B:$B,'[1]Import Eletra'!$BQ:$BQ,0,1))</f>
        <v>27721.99</v>
      </c>
      <c r="EE117" s="407">
        <f>IF(_xlfn.XLOOKUP($E117,'[1]Import Eletra'!$B:$B,'[1]Import Eletra'!$BR:$BR,,0,1)=0,"",_xlfn.XLOOKUP($E117,'[1]Import Eletra'!$B:$B,'[1]Import Eletra'!$BR:$BR,0,1))</f>
        <v>46104</v>
      </c>
      <c r="EF117" s="406" t="str">
        <f>IF(_xlfn.XLOOKUP($E117,'[1]Import Eletra'!$B:$B,'[1]Import Eletra'!$BS:$BS,,0,1)=0,"",_xlfn.XLOOKUP($E117,'[1]Import Eletra'!$B:$B,'[1]Import Eletra'!$BS:$BS,0,1))</f>
        <v/>
      </c>
      <c r="EG117" s="407" t="str">
        <f>IF(_xlfn.XLOOKUP($E117,'[1]Import Eletra'!$B:$B,'[1]Import Eletra'!$BT:$BT,,0,1)=0,"",_xlfn.XLOOKUP($E117,'[1]Import Eletra'!$B:$B,'[1]Import Eletra'!$BT:$BT,0,1))</f>
        <v/>
      </c>
      <c r="EH117" s="406" t="str">
        <f>IF(_xlfn.XLOOKUP($E117,'[1]Import Eletra'!$B:$B,'[1]Import Eletra'!$BU:$BU,,0,1)=0,"",_xlfn.XLOOKUP($E117,'[1]Import Eletra'!$B:$B,'[1]Import Eletra'!$BU:$BU,0,1))</f>
        <v/>
      </c>
      <c r="EI117" s="407" t="str">
        <f>IF(_xlfn.XLOOKUP($E117,'[1]Import Eletra'!$B:$B,'[1]Import Eletra'!$BV:$BV,,0,1)=0,"",_xlfn.XLOOKUP($E117,'[1]Import Eletra'!$B:$B,'[1]Import Eletra'!$BV:$BV,0,1))</f>
        <v/>
      </c>
      <c r="EJ117" s="407" t="str">
        <f>IF(_xlfn.XLOOKUP($E117,'[1]Import Eletra'!$B:$B,'[1]Import Eletra'!$CI:$CI,,0,1)=0,"",_xlfn.XLOOKUP($E117,'[1]Import Eletra'!$B:$B,'[1]Import Eletra'!$CI:$CI,0,1))</f>
        <v/>
      </c>
      <c r="EK117" s="407" t="str">
        <f>IF(_xlfn.XLOOKUP($E117,'[1]Import Eletra'!$B:$B,'[1]Import Eletra'!$CD:$CD,,0,1)=0,"",_xlfn.XLOOKUP($E117,'[1]Import Eletra'!$B:$B,'[1]Import Eletra'!$CD:$CD,0,1))</f>
        <v/>
      </c>
      <c r="EL117" s="407" t="str">
        <f>IF(_xlfn.XLOOKUP($E117,'[1]Import Eletra'!$B:$B,'[1]Import Eletra'!$CE:$CE,,0,1)=0,"",_xlfn.XLOOKUP($E117,'[1]Import Eletra'!$B:$B,'[1]Import Eletra'!$CE:$CE,0,1))</f>
        <v>NÃO</v>
      </c>
      <c r="EM117" s="408" t="str">
        <f>IF(_xlfn.XLOOKUP($E117,'[1]Import Eletra'!$B:$B,'[1]Import Eletra'!$E:$E,,0,1)=0,"",_xlfn.XLOOKUP($E117,'[1]Import Eletra'!$B:$B,'[1]Import Eletra'!$E:$E,0,1))</f>
        <v>LEISIANE</v>
      </c>
      <c r="EN117" s="408" t="str">
        <f>IF(_xlfn.XLOOKUP($E117,'[1]Import Eletra'!$B:$B,'[1]Import Eletra'!$E:$E,,0,1)=0,"",_xlfn.XLOOKUP($E117,'[1]Import Eletra'!$B:$B,'[1]Import Eletra'!$E:$E,0,1))</f>
        <v>LEISIANE</v>
      </c>
      <c r="EO117" s="408" t="str">
        <f>IF(_xlfn.XLOOKUP($E117,'[1]Import Eletra'!$B:$B,'[1]Import Eletra'!$E:$E,,0,1)=0,"",_xlfn.XLOOKUP($E117,'[1]Import Eletra'!$B:$B,'[1]Import Eletra'!$E:$E,0,1))</f>
        <v>LEISIANE</v>
      </c>
      <c r="EP117" s="408" t="str">
        <f>IF(_xlfn.XLOOKUP($E117,'[1]Import Eletra'!$B:$B,'[1]Import Eletra'!$E:$E,,0,1)=0,"",_xlfn.XLOOKUP($E117,'[1]Import Eletra'!$B:$B,'[1]Import Eletra'!$E:$E,0,1))</f>
        <v>LEISIANE</v>
      </c>
    </row>
    <row r="118" spans="1:146" s="315" customFormat="1" ht="30" hidden="1" customHeight="1" outlineLevel="1">
      <c r="A118" s="305"/>
      <c r="B118" s="306"/>
      <c r="C118" s="306"/>
      <c r="D118" s="306"/>
      <c r="E118" s="318" t="s">
        <v>414</v>
      </c>
      <c r="F118" s="307">
        <f>IF(_xlfn.XLOOKUP($E118,'[1]Import Eletra'!$B:$B,'[1]Import Eletra'!$U:$U,,0,1)=0,"",_xlfn.XLOOKUP($E118,'[1]Import Eletra'!$B:$B,'[1]Import Eletra'!$U:$U,,0,1))</f>
        <v>1</v>
      </c>
      <c r="G118" s="320" t="s">
        <v>244</v>
      </c>
      <c r="H118" s="59" t="str">
        <f>_xlfn.XLOOKUP($E118,'[1]Import Eletra'!$B:$B,'[1]Import Eletra'!$F:$F,,0,1)</f>
        <v>DELIVERED</v>
      </c>
      <c r="I118" s="4" t="str">
        <f>_xlfn.XLOOKUP($E118,'[1]Import Eletra'!$B:$B,'[1]Import Eletra'!$G:$G,,0,1)</f>
        <v>SEA</v>
      </c>
      <c r="J118" s="331"/>
      <c r="K118" s="308"/>
      <c r="L118" s="308"/>
      <c r="M118" s="331">
        <f>IF(_xlfn.XLOOKUP($E118,'[1]Import Eletra'!$B:$B,'[1]Import Eletra'!$J:$J,,0,1)=0,"",_xlfn.XLOOKUP($E118,'[1]Import Eletra'!$B:$B,'[1]Import Eletra'!$J:$J,,0,1))</f>
        <v>45995</v>
      </c>
      <c r="N118" s="334">
        <f>IF(_xlfn.XLOOKUP($E118,'[1]Import Eletra'!$B:$B,'[1]Import Eletra'!$L:$L,,0,1)=0,"",_xlfn.XLOOKUP($E118,'[1]Import Eletra'!$B:$B,'[1]Import Eletra'!$L:$L,,0,1))</f>
        <v>46039</v>
      </c>
      <c r="O118" s="336">
        <f>IF(_xlfn.XLOOKUP($E118,'[1]Import Eletra'!$B:$B,'[1]Import Eletra'!$AK:$AK,,0,1)=0,"",_xlfn.XLOOKUP($E118,'[1]Import Eletra'!$B:$B,'[1]Import Eletra'!$AK:$AK,,0,1))</f>
        <v>45995</v>
      </c>
      <c r="P118" s="331">
        <f>IF(_xlfn.XLOOKUP($E118,'[1]Import Eletra'!$B:$B,'[1]Import Eletra'!$AL:$AL,,0,1)=0,"",_xlfn.XLOOKUP($E118,'[1]Import Eletra'!$B:$B,'[1]Import Eletra'!$AL:$AL,,0,1))</f>
        <v>46000</v>
      </c>
      <c r="Q118" s="331">
        <f>IF(_xlfn.XLOOKUP($E118,'[1]Import Eletra'!$B:$B,'[1]Import Eletra'!$AM:$AM,,0,1)=0,"",_xlfn.XLOOKUP($E118,'[1]Import Eletra'!$B:$B,'[1]Import Eletra'!$AM:$AM,,0,1))</f>
        <v>46002</v>
      </c>
      <c r="R118" s="331">
        <f>IF(_xlfn.XLOOKUP($E118,'[1]Import Eletra'!$B:$B,'[1]Import Eletra'!$AN:$AN,,0,1)=0,"",_xlfn.XLOOKUP($E118,'[1]Import Eletra'!$B:$B,'[1]Import Eletra'!$AN:$AN,,0,1))</f>
        <v>46002</v>
      </c>
      <c r="S118" s="331">
        <f>IF(_xlfn.XLOOKUP($E118,'[1]Import Eletra'!$B:$B,'[1]Import Eletra'!$AO:$AO,,0,1)=0,"",_xlfn.XLOOKUP($E118,'[1]Import Eletra'!$B:$B,'[1]Import Eletra'!$AO:$AO,,0,1))</f>
        <v>46009</v>
      </c>
      <c r="T118" s="331">
        <f>IF(_xlfn.XLOOKUP($E118,'[1]Import Eletra'!$B:$B,'[1]Import Eletra'!$AP:$AP,,0,1)=0,"",_xlfn.XLOOKUP($E118,'[1]Import Eletra'!$B:$B,'[1]Import Eletra'!$AP:$AP,,0,1))</f>
        <v>46010</v>
      </c>
      <c r="U118" s="338">
        <f>IF(_xlfn.XLOOKUP($E118,'[1]Import Eletra'!$B:$B,'[1]Import Eletra'!$AQ:$AQ,,0,1)=0,"",_xlfn.XLOOKUP($E118,'[1]Import Eletra'!$B:$B,'[1]Import Eletra'!$AQ:$AQ,,0,1))</f>
        <v>46042</v>
      </c>
      <c r="V118" s="343">
        <f>IF(_xlfn.XLOOKUP($E118,'[1]Import Eletra'!$B:$B,'[1]Import Eletra'!$AQ:$AQ,,0,1)=0,"",_xlfn.XLOOKUP($E118,'[1]Import Eletra'!$B:$B,'[1]Import Eletra'!$AQ:$AQ,,0,1))</f>
        <v>46042</v>
      </c>
      <c r="W118" s="336">
        <f>AB118-$AB$4</f>
        <v>46052</v>
      </c>
      <c r="X118" s="345">
        <f>IF(_xlfn.XLOOKUP($E118,'[1]Import Eletra'!$B:$B,'[1]Import Eletra'!$AR:$AR,,0,1)=0,"",_xlfn.XLOOKUP($E118,'[1]Import Eletra'!$B:$B,'[1]Import Eletra'!$AR:$AR,,0,1))</f>
        <v>46041</v>
      </c>
      <c r="Y118" s="309">
        <f>$W$4</f>
        <v>0</v>
      </c>
      <c r="Z118" s="309">
        <f ca="1">IF(X118="",TODAY()-W118,X118-W118)</f>
        <v>-11</v>
      </c>
      <c r="AA118" s="310" t="str">
        <f ca="1">IF(AND(ISNUMBER($Z118),$Z118&gt;0),$Z118-$Y118,"")</f>
        <v/>
      </c>
      <c r="AB118" s="350">
        <f>AG118-$AB$4</f>
        <v>46052</v>
      </c>
      <c r="AC118" s="345">
        <f>IF(_xlfn.XLOOKUP($E118,'[1]Import Eletra'!$B:$B,'[1]Import Eletra'!$AD:$AD,,0,1)=0,"",_xlfn.XLOOKUP($E118,'[1]Import Eletra'!$B:$B,'[1]Import Eletra'!$AD:$AD,,0,1))</f>
        <v>46042</v>
      </c>
      <c r="AD118" s="309">
        <f>$AB$4</f>
        <v>0</v>
      </c>
      <c r="AE118" s="309">
        <f ca="1">IF(AC118="",TODAY()-AB118,AC118-AB118)</f>
        <v>-10</v>
      </c>
      <c r="AF118" s="310">
        <f ca="1">AE118-AD118</f>
        <v>-10</v>
      </c>
      <c r="AG118" s="356">
        <f>AL118-$AL$4</f>
        <v>46052</v>
      </c>
      <c r="AH118" s="345">
        <f>IF(_xlfn.XLOOKUP($E118,'[1]Import Eletra'!$B:$B,'[1]Import Eletra'!$AE:$AE,,0,1)=0,"",_xlfn.XLOOKUP($E118,'[1]Import Eletra'!$B:$B,'[1]Import Eletra'!$AE:$AE,,0,1))</f>
        <v>46043</v>
      </c>
      <c r="AI118" s="309">
        <f>$AG$4</f>
        <v>0</v>
      </c>
      <c r="AJ118" s="309">
        <f ca="1">IF(AH118="",TODAY()-AG118,AH118-AG118)</f>
        <v>-9</v>
      </c>
      <c r="AK118" s="310" t="str">
        <f ca="1">IF(AND(ISNUMBER($AJ118),$AJ118&gt;0),$AJ118-$AI118,"")</f>
        <v/>
      </c>
      <c r="AL118" s="356">
        <f>AQ118-$AQ$4</f>
        <v>46052</v>
      </c>
      <c r="AM118" s="345">
        <f>IF(_xlfn.XLOOKUP($E118,'[1]Import Eletra'!$B:$B,'[1]Import Eletra'!$AT:$AT,,0,1)=0,"",_xlfn.XLOOKUP($E118,'[1]Import Eletra'!$B:$B,'[1]Import Eletra'!$AT:$AT,,0,1))</f>
        <v>46045</v>
      </c>
      <c r="AN118" s="309">
        <f>$AL$4</f>
        <v>0</v>
      </c>
      <c r="AO118" s="309">
        <f ca="1">IF(AM118="",TODAY()-AL118,AM118-AL118)</f>
        <v>-7</v>
      </c>
      <c r="AP118" s="310" t="str">
        <f ca="1">IF(AND(ISNUMBER($AO118),$AO118&gt;0),$AO118-$AN118,"")</f>
        <v/>
      </c>
      <c r="AQ118" s="359">
        <f>AV118-$AV$4</f>
        <v>46053</v>
      </c>
      <c r="AR118" s="345">
        <f>IF(_xlfn.XLOOKUP($E118,'[1]Import Eletra'!$B:$B,'[1]Import Eletra'!$AU:$AU,,0,1)=0,"",_xlfn.XLOOKUP($E118,'[1]Import Eletra'!$B:$B,'[1]Import Eletra'!$AU:$AU,,0,1))</f>
        <v>46045</v>
      </c>
      <c r="AS118" s="309">
        <f>$AQ$4</f>
        <v>1</v>
      </c>
      <c r="AT118" s="309">
        <f ca="1">IF(AR118="",TODAY()-AQ118,AR118-AQ118)</f>
        <v>-8</v>
      </c>
      <c r="AU118" s="310" t="str">
        <f ca="1">IF(AND(ISNUMBER($AT118),$AT118&gt;0),$AT118-$AS118,"")</f>
        <v/>
      </c>
      <c r="AV118" s="356">
        <f>BA118-$BA$4</f>
        <v>46053</v>
      </c>
      <c r="AW118" s="345">
        <f>IF(_xlfn.XLOOKUP($E118,'[1]Import Eletra'!$B:$B,'[1]Import Eletra'!$AU:$AU,,0,1)=0,"",_xlfn.XLOOKUP($E118,'[1]Import Eletra'!$B:$B,'[1]Import Eletra'!$AU:$AU,,0,1))</f>
        <v>46045</v>
      </c>
      <c r="AX118" s="309">
        <f>$AV$4</f>
        <v>0</v>
      </c>
      <c r="AY118" s="309">
        <f ca="1">IF(AW118="",TODAY()-AV118,AW118-AV118)</f>
        <v>-8</v>
      </c>
      <c r="AZ118" s="310" t="str">
        <f ca="1">IF(AND(ISNUMBER($AY118),$AY118&gt;0),$AY118-$AX118,"")</f>
        <v/>
      </c>
      <c r="BA118" s="359">
        <f>BF118-$BF$4</f>
        <v>46053</v>
      </c>
      <c r="BB118" s="345" t="str">
        <f>IF(_xlfn.XLOOKUP($E118,'[1]Import Eletra'!$B:$B,'[1]Import Eletra'!$AW:$AW,,0,1)=0,"",_xlfn.XLOOKUP($E118,'[1]Import Eletra'!$B:$B,'[1]Import Eletra'!$AW:$AW,,0,1))</f>
        <v/>
      </c>
      <c r="BC118" s="309">
        <f>$BA$4</f>
        <v>0</v>
      </c>
      <c r="BD118" s="309">
        <f ca="1">IF(BB118="",TODAY()-BA118,BB118-BA118)</f>
        <v>158</v>
      </c>
      <c r="BE118" s="310">
        <f ca="1">BD118-BC118</f>
        <v>158</v>
      </c>
      <c r="BF118" s="336">
        <f>BK118-$BK$4</f>
        <v>46053</v>
      </c>
      <c r="BG118" s="345" t="str">
        <f>IF(_xlfn.XLOOKUP($E118,'[1]Import Eletra'!$B:$B,'[1]Import Eletra'!$AX:$AX,,0,1)=0,"",_xlfn.XLOOKUP($E118,'[1]Import Eletra'!$B:$B,'[1]Import Eletra'!$AX:$AX,,0,1))</f>
        <v/>
      </c>
      <c r="BH118" s="309">
        <f>$BF$4</f>
        <v>0</v>
      </c>
      <c r="BI118" s="309">
        <f ca="1">IF(BG118="",TODAY()-BF118,BG118-BF118)</f>
        <v>158</v>
      </c>
      <c r="BJ118" s="310">
        <f ca="1">IF(AND(ISNUMBER($BI118),$BI118&gt;0),$BI118-$BH118,"")</f>
        <v>158</v>
      </c>
      <c r="BK118" s="363">
        <f>BP118-$BP$4</f>
        <v>46053</v>
      </c>
      <c r="BL118" s="345">
        <f>IF(_xlfn.XLOOKUP($E118,'[1]Import Eletra'!$B:$B,'[1]Import Eletra'!$AY:$AY,,0,1)=0,"",_xlfn.XLOOKUP($E118,'[1]Import Eletra'!$B:$B,'[1]Import Eletra'!$AY:$AY,,0,1))</f>
        <v>46048</v>
      </c>
      <c r="BM118" s="309">
        <f>$BK$4</f>
        <v>0</v>
      </c>
      <c r="BN118" s="309">
        <f ca="1">IF(BL118="",TODAY()-BK118,BL118-BK118)</f>
        <v>-5</v>
      </c>
      <c r="BO118" s="310">
        <f ca="1">BN118-BM118</f>
        <v>-5</v>
      </c>
      <c r="BP118" s="336">
        <f>BU118-$BU$4</f>
        <v>46053</v>
      </c>
      <c r="BQ118" s="345">
        <f>IF(_xlfn.XLOOKUP($E118,'[1]Import Eletra'!$B:$B,'[1]Import Eletra'!$AZ:$AZ,,0,1)=0,"",_xlfn.XLOOKUP($E118,'[1]Import Eletra'!$B:$B,'[1]Import Eletra'!$AZ:$AZ,,0,1))</f>
        <v>46048</v>
      </c>
      <c r="BR118" s="309">
        <f>$BP$4</f>
        <v>0</v>
      </c>
      <c r="BS118" s="309">
        <f ca="1">IF(BQ118="",TODAY()-BP118,BQ118-BP118)</f>
        <v>-5</v>
      </c>
      <c r="BT118" s="310">
        <f ca="1">BS118-BR118</f>
        <v>-5</v>
      </c>
      <c r="BU118" s="363">
        <f>BZ118-$BZ$4</f>
        <v>46055</v>
      </c>
      <c r="BV118" s="345">
        <f>IF(_xlfn.XLOOKUP($E118,'[1]Import Eletra'!$B:$B,'[1]Import Eletra'!$BA:$BA,,0,1)=0,"",_xlfn.XLOOKUP($E118,'[1]Import Eletra'!$B:$B,'[1]Import Eletra'!$BA:$BA,,0,1))</f>
        <v>46049</v>
      </c>
      <c r="BW118" s="309">
        <f>$BU$4</f>
        <v>2</v>
      </c>
      <c r="BX118" s="309">
        <f ca="1">IF(BV118="",TODAY()-BU118,BV118-BU118)</f>
        <v>-6</v>
      </c>
      <c r="BY118" s="310" t="str">
        <f ca="1">IF(AND(ISNUMBER($BX118),$BX118&gt;0),$BX118-$BW118,"")</f>
        <v/>
      </c>
      <c r="BZ118" s="336">
        <f>CE118-$CE$4</f>
        <v>46055</v>
      </c>
      <c r="CA118" s="345">
        <f>IF(_xlfn.XLOOKUP($E118,'[1]Import Eletra'!$B:$B,'[1]Import Eletra'!$BB:$BB,,0,1)=0,"",_xlfn.XLOOKUP($E118,'[1]Import Eletra'!$B:$B,'[1]Import Eletra'!$BB:$BB,,0,1))</f>
        <v>46050</v>
      </c>
      <c r="CB118" s="309">
        <f>$BZ$4</f>
        <v>0</v>
      </c>
      <c r="CC118" s="309">
        <f ca="1">IF(CA118="",TODAY()-BZ118,CA118-BZ118)</f>
        <v>-5</v>
      </c>
      <c r="CD118" s="310">
        <f ca="1">CC118-CB118</f>
        <v>-5</v>
      </c>
      <c r="CE118" s="363">
        <f>CJ118-$CJ$4</f>
        <v>46055</v>
      </c>
      <c r="CF118" s="345">
        <f>IF(_xlfn.XLOOKUP($E118,'[1]Import Eletra'!$B:$B,'[1]Import Eletra'!$BC:$BC,,0,1)=0,"",_xlfn.XLOOKUP($E118,'[1]Import Eletra'!$B:$B,'[1]Import Eletra'!$BC:$BC,,0,1))</f>
        <v>46050</v>
      </c>
      <c r="CG118" s="309">
        <f>$CE$4</f>
        <v>0</v>
      </c>
      <c r="CH118" s="309">
        <f ca="1">IF(CF118="",TODAY()-CE118,CF118-CE118)</f>
        <v>-5</v>
      </c>
      <c r="CI118" s="310">
        <f ca="1">CH118-CG118</f>
        <v>-5</v>
      </c>
      <c r="CJ118" s="336">
        <f>CO118-$CO$4</f>
        <v>46055</v>
      </c>
      <c r="CK118" s="345">
        <f>IF(_xlfn.XLOOKUP($E118,'[1]Import Eletra'!$B:$B,'[1]Import Eletra'!$BD:$BD,,0,1)=0,"",_xlfn.XLOOKUP($E118,'[1]Import Eletra'!$B:$B,'[1]Import Eletra'!$BD:$BD,,0,1))</f>
        <v>46057</v>
      </c>
      <c r="CL118" s="309"/>
      <c r="CM118" s="309">
        <f ca="1">IF(CK118="",TODAY()-CJ118,CK118-CJ118)</f>
        <v>2</v>
      </c>
      <c r="CN118" s="310">
        <f ca="1">CM118-CL118</f>
        <v>2</v>
      </c>
      <c r="CO118" s="363">
        <f>CT118-$CT$4</f>
        <v>46055</v>
      </c>
      <c r="CP118" s="345">
        <f>IF(_xlfn.XLOOKUP($E118,'[1]Import Eletra'!$B:$B,'[1]Import Eletra'!$BE:$BE,,0,1)=0,"",_xlfn.XLOOKUP($E118,'[1]Import Eletra'!$B:$B,'[1]Import Eletra'!$BE:$BE,,0,1))</f>
        <v>46059</v>
      </c>
      <c r="CQ118" s="309">
        <f>$CO$4</f>
        <v>0</v>
      </c>
      <c r="CR118" s="309">
        <f ca="1">IF(CP118="",TODAY()-CO118,CP118-CO118)</f>
        <v>4</v>
      </c>
      <c r="CS118" s="310">
        <f ca="1">CR118-CQ118</f>
        <v>4</v>
      </c>
      <c r="CT118" s="336">
        <f>CY118-$CY$4</f>
        <v>46055</v>
      </c>
      <c r="CU118" s="345">
        <f>IF(_xlfn.XLOOKUP($E118,'[1]Import Eletra'!$B:$B,'[1]Import Eletra'!$BF:$BF,,0,1)=0,"",_xlfn.XLOOKUP($E118,'[1]Import Eletra'!$B:$B,'[1]Import Eletra'!$BF:$BF,,0,1))</f>
        <v>46059</v>
      </c>
      <c r="CV118" s="309">
        <f>$CT$4</f>
        <v>0</v>
      </c>
      <c r="CW118" s="309">
        <f ca="1">IF(CU118="",TODAY()-CT118,CU118-CT118)</f>
        <v>4</v>
      </c>
      <c r="CX118" s="310">
        <f ca="1">CW118-CV118</f>
        <v>4</v>
      </c>
      <c r="CY118" s="85">
        <f>DD118-$DD$4</f>
        <v>46055</v>
      </c>
      <c r="CZ118" s="271">
        <f>IF(_xlfn.XLOOKUP($E118,'[1]Import Eletra'!$B:$B,'[1]Import Eletra'!$BF:$BF,,0,1)=0,"",_xlfn.XLOOKUP($E118,'[1]Import Eletra'!$B:$B,'[1]Import Eletra'!$BF:$BF,,0,1))</f>
        <v>46059</v>
      </c>
      <c r="DA118" s="311">
        <f>$CY$4</f>
        <v>0</v>
      </c>
      <c r="DB118" s="309">
        <f ca="1">IF(CZ118="",TODAY()-CY118,CZ118-CY118)</f>
        <v>4</v>
      </c>
      <c r="DC118" s="310">
        <f ca="1">DB118-DA118</f>
        <v>4</v>
      </c>
      <c r="DD118" s="85">
        <f>DI118-$DI$4</f>
        <v>46057</v>
      </c>
      <c r="DE118" s="271">
        <f>IF(_xlfn.XLOOKUP($E118,'[1]Import Eletra'!$B:$B,'[1]Import Eletra'!$BG:$BG,,0,1)=0,"",_xlfn.XLOOKUP($E118,'[1]Import Eletra'!$B:$B,'[1]Import Eletra'!$BG:$BG,0,1))</f>
        <v>46063</v>
      </c>
      <c r="DF118" s="309">
        <f>$DD$4</f>
        <v>2</v>
      </c>
      <c r="DG118" s="309">
        <f ca="1">IF(DE118="",TODAY()-DD118,DE118-DD118)</f>
        <v>6</v>
      </c>
      <c r="DH118" s="310">
        <f ca="1">DG118-DF118</f>
        <v>4</v>
      </c>
      <c r="DI118" s="85">
        <f>DO118-$DN$4</f>
        <v>46058</v>
      </c>
      <c r="DJ118" s="271">
        <f>IF(_xlfn.XLOOKUP($E118,'[1]Import Eletra'!$B:$B,'[1]Import Eletra'!$BH:$BH,,0,1)=0,"",_xlfn.XLOOKUP($E118,'[1]Import Eletra'!$B:$B,'[1]Import Eletra'!$BH:$BH,0,1))</f>
        <v>46064</v>
      </c>
      <c r="DK118" s="309">
        <f>$DI$4</f>
        <v>1</v>
      </c>
      <c r="DL118" s="309">
        <f ca="1">IF(DJ118="",TODAY()-DI118,DJ118-DI118)</f>
        <v>6</v>
      </c>
      <c r="DM118" s="310">
        <f ca="1">DL118-DK118</f>
        <v>5</v>
      </c>
      <c r="DN118" s="312"/>
      <c r="DO118" s="313">
        <f>IF(V118="",N118+DT118,V118+DT118)</f>
        <v>46059</v>
      </c>
      <c r="DP118" s="59">
        <f>IF(_xlfn.XLOOKUP($E118,'[1]Import Eletra'!$B:$B,'[1]Import Eletra'!$O:$O,,0,1)=0,"",_xlfn.XLOOKUP($E118,'[1]Import Eletra'!$B:$B,'[1]Import Eletra'!$O:$O,0,1))</f>
        <v>46064</v>
      </c>
      <c r="DQ118" s="309">
        <f>$DN$4</f>
        <v>1</v>
      </c>
      <c r="DR118" s="309">
        <f ca="1">IF(DP118="",TODAY()-DO118,DP118-DO118)</f>
        <v>5</v>
      </c>
      <c r="DS118" s="310">
        <f ca="1">DR118-DQ118</f>
        <v>4</v>
      </c>
      <c r="DT118" s="314">
        <v>17</v>
      </c>
      <c r="DU118" s="140">
        <f ca="1">IF(DP118="",TODAY()-N118,DP118-N118)</f>
        <v>25</v>
      </c>
      <c r="DV118" s="184">
        <f ca="1">DU118-DT118</f>
        <v>8</v>
      </c>
      <c r="DX118" s="316"/>
      <c r="DY118" s="108" t="str">
        <f>IF(_xlfn.XLOOKUP($E118,'[1]Import Eletra'!$B:$B,'[1]Import Eletra'!$DW:$DW,,0,1)=0,"",_xlfn.XLOOKUP($E118,'[1]Import Eletra'!$B:$B,'[1]Import Eletra'!$DW:$DW,0,1))</f>
        <v/>
      </c>
      <c r="EB118" s="317"/>
      <c r="ED118" s="406">
        <f>IF(_xlfn.XLOOKUP($E118,'[1]Import Eletra'!$B:$B,'[1]Import Eletra'!$BQ:$BQ,,0,1)=0,"",_xlfn.XLOOKUP($E118,'[1]Import Eletra'!$B:$B,'[1]Import Eletra'!$BQ:$BQ,0,1))</f>
        <v>1947.25</v>
      </c>
      <c r="EE118" s="407">
        <f>IF(_xlfn.XLOOKUP($E118,'[1]Import Eletra'!$B:$B,'[1]Import Eletra'!$BR:$BR,,0,1)=0,"",_xlfn.XLOOKUP($E118,'[1]Import Eletra'!$B:$B,'[1]Import Eletra'!$BR:$BR,0,1))</f>
        <v>46063</v>
      </c>
      <c r="EF118" s="406">
        <f>IF(_xlfn.XLOOKUP($E118,'[1]Import Eletra'!$B:$B,'[1]Import Eletra'!$BS:$BS,,0,1)=0,"",_xlfn.XLOOKUP($E118,'[1]Import Eletra'!$B:$B,'[1]Import Eletra'!$BS:$BS,0,1))</f>
        <v>4422.83</v>
      </c>
      <c r="EG118" s="407">
        <f>IF(_xlfn.XLOOKUP($E118,'[1]Import Eletra'!$B:$B,'[1]Import Eletra'!$BT:$BT,,0,1)=0,"",_xlfn.XLOOKUP($E118,'[1]Import Eletra'!$B:$B,'[1]Import Eletra'!$BT:$BT,0,1))</f>
        <v>46085</v>
      </c>
      <c r="EH118" s="406" t="str">
        <f>IF(_xlfn.XLOOKUP($E118,'[1]Import Eletra'!$B:$B,'[1]Import Eletra'!$BU:$BU,,0,1)=0,"",_xlfn.XLOOKUP($E118,'[1]Import Eletra'!$B:$B,'[1]Import Eletra'!$BU:$BU,0,1))</f>
        <v/>
      </c>
      <c r="EI118" s="407" t="str">
        <f>IF(_xlfn.XLOOKUP($E118,'[1]Import Eletra'!$B:$B,'[1]Import Eletra'!$BV:$BV,,0,1)=0,"",_xlfn.XLOOKUP($E118,'[1]Import Eletra'!$B:$B,'[1]Import Eletra'!$BV:$BV,0,1))</f>
        <v/>
      </c>
      <c r="EJ118" s="407">
        <f>IF(_xlfn.XLOOKUP($E118,'[1]Import Eletra'!$B:$B,'[1]Import Eletra'!$CI:$CI,,0,1)=0,"",_xlfn.XLOOKUP($E118,'[1]Import Eletra'!$B:$B,'[1]Import Eletra'!$CI:$CI,0,1))</f>
        <v>46060</v>
      </c>
      <c r="EK118" s="407">
        <f>IF(_xlfn.XLOOKUP($E118,'[1]Import Eletra'!$B:$B,'[1]Import Eletra'!$CD:$CD,,0,1)=0,"",_xlfn.XLOOKUP($E118,'[1]Import Eletra'!$B:$B,'[1]Import Eletra'!$CD:$CD,0,1))</f>
        <v>46064</v>
      </c>
      <c r="EL118" s="407" t="str">
        <f>IF(_xlfn.XLOOKUP($E118,'[1]Import Eletra'!$B:$B,'[1]Import Eletra'!$CE:$CE,,0,1)=0,"",_xlfn.XLOOKUP($E118,'[1]Import Eletra'!$B:$B,'[1]Import Eletra'!$CE:$CE,0,1))</f>
        <v>SIM  4 dias</v>
      </c>
      <c r="EM118" s="408" t="str">
        <f>IF(_xlfn.XLOOKUP($E118,'[1]Import Eletra'!$B:$B,'[1]Import Eletra'!$E:$E,,0,1)=0,"",_xlfn.XLOOKUP($E118,'[1]Import Eletra'!$B:$B,'[1]Import Eletra'!$E:$E,0,1))</f>
        <v>LEISIANE</v>
      </c>
      <c r="EN118" s="408" t="str">
        <f>IF(_xlfn.XLOOKUP($E118,'[1]Import Eletra'!$B:$B,'[1]Import Eletra'!$E:$E,,0,1)=0,"",_xlfn.XLOOKUP($E118,'[1]Import Eletra'!$B:$B,'[1]Import Eletra'!$E:$E,0,1))</f>
        <v>LEISIANE</v>
      </c>
      <c r="EO118" s="408" t="str">
        <f>IF(_xlfn.XLOOKUP($E118,'[1]Import Eletra'!$B:$B,'[1]Import Eletra'!$E:$E,,0,1)=0,"",_xlfn.XLOOKUP($E118,'[1]Import Eletra'!$B:$B,'[1]Import Eletra'!$E:$E,0,1))</f>
        <v>LEISIANE</v>
      </c>
      <c r="EP118" s="408" t="str">
        <f>IF(_xlfn.XLOOKUP($E118,'[1]Import Eletra'!$B:$B,'[1]Import Eletra'!$E:$E,,0,1)=0,"",_xlfn.XLOOKUP($E118,'[1]Import Eletra'!$B:$B,'[1]Import Eletra'!$E:$E,0,1))</f>
        <v>LEISIANE</v>
      </c>
    </row>
    <row r="119" spans="1:146" s="315" customFormat="1" ht="30" hidden="1" customHeight="1" outlineLevel="1">
      <c r="A119" s="305"/>
      <c r="B119" s="306"/>
      <c r="C119" s="306"/>
      <c r="D119" s="306"/>
      <c r="E119" s="318" t="s">
        <v>415</v>
      </c>
      <c r="F119" s="307">
        <f>IF(_xlfn.XLOOKUP($E119,'[1]Import Eletra'!$B:$B,'[1]Import Eletra'!$U:$U,,0,1)=0,"",_xlfn.XLOOKUP($E119,'[1]Import Eletra'!$B:$B,'[1]Import Eletra'!$U:$U,,0,1))</f>
        <v>0.5</v>
      </c>
      <c r="G119" s="320" t="s">
        <v>244</v>
      </c>
      <c r="H119" s="59" t="str">
        <f>_xlfn.XLOOKUP($E119,'[1]Import Eletra'!$B:$B,'[1]Import Eletra'!$F:$F,,0,1)</f>
        <v>DELIVERED</v>
      </c>
      <c r="I119" s="4" t="str">
        <f>_xlfn.XLOOKUP($E119,'[1]Import Eletra'!$B:$B,'[1]Import Eletra'!$G:$G,,0,1)</f>
        <v>SEA</v>
      </c>
      <c r="J119" s="331"/>
      <c r="K119" s="308"/>
      <c r="L119" s="308"/>
      <c r="M119" s="331">
        <f>IF(_xlfn.XLOOKUP($E119,'[1]Import Eletra'!$B:$B,'[1]Import Eletra'!$J:$J,,0,1)=0,"",_xlfn.XLOOKUP($E119,'[1]Import Eletra'!$B:$B,'[1]Import Eletra'!$J:$J,,0,1))</f>
        <v>45985</v>
      </c>
      <c r="N119" s="334">
        <f>IF(_xlfn.XLOOKUP($E119,'[1]Import Eletra'!$B:$B,'[1]Import Eletra'!$L:$L,,0,1)=0,"",_xlfn.XLOOKUP($E119,'[1]Import Eletra'!$B:$B,'[1]Import Eletra'!$L:$L,,0,1))</f>
        <v>46040</v>
      </c>
      <c r="O119" s="336">
        <f>IF(_xlfn.XLOOKUP($E119,'[1]Import Eletra'!$B:$B,'[1]Import Eletra'!$AK:$AK,,0,1)=0,"",_xlfn.XLOOKUP($E119,'[1]Import Eletra'!$B:$B,'[1]Import Eletra'!$AK:$AK,,0,1))</f>
        <v>46009</v>
      </c>
      <c r="P119" s="331">
        <f>IF(_xlfn.XLOOKUP($E119,'[1]Import Eletra'!$B:$B,'[1]Import Eletra'!$AL:$AL,,0,1)=0,"",_xlfn.XLOOKUP($E119,'[1]Import Eletra'!$B:$B,'[1]Import Eletra'!$AL:$AL,,0,1))</f>
        <v>46009</v>
      </c>
      <c r="Q119" s="331">
        <f>IF(_xlfn.XLOOKUP($E119,'[1]Import Eletra'!$B:$B,'[1]Import Eletra'!$AM:$AM,,0,1)=0,"",_xlfn.XLOOKUP($E119,'[1]Import Eletra'!$B:$B,'[1]Import Eletra'!$AM:$AM,,0,1))</f>
        <v>46021</v>
      </c>
      <c r="R119" s="331">
        <f>IF(_xlfn.XLOOKUP($E119,'[1]Import Eletra'!$B:$B,'[1]Import Eletra'!$AN:$AN,,0,1)=0,"",_xlfn.XLOOKUP($E119,'[1]Import Eletra'!$B:$B,'[1]Import Eletra'!$AN:$AN,,0,1))</f>
        <v>46037</v>
      </c>
      <c r="S119" s="331">
        <f>IF(_xlfn.XLOOKUP($E119,'[1]Import Eletra'!$B:$B,'[1]Import Eletra'!$AO:$AO,,0,1)=0,"",_xlfn.XLOOKUP($E119,'[1]Import Eletra'!$B:$B,'[1]Import Eletra'!$AO:$AO,,0,1))</f>
        <v>46041</v>
      </c>
      <c r="T119" s="331">
        <f>IF(_xlfn.XLOOKUP($E119,'[1]Import Eletra'!$B:$B,'[1]Import Eletra'!$AP:$AP,,0,1)=0,"",_xlfn.XLOOKUP($E119,'[1]Import Eletra'!$B:$B,'[1]Import Eletra'!$AP:$AP,,0,1))</f>
        <v>46042</v>
      </c>
      <c r="U119" s="338">
        <f>IF(_xlfn.XLOOKUP($E119,'[1]Import Eletra'!$B:$B,'[1]Import Eletra'!$AQ:$AQ,,0,1)=0,"",_xlfn.XLOOKUP($E119,'[1]Import Eletra'!$B:$B,'[1]Import Eletra'!$AQ:$AQ,,0,1))</f>
        <v>46042</v>
      </c>
      <c r="V119" s="343">
        <f>IF(_xlfn.XLOOKUP($E119,'[1]Import Eletra'!$B:$B,'[1]Import Eletra'!$AQ:$AQ,,0,1)=0,"",_xlfn.XLOOKUP($E119,'[1]Import Eletra'!$B:$B,'[1]Import Eletra'!$AQ:$AQ,,0,1))</f>
        <v>46042</v>
      </c>
      <c r="W119" s="336">
        <f>AB119-$AB$4</f>
        <v>46052</v>
      </c>
      <c r="X119" s="345">
        <f>IF(_xlfn.XLOOKUP($E119,'[1]Import Eletra'!$B:$B,'[1]Import Eletra'!$AR:$AR,,0,1)=0,"",_xlfn.XLOOKUP($E119,'[1]Import Eletra'!$B:$B,'[1]Import Eletra'!$AR:$AR,,0,1))</f>
        <v>46041</v>
      </c>
      <c r="Y119" s="309">
        <f>$W$4</f>
        <v>0</v>
      </c>
      <c r="Z119" s="309">
        <f ca="1">IF(X119="",TODAY()-W119,X119-W119)</f>
        <v>-11</v>
      </c>
      <c r="AA119" s="310" t="str">
        <f ca="1">IF(AND(ISNUMBER($Z119),$Z119&gt;0),$Z119-$Y119,"")</f>
        <v/>
      </c>
      <c r="AB119" s="350">
        <f>AG119-$AB$4</f>
        <v>46052</v>
      </c>
      <c r="AC119" s="345">
        <f>IF(_xlfn.XLOOKUP($E119,'[1]Import Eletra'!$B:$B,'[1]Import Eletra'!$AD:$AD,,0,1)=0,"",_xlfn.XLOOKUP($E119,'[1]Import Eletra'!$B:$B,'[1]Import Eletra'!$AD:$AD,,0,1))</f>
        <v>46048</v>
      </c>
      <c r="AD119" s="309">
        <f>$AB$4</f>
        <v>0</v>
      </c>
      <c r="AE119" s="309">
        <f ca="1">IF(AC119="",TODAY()-AB119,AC119-AB119)</f>
        <v>-4</v>
      </c>
      <c r="AF119" s="310">
        <f ca="1">AE119-AD119</f>
        <v>-4</v>
      </c>
      <c r="AG119" s="356">
        <f>AL119-$AL$4</f>
        <v>46052</v>
      </c>
      <c r="AH119" s="345">
        <f>IF(_xlfn.XLOOKUP($E119,'[1]Import Eletra'!$B:$B,'[1]Import Eletra'!$AE:$AE,,0,1)=0,"",_xlfn.XLOOKUP($E119,'[1]Import Eletra'!$B:$B,'[1]Import Eletra'!$AE:$AE,,0,1))</f>
        <v>46049</v>
      </c>
      <c r="AI119" s="309">
        <f>$AG$4</f>
        <v>0</v>
      </c>
      <c r="AJ119" s="309">
        <f ca="1">IF(AH119="",TODAY()-AG119,AH119-AG119)</f>
        <v>-3</v>
      </c>
      <c r="AK119" s="310" t="str">
        <f ca="1">IF(AND(ISNUMBER($AJ119),$AJ119&gt;0),$AJ119-$AI119,"")</f>
        <v/>
      </c>
      <c r="AL119" s="356">
        <f>AQ119-$AQ$4</f>
        <v>46052</v>
      </c>
      <c r="AM119" s="345">
        <f>IF(_xlfn.XLOOKUP($E119,'[1]Import Eletra'!$B:$B,'[1]Import Eletra'!$AT:$AT,,0,1)=0,"",_xlfn.XLOOKUP($E119,'[1]Import Eletra'!$B:$B,'[1]Import Eletra'!$AT:$AT,,0,1))</f>
        <v>46049</v>
      </c>
      <c r="AN119" s="309">
        <f>$AL$4</f>
        <v>0</v>
      </c>
      <c r="AO119" s="309">
        <f ca="1">IF(AM119="",TODAY()-AL119,AM119-AL119)</f>
        <v>-3</v>
      </c>
      <c r="AP119" s="310" t="str">
        <f ca="1">IF(AND(ISNUMBER($AO119),$AO119&gt;0),$AO119-$AN119,"")</f>
        <v/>
      </c>
      <c r="AQ119" s="359">
        <f>AV119-$AV$4</f>
        <v>46053</v>
      </c>
      <c r="AR119" s="345">
        <f>IF(_xlfn.XLOOKUP($E119,'[1]Import Eletra'!$B:$B,'[1]Import Eletra'!$AU:$AU,,0,1)=0,"",_xlfn.XLOOKUP($E119,'[1]Import Eletra'!$B:$B,'[1]Import Eletra'!$AU:$AU,,0,1))</f>
        <v>46049</v>
      </c>
      <c r="AS119" s="309">
        <f>$AQ$4</f>
        <v>1</v>
      </c>
      <c r="AT119" s="309">
        <f ca="1">IF(AR119="",TODAY()-AQ119,AR119-AQ119)</f>
        <v>-4</v>
      </c>
      <c r="AU119" s="310" t="str">
        <f ca="1">IF(AND(ISNUMBER($AT119),$AT119&gt;0),$AT119-$AS119,"")</f>
        <v/>
      </c>
      <c r="AV119" s="356">
        <f>BA119-$BA$4</f>
        <v>46053</v>
      </c>
      <c r="AW119" s="345">
        <f>IF(_xlfn.XLOOKUP($E119,'[1]Import Eletra'!$B:$B,'[1]Import Eletra'!$AU:$AU,,0,1)=0,"",_xlfn.XLOOKUP($E119,'[1]Import Eletra'!$B:$B,'[1]Import Eletra'!$AU:$AU,,0,1))</f>
        <v>46049</v>
      </c>
      <c r="AX119" s="309">
        <f>$AV$4</f>
        <v>0</v>
      </c>
      <c r="AY119" s="309">
        <f ca="1">IF(AW119="",TODAY()-AV119,AW119-AV119)</f>
        <v>-4</v>
      </c>
      <c r="AZ119" s="310" t="str">
        <f ca="1">IF(AND(ISNUMBER($AY119),$AY119&gt;0),$AY119-$AX119,"")</f>
        <v/>
      </c>
      <c r="BA119" s="359">
        <f>BF119-$BF$4</f>
        <v>46053</v>
      </c>
      <c r="BB119" s="345" t="str">
        <f>IF(_xlfn.XLOOKUP($E119,'[1]Import Eletra'!$B:$B,'[1]Import Eletra'!$AW:$AW,,0,1)=0,"",_xlfn.XLOOKUP($E119,'[1]Import Eletra'!$B:$B,'[1]Import Eletra'!$AW:$AW,,0,1))</f>
        <v/>
      </c>
      <c r="BC119" s="309">
        <f>$BA$4</f>
        <v>0</v>
      </c>
      <c r="BD119" s="309">
        <f ca="1">IF(BB119="",TODAY()-BA119,BB119-BA119)</f>
        <v>158</v>
      </c>
      <c r="BE119" s="310">
        <f ca="1">BD119-BC119</f>
        <v>158</v>
      </c>
      <c r="BF119" s="336">
        <f>BK119-$BK$4</f>
        <v>46053</v>
      </c>
      <c r="BG119" s="345" t="str">
        <f>IF(_xlfn.XLOOKUP($E119,'[1]Import Eletra'!$B:$B,'[1]Import Eletra'!$AX:$AX,,0,1)=0,"",_xlfn.XLOOKUP($E119,'[1]Import Eletra'!$B:$B,'[1]Import Eletra'!$AX:$AX,,0,1))</f>
        <v/>
      </c>
      <c r="BH119" s="309">
        <f>$BF$4</f>
        <v>0</v>
      </c>
      <c r="BI119" s="309">
        <f ca="1">IF(BG119="",TODAY()-BF119,BG119-BF119)</f>
        <v>158</v>
      </c>
      <c r="BJ119" s="310">
        <f ca="1">IF(AND(ISNUMBER($BI119),$BI119&gt;0),$BI119-$BH119,"")</f>
        <v>158</v>
      </c>
      <c r="BK119" s="363">
        <f>BP119-$BP$4</f>
        <v>46053</v>
      </c>
      <c r="BL119" s="345">
        <f>IF(_xlfn.XLOOKUP($E119,'[1]Import Eletra'!$B:$B,'[1]Import Eletra'!$AY:$AY,,0,1)=0,"",_xlfn.XLOOKUP($E119,'[1]Import Eletra'!$B:$B,'[1]Import Eletra'!$AY:$AY,,0,1))</f>
        <v>46049</v>
      </c>
      <c r="BM119" s="309">
        <f>$BK$4</f>
        <v>0</v>
      </c>
      <c r="BN119" s="309">
        <f ca="1">IF(BL119="",TODAY()-BK119,BL119-BK119)</f>
        <v>-4</v>
      </c>
      <c r="BO119" s="310">
        <f ca="1">BN119-BM119</f>
        <v>-4</v>
      </c>
      <c r="BP119" s="336">
        <f>BU119-$BU$4</f>
        <v>46053</v>
      </c>
      <c r="BQ119" s="345">
        <f>IF(_xlfn.XLOOKUP($E119,'[1]Import Eletra'!$B:$B,'[1]Import Eletra'!$AZ:$AZ,,0,1)=0,"",_xlfn.XLOOKUP($E119,'[1]Import Eletra'!$B:$B,'[1]Import Eletra'!$AZ:$AZ,,0,1))</f>
        <v>46049</v>
      </c>
      <c r="BR119" s="309">
        <f>$BP$4</f>
        <v>0</v>
      </c>
      <c r="BS119" s="309">
        <f ca="1">IF(BQ119="",TODAY()-BP119,BQ119-BP119)</f>
        <v>-4</v>
      </c>
      <c r="BT119" s="310">
        <f ca="1">BS119-BR119</f>
        <v>-4</v>
      </c>
      <c r="BU119" s="363">
        <f>BZ119-$BZ$4</f>
        <v>46055</v>
      </c>
      <c r="BV119" s="345">
        <f>IF(_xlfn.XLOOKUP($E119,'[1]Import Eletra'!$B:$B,'[1]Import Eletra'!$BA:$BA,,0,1)=0,"",_xlfn.XLOOKUP($E119,'[1]Import Eletra'!$B:$B,'[1]Import Eletra'!$BA:$BA,,0,1))</f>
        <v>46050</v>
      </c>
      <c r="BW119" s="309">
        <f>$BU$4</f>
        <v>2</v>
      </c>
      <c r="BX119" s="309">
        <f ca="1">IF(BV119="",TODAY()-BU119,BV119-BU119)</f>
        <v>-5</v>
      </c>
      <c r="BY119" s="310" t="str">
        <f ca="1">IF(AND(ISNUMBER($BX119),$BX119&gt;0),$BX119-$BW119,"")</f>
        <v/>
      </c>
      <c r="BZ119" s="336">
        <f>CE119-$CE$4</f>
        <v>46055</v>
      </c>
      <c r="CA119" s="345">
        <f>IF(_xlfn.XLOOKUP($E119,'[1]Import Eletra'!$B:$B,'[1]Import Eletra'!$BB:$BB,,0,1)=0,"",_xlfn.XLOOKUP($E119,'[1]Import Eletra'!$B:$B,'[1]Import Eletra'!$BB:$BB,,0,1))</f>
        <v>46050</v>
      </c>
      <c r="CB119" s="309">
        <f>$BZ$4</f>
        <v>0</v>
      </c>
      <c r="CC119" s="309">
        <f ca="1">IF(CA119="",TODAY()-BZ119,CA119-BZ119)</f>
        <v>-5</v>
      </c>
      <c r="CD119" s="310">
        <f ca="1">CC119-CB119</f>
        <v>-5</v>
      </c>
      <c r="CE119" s="363">
        <f>CJ119-$CJ$4</f>
        <v>46055</v>
      </c>
      <c r="CF119" s="345">
        <f>IF(_xlfn.XLOOKUP($E119,'[1]Import Eletra'!$B:$B,'[1]Import Eletra'!$BC:$BC,,0,1)=0,"",_xlfn.XLOOKUP($E119,'[1]Import Eletra'!$B:$B,'[1]Import Eletra'!$BC:$BC,,0,1))</f>
        <v>46050</v>
      </c>
      <c r="CG119" s="309">
        <f>$CE$4</f>
        <v>0</v>
      </c>
      <c r="CH119" s="309">
        <f ca="1">IF(CF119="",TODAY()-CE119,CF119-CE119)</f>
        <v>-5</v>
      </c>
      <c r="CI119" s="310">
        <f ca="1">CH119-CG119</f>
        <v>-5</v>
      </c>
      <c r="CJ119" s="336">
        <f>CO119-$CO$4</f>
        <v>46055</v>
      </c>
      <c r="CK119" s="345">
        <f>IF(_xlfn.XLOOKUP($E119,'[1]Import Eletra'!$B:$B,'[1]Import Eletra'!$BD:$BD,,0,1)=0,"",_xlfn.XLOOKUP($E119,'[1]Import Eletra'!$B:$B,'[1]Import Eletra'!$BD:$BD,,0,1))</f>
        <v>46050</v>
      </c>
      <c r="CL119" s="309"/>
      <c r="CM119" s="309">
        <f ca="1">IF(CK119="",TODAY()-CJ119,CK119-CJ119)</f>
        <v>-5</v>
      </c>
      <c r="CN119" s="310">
        <f ca="1">CM119-CL119</f>
        <v>-5</v>
      </c>
      <c r="CO119" s="363">
        <f>CT119-$CT$4</f>
        <v>46055</v>
      </c>
      <c r="CP119" s="345">
        <f>IF(_xlfn.XLOOKUP($E119,'[1]Import Eletra'!$B:$B,'[1]Import Eletra'!$BE:$BE,,0,1)=0,"",_xlfn.XLOOKUP($E119,'[1]Import Eletra'!$B:$B,'[1]Import Eletra'!$BE:$BE,,0,1))</f>
        <v>46050</v>
      </c>
      <c r="CQ119" s="309">
        <f>$CO$4</f>
        <v>0</v>
      </c>
      <c r="CR119" s="309">
        <f ca="1">IF(CP119="",TODAY()-CO119,CP119-CO119)</f>
        <v>-5</v>
      </c>
      <c r="CS119" s="310">
        <f ca="1">CR119-CQ119</f>
        <v>-5</v>
      </c>
      <c r="CT119" s="336">
        <f>CY119-$CY$4</f>
        <v>46055</v>
      </c>
      <c r="CU119" s="345">
        <f>IF(_xlfn.XLOOKUP($E119,'[1]Import Eletra'!$B:$B,'[1]Import Eletra'!$BF:$BF,,0,1)=0,"",_xlfn.XLOOKUP($E119,'[1]Import Eletra'!$B:$B,'[1]Import Eletra'!$BF:$BF,,0,1))</f>
        <v>46050</v>
      </c>
      <c r="CV119" s="309">
        <f>$CT$4</f>
        <v>0</v>
      </c>
      <c r="CW119" s="309">
        <f ca="1">IF(CU119="",TODAY()-CT119,CU119-CT119)</f>
        <v>-5</v>
      </c>
      <c r="CX119" s="310">
        <f ca="1">CW119-CV119</f>
        <v>-5</v>
      </c>
      <c r="CY119" s="85">
        <f>DD119-$DD$4</f>
        <v>46055</v>
      </c>
      <c r="CZ119" s="271">
        <f>IF(_xlfn.XLOOKUP($E119,'[1]Import Eletra'!$B:$B,'[1]Import Eletra'!$BF:$BF,,0,1)=0,"",_xlfn.XLOOKUP($E119,'[1]Import Eletra'!$B:$B,'[1]Import Eletra'!$BF:$BF,,0,1))</f>
        <v>46050</v>
      </c>
      <c r="DA119" s="311">
        <f>$CY$4</f>
        <v>0</v>
      </c>
      <c r="DB119" s="309">
        <f ca="1">IF(CZ119="",TODAY()-CY119,CZ119-CY119)</f>
        <v>-5</v>
      </c>
      <c r="DC119" s="310">
        <f ca="1">DB119-DA119</f>
        <v>-5</v>
      </c>
      <c r="DD119" s="85">
        <f>DI119-$DI$4</f>
        <v>46057</v>
      </c>
      <c r="DE119" s="271">
        <f>IF(_xlfn.XLOOKUP($E119,'[1]Import Eletra'!$B:$B,'[1]Import Eletra'!$BG:$BG,,0,1)=0,"",_xlfn.XLOOKUP($E119,'[1]Import Eletra'!$B:$B,'[1]Import Eletra'!$BG:$BG,0,1))</f>
        <v>46063</v>
      </c>
      <c r="DF119" s="309">
        <f>$DD$4</f>
        <v>2</v>
      </c>
      <c r="DG119" s="309">
        <f ca="1">IF(DE119="",TODAY()-DD119,DE119-DD119)</f>
        <v>6</v>
      </c>
      <c r="DH119" s="310">
        <f ca="1">DG119-DF119</f>
        <v>4</v>
      </c>
      <c r="DI119" s="85">
        <f>DO119-$DN$4</f>
        <v>46058</v>
      </c>
      <c r="DJ119" s="271">
        <f>IF(_xlfn.XLOOKUP($E119,'[1]Import Eletra'!$B:$B,'[1]Import Eletra'!$BH:$BH,,0,1)=0,"",_xlfn.XLOOKUP($E119,'[1]Import Eletra'!$B:$B,'[1]Import Eletra'!$BH:$BH,0,1))</f>
        <v>46066</v>
      </c>
      <c r="DK119" s="309">
        <f>$DI$4</f>
        <v>1</v>
      </c>
      <c r="DL119" s="309">
        <f ca="1">IF(DJ119="",TODAY()-DI119,DJ119-DI119)</f>
        <v>8</v>
      </c>
      <c r="DM119" s="310">
        <f ca="1">DL119-DK119</f>
        <v>7</v>
      </c>
      <c r="DN119" s="312"/>
      <c r="DO119" s="313">
        <f>IF(V119="",N119+DT119,V119+DT119)</f>
        <v>46059</v>
      </c>
      <c r="DP119" s="59">
        <f>IF(_xlfn.XLOOKUP($E119,'[1]Import Eletra'!$B:$B,'[1]Import Eletra'!$O:$O,,0,1)=0,"",_xlfn.XLOOKUP($E119,'[1]Import Eletra'!$B:$B,'[1]Import Eletra'!$O:$O,0,1))</f>
        <v>46066</v>
      </c>
      <c r="DQ119" s="309">
        <f>$DN$4</f>
        <v>1</v>
      </c>
      <c r="DR119" s="309">
        <f ca="1">IF(DP119="",TODAY()-DO119,DP119-DO119)</f>
        <v>7</v>
      </c>
      <c r="DS119" s="310">
        <f ca="1">DR119-DQ119</f>
        <v>6</v>
      </c>
      <c r="DT119" s="314">
        <v>17</v>
      </c>
      <c r="DU119" s="140">
        <f ca="1">IF(DP119="",TODAY()-N119,DP119-N119)</f>
        <v>26</v>
      </c>
      <c r="DV119" s="184">
        <f ca="1">DU119-DT119</f>
        <v>9</v>
      </c>
      <c r="DX119" s="316"/>
      <c r="DY119" s="108" t="str">
        <f>IF(_xlfn.XLOOKUP($E119,'[1]Import Eletra'!$B:$B,'[1]Import Eletra'!$DW:$DW,,0,1)=0,"",_xlfn.XLOOKUP($E119,'[1]Import Eletra'!$B:$B,'[1]Import Eletra'!$DW:$DW,0,1))</f>
        <v/>
      </c>
      <c r="EB119" s="317"/>
      <c r="ED119" s="406">
        <f>IF(_xlfn.XLOOKUP($E119,'[1]Import Eletra'!$B:$B,'[1]Import Eletra'!$BQ:$BQ,,0,1)=0,"",_xlfn.XLOOKUP($E119,'[1]Import Eletra'!$B:$B,'[1]Import Eletra'!$BQ:$BQ,0,1))</f>
        <v>5671.75</v>
      </c>
      <c r="EE119" s="407">
        <f>IF(_xlfn.XLOOKUP($E119,'[1]Import Eletra'!$B:$B,'[1]Import Eletra'!$BR:$BR,,0,1)=0,"",_xlfn.XLOOKUP($E119,'[1]Import Eletra'!$B:$B,'[1]Import Eletra'!$BR:$BR,0,1))</f>
        <v>46051</v>
      </c>
      <c r="EF119" s="406" t="str">
        <f>IF(_xlfn.XLOOKUP($E119,'[1]Import Eletra'!$B:$B,'[1]Import Eletra'!$BS:$BS,,0,1)=0,"",_xlfn.XLOOKUP($E119,'[1]Import Eletra'!$B:$B,'[1]Import Eletra'!$BS:$BS,0,1))</f>
        <v/>
      </c>
      <c r="EG119" s="407" t="str">
        <f>IF(_xlfn.XLOOKUP($E119,'[1]Import Eletra'!$B:$B,'[1]Import Eletra'!$BT:$BT,,0,1)=0,"",_xlfn.XLOOKUP($E119,'[1]Import Eletra'!$B:$B,'[1]Import Eletra'!$BT:$BT,0,1))</f>
        <v/>
      </c>
      <c r="EH119" s="406" t="str">
        <f>IF(_xlfn.XLOOKUP($E119,'[1]Import Eletra'!$B:$B,'[1]Import Eletra'!$BU:$BU,,0,1)=0,"",_xlfn.XLOOKUP($E119,'[1]Import Eletra'!$B:$B,'[1]Import Eletra'!$BU:$BU,0,1))</f>
        <v/>
      </c>
      <c r="EI119" s="407" t="str">
        <f>IF(_xlfn.XLOOKUP($E119,'[1]Import Eletra'!$B:$B,'[1]Import Eletra'!$BV:$BV,,0,1)=0,"",_xlfn.XLOOKUP($E119,'[1]Import Eletra'!$B:$B,'[1]Import Eletra'!$BV:$BV,0,1))</f>
        <v/>
      </c>
      <c r="EJ119" s="407">
        <f>IF(_xlfn.XLOOKUP($E119,'[1]Import Eletra'!$B:$B,'[1]Import Eletra'!$CI:$CI,,0,1)=0,"",_xlfn.XLOOKUP($E119,'[1]Import Eletra'!$B:$B,'[1]Import Eletra'!$CI:$CI,0,1))</f>
        <v>46061</v>
      </c>
      <c r="EK119" s="407">
        <f>IF(_xlfn.XLOOKUP($E119,'[1]Import Eletra'!$B:$B,'[1]Import Eletra'!$CD:$CD,,0,1)=0,"",_xlfn.XLOOKUP($E119,'[1]Import Eletra'!$B:$B,'[1]Import Eletra'!$CD:$CD,0,1))</f>
        <v>46066</v>
      </c>
      <c r="EL119" s="407" t="str">
        <f>IF(_xlfn.XLOOKUP($E119,'[1]Import Eletra'!$B:$B,'[1]Import Eletra'!$CE:$CE,,0,1)=0,"",_xlfn.XLOOKUP($E119,'[1]Import Eletra'!$B:$B,'[1]Import Eletra'!$CE:$CE,0,1))</f>
        <v>SIM  5 dias</v>
      </c>
      <c r="EM119" s="408" t="str">
        <f>IF(_xlfn.XLOOKUP($E119,'[1]Import Eletra'!$B:$B,'[1]Import Eletra'!$E:$E,,0,1)=0,"",_xlfn.XLOOKUP($E119,'[1]Import Eletra'!$B:$B,'[1]Import Eletra'!$E:$E,0,1))</f>
        <v>LEISIANE</v>
      </c>
      <c r="EN119" s="408" t="str">
        <f>IF(_xlfn.XLOOKUP($E119,'[1]Import Eletra'!$B:$B,'[1]Import Eletra'!$E:$E,,0,1)=0,"",_xlfn.XLOOKUP($E119,'[1]Import Eletra'!$B:$B,'[1]Import Eletra'!$E:$E,0,1))</f>
        <v>LEISIANE</v>
      </c>
      <c r="EO119" s="408" t="str">
        <f>IF(_xlfn.XLOOKUP($E119,'[1]Import Eletra'!$B:$B,'[1]Import Eletra'!$E:$E,,0,1)=0,"",_xlfn.XLOOKUP($E119,'[1]Import Eletra'!$B:$B,'[1]Import Eletra'!$E:$E,0,1))</f>
        <v>LEISIANE</v>
      </c>
      <c r="EP119" s="408" t="str">
        <f>IF(_xlfn.XLOOKUP($E119,'[1]Import Eletra'!$B:$B,'[1]Import Eletra'!$E:$E,,0,1)=0,"",_xlfn.XLOOKUP($E119,'[1]Import Eletra'!$B:$B,'[1]Import Eletra'!$E:$E,0,1))</f>
        <v>LEISIANE</v>
      </c>
    </row>
    <row r="120" spans="1:146" s="315" customFormat="1" ht="30" hidden="1" customHeight="1" outlineLevel="1">
      <c r="A120" s="305"/>
      <c r="B120" s="306"/>
      <c r="C120" s="306"/>
      <c r="D120" s="306"/>
      <c r="E120" s="318" t="s">
        <v>416</v>
      </c>
      <c r="F120" s="307">
        <f>IF(_xlfn.XLOOKUP($E120,'[1]Import Eletra'!$B:$B,'[1]Import Eletra'!$U:$U,,0,1)=0,"",_xlfn.XLOOKUP($E120,'[1]Import Eletra'!$B:$B,'[1]Import Eletra'!$U:$U,,0,1))</f>
        <v>3</v>
      </c>
      <c r="G120" s="320" t="s">
        <v>244</v>
      </c>
      <c r="H120" s="59" t="str">
        <f>_xlfn.XLOOKUP($E120,'[1]Import Eletra'!$B:$B,'[1]Import Eletra'!$F:$F,,0,1)</f>
        <v>DELIVERED</v>
      </c>
      <c r="I120" s="4" t="str">
        <f>_xlfn.XLOOKUP($E120,'[1]Import Eletra'!$B:$B,'[1]Import Eletra'!$G:$G,,0,1)</f>
        <v>SEA</v>
      </c>
      <c r="J120" s="331"/>
      <c r="K120" s="308"/>
      <c r="L120" s="308"/>
      <c r="M120" s="331">
        <f>IF(_xlfn.XLOOKUP($E120,'[1]Import Eletra'!$B:$B,'[1]Import Eletra'!$J:$J,,0,1)=0,"",_xlfn.XLOOKUP($E120,'[1]Import Eletra'!$B:$B,'[1]Import Eletra'!$J:$J,,0,1))</f>
        <v>45992</v>
      </c>
      <c r="N120" s="334">
        <f>IF(_xlfn.XLOOKUP($E120,'[1]Import Eletra'!$B:$B,'[1]Import Eletra'!$L:$L,,0,1)=0,"",_xlfn.XLOOKUP($E120,'[1]Import Eletra'!$B:$B,'[1]Import Eletra'!$L:$L,,0,1))</f>
        <v>46040</v>
      </c>
      <c r="O120" s="336">
        <f>IF(_xlfn.XLOOKUP($E120,'[1]Import Eletra'!$B:$B,'[1]Import Eletra'!$AK:$AK,,0,1)=0,"",_xlfn.XLOOKUP($E120,'[1]Import Eletra'!$B:$B,'[1]Import Eletra'!$AK:$AK,,0,1))</f>
        <v>46031</v>
      </c>
      <c r="P120" s="331">
        <f>IF(_xlfn.XLOOKUP($E120,'[1]Import Eletra'!$B:$B,'[1]Import Eletra'!$AL:$AL,,0,1)=0,"",_xlfn.XLOOKUP($E120,'[1]Import Eletra'!$B:$B,'[1]Import Eletra'!$AL:$AL,,0,1))</f>
        <v>46036</v>
      </c>
      <c r="Q120" s="331">
        <f>IF(_xlfn.XLOOKUP($E120,'[1]Import Eletra'!$B:$B,'[1]Import Eletra'!$AM:$AM,,0,1)=0,"",_xlfn.XLOOKUP($E120,'[1]Import Eletra'!$B:$B,'[1]Import Eletra'!$AM:$AM,,0,1))</f>
        <v>46042</v>
      </c>
      <c r="R120" s="331">
        <f>IF(_xlfn.XLOOKUP($E120,'[1]Import Eletra'!$B:$B,'[1]Import Eletra'!$AN:$AN,,0,1)=0,"",_xlfn.XLOOKUP($E120,'[1]Import Eletra'!$B:$B,'[1]Import Eletra'!$AN:$AN,,0,1))</f>
        <v>46042</v>
      </c>
      <c r="S120" s="331">
        <f>IF(_xlfn.XLOOKUP($E120,'[1]Import Eletra'!$B:$B,'[1]Import Eletra'!$AO:$AO,,0,1)=0,"",_xlfn.XLOOKUP($E120,'[1]Import Eletra'!$B:$B,'[1]Import Eletra'!$AO:$AO,,0,1))</f>
        <v>46042</v>
      </c>
      <c r="T120" s="331">
        <f>IF(_xlfn.XLOOKUP($E120,'[1]Import Eletra'!$B:$B,'[1]Import Eletra'!$AP:$AP,,0,1)=0,"",_xlfn.XLOOKUP($E120,'[1]Import Eletra'!$B:$B,'[1]Import Eletra'!$AP:$AP,,0,1))</f>
        <v>46049</v>
      </c>
      <c r="U120" s="338">
        <f>IF(_xlfn.XLOOKUP($E120,'[1]Import Eletra'!$B:$B,'[1]Import Eletra'!$AQ:$AQ,,0,1)=0,"",_xlfn.XLOOKUP($E120,'[1]Import Eletra'!$B:$B,'[1]Import Eletra'!$AQ:$AQ,,0,1))</f>
        <v>46041</v>
      </c>
      <c r="V120" s="343">
        <f>IF(_xlfn.XLOOKUP($E120,'[1]Import Eletra'!$B:$B,'[1]Import Eletra'!$AQ:$AQ,,0,1)=0,"",_xlfn.XLOOKUP($E120,'[1]Import Eletra'!$B:$B,'[1]Import Eletra'!$AQ:$AQ,,0,1))</f>
        <v>46041</v>
      </c>
      <c r="W120" s="336">
        <f>AB120-$AB$4</f>
        <v>46051</v>
      </c>
      <c r="X120" s="345">
        <f>IF(_xlfn.XLOOKUP($E120,'[1]Import Eletra'!$B:$B,'[1]Import Eletra'!$AR:$AR,,0,1)=0,"",_xlfn.XLOOKUP($E120,'[1]Import Eletra'!$B:$B,'[1]Import Eletra'!$AR:$AR,,0,1))</f>
        <v>46042</v>
      </c>
      <c r="Y120" s="309">
        <f>$W$4</f>
        <v>0</v>
      </c>
      <c r="Z120" s="309">
        <f ca="1">IF(X120="",TODAY()-W120,X120-W120)</f>
        <v>-9</v>
      </c>
      <c r="AA120" s="310" t="str">
        <f ca="1">IF(AND(ISNUMBER($Z120),$Z120&gt;0),$Z120-$Y120,"")</f>
        <v/>
      </c>
      <c r="AB120" s="350">
        <f>AG120-$AB$4</f>
        <v>46051</v>
      </c>
      <c r="AC120" s="345">
        <f>IF(_xlfn.XLOOKUP($E120,'[1]Import Eletra'!$B:$B,'[1]Import Eletra'!$AD:$AD,,0,1)=0,"",_xlfn.XLOOKUP($E120,'[1]Import Eletra'!$B:$B,'[1]Import Eletra'!$AD:$AD,,0,1))</f>
        <v>46051</v>
      </c>
      <c r="AD120" s="309">
        <f>$AB$4</f>
        <v>0</v>
      </c>
      <c r="AE120" s="309">
        <f ca="1">IF(AC120="",TODAY()-AB120,AC120-AB120)</f>
        <v>0</v>
      </c>
      <c r="AF120" s="310">
        <f ca="1">AE120-AD120</f>
        <v>0</v>
      </c>
      <c r="AG120" s="356">
        <f>AL120-$AL$4</f>
        <v>46051</v>
      </c>
      <c r="AH120" s="345">
        <f>IF(_xlfn.XLOOKUP($E120,'[1]Import Eletra'!$B:$B,'[1]Import Eletra'!$AE:$AE,,0,1)=0,"",_xlfn.XLOOKUP($E120,'[1]Import Eletra'!$B:$B,'[1]Import Eletra'!$AE:$AE,,0,1))</f>
        <v>46051</v>
      </c>
      <c r="AI120" s="309">
        <f>$AG$4</f>
        <v>0</v>
      </c>
      <c r="AJ120" s="309">
        <f ca="1">IF(AH120="",TODAY()-AG120,AH120-AG120)</f>
        <v>0</v>
      </c>
      <c r="AK120" s="310" t="str">
        <f ca="1">IF(AND(ISNUMBER($AJ120),$AJ120&gt;0),$AJ120-$AI120,"")</f>
        <v/>
      </c>
      <c r="AL120" s="356">
        <f>AQ120-$AQ$4</f>
        <v>46051</v>
      </c>
      <c r="AM120" s="345">
        <f>IF(_xlfn.XLOOKUP($E120,'[1]Import Eletra'!$B:$B,'[1]Import Eletra'!$AT:$AT,,0,1)=0,"",_xlfn.XLOOKUP($E120,'[1]Import Eletra'!$B:$B,'[1]Import Eletra'!$AT:$AT,,0,1))</f>
        <v>46051</v>
      </c>
      <c r="AN120" s="309">
        <f>$AL$4</f>
        <v>0</v>
      </c>
      <c r="AO120" s="309">
        <f ca="1">IF(AM120="",TODAY()-AL120,AM120-AL120)</f>
        <v>0</v>
      </c>
      <c r="AP120" s="310" t="str">
        <f ca="1">IF(AND(ISNUMBER($AO120),$AO120&gt;0),$AO120-$AN120,"")</f>
        <v/>
      </c>
      <c r="AQ120" s="359">
        <f>AV120-$AV$4</f>
        <v>46052</v>
      </c>
      <c r="AR120" s="345">
        <f>IF(_xlfn.XLOOKUP($E120,'[1]Import Eletra'!$B:$B,'[1]Import Eletra'!$AU:$AU,,0,1)=0,"",_xlfn.XLOOKUP($E120,'[1]Import Eletra'!$B:$B,'[1]Import Eletra'!$AU:$AU,,0,1))</f>
        <v>46051</v>
      </c>
      <c r="AS120" s="309">
        <f>$AQ$4</f>
        <v>1</v>
      </c>
      <c r="AT120" s="309">
        <f ca="1">IF(AR120="",TODAY()-AQ120,AR120-AQ120)</f>
        <v>-1</v>
      </c>
      <c r="AU120" s="310" t="str">
        <f ca="1">IF(AND(ISNUMBER($AT120),$AT120&gt;0),$AT120-$AS120,"")</f>
        <v/>
      </c>
      <c r="AV120" s="356">
        <f>BA120-$BA$4</f>
        <v>46052</v>
      </c>
      <c r="AW120" s="345">
        <f>IF(_xlfn.XLOOKUP($E120,'[1]Import Eletra'!$B:$B,'[1]Import Eletra'!$AU:$AU,,0,1)=0,"",_xlfn.XLOOKUP($E120,'[1]Import Eletra'!$B:$B,'[1]Import Eletra'!$AU:$AU,,0,1))</f>
        <v>46051</v>
      </c>
      <c r="AX120" s="309">
        <f>$AV$4</f>
        <v>0</v>
      </c>
      <c r="AY120" s="309">
        <f ca="1">IF(AW120="",TODAY()-AV120,AW120-AV120)</f>
        <v>-1</v>
      </c>
      <c r="AZ120" s="310" t="str">
        <f ca="1">IF(AND(ISNUMBER($AY120),$AY120&gt;0),$AY120-$AX120,"")</f>
        <v/>
      </c>
      <c r="BA120" s="359">
        <f>BF120-$BF$4</f>
        <v>46052</v>
      </c>
      <c r="BB120" s="345" t="str">
        <f>IF(_xlfn.XLOOKUP($E120,'[1]Import Eletra'!$B:$B,'[1]Import Eletra'!$AW:$AW,,0,1)=0,"",_xlfn.XLOOKUP($E120,'[1]Import Eletra'!$B:$B,'[1]Import Eletra'!$AW:$AW,,0,1))</f>
        <v/>
      </c>
      <c r="BC120" s="309">
        <f>$BA$4</f>
        <v>0</v>
      </c>
      <c r="BD120" s="309">
        <f ca="1">IF(BB120="",TODAY()-BA120,BB120-BA120)</f>
        <v>159</v>
      </c>
      <c r="BE120" s="310">
        <f ca="1">BD120-BC120</f>
        <v>159</v>
      </c>
      <c r="BF120" s="336">
        <f>BK120-$BK$4</f>
        <v>46052</v>
      </c>
      <c r="BG120" s="345" t="str">
        <f>IF(_xlfn.XLOOKUP($E120,'[1]Import Eletra'!$B:$B,'[1]Import Eletra'!$AX:$AX,,0,1)=0,"",_xlfn.XLOOKUP($E120,'[1]Import Eletra'!$B:$B,'[1]Import Eletra'!$AX:$AX,,0,1))</f>
        <v/>
      </c>
      <c r="BH120" s="309">
        <f>$BF$4</f>
        <v>0</v>
      </c>
      <c r="BI120" s="309">
        <f ca="1">IF(BG120="",TODAY()-BF120,BG120-BF120)</f>
        <v>159</v>
      </c>
      <c r="BJ120" s="310">
        <f ca="1">IF(AND(ISNUMBER($BI120),$BI120&gt;0),$BI120-$BH120,"")</f>
        <v>159</v>
      </c>
      <c r="BK120" s="363">
        <f>BP120-$BP$4</f>
        <v>46052</v>
      </c>
      <c r="BL120" s="345">
        <f>IF(_xlfn.XLOOKUP($E120,'[1]Import Eletra'!$B:$B,'[1]Import Eletra'!$AY:$AY,,0,1)=0,"",_xlfn.XLOOKUP($E120,'[1]Import Eletra'!$B:$B,'[1]Import Eletra'!$AY:$AY,,0,1))</f>
        <v>46051</v>
      </c>
      <c r="BM120" s="309">
        <f>$BK$4</f>
        <v>0</v>
      </c>
      <c r="BN120" s="309">
        <f ca="1">IF(BL120="",TODAY()-BK120,BL120-BK120)</f>
        <v>-1</v>
      </c>
      <c r="BO120" s="310">
        <f ca="1">BN120-BM120</f>
        <v>-1</v>
      </c>
      <c r="BP120" s="336">
        <f>BU120-$BU$4</f>
        <v>46052</v>
      </c>
      <c r="BQ120" s="345">
        <f>IF(_xlfn.XLOOKUP($E120,'[1]Import Eletra'!$B:$B,'[1]Import Eletra'!$AZ:$AZ,,0,1)=0,"",_xlfn.XLOOKUP($E120,'[1]Import Eletra'!$B:$B,'[1]Import Eletra'!$AZ:$AZ,,0,1))</f>
        <v>46051</v>
      </c>
      <c r="BR120" s="309">
        <f>$BP$4</f>
        <v>0</v>
      </c>
      <c r="BS120" s="309">
        <f ca="1">IF(BQ120="",TODAY()-BP120,BQ120-BP120)</f>
        <v>-1</v>
      </c>
      <c r="BT120" s="310">
        <f ca="1">BS120-BR120</f>
        <v>-1</v>
      </c>
      <c r="BU120" s="363">
        <f>BZ120-$BZ$4</f>
        <v>46054</v>
      </c>
      <c r="BV120" s="345">
        <f>IF(_xlfn.XLOOKUP($E120,'[1]Import Eletra'!$B:$B,'[1]Import Eletra'!$BA:$BA,,0,1)=0,"",_xlfn.XLOOKUP($E120,'[1]Import Eletra'!$B:$B,'[1]Import Eletra'!$BA:$BA,,0,1))</f>
        <v>46052</v>
      </c>
      <c r="BW120" s="309">
        <f>$BU$4</f>
        <v>2</v>
      </c>
      <c r="BX120" s="309">
        <f ca="1">IF(BV120="",TODAY()-BU120,BV120-BU120)</f>
        <v>-2</v>
      </c>
      <c r="BY120" s="310" t="str">
        <f ca="1">IF(AND(ISNUMBER($BX120),$BX120&gt;0),$BX120-$BW120,"")</f>
        <v/>
      </c>
      <c r="BZ120" s="336">
        <f>CE120-$CE$4</f>
        <v>46054</v>
      </c>
      <c r="CA120" s="345">
        <f>IF(_xlfn.XLOOKUP($E120,'[1]Import Eletra'!$B:$B,'[1]Import Eletra'!$BB:$BB,,0,1)=0,"",_xlfn.XLOOKUP($E120,'[1]Import Eletra'!$B:$B,'[1]Import Eletra'!$BB:$BB,,0,1))</f>
        <v>46055</v>
      </c>
      <c r="CB120" s="309">
        <f>$BZ$4</f>
        <v>0</v>
      </c>
      <c r="CC120" s="309">
        <f ca="1">IF(CA120="",TODAY()-BZ120,CA120-BZ120)</f>
        <v>1</v>
      </c>
      <c r="CD120" s="310">
        <f ca="1">CC120-CB120</f>
        <v>1</v>
      </c>
      <c r="CE120" s="363">
        <f>CJ120-$CJ$4</f>
        <v>46054</v>
      </c>
      <c r="CF120" s="345">
        <f>IF(_xlfn.XLOOKUP($E120,'[1]Import Eletra'!$B:$B,'[1]Import Eletra'!$BC:$BC,,0,1)=0,"",_xlfn.XLOOKUP($E120,'[1]Import Eletra'!$B:$B,'[1]Import Eletra'!$BC:$BC,,0,1))</f>
        <v>46056</v>
      </c>
      <c r="CG120" s="309">
        <f>$CE$4</f>
        <v>0</v>
      </c>
      <c r="CH120" s="309">
        <f ca="1">IF(CF120="",TODAY()-CE120,CF120-CE120)</f>
        <v>2</v>
      </c>
      <c r="CI120" s="310">
        <f ca="1">CH120-CG120</f>
        <v>2</v>
      </c>
      <c r="CJ120" s="336">
        <f>CO120-$CO$4</f>
        <v>46054</v>
      </c>
      <c r="CK120" s="345">
        <f>IF(_xlfn.XLOOKUP($E120,'[1]Import Eletra'!$B:$B,'[1]Import Eletra'!$BD:$BD,,0,1)=0,"",_xlfn.XLOOKUP($E120,'[1]Import Eletra'!$B:$B,'[1]Import Eletra'!$BD:$BD,,0,1))</f>
        <v>46055</v>
      </c>
      <c r="CL120" s="309"/>
      <c r="CM120" s="309">
        <f ca="1">IF(CK120="",TODAY()-CJ120,CK120-CJ120)</f>
        <v>1</v>
      </c>
      <c r="CN120" s="310">
        <f ca="1">CM120-CL120</f>
        <v>1</v>
      </c>
      <c r="CO120" s="363">
        <f>CT120-$CT$4</f>
        <v>46054</v>
      </c>
      <c r="CP120" s="345">
        <f>IF(_xlfn.XLOOKUP($E120,'[1]Import Eletra'!$B:$B,'[1]Import Eletra'!$BE:$BE,,0,1)=0,"",_xlfn.XLOOKUP($E120,'[1]Import Eletra'!$B:$B,'[1]Import Eletra'!$BE:$BE,,0,1))</f>
        <v>46056</v>
      </c>
      <c r="CQ120" s="309">
        <f>$CO$4</f>
        <v>0</v>
      </c>
      <c r="CR120" s="309">
        <f ca="1">IF(CP120="",TODAY()-CO120,CP120-CO120)</f>
        <v>2</v>
      </c>
      <c r="CS120" s="310">
        <f ca="1">CR120-CQ120</f>
        <v>2</v>
      </c>
      <c r="CT120" s="336">
        <f>CY120-$CY$4</f>
        <v>46054</v>
      </c>
      <c r="CU120" s="345">
        <f>IF(_xlfn.XLOOKUP($E120,'[1]Import Eletra'!$B:$B,'[1]Import Eletra'!$BF:$BF,,0,1)=0,"",_xlfn.XLOOKUP($E120,'[1]Import Eletra'!$B:$B,'[1]Import Eletra'!$BF:$BF,,0,1))</f>
        <v>46056</v>
      </c>
      <c r="CV120" s="309">
        <f>$CT$4</f>
        <v>0</v>
      </c>
      <c r="CW120" s="309">
        <f ca="1">IF(CU120="",TODAY()-CT120,CU120-CT120)</f>
        <v>2</v>
      </c>
      <c r="CX120" s="310">
        <f ca="1">CW120-CV120</f>
        <v>2</v>
      </c>
      <c r="CY120" s="85">
        <f>DD120-$DD$4</f>
        <v>46054</v>
      </c>
      <c r="CZ120" s="271">
        <f>IF(_xlfn.XLOOKUP($E120,'[1]Import Eletra'!$B:$B,'[1]Import Eletra'!$BF:$BF,,0,1)=0,"",_xlfn.XLOOKUP($E120,'[1]Import Eletra'!$B:$B,'[1]Import Eletra'!$BF:$BF,,0,1))</f>
        <v>46056</v>
      </c>
      <c r="DA120" s="311">
        <f>$CY$4</f>
        <v>0</v>
      </c>
      <c r="DB120" s="309">
        <f ca="1">IF(CZ120="",TODAY()-CY120,CZ120-CY120)</f>
        <v>2</v>
      </c>
      <c r="DC120" s="310">
        <f ca="1">DB120-DA120</f>
        <v>2</v>
      </c>
      <c r="DD120" s="85">
        <f>DI120-$DI$4</f>
        <v>46056</v>
      </c>
      <c r="DE120" s="271">
        <f>IF(_xlfn.XLOOKUP($E120,'[1]Import Eletra'!$B:$B,'[1]Import Eletra'!$BG:$BG,,0,1)=0,"",_xlfn.XLOOKUP($E120,'[1]Import Eletra'!$B:$B,'[1]Import Eletra'!$BG:$BG,0,1))</f>
        <v>46059</v>
      </c>
      <c r="DF120" s="309">
        <f>$DD$4</f>
        <v>2</v>
      </c>
      <c r="DG120" s="309">
        <f ca="1">IF(DE120="",TODAY()-DD120,DE120-DD120)</f>
        <v>3</v>
      </c>
      <c r="DH120" s="310">
        <f ca="1">DG120-DF120</f>
        <v>1</v>
      </c>
      <c r="DI120" s="85">
        <f>DO120-$DN$4</f>
        <v>46057</v>
      </c>
      <c r="DJ120" s="271" t="str">
        <f>IF(_xlfn.XLOOKUP($E120,'[1]Import Eletra'!$B:$B,'[1]Import Eletra'!$BH:$BH,,0,1)=0,"",_xlfn.XLOOKUP($E120,'[1]Import Eletra'!$B:$B,'[1]Import Eletra'!$BH:$BH,0,1))</f>
        <v/>
      </c>
      <c r="DK120" s="309">
        <f>$DI$4</f>
        <v>1</v>
      </c>
      <c r="DL120" s="309">
        <f ca="1">IF(DJ120="",TODAY()-DI120,DJ120-DI120)</f>
        <v>154</v>
      </c>
      <c r="DM120" s="310">
        <f ca="1">DL120-DK120</f>
        <v>153</v>
      </c>
      <c r="DN120" s="312"/>
      <c r="DO120" s="313">
        <f>IF(V120="",N120+DT120,V120+DT120)</f>
        <v>46058</v>
      </c>
      <c r="DP120" s="59">
        <f>IF(_xlfn.XLOOKUP($E120,'[1]Import Eletra'!$B:$B,'[1]Import Eletra'!$O:$O,,0,1)=0,"",_xlfn.XLOOKUP($E120,'[1]Import Eletra'!$B:$B,'[1]Import Eletra'!$O:$O,0,1))</f>
        <v>46066</v>
      </c>
      <c r="DQ120" s="309">
        <f>$DN$4</f>
        <v>1</v>
      </c>
      <c r="DR120" s="309">
        <f ca="1">IF(DP120="",TODAY()-DO120,DP120-DO120)</f>
        <v>8</v>
      </c>
      <c r="DS120" s="310">
        <f ca="1">DR120-DQ120</f>
        <v>7</v>
      </c>
      <c r="DT120" s="314">
        <v>17</v>
      </c>
      <c r="DU120" s="140">
        <f ca="1">IF(DP120="",TODAY()-N120,DP120-N120)</f>
        <v>26</v>
      </c>
      <c r="DV120" s="184">
        <f ca="1">DU120-DT120</f>
        <v>9</v>
      </c>
      <c r="DX120" s="316"/>
      <c r="DY120" s="108" t="str">
        <f>IF(_xlfn.XLOOKUP($E120,'[1]Import Eletra'!$B:$B,'[1]Import Eletra'!$DW:$DW,,0,1)=0,"",_xlfn.XLOOKUP($E120,'[1]Import Eletra'!$B:$B,'[1]Import Eletra'!$DW:$DW,0,1))</f>
        <v/>
      </c>
      <c r="EB120" s="317"/>
      <c r="ED120" s="406">
        <f>IF(_xlfn.XLOOKUP($E120,'[1]Import Eletra'!$B:$B,'[1]Import Eletra'!$BQ:$BQ,,0,1)=0,"",_xlfn.XLOOKUP($E120,'[1]Import Eletra'!$B:$B,'[1]Import Eletra'!$BQ:$BQ,0,1))</f>
        <v>3449.88</v>
      </c>
      <c r="EE120" s="407">
        <f>IF(_xlfn.XLOOKUP($E120,'[1]Import Eletra'!$B:$B,'[1]Import Eletra'!$BR:$BR,,0,1)=0,"",_xlfn.XLOOKUP($E120,'[1]Import Eletra'!$B:$B,'[1]Import Eletra'!$BR:$BR,0,1))</f>
        <v>46058</v>
      </c>
      <c r="EF120" s="406">
        <f>IF(_xlfn.XLOOKUP($E120,'[1]Import Eletra'!$B:$B,'[1]Import Eletra'!$BS:$BS,,0,1)=0,"",_xlfn.XLOOKUP($E120,'[1]Import Eletra'!$B:$B,'[1]Import Eletra'!$BS:$BS,0,1))</f>
        <v>21460.54</v>
      </c>
      <c r="EG120" s="407">
        <f>IF(_xlfn.XLOOKUP($E120,'[1]Import Eletra'!$B:$B,'[1]Import Eletra'!$BT:$BT,,0,1)=0,"",_xlfn.XLOOKUP($E120,'[1]Import Eletra'!$B:$B,'[1]Import Eletra'!$BT:$BT,0,1))</f>
        <v>46129</v>
      </c>
      <c r="EH120" s="406" t="str">
        <f>IF(_xlfn.XLOOKUP($E120,'[1]Import Eletra'!$B:$B,'[1]Import Eletra'!$BU:$BU,,0,1)=0,"",_xlfn.XLOOKUP($E120,'[1]Import Eletra'!$B:$B,'[1]Import Eletra'!$BU:$BU,0,1))</f>
        <v/>
      </c>
      <c r="EI120" s="407" t="str">
        <f>IF(_xlfn.XLOOKUP($E120,'[1]Import Eletra'!$B:$B,'[1]Import Eletra'!$BV:$BV,,0,1)=0,"",_xlfn.XLOOKUP($E120,'[1]Import Eletra'!$B:$B,'[1]Import Eletra'!$BV:$BV,0,1))</f>
        <v/>
      </c>
      <c r="EJ120" s="407">
        <f>IF(_xlfn.XLOOKUP($E120,'[1]Import Eletra'!$B:$B,'[1]Import Eletra'!$CI:$CI,,0,1)=0,"",_xlfn.XLOOKUP($E120,'[1]Import Eletra'!$B:$B,'[1]Import Eletra'!$CI:$CI,0,1))</f>
        <v>46058</v>
      </c>
      <c r="EK120" s="407">
        <f>IF(_xlfn.XLOOKUP($E120,'[1]Import Eletra'!$B:$B,'[1]Import Eletra'!$CD:$CD,,0,1)=0,"",_xlfn.XLOOKUP($E120,'[1]Import Eletra'!$B:$B,'[1]Import Eletra'!$CD:$CD,0,1))</f>
        <v>46066</v>
      </c>
      <c r="EL120" s="407" t="str">
        <f>IF(_xlfn.XLOOKUP($E120,'[1]Import Eletra'!$B:$B,'[1]Import Eletra'!$CE:$CE,,0,1)=0,"",_xlfn.XLOOKUP($E120,'[1]Import Eletra'!$B:$B,'[1]Import Eletra'!$CE:$CE,0,1))</f>
        <v>SIM  8 dias</v>
      </c>
      <c r="EM120" s="408" t="str">
        <f>IF(_xlfn.XLOOKUP($E120,'[1]Import Eletra'!$B:$B,'[1]Import Eletra'!$E:$E,,0,1)=0,"",_xlfn.XLOOKUP($E120,'[1]Import Eletra'!$B:$B,'[1]Import Eletra'!$E:$E,0,1))</f>
        <v>STELLA</v>
      </c>
      <c r="EN120" s="408" t="str">
        <f>IF(_xlfn.XLOOKUP($E120,'[1]Import Eletra'!$B:$B,'[1]Import Eletra'!$E:$E,,0,1)=0,"",_xlfn.XLOOKUP($E120,'[1]Import Eletra'!$B:$B,'[1]Import Eletra'!$E:$E,0,1))</f>
        <v>STELLA</v>
      </c>
      <c r="EO120" s="408" t="str">
        <f>IF(_xlfn.XLOOKUP($E120,'[1]Import Eletra'!$B:$B,'[1]Import Eletra'!$E:$E,,0,1)=0,"",_xlfn.XLOOKUP($E120,'[1]Import Eletra'!$B:$B,'[1]Import Eletra'!$E:$E,0,1))</f>
        <v>STELLA</v>
      </c>
      <c r="EP120" s="408" t="str">
        <f>IF(_xlfn.XLOOKUP($E120,'[1]Import Eletra'!$B:$B,'[1]Import Eletra'!$E:$E,,0,1)=0,"",_xlfn.XLOOKUP($E120,'[1]Import Eletra'!$B:$B,'[1]Import Eletra'!$E:$E,0,1))</f>
        <v>STELLA</v>
      </c>
    </row>
    <row r="121" spans="1:146" s="315" customFormat="1" ht="30" hidden="1" customHeight="1" outlineLevel="1">
      <c r="A121" s="305"/>
      <c r="B121" s="306"/>
      <c r="C121" s="306"/>
      <c r="D121" s="306"/>
      <c r="E121" s="318" t="s">
        <v>417</v>
      </c>
      <c r="F121" s="307">
        <f>IF(_xlfn.XLOOKUP($E121,'[1]Import Eletra'!$B:$B,'[1]Import Eletra'!$U:$U,,0,1)=0,"",_xlfn.XLOOKUP($E121,'[1]Import Eletra'!$B:$B,'[1]Import Eletra'!$U:$U,,0,1))</f>
        <v>0.5</v>
      </c>
      <c r="G121" s="320" t="s">
        <v>244</v>
      </c>
      <c r="H121" s="59" t="str">
        <f>_xlfn.XLOOKUP($E121,'[1]Import Eletra'!$B:$B,'[1]Import Eletra'!$F:$F,,0,1)</f>
        <v>DELIVERED</v>
      </c>
      <c r="I121" s="4" t="str">
        <f>_xlfn.XLOOKUP($E121,'[1]Import Eletra'!$B:$B,'[1]Import Eletra'!$G:$G,,0,1)</f>
        <v>SEA</v>
      </c>
      <c r="J121" s="331"/>
      <c r="K121" s="308"/>
      <c r="L121" s="308"/>
      <c r="M121" s="331">
        <f>IF(_xlfn.XLOOKUP($E121,'[1]Import Eletra'!$B:$B,'[1]Import Eletra'!$J:$J,,0,1)=0,"",_xlfn.XLOOKUP($E121,'[1]Import Eletra'!$B:$B,'[1]Import Eletra'!$J:$J,,0,1))</f>
        <v>45989</v>
      </c>
      <c r="N121" s="334">
        <f>IF(_xlfn.XLOOKUP($E121,'[1]Import Eletra'!$B:$B,'[1]Import Eletra'!$L:$L,,0,1)=0,"",_xlfn.XLOOKUP($E121,'[1]Import Eletra'!$B:$B,'[1]Import Eletra'!$L:$L,,0,1))</f>
        <v>46048</v>
      </c>
      <c r="O121" s="336">
        <f>IF(_xlfn.XLOOKUP($E121,'[1]Import Eletra'!$B:$B,'[1]Import Eletra'!$AK:$AK,,0,1)=0,"",_xlfn.XLOOKUP($E121,'[1]Import Eletra'!$B:$B,'[1]Import Eletra'!$AK:$AK,,0,1))</f>
        <v>46006</v>
      </c>
      <c r="P121" s="331">
        <f>IF(_xlfn.XLOOKUP($E121,'[1]Import Eletra'!$B:$B,'[1]Import Eletra'!$AL:$AL,,0,1)=0,"",_xlfn.XLOOKUP($E121,'[1]Import Eletra'!$B:$B,'[1]Import Eletra'!$AL:$AL,,0,1))</f>
        <v>46043</v>
      </c>
      <c r="Q121" s="331">
        <f>IF(_xlfn.XLOOKUP($E121,'[1]Import Eletra'!$B:$B,'[1]Import Eletra'!$AM:$AM,,0,1)=0,"",_xlfn.XLOOKUP($E121,'[1]Import Eletra'!$B:$B,'[1]Import Eletra'!$AM:$AM,,0,1))</f>
        <v>46049</v>
      </c>
      <c r="R121" s="331">
        <f>IF(_xlfn.XLOOKUP($E121,'[1]Import Eletra'!$B:$B,'[1]Import Eletra'!$AN:$AN,,0,1)=0,"",_xlfn.XLOOKUP($E121,'[1]Import Eletra'!$B:$B,'[1]Import Eletra'!$AN:$AN,,0,1))</f>
        <v>46049</v>
      </c>
      <c r="S121" s="331">
        <f>IF(_xlfn.XLOOKUP($E121,'[1]Import Eletra'!$B:$B,'[1]Import Eletra'!$AO:$AO,,0,1)=0,"",_xlfn.XLOOKUP($E121,'[1]Import Eletra'!$B:$B,'[1]Import Eletra'!$AO:$AO,,0,1))</f>
        <v>46051</v>
      </c>
      <c r="T121" s="331">
        <f>IF(_xlfn.XLOOKUP($E121,'[1]Import Eletra'!$B:$B,'[1]Import Eletra'!$AP:$AP,,0,1)=0,"",_xlfn.XLOOKUP($E121,'[1]Import Eletra'!$B:$B,'[1]Import Eletra'!$AP:$AP,,0,1))</f>
        <v>46056</v>
      </c>
      <c r="U121" s="338">
        <f>IF(_xlfn.XLOOKUP($E121,'[1]Import Eletra'!$B:$B,'[1]Import Eletra'!$AQ:$AQ,,0,1)=0,"",_xlfn.XLOOKUP($E121,'[1]Import Eletra'!$B:$B,'[1]Import Eletra'!$AQ:$AQ,,0,1))</f>
        <v>46056</v>
      </c>
      <c r="V121" s="343">
        <f>IF(_xlfn.XLOOKUP($E121,'[1]Import Eletra'!$B:$B,'[1]Import Eletra'!$AQ:$AQ,,0,1)=0,"",_xlfn.XLOOKUP($E121,'[1]Import Eletra'!$B:$B,'[1]Import Eletra'!$AQ:$AQ,,0,1))</f>
        <v>46056</v>
      </c>
      <c r="W121" s="336">
        <f>AB121-$AB$4</f>
        <v>46066</v>
      </c>
      <c r="X121" s="345">
        <f>IF(_xlfn.XLOOKUP($E121,'[1]Import Eletra'!$B:$B,'[1]Import Eletra'!$AR:$AR,,0,1)=0,"",_xlfn.XLOOKUP($E121,'[1]Import Eletra'!$B:$B,'[1]Import Eletra'!$AR:$AR,,0,1))</f>
        <v>46050</v>
      </c>
      <c r="Y121" s="309">
        <f>$W$4</f>
        <v>0</v>
      </c>
      <c r="Z121" s="309">
        <f ca="1">IF(X121="",TODAY()-W121,X121-W121)</f>
        <v>-16</v>
      </c>
      <c r="AA121" s="310" t="str">
        <f ca="1">IF(AND(ISNUMBER($Z121),$Z121&gt;0),$Z121-$Y121,"")</f>
        <v/>
      </c>
      <c r="AB121" s="350">
        <f>AG121-$AB$4</f>
        <v>46066</v>
      </c>
      <c r="AC121" s="345">
        <f>IF(_xlfn.XLOOKUP($E121,'[1]Import Eletra'!$B:$B,'[1]Import Eletra'!$AD:$AD,,0,1)=0,"",_xlfn.XLOOKUP($E121,'[1]Import Eletra'!$B:$B,'[1]Import Eletra'!$AD:$AD,,0,1))</f>
        <v>46057</v>
      </c>
      <c r="AD121" s="309">
        <f>$AB$4</f>
        <v>0</v>
      </c>
      <c r="AE121" s="309">
        <f ca="1">IF(AC121="",TODAY()-AB121,AC121-AB121)</f>
        <v>-9</v>
      </c>
      <c r="AF121" s="310">
        <f ca="1">AE121-AD121</f>
        <v>-9</v>
      </c>
      <c r="AG121" s="356">
        <f>AL121-$AL$4</f>
        <v>46066</v>
      </c>
      <c r="AH121" s="345">
        <f>IF(_xlfn.XLOOKUP($E121,'[1]Import Eletra'!$B:$B,'[1]Import Eletra'!$AE:$AE,,0,1)=0,"",_xlfn.XLOOKUP($E121,'[1]Import Eletra'!$B:$B,'[1]Import Eletra'!$AE:$AE,,0,1))</f>
        <v>46057</v>
      </c>
      <c r="AI121" s="309">
        <f>$AG$4</f>
        <v>0</v>
      </c>
      <c r="AJ121" s="309">
        <f ca="1">IF(AH121="",TODAY()-AG121,AH121-AG121)</f>
        <v>-9</v>
      </c>
      <c r="AK121" s="310" t="str">
        <f ca="1">IF(AND(ISNUMBER($AJ121),$AJ121&gt;0),$AJ121-$AI121,"")</f>
        <v/>
      </c>
      <c r="AL121" s="356">
        <f>AQ121-$AQ$4</f>
        <v>46066</v>
      </c>
      <c r="AM121" s="345">
        <f>IF(_xlfn.XLOOKUP($E121,'[1]Import Eletra'!$B:$B,'[1]Import Eletra'!$AT:$AT,,0,1)=0,"",_xlfn.XLOOKUP($E121,'[1]Import Eletra'!$B:$B,'[1]Import Eletra'!$AT:$AT,,0,1))</f>
        <v>46057</v>
      </c>
      <c r="AN121" s="309">
        <f>$AL$4</f>
        <v>0</v>
      </c>
      <c r="AO121" s="309">
        <f ca="1">IF(AM121="",TODAY()-AL121,AM121-AL121)</f>
        <v>-9</v>
      </c>
      <c r="AP121" s="310" t="str">
        <f ca="1">IF(AND(ISNUMBER($AO121),$AO121&gt;0),$AO121-$AN121,"")</f>
        <v/>
      </c>
      <c r="AQ121" s="359">
        <f>AV121-$AV$4</f>
        <v>46067</v>
      </c>
      <c r="AR121" s="345">
        <f>IF(_xlfn.XLOOKUP($E121,'[1]Import Eletra'!$B:$B,'[1]Import Eletra'!$AU:$AU,,0,1)=0,"",_xlfn.XLOOKUP($E121,'[1]Import Eletra'!$B:$B,'[1]Import Eletra'!$AU:$AU,,0,1))</f>
        <v>46058</v>
      </c>
      <c r="AS121" s="309">
        <f>$AQ$4</f>
        <v>1</v>
      </c>
      <c r="AT121" s="309">
        <f ca="1">IF(AR121="",TODAY()-AQ121,AR121-AQ121)</f>
        <v>-9</v>
      </c>
      <c r="AU121" s="310" t="str">
        <f ca="1">IF(AND(ISNUMBER($AT121),$AT121&gt;0),$AT121-$AS121,"")</f>
        <v/>
      </c>
      <c r="AV121" s="356">
        <f>BA121-$BA$4</f>
        <v>46067</v>
      </c>
      <c r="AW121" s="345">
        <f>IF(_xlfn.XLOOKUP($E121,'[1]Import Eletra'!$B:$B,'[1]Import Eletra'!$AU:$AU,,0,1)=0,"",_xlfn.XLOOKUP($E121,'[1]Import Eletra'!$B:$B,'[1]Import Eletra'!$AU:$AU,,0,1))</f>
        <v>46058</v>
      </c>
      <c r="AX121" s="309">
        <f>$AV$4</f>
        <v>0</v>
      </c>
      <c r="AY121" s="309">
        <f ca="1">IF(AW121="",TODAY()-AV121,AW121-AV121)</f>
        <v>-9</v>
      </c>
      <c r="AZ121" s="310" t="str">
        <f ca="1">IF(AND(ISNUMBER($AY121),$AY121&gt;0),$AY121-$AX121,"")</f>
        <v/>
      </c>
      <c r="BA121" s="359">
        <f>BF121-$BF$4</f>
        <v>46067</v>
      </c>
      <c r="BB121" s="345" t="str">
        <f>IF(_xlfn.XLOOKUP($E121,'[1]Import Eletra'!$B:$B,'[1]Import Eletra'!$AW:$AW,,0,1)=0,"",_xlfn.XLOOKUP($E121,'[1]Import Eletra'!$B:$B,'[1]Import Eletra'!$AW:$AW,,0,1))</f>
        <v/>
      </c>
      <c r="BC121" s="309">
        <f>$BA$4</f>
        <v>0</v>
      </c>
      <c r="BD121" s="309">
        <f ca="1">IF(BB121="",TODAY()-BA121,BB121-BA121)</f>
        <v>144</v>
      </c>
      <c r="BE121" s="310">
        <f ca="1">BD121-BC121</f>
        <v>144</v>
      </c>
      <c r="BF121" s="336">
        <f>BK121-$BK$4</f>
        <v>46067</v>
      </c>
      <c r="BG121" s="345" t="str">
        <f>IF(_xlfn.XLOOKUP($E121,'[1]Import Eletra'!$B:$B,'[1]Import Eletra'!$AX:$AX,,0,1)=0,"",_xlfn.XLOOKUP($E121,'[1]Import Eletra'!$B:$B,'[1]Import Eletra'!$AX:$AX,,0,1))</f>
        <v/>
      </c>
      <c r="BH121" s="309">
        <f>$BF$4</f>
        <v>0</v>
      </c>
      <c r="BI121" s="309">
        <f ca="1">IF(BG121="",TODAY()-BF121,BG121-BF121)</f>
        <v>144</v>
      </c>
      <c r="BJ121" s="310">
        <f ca="1">IF(AND(ISNUMBER($BI121),$BI121&gt;0),$BI121-$BH121,"")</f>
        <v>144</v>
      </c>
      <c r="BK121" s="363">
        <f>BP121-$BP$4</f>
        <v>46067</v>
      </c>
      <c r="BL121" s="345">
        <f>IF(_xlfn.XLOOKUP($E121,'[1]Import Eletra'!$B:$B,'[1]Import Eletra'!$AY:$AY,,0,1)=0,"",_xlfn.XLOOKUP($E121,'[1]Import Eletra'!$B:$B,'[1]Import Eletra'!$AY:$AY,,0,1))</f>
        <v>46057</v>
      </c>
      <c r="BM121" s="309">
        <f>$BK$4</f>
        <v>0</v>
      </c>
      <c r="BN121" s="309">
        <f ca="1">IF(BL121="",TODAY()-BK121,BL121-BK121)</f>
        <v>-10</v>
      </c>
      <c r="BO121" s="310">
        <f ca="1">BN121-BM121</f>
        <v>-10</v>
      </c>
      <c r="BP121" s="336">
        <f>BU121-$BU$4</f>
        <v>46067</v>
      </c>
      <c r="BQ121" s="345">
        <f>IF(_xlfn.XLOOKUP($E121,'[1]Import Eletra'!$B:$B,'[1]Import Eletra'!$AZ:$AZ,,0,1)=0,"",_xlfn.XLOOKUP($E121,'[1]Import Eletra'!$B:$B,'[1]Import Eletra'!$AZ:$AZ,,0,1))</f>
        <v>46059</v>
      </c>
      <c r="BR121" s="309">
        <f>$BP$4</f>
        <v>0</v>
      </c>
      <c r="BS121" s="309">
        <f ca="1">IF(BQ121="",TODAY()-BP121,BQ121-BP121)</f>
        <v>-8</v>
      </c>
      <c r="BT121" s="310">
        <f ca="1">BS121-BR121</f>
        <v>-8</v>
      </c>
      <c r="BU121" s="363">
        <f>BZ121-$BZ$4</f>
        <v>46069</v>
      </c>
      <c r="BV121" s="345">
        <f>IF(_xlfn.XLOOKUP($E121,'[1]Import Eletra'!$B:$B,'[1]Import Eletra'!$BA:$BA,,0,1)=0,"",_xlfn.XLOOKUP($E121,'[1]Import Eletra'!$B:$B,'[1]Import Eletra'!$BA:$BA,,0,1))</f>
        <v>46062</v>
      </c>
      <c r="BW121" s="309">
        <f>$BU$4</f>
        <v>2</v>
      </c>
      <c r="BX121" s="309">
        <f ca="1">IF(BV121="",TODAY()-BU121,BV121-BU121)</f>
        <v>-7</v>
      </c>
      <c r="BY121" s="310" t="str">
        <f ca="1">IF(AND(ISNUMBER($BX121),$BX121&gt;0),$BX121-$BW121,"")</f>
        <v/>
      </c>
      <c r="BZ121" s="336">
        <f>CE121-$CE$4</f>
        <v>46069</v>
      </c>
      <c r="CA121" s="345">
        <f>IF(_xlfn.XLOOKUP($E121,'[1]Import Eletra'!$B:$B,'[1]Import Eletra'!$BB:$BB,,0,1)=0,"",_xlfn.XLOOKUP($E121,'[1]Import Eletra'!$B:$B,'[1]Import Eletra'!$BB:$BB,,0,1))</f>
        <v>46062</v>
      </c>
      <c r="CB121" s="309">
        <f>$BZ$4</f>
        <v>0</v>
      </c>
      <c r="CC121" s="309">
        <f ca="1">IF(CA121="",TODAY()-BZ121,CA121-BZ121)</f>
        <v>-7</v>
      </c>
      <c r="CD121" s="310">
        <f ca="1">CC121-CB121</f>
        <v>-7</v>
      </c>
      <c r="CE121" s="363">
        <f>CJ121-$CJ$4</f>
        <v>46069</v>
      </c>
      <c r="CF121" s="345">
        <f>IF(_xlfn.XLOOKUP($E121,'[1]Import Eletra'!$B:$B,'[1]Import Eletra'!$BC:$BC,,0,1)=0,"",_xlfn.XLOOKUP($E121,'[1]Import Eletra'!$B:$B,'[1]Import Eletra'!$BC:$BC,,0,1))</f>
        <v>46065</v>
      </c>
      <c r="CG121" s="309">
        <f>$CE$4</f>
        <v>0</v>
      </c>
      <c r="CH121" s="309">
        <f ca="1">IF(CF121="",TODAY()-CE121,CF121-CE121)</f>
        <v>-4</v>
      </c>
      <c r="CI121" s="310">
        <f ca="1">CH121-CG121</f>
        <v>-4</v>
      </c>
      <c r="CJ121" s="336">
        <f>CO121-$CO$4</f>
        <v>46069</v>
      </c>
      <c r="CK121" s="345">
        <f>IF(_xlfn.XLOOKUP($E121,'[1]Import Eletra'!$B:$B,'[1]Import Eletra'!$BD:$BD,,0,1)=0,"",_xlfn.XLOOKUP($E121,'[1]Import Eletra'!$B:$B,'[1]Import Eletra'!$BD:$BD,,0,1))</f>
        <v>46062</v>
      </c>
      <c r="CL121" s="309"/>
      <c r="CM121" s="309">
        <f ca="1">IF(CK121="",TODAY()-CJ121,CK121-CJ121)</f>
        <v>-7</v>
      </c>
      <c r="CN121" s="310">
        <f ca="1">CM121-CL121</f>
        <v>-7</v>
      </c>
      <c r="CO121" s="363">
        <f>CT121-$CT$4</f>
        <v>46069</v>
      </c>
      <c r="CP121" s="345">
        <f>IF(_xlfn.XLOOKUP($E121,'[1]Import Eletra'!$B:$B,'[1]Import Eletra'!$BE:$BE,,0,1)=0,"",_xlfn.XLOOKUP($E121,'[1]Import Eletra'!$B:$B,'[1]Import Eletra'!$BE:$BE,,0,1))</f>
        <v>46065</v>
      </c>
      <c r="CQ121" s="309">
        <f>$CO$4</f>
        <v>0</v>
      </c>
      <c r="CR121" s="309">
        <f ca="1">IF(CP121="",TODAY()-CO121,CP121-CO121)</f>
        <v>-4</v>
      </c>
      <c r="CS121" s="310">
        <f ca="1">CR121-CQ121</f>
        <v>-4</v>
      </c>
      <c r="CT121" s="336">
        <f>CY121-$CY$4</f>
        <v>46069</v>
      </c>
      <c r="CU121" s="345">
        <f>IF(_xlfn.XLOOKUP($E121,'[1]Import Eletra'!$B:$B,'[1]Import Eletra'!$BF:$BF,,0,1)=0,"",_xlfn.XLOOKUP($E121,'[1]Import Eletra'!$B:$B,'[1]Import Eletra'!$BF:$BF,,0,1))</f>
        <v>46065</v>
      </c>
      <c r="CV121" s="309">
        <f>$CT$4</f>
        <v>0</v>
      </c>
      <c r="CW121" s="309">
        <f ca="1">IF(CU121="",TODAY()-CT121,CU121-CT121)</f>
        <v>-4</v>
      </c>
      <c r="CX121" s="310">
        <f ca="1">CW121-CV121</f>
        <v>-4</v>
      </c>
      <c r="CY121" s="85">
        <f>DD121-$DD$4</f>
        <v>46069</v>
      </c>
      <c r="CZ121" s="271">
        <f>IF(_xlfn.XLOOKUP($E121,'[1]Import Eletra'!$B:$B,'[1]Import Eletra'!$BF:$BF,,0,1)=0,"",_xlfn.XLOOKUP($E121,'[1]Import Eletra'!$B:$B,'[1]Import Eletra'!$BF:$BF,,0,1))</f>
        <v>46065</v>
      </c>
      <c r="DA121" s="311">
        <f>$CY$4</f>
        <v>0</v>
      </c>
      <c r="DB121" s="309">
        <f ca="1">IF(CZ121="",TODAY()-CY121,CZ121-CY121)</f>
        <v>-4</v>
      </c>
      <c r="DC121" s="310">
        <f ca="1">DB121-DA121</f>
        <v>-4</v>
      </c>
      <c r="DD121" s="85">
        <f>DI121-$DI$4</f>
        <v>46071</v>
      </c>
      <c r="DE121" s="271">
        <f>IF(_xlfn.XLOOKUP($E121,'[1]Import Eletra'!$B:$B,'[1]Import Eletra'!$BG:$BG,,0,1)=0,"",_xlfn.XLOOKUP($E121,'[1]Import Eletra'!$B:$B,'[1]Import Eletra'!$BG:$BG,0,1))</f>
        <v>46066</v>
      </c>
      <c r="DF121" s="309">
        <f>$DD$4</f>
        <v>2</v>
      </c>
      <c r="DG121" s="309">
        <f ca="1">IF(DE121="",TODAY()-DD121,DE121-DD121)</f>
        <v>-5</v>
      </c>
      <c r="DH121" s="310">
        <f ca="1">DG121-DF121</f>
        <v>-7</v>
      </c>
      <c r="DI121" s="85">
        <f>DO121-$DN$4</f>
        <v>46072</v>
      </c>
      <c r="DJ121" s="271">
        <f>IF(_xlfn.XLOOKUP($E121,'[1]Import Eletra'!$B:$B,'[1]Import Eletra'!$BH:$BH,,0,1)=0,"",_xlfn.XLOOKUP($E121,'[1]Import Eletra'!$B:$B,'[1]Import Eletra'!$BH:$BH,0,1))</f>
        <v>46071</v>
      </c>
      <c r="DK121" s="309">
        <f>$DI$4</f>
        <v>1</v>
      </c>
      <c r="DL121" s="309">
        <f ca="1">IF(DJ121="",TODAY()-DI121,DJ121-DI121)</f>
        <v>-1</v>
      </c>
      <c r="DM121" s="310">
        <f ca="1">DL121-DK121</f>
        <v>-2</v>
      </c>
      <c r="DN121" s="312"/>
      <c r="DO121" s="313">
        <f>IF(V121="",N121+DT121,V121+DT121)</f>
        <v>46073</v>
      </c>
      <c r="DP121" s="59">
        <f>IF(_xlfn.XLOOKUP($E121,'[1]Import Eletra'!$B:$B,'[1]Import Eletra'!$O:$O,,0,1)=0,"",_xlfn.XLOOKUP($E121,'[1]Import Eletra'!$B:$B,'[1]Import Eletra'!$O:$O,0,1))</f>
        <v>46071</v>
      </c>
      <c r="DQ121" s="309">
        <f>$DN$4</f>
        <v>1</v>
      </c>
      <c r="DR121" s="309">
        <f ca="1">IF(DP121="",TODAY()-DO121,DP121-DO121)</f>
        <v>-2</v>
      </c>
      <c r="DS121" s="310">
        <f ca="1">DR121-DQ121</f>
        <v>-3</v>
      </c>
      <c r="DT121" s="314">
        <v>17</v>
      </c>
      <c r="DU121" s="140">
        <f ca="1">IF(DP121="",TODAY()-N121,DP121-N121)</f>
        <v>23</v>
      </c>
      <c r="DV121" s="184">
        <f ca="1">DU121-DT121</f>
        <v>6</v>
      </c>
      <c r="DX121" s="316"/>
      <c r="DY121" s="108" t="str">
        <f>IF(_xlfn.XLOOKUP($E121,'[1]Import Eletra'!$B:$B,'[1]Import Eletra'!$DW:$DW,,0,1)=0,"",_xlfn.XLOOKUP($E121,'[1]Import Eletra'!$B:$B,'[1]Import Eletra'!$DW:$DW,0,1))</f>
        <v/>
      </c>
      <c r="EB121" s="317"/>
      <c r="ED121" s="406">
        <f>IF(_xlfn.XLOOKUP($E121,'[1]Import Eletra'!$B:$B,'[1]Import Eletra'!$BQ:$BQ,,0,1)=0,"",_xlfn.XLOOKUP($E121,'[1]Import Eletra'!$B:$B,'[1]Import Eletra'!$BQ:$BQ,0,1))</f>
        <v>2012.89</v>
      </c>
      <c r="EE121" s="407">
        <f>IF(_xlfn.XLOOKUP($E121,'[1]Import Eletra'!$B:$B,'[1]Import Eletra'!$BR:$BR,,0,1)=0,"",_xlfn.XLOOKUP($E121,'[1]Import Eletra'!$B:$B,'[1]Import Eletra'!$BR:$BR,0,1))</f>
        <v>46063</v>
      </c>
      <c r="EF121" s="406" t="str">
        <f>IF(_xlfn.XLOOKUP($E121,'[1]Import Eletra'!$B:$B,'[1]Import Eletra'!$BS:$BS,,0,1)=0,"",_xlfn.XLOOKUP($E121,'[1]Import Eletra'!$B:$B,'[1]Import Eletra'!$BS:$BS,0,1))</f>
        <v/>
      </c>
      <c r="EG121" s="407" t="str">
        <f>IF(_xlfn.XLOOKUP($E121,'[1]Import Eletra'!$B:$B,'[1]Import Eletra'!$BT:$BT,,0,1)=0,"",_xlfn.XLOOKUP($E121,'[1]Import Eletra'!$B:$B,'[1]Import Eletra'!$BT:$BT,0,1))</f>
        <v/>
      </c>
      <c r="EH121" s="406" t="str">
        <f>IF(_xlfn.XLOOKUP($E121,'[1]Import Eletra'!$B:$B,'[1]Import Eletra'!$BU:$BU,,0,1)=0,"",_xlfn.XLOOKUP($E121,'[1]Import Eletra'!$B:$B,'[1]Import Eletra'!$BU:$BU,0,1))</f>
        <v/>
      </c>
      <c r="EI121" s="407" t="str">
        <f>IF(_xlfn.XLOOKUP($E121,'[1]Import Eletra'!$B:$B,'[1]Import Eletra'!$BV:$BV,,0,1)=0,"",_xlfn.XLOOKUP($E121,'[1]Import Eletra'!$B:$B,'[1]Import Eletra'!$BV:$BV,0,1))</f>
        <v/>
      </c>
      <c r="EJ121" s="407">
        <f>IF(_xlfn.XLOOKUP($E121,'[1]Import Eletra'!$B:$B,'[1]Import Eletra'!$CI:$CI,,0,1)=0,"",_xlfn.XLOOKUP($E121,'[1]Import Eletra'!$B:$B,'[1]Import Eletra'!$CI:$CI,0,1))</f>
        <v>46069</v>
      </c>
      <c r="EK121" s="407">
        <f>IF(_xlfn.XLOOKUP($E121,'[1]Import Eletra'!$B:$B,'[1]Import Eletra'!$CD:$CD,,0,1)=0,"",_xlfn.XLOOKUP($E121,'[1]Import Eletra'!$B:$B,'[1]Import Eletra'!$CD:$CD,0,1))</f>
        <v>46067</v>
      </c>
      <c r="EL121" s="407" t="str">
        <f>IF(_xlfn.XLOOKUP($E121,'[1]Import Eletra'!$B:$B,'[1]Import Eletra'!$CE:$CE,,0,1)=0,"",_xlfn.XLOOKUP($E121,'[1]Import Eletra'!$B:$B,'[1]Import Eletra'!$CE:$CE,0,1))</f>
        <v>NÃO</v>
      </c>
      <c r="EM121" s="408" t="str">
        <f>IF(_xlfn.XLOOKUP($E121,'[1]Import Eletra'!$B:$B,'[1]Import Eletra'!$E:$E,,0,1)=0,"",_xlfn.XLOOKUP($E121,'[1]Import Eletra'!$B:$B,'[1]Import Eletra'!$E:$E,0,1))</f>
        <v>STELLA</v>
      </c>
      <c r="EN121" s="408" t="str">
        <f>IF(_xlfn.XLOOKUP($E121,'[1]Import Eletra'!$B:$B,'[1]Import Eletra'!$E:$E,,0,1)=0,"",_xlfn.XLOOKUP($E121,'[1]Import Eletra'!$B:$B,'[1]Import Eletra'!$E:$E,0,1))</f>
        <v>STELLA</v>
      </c>
      <c r="EO121" s="408" t="str">
        <f>IF(_xlfn.XLOOKUP($E121,'[1]Import Eletra'!$B:$B,'[1]Import Eletra'!$E:$E,,0,1)=0,"",_xlfn.XLOOKUP($E121,'[1]Import Eletra'!$B:$B,'[1]Import Eletra'!$E:$E,0,1))</f>
        <v>STELLA</v>
      </c>
      <c r="EP121" s="408" t="str">
        <f>IF(_xlfn.XLOOKUP($E121,'[1]Import Eletra'!$B:$B,'[1]Import Eletra'!$E:$E,,0,1)=0,"",_xlfn.XLOOKUP($E121,'[1]Import Eletra'!$B:$B,'[1]Import Eletra'!$E:$E,0,1))</f>
        <v>STELLA</v>
      </c>
    </row>
    <row r="122" spans="1:146" s="315" customFormat="1" ht="30" hidden="1" customHeight="1" outlineLevel="1">
      <c r="A122" s="305"/>
      <c r="B122" s="306"/>
      <c r="C122" s="306"/>
      <c r="D122" s="306"/>
      <c r="E122" s="318" t="s">
        <v>418</v>
      </c>
      <c r="F122" s="307" t="str">
        <f>IF(_xlfn.XLOOKUP($E122,'[1]Import Eletra'!$B:$B,'[1]Import Eletra'!$U:$U,,0,1)=0,"",_xlfn.XLOOKUP($E122,'[1]Import Eletra'!$B:$B,'[1]Import Eletra'!$U:$U,,0,1))</f>
        <v/>
      </c>
      <c r="G122" s="320" t="s">
        <v>244</v>
      </c>
      <c r="H122" s="59" t="str">
        <f>_xlfn.XLOOKUP($E122,'[1]Import Eletra'!$B:$B,'[1]Import Eletra'!$F:$F,,0,1)</f>
        <v>DELIVERED</v>
      </c>
      <c r="I122" s="4" t="str">
        <f>_xlfn.XLOOKUP($E122,'[1]Import Eletra'!$B:$B,'[1]Import Eletra'!$G:$G,,0,1)</f>
        <v>AIR</v>
      </c>
      <c r="J122" s="331"/>
      <c r="K122" s="308"/>
      <c r="L122" s="308"/>
      <c r="M122" s="331">
        <f>IF(_xlfn.XLOOKUP($E122,'[1]Import Eletra'!$B:$B,'[1]Import Eletra'!$J:$J,,0,1)=0,"",_xlfn.XLOOKUP($E122,'[1]Import Eletra'!$B:$B,'[1]Import Eletra'!$J:$J,,0,1))</f>
        <v>46027</v>
      </c>
      <c r="N122" s="334">
        <f>IF(_xlfn.XLOOKUP($E122,'[1]Import Eletra'!$B:$B,'[1]Import Eletra'!$L:$L,,0,1)=0,"",_xlfn.XLOOKUP($E122,'[1]Import Eletra'!$B:$B,'[1]Import Eletra'!$L:$L,,0,1))</f>
        <v>46061</v>
      </c>
      <c r="O122" s="336">
        <f>IF(_xlfn.XLOOKUP($E122,'[1]Import Eletra'!$B:$B,'[1]Import Eletra'!$AK:$AK,,0,1)=0,"",_xlfn.XLOOKUP($E122,'[1]Import Eletra'!$B:$B,'[1]Import Eletra'!$AK:$AK,,0,1))</f>
        <v>46057</v>
      </c>
      <c r="P122" s="331">
        <f>IF(_xlfn.XLOOKUP($E122,'[1]Import Eletra'!$B:$B,'[1]Import Eletra'!$AL:$AL,,0,1)=0,"",_xlfn.XLOOKUP($E122,'[1]Import Eletra'!$B:$B,'[1]Import Eletra'!$AL:$AL,,0,1))</f>
        <v>46062</v>
      </c>
      <c r="Q122" s="331">
        <f>IF(_xlfn.XLOOKUP($E122,'[1]Import Eletra'!$B:$B,'[1]Import Eletra'!$AM:$AM,,0,1)=0,"",_xlfn.XLOOKUP($E122,'[1]Import Eletra'!$B:$B,'[1]Import Eletra'!$AM:$AM,,0,1))</f>
        <v>46062</v>
      </c>
      <c r="R122" s="331">
        <f>IF(_xlfn.XLOOKUP($E122,'[1]Import Eletra'!$B:$B,'[1]Import Eletra'!$AN:$AN,,0,1)=0,"",_xlfn.XLOOKUP($E122,'[1]Import Eletra'!$B:$B,'[1]Import Eletra'!$AN:$AN,,0,1))</f>
        <v>46063</v>
      </c>
      <c r="S122" s="331">
        <f>IF(_xlfn.XLOOKUP($E122,'[1]Import Eletra'!$B:$B,'[1]Import Eletra'!$AO:$AO,,0,1)=0,"",_xlfn.XLOOKUP($E122,'[1]Import Eletra'!$B:$B,'[1]Import Eletra'!$AO:$AO,,0,1))</f>
        <v>46063</v>
      </c>
      <c r="T122" s="331">
        <f>IF(_xlfn.XLOOKUP($E122,'[1]Import Eletra'!$B:$B,'[1]Import Eletra'!$AP:$AP,,0,1)=0,"",_xlfn.XLOOKUP($E122,'[1]Import Eletra'!$B:$B,'[1]Import Eletra'!$AP:$AP,,0,1))</f>
        <v>46063</v>
      </c>
      <c r="U122" s="338">
        <f>IF(_xlfn.XLOOKUP($E122,'[1]Import Eletra'!$B:$B,'[1]Import Eletra'!$AQ:$AQ,,0,1)=0,"",_xlfn.XLOOKUP($E122,'[1]Import Eletra'!$B:$B,'[1]Import Eletra'!$AQ:$AQ,,0,1))</f>
        <v>46064</v>
      </c>
      <c r="V122" s="343">
        <f>IF(_xlfn.XLOOKUP($E122,'[1]Import Eletra'!$B:$B,'[1]Import Eletra'!$AQ:$AQ,,0,1)=0,"",_xlfn.XLOOKUP($E122,'[1]Import Eletra'!$B:$B,'[1]Import Eletra'!$AQ:$AQ,,0,1))</f>
        <v>46064</v>
      </c>
      <c r="W122" s="336">
        <f>AB122-$AB$4</f>
        <v>46074</v>
      </c>
      <c r="X122" s="345">
        <f>IF(_xlfn.XLOOKUP($E122,'[1]Import Eletra'!$B:$B,'[1]Import Eletra'!$AR:$AR,,0,1)=0,"",_xlfn.XLOOKUP($E122,'[1]Import Eletra'!$B:$B,'[1]Import Eletra'!$AR:$AR,,0,1))</f>
        <v>46062</v>
      </c>
      <c r="Y122" s="309">
        <f>$W$4</f>
        <v>0</v>
      </c>
      <c r="Z122" s="309">
        <f ca="1">IF(X122="",TODAY()-W122,X122-W122)</f>
        <v>-12</v>
      </c>
      <c r="AA122" s="310" t="str">
        <f ca="1">IF(AND(ISNUMBER($Z122),$Z122&gt;0),$Z122-$Y122,"")</f>
        <v/>
      </c>
      <c r="AB122" s="350">
        <f>AG122-$AB$4</f>
        <v>46074</v>
      </c>
      <c r="AC122" s="345">
        <f>IF(_xlfn.XLOOKUP($E122,'[1]Import Eletra'!$B:$B,'[1]Import Eletra'!$AD:$AD,,0,1)=0,"",_xlfn.XLOOKUP($E122,'[1]Import Eletra'!$B:$B,'[1]Import Eletra'!$AD:$AD,,0,1))</f>
        <v>46064</v>
      </c>
      <c r="AD122" s="309">
        <f>$AB$4</f>
        <v>0</v>
      </c>
      <c r="AE122" s="309">
        <f ca="1">IF(AC122="",TODAY()-AB122,AC122-AB122)</f>
        <v>-10</v>
      </c>
      <c r="AF122" s="310">
        <f ca="1">AE122-AD122</f>
        <v>-10</v>
      </c>
      <c r="AG122" s="356">
        <f>AL122-$AL$4</f>
        <v>46074</v>
      </c>
      <c r="AH122" s="345">
        <f>IF(_xlfn.XLOOKUP($E122,'[1]Import Eletra'!$B:$B,'[1]Import Eletra'!$AE:$AE,,0,1)=0,"",_xlfn.XLOOKUP($E122,'[1]Import Eletra'!$B:$B,'[1]Import Eletra'!$AE:$AE,,0,1))</f>
        <v>46065</v>
      </c>
      <c r="AI122" s="309">
        <f>$AG$4</f>
        <v>0</v>
      </c>
      <c r="AJ122" s="309">
        <f ca="1">IF(AH122="",TODAY()-AG122,AH122-AG122)</f>
        <v>-9</v>
      </c>
      <c r="AK122" s="310" t="str">
        <f ca="1">IF(AND(ISNUMBER($AJ122),$AJ122&gt;0),$AJ122-$AI122,"")</f>
        <v/>
      </c>
      <c r="AL122" s="356">
        <f>AQ122-$AQ$4</f>
        <v>46074</v>
      </c>
      <c r="AM122" s="345">
        <f>IF(_xlfn.XLOOKUP($E122,'[1]Import Eletra'!$B:$B,'[1]Import Eletra'!$AT:$AT,,0,1)=0,"",_xlfn.XLOOKUP($E122,'[1]Import Eletra'!$B:$B,'[1]Import Eletra'!$AT:$AT,,0,1))</f>
        <v>46065</v>
      </c>
      <c r="AN122" s="309">
        <f>$AL$4</f>
        <v>0</v>
      </c>
      <c r="AO122" s="309">
        <f ca="1">IF(AM122="",TODAY()-AL122,AM122-AL122)</f>
        <v>-9</v>
      </c>
      <c r="AP122" s="310" t="str">
        <f ca="1">IF(AND(ISNUMBER($AO122),$AO122&gt;0),$AO122-$AN122,"")</f>
        <v/>
      </c>
      <c r="AQ122" s="359">
        <f>AV122-$AV$4</f>
        <v>46075</v>
      </c>
      <c r="AR122" s="345">
        <f>IF(_xlfn.XLOOKUP($E122,'[1]Import Eletra'!$B:$B,'[1]Import Eletra'!$AU:$AU,,0,1)=0,"",_xlfn.XLOOKUP($E122,'[1]Import Eletra'!$B:$B,'[1]Import Eletra'!$AU:$AU,,0,1))</f>
        <v>46065</v>
      </c>
      <c r="AS122" s="309">
        <f>$AQ$4</f>
        <v>1</v>
      </c>
      <c r="AT122" s="309">
        <f ca="1">IF(AR122="",TODAY()-AQ122,AR122-AQ122)</f>
        <v>-10</v>
      </c>
      <c r="AU122" s="310" t="str">
        <f ca="1">IF(AND(ISNUMBER($AT122),$AT122&gt;0),$AT122-$AS122,"")</f>
        <v/>
      </c>
      <c r="AV122" s="356">
        <f>BA122-$BA$4</f>
        <v>46075</v>
      </c>
      <c r="AW122" s="345">
        <f>IF(_xlfn.XLOOKUP($E122,'[1]Import Eletra'!$B:$B,'[1]Import Eletra'!$AU:$AU,,0,1)=0,"",_xlfn.XLOOKUP($E122,'[1]Import Eletra'!$B:$B,'[1]Import Eletra'!$AU:$AU,,0,1))</f>
        <v>46065</v>
      </c>
      <c r="AX122" s="309">
        <f>$AV$4</f>
        <v>0</v>
      </c>
      <c r="AY122" s="309">
        <f ca="1">IF(AW122="",TODAY()-AV122,AW122-AV122)</f>
        <v>-10</v>
      </c>
      <c r="AZ122" s="310" t="str">
        <f ca="1">IF(AND(ISNUMBER($AY122),$AY122&gt;0),$AY122-$AX122,"")</f>
        <v/>
      </c>
      <c r="BA122" s="359">
        <f>BF122-$BF$4</f>
        <v>46075</v>
      </c>
      <c r="BB122" s="345">
        <f>IF(_xlfn.XLOOKUP($E122,'[1]Import Eletra'!$B:$B,'[1]Import Eletra'!$AW:$AW,,0,1)=0,"",_xlfn.XLOOKUP($E122,'[1]Import Eletra'!$B:$B,'[1]Import Eletra'!$AW:$AW,,0,1))</f>
        <v>46065</v>
      </c>
      <c r="BC122" s="309">
        <f>$BA$4</f>
        <v>0</v>
      </c>
      <c r="BD122" s="309">
        <f ca="1">IF(BB122="",TODAY()-BA122,BB122-BA122)</f>
        <v>-10</v>
      </c>
      <c r="BE122" s="310">
        <f ca="1">BD122-BC122</f>
        <v>-10</v>
      </c>
      <c r="BF122" s="336">
        <f>BK122-$BK$4</f>
        <v>46075</v>
      </c>
      <c r="BG122" s="345">
        <f>IF(_xlfn.XLOOKUP($E122,'[1]Import Eletra'!$B:$B,'[1]Import Eletra'!$AX:$AX,,0,1)=0,"",_xlfn.XLOOKUP($E122,'[1]Import Eletra'!$B:$B,'[1]Import Eletra'!$AX:$AX,,0,1))</f>
        <v>46065</v>
      </c>
      <c r="BH122" s="309">
        <f>$BF$4</f>
        <v>0</v>
      </c>
      <c r="BI122" s="309">
        <f ca="1">IF(BG122="",TODAY()-BF122,BG122-BF122)</f>
        <v>-10</v>
      </c>
      <c r="BJ122" s="310" t="str">
        <f ca="1">IF(AND(ISNUMBER($BI122),$BI122&gt;0),$BI122-$BH122,"")</f>
        <v/>
      </c>
      <c r="BK122" s="363">
        <f>BP122-$BP$4</f>
        <v>46075</v>
      </c>
      <c r="BL122" s="345" t="str">
        <f>IF(_xlfn.XLOOKUP($E122,'[1]Import Eletra'!$B:$B,'[1]Import Eletra'!$AY:$AY,,0,1)=0,"",_xlfn.XLOOKUP($E122,'[1]Import Eletra'!$B:$B,'[1]Import Eletra'!$AY:$AY,,0,1))</f>
        <v/>
      </c>
      <c r="BM122" s="309">
        <f>$BK$4</f>
        <v>0</v>
      </c>
      <c r="BN122" s="309">
        <f ca="1">IF(BL122="",TODAY()-BK122,BL122-BK122)</f>
        <v>136</v>
      </c>
      <c r="BO122" s="310">
        <f ca="1">BN122-BM122</f>
        <v>136</v>
      </c>
      <c r="BP122" s="336">
        <f>BU122-$BU$4</f>
        <v>46075</v>
      </c>
      <c r="BQ122" s="345" t="str">
        <f>IF(_xlfn.XLOOKUP($E122,'[1]Import Eletra'!$B:$B,'[1]Import Eletra'!$AZ:$AZ,,0,1)=0,"",_xlfn.XLOOKUP($E122,'[1]Import Eletra'!$B:$B,'[1]Import Eletra'!$AZ:$AZ,,0,1))</f>
        <v/>
      </c>
      <c r="BR122" s="309">
        <f>$BP$4</f>
        <v>0</v>
      </c>
      <c r="BS122" s="309">
        <f ca="1">IF(BQ122="",TODAY()-BP122,BQ122-BP122)</f>
        <v>136</v>
      </c>
      <c r="BT122" s="310">
        <f ca="1">BS122-BR122</f>
        <v>136</v>
      </c>
      <c r="BU122" s="363">
        <f>BZ122-$BZ$4</f>
        <v>46077</v>
      </c>
      <c r="BV122" s="345" t="str">
        <f>IF(_xlfn.XLOOKUP($E122,'[1]Import Eletra'!$B:$B,'[1]Import Eletra'!$BA:$BA,,0,1)=0,"",_xlfn.XLOOKUP($E122,'[1]Import Eletra'!$B:$B,'[1]Import Eletra'!$BA:$BA,,0,1))</f>
        <v/>
      </c>
      <c r="BW122" s="309">
        <f>$BU$4</f>
        <v>2</v>
      </c>
      <c r="BX122" s="309">
        <f ca="1">IF(BV122="",TODAY()-BU122,BV122-BU122)</f>
        <v>134</v>
      </c>
      <c r="BY122" s="310">
        <f ca="1">IF(AND(ISNUMBER($BX122),$BX122&gt;0),$BX122-$BW122,"")</f>
        <v>132</v>
      </c>
      <c r="BZ122" s="336">
        <f>CE122-$CE$4</f>
        <v>46077</v>
      </c>
      <c r="CA122" s="345" t="str">
        <f>IF(_xlfn.XLOOKUP($E122,'[1]Import Eletra'!$B:$B,'[1]Import Eletra'!$BB:$BB,,0,1)=0,"",_xlfn.XLOOKUP($E122,'[1]Import Eletra'!$B:$B,'[1]Import Eletra'!$BB:$BB,,0,1))</f>
        <v/>
      </c>
      <c r="CB122" s="309">
        <f>$BZ$4</f>
        <v>0</v>
      </c>
      <c r="CC122" s="309">
        <f ca="1">IF(CA122="",TODAY()-BZ122,CA122-BZ122)</f>
        <v>134</v>
      </c>
      <c r="CD122" s="310">
        <f ca="1">CC122-CB122</f>
        <v>134</v>
      </c>
      <c r="CE122" s="363">
        <f>CJ122-$CJ$4</f>
        <v>46077</v>
      </c>
      <c r="CF122" s="345" t="str">
        <f>IF(_xlfn.XLOOKUP($E122,'[1]Import Eletra'!$B:$B,'[1]Import Eletra'!$BC:$BC,,0,1)=0,"",_xlfn.XLOOKUP($E122,'[1]Import Eletra'!$B:$B,'[1]Import Eletra'!$BC:$BC,,0,1))</f>
        <v/>
      </c>
      <c r="CG122" s="309">
        <f>$CE$4</f>
        <v>0</v>
      </c>
      <c r="CH122" s="309">
        <f ca="1">IF(CF122="",TODAY()-CE122,CF122-CE122)</f>
        <v>134</v>
      </c>
      <c r="CI122" s="310">
        <f ca="1">CH122-CG122</f>
        <v>134</v>
      </c>
      <c r="CJ122" s="336">
        <f>CO122-$CO$4</f>
        <v>46077</v>
      </c>
      <c r="CK122" s="345">
        <f>IF(_xlfn.XLOOKUP($E122,'[1]Import Eletra'!$B:$B,'[1]Import Eletra'!$BD:$BD,,0,1)=0,"",_xlfn.XLOOKUP($E122,'[1]Import Eletra'!$B:$B,'[1]Import Eletra'!$BD:$BD,,0,1))</f>
        <v>46065</v>
      </c>
      <c r="CL122" s="309"/>
      <c r="CM122" s="309">
        <f ca="1">IF(CK122="",TODAY()-CJ122,CK122-CJ122)</f>
        <v>-12</v>
      </c>
      <c r="CN122" s="310">
        <f ca="1">CM122-CL122</f>
        <v>-12</v>
      </c>
      <c r="CO122" s="363">
        <f>CT122-$CT$4</f>
        <v>46077</v>
      </c>
      <c r="CP122" s="345">
        <f>IF(_xlfn.XLOOKUP($E122,'[1]Import Eletra'!$B:$B,'[1]Import Eletra'!$BE:$BE,,0,1)=0,"",_xlfn.XLOOKUP($E122,'[1]Import Eletra'!$B:$B,'[1]Import Eletra'!$BE:$BE,,0,1))</f>
        <v>46066</v>
      </c>
      <c r="CQ122" s="309">
        <f>$CO$4</f>
        <v>0</v>
      </c>
      <c r="CR122" s="309">
        <f ca="1">IF(CP122="",TODAY()-CO122,CP122-CO122)</f>
        <v>-11</v>
      </c>
      <c r="CS122" s="310">
        <f ca="1">CR122-CQ122</f>
        <v>-11</v>
      </c>
      <c r="CT122" s="336">
        <f>CY122-$CY$4</f>
        <v>46077</v>
      </c>
      <c r="CU122" s="345">
        <f>IF(_xlfn.XLOOKUP($E122,'[1]Import Eletra'!$B:$B,'[1]Import Eletra'!$BF:$BF,,0,1)=0,"",_xlfn.XLOOKUP($E122,'[1]Import Eletra'!$B:$B,'[1]Import Eletra'!$BF:$BF,,0,1))</f>
        <v>46066</v>
      </c>
      <c r="CV122" s="309">
        <f>$CT$4</f>
        <v>0</v>
      </c>
      <c r="CW122" s="309">
        <f ca="1">IF(CU122="",TODAY()-CT122,CU122-CT122)</f>
        <v>-11</v>
      </c>
      <c r="CX122" s="310">
        <f ca="1">CW122-CV122</f>
        <v>-11</v>
      </c>
      <c r="CY122" s="85">
        <f>DD122-$DD$4</f>
        <v>46077</v>
      </c>
      <c r="CZ122" s="271">
        <f>IF(_xlfn.XLOOKUP($E122,'[1]Import Eletra'!$B:$B,'[1]Import Eletra'!$BF:$BF,,0,1)=0,"",_xlfn.XLOOKUP($E122,'[1]Import Eletra'!$B:$B,'[1]Import Eletra'!$BF:$BF,,0,1))</f>
        <v>46066</v>
      </c>
      <c r="DA122" s="311">
        <f>$CY$4</f>
        <v>0</v>
      </c>
      <c r="DB122" s="309">
        <f ca="1">IF(CZ122="",TODAY()-CY122,CZ122-CY122)</f>
        <v>-11</v>
      </c>
      <c r="DC122" s="310">
        <f ca="1">DB122-DA122</f>
        <v>-11</v>
      </c>
      <c r="DD122" s="85">
        <f>DI122-$DI$4</f>
        <v>46079</v>
      </c>
      <c r="DE122" s="271">
        <f>IF(_xlfn.XLOOKUP($E122,'[1]Import Eletra'!$B:$B,'[1]Import Eletra'!$BG:$BG,,0,1)=0,"",_xlfn.XLOOKUP($E122,'[1]Import Eletra'!$B:$B,'[1]Import Eletra'!$BG:$BG,0,1))</f>
        <v>46072</v>
      </c>
      <c r="DF122" s="309">
        <f>$DD$4</f>
        <v>2</v>
      </c>
      <c r="DG122" s="309">
        <f ca="1">IF(DE122="",TODAY()-DD122,DE122-DD122)</f>
        <v>-7</v>
      </c>
      <c r="DH122" s="310">
        <f ca="1">DG122-DF122</f>
        <v>-9</v>
      </c>
      <c r="DI122" s="85">
        <f>DO122-$DN$4</f>
        <v>46080</v>
      </c>
      <c r="DJ122" s="271">
        <f>IF(_xlfn.XLOOKUP($E122,'[1]Import Eletra'!$B:$B,'[1]Import Eletra'!$BH:$BH,,0,1)=0,"",_xlfn.XLOOKUP($E122,'[1]Import Eletra'!$B:$B,'[1]Import Eletra'!$BH:$BH,0,1))</f>
        <v>46072</v>
      </c>
      <c r="DK122" s="309">
        <f>$DI$4</f>
        <v>1</v>
      </c>
      <c r="DL122" s="309">
        <f ca="1">IF(DJ122="",TODAY()-DI122,DJ122-DI122)</f>
        <v>-8</v>
      </c>
      <c r="DM122" s="310">
        <f ca="1">DL122-DK122</f>
        <v>-9</v>
      </c>
      <c r="DN122" s="312"/>
      <c r="DO122" s="313">
        <f>IF(V122="",N122+DT122,V122+DT122)</f>
        <v>46081</v>
      </c>
      <c r="DP122" s="59">
        <f>IF(_xlfn.XLOOKUP($E122,'[1]Import Eletra'!$B:$B,'[1]Import Eletra'!$O:$O,,0,1)=0,"",_xlfn.XLOOKUP($E122,'[1]Import Eletra'!$B:$B,'[1]Import Eletra'!$O:$O,0,1))</f>
        <v>46072</v>
      </c>
      <c r="DQ122" s="309">
        <f>$DN$4</f>
        <v>1</v>
      </c>
      <c r="DR122" s="309">
        <f ca="1">IF(DP122="",TODAY()-DO122,DP122-DO122)</f>
        <v>-9</v>
      </c>
      <c r="DS122" s="310">
        <f ca="1">DR122-DQ122</f>
        <v>-10</v>
      </c>
      <c r="DT122" s="314">
        <v>17</v>
      </c>
      <c r="DU122" s="140">
        <f ca="1">IF(DP122="",TODAY()-N122,DP122-N122)</f>
        <v>11</v>
      </c>
      <c r="DV122" s="184">
        <f ca="1">DU122-DT122</f>
        <v>-6</v>
      </c>
      <c r="DX122" s="316"/>
      <c r="DY122" s="108" t="str">
        <f>IF(_xlfn.XLOOKUP($E122,'[1]Import Eletra'!$B:$B,'[1]Import Eletra'!$DW:$DW,,0,1)=0,"",_xlfn.XLOOKUP($E122,'[1]Import Eletra'!$B:$B,'[1]Import Eletra'!$DW:$DW,0,1))</f>
        <v/>
      </c>
      <c r="EB122" s="317"/>
      <c r="ED122" s="406">
        <f>IF(_xlfn.XLOOKUP($E122,'[1]Import Eletra'!$B:$B,'[1]Import Eletra'!$BQ:$BQ,,0,1)=0,"",_xlfn.XLOOKUP($E122,'[1]Import Eletra'!$B:$B,'[1]Import Eletra'!$BQ:$BQ,0,1))</f>
        <v>599.97</v>
      </c>
      <c r="EE122" s="407">
        <f>IF(_xlfn.XLOOKUP($E122,'[1]Import Eletra'!$B:$B,'[1]Import Eletra'!$BR:$BR,,0,1)=0,"",_xlfn.XLOOKUP($E122,'[1]Import Eletra'!$B:$B,'[1]Import Eletra'!$BR:$BR,0,1))</f>
        <v>46104</v>
      </c>
      <c r="EF122" s="406" t="str">
        <f>IF(_xlfn.XLOOKUP($E122,'[1]Import Eletra'!$B:$B,'[1]Import Eletra'!$BS:$BS,,0,1)=0,"",_xlfn.XLOOKUP($E122,'[1]Import Eletra'!$B:$B,'[1]Import Eletra'!$BS:$BS,0,1))</f>
        <v/>
      </c>
      <c r="EG122" s="407" t="str">
        <f>IF(_xlfn.XLOOKUP($E122,'[1]Import Eletra'!$B:$B,'[1]Import Eletra'!$BT:$BT,,0,1)=0,"",_xlfn.XLOOKUP($E122,'[1]Import Eletra'!$B:$B,'[1]Import Eletra'!$BT:$BT,0,1))</f>
        <v/>
      </c>
      <c r="EH122" s="406" t="str">
        <f>IF(_xlfn.XLOOKUP($E122,'[1]Import Eletra'!$B:$B,'[1]Import Eletra'!$BU:$BU,,0,1)=0,"",_xlfn.XLOOKUP($E122,'[1]Import Eletra'!$B:$B,'[1]Import Eletra'!$BU:$BU,0,1))</f>
        <v/>
      </c>
      <c r="EI122" s="407" t="str">
        <f>IF(_xlfn.XLOOKUP($E122,'[1]Import Eletra'!$B:$B,'[1]Import Eletra'!$BV:$BV,,0,1)=0,"",_xlfn.XLOOKUP($E122,'[1]Import Eletra'!$B:$B,'[1]Import Eletra'!$BV:$BV,0,1))</f>
        <v/>
      </c>
      <c r="EJ122" s="407" t="str">
        <f>IF(_xlfn.XLOOKUP($E122,'[1]Import Eletra'!$B:$B,'[1]Import Eletra'!$CI:$CI,,0,1)=0,"",_xlfn.XLOOKUP($E122,'[1]Import Eletra'!$B:$B,'[1]Import Eletra'!$CI:$CI,0,1))</f>
        <v/>
      </c>
      <c r="EK122" s="407" t="str">
        <f>IF(_xlfn.XLOOKUP($E122,'[1]Import Eletra'!$B:$B,'[1]Import Eletra'!$CD:$CD,,0,1)=0,"",_xlfn.XLOOKUP($E122,'[1]Import Eletra'!$B:$B,'[1]Import Eletra'!$CD:$CD,0,1))</f>
        <v/>
      </c>
      <c r="EL122" s="407" t="str">
        <f>IF(_xlfn.XLOOKUP($E122,'[1]Import Eletra'!$B:$B,'[1]Import Eletra'!$CE:$CE,,0,1)=0,"",_xlfn.XLOOKUP($E122,'[1]Import Eletra'!$B:$B,'[1]Import Eletra'!$CE:$CE,0,1))</f>
        <v>NÃO</v>
      </c>
      <c r="EM122" s="408" t="str">
        <f>IF(_xlfn.XLOOKUP($E122,'[1]Import Eletra'!$B:$B,'[1]Import Eletra'!$E:$E,,0,1)=0,"",_xlfn.XLOOKUP($E122,'[1]Import Eletra'!$B:$B,'[1]Import Eletra'!$E:$E,0,1))</f>
        <v>LEISIANE</v>
      </c>
      <c r="EN122" s="408" t="str">
        <f>IF(_xlfn.XLOOKUP($E122,'[1]Import Eletra'!$B:$B,'[1]Import Eletra'!$E:$E,,0,1)=0,"",_xlfn.XLOOKUP($E122,'[1]Import Eletra'!$B:$B,'[1]Import Eletra'!$E:$E,0,1))</f>
        <v>LEISIANE</v>
      </c>
      <c r="EO122" s="408" t="str">
        <f>IF(_xlfn.XLOOKUP($E122,'[1]Import Eletra'!$B:$B,'[1]Import Eletra'!$E:$E,,0,1)=0,"",_xlfn.XLOOKUP($E122,'[1]Import Eletra'!$B:$B,'[1]Import Eletra'!$E:$E,0,1))</f>
        <v>LEISIANE</v>
      </c>
      <c r="EP122" s="408" t="str">
        <f>IF(_xlfn.XLOOKUP($E122,'[1]Import Eletra'!$B:$B,'[1]Import Eletra'!$E:$E,,0,1)=0,"",_xlfn.XLOOKUP($E122,'[1]Import Eletra'!$B:$B,'[1]Import Eletra'!$E:$E,0,1))</f>
        <v>LEISIANE</v>
      </c>
    </row>
    <row r="123" spans="1:146" s="315" customFormat="1" ht="30" hidden="1" customHeight="1" outlineLevel="1">
      <c r="A123" s="305"/>
      <c r="B123" s="306"/>
      <c r="C123" s="306"/>
      <c r="D123" s="306"/>
      <c r="E123" s="318" t="s">
        <v>419</v>
      </c>
      <c r="F123" s="307">
        <f>IF(_xlfn.XLOOKUP($E123,'[1]Import Eletra'!$B:$B,'[1]Import Eletra'!$U:$U,,0,1)=0,"",_xlfn.XLOOKUP($E123,'[1]Import Eletra'!$B:$B,'[1]Import Eletra'!$U:$U,,0,1))</f>
        <v>3</v>
      </c>
      <c r="G123" s="320" t="s">
        <v>244</v>
      </c>
      <c r="H123" s="59" t="str">
        <f>_xlfn.XLOOKUP($E123,'[1]Import Eletra'!$B:$B,'[1]Import Eletra'!$F:$F,,0,1)</f>
        <v>DELIVERED</v>
      </c>
      <c r="I123" s="4" t="str">
        <f>_xlfn.XLOOKUP($E123,'[1]Import Eletra'!$B:$B,'[1]Import Eletra'!$G:$G,,0,1)</f>
        <v>SEA</v>
      </c>
      <c r="J123" s="331"/>
      <c r="K123" s="308"/>
      <c r="L123" s="308"/>
      <c r="M123" s="331">
        <f>IF(_xlfn.XLOOKUP($E123,'[1]Import Eletra'!$B:$B,'[1]Import Eletra'!$J:$J,,0,1)=0,"",_xlfn.XLOOKUP($E123,'[1]Import Eletra'!$B:$B,'[1]Import Eletra'!$J:$J,,0,1))</f>
        <v>45997</v>
      </c>
      <c r="N123" s="334">
        <f>IF(_xlfn.XLOOKUP($E123,'[1]Import Eletra'!$B:$B,'[1]Import Eletra'!$L:$L,,0,1)=0,"",_xlfn.XLOOKUP($E123,'[1]Import Eletra'!$B:$B,'[1]Import Eletra'!$L:$L,,0,1))</f>
        <v>46050</v>
      </c>
      <c r="O123" s="336">
        <f>IF(_xlfn.XLOOKUP($E123,'[1]Import Eletra'!$B:$B,'[1]Import Eletra'!$AK:$AK,,0,1)=0,"",_xlfn.XLOOKUP($E123,'[1]Import Eletra'!$B:$B,'[1]Import Eletra'!$AK:$AK,,0,1))</f>
        <v>46045</v>
      </c>
      <c r="P123" s="331">
        <f>IF(_xlfn.XLOOKUP($E123,'[1]Import Eletra'!$B:$B,'[1]Import Eletra'!$AL:$AL,,0,1)=0,"",_xlfn.XLOOKUP($E123,'[1]Import Eletra'!$B:$B,'[1]Import Eletra'!$AL:$AL,,0,1))</f>
        <v>46049</v>
      </c>
      <c r="Q123" s="331">
        <f>IF(_xlfn.XLOOKUP($E123,'[1]Import Eletra'!$B:$B,'[1]Import Eletra'!$AM:$AM,,0,1)=0,"",_xlfn.XLOOKUP($E123,'[1]Import Eletra'!$B:$B,'[1]Import Eletra'!$AM:$AM,,0,1))</f>
        <v>46051</v>
      </c>
      <c r="R123" s="331">
        <f>IF(_xlfn.XLOOKUP($E123,'[1]Import Eletra'!$B:$B,'[1]Import Eletra'!$AN:$AN,,0,1)=0,"",_xlfn.XLOOKUP($E123,'[1]Import Eletra'!$B:$B,'[1]Import Eletra'!$AN:$AN,,0,1))</f>
        <v>46052</v>
      </c>
      <c r="S123" s="331">
        <f>IF(_xlfn.XLOOKUP($E123,'[1]Import Eletra'!$B:$B,'[1]Import Eletra'!$AO:$AO,,0,1)=0,"",_xlfn.XLOOKUP($E123,'[1]Import Eletra'!$B:$B,'[1]Import Eletra'!$AO:$AO,,0,1))</f>
        <v>46057</v>
      </c>
      <c r="T123" s="331">
        <f>IF(_xlfn.XLOOKUP($E123,'[1]Import Eletra'!$B:$B,'[1]Import Eletra'!$AP:$AP,,0,1)=0,"",_xlfn.XLOOKUP($E123,'[1]Import Eletra'!$B:$B,'[1]Import Eletra'!$AP:$AP,,0,1))</f>
        <v>46057</v>
      </c>
      <c r="U123" s="338">
        <f>IF(_xlfn.XLOOKUP($E123,'[1]Import Eletra'!$B:$B,'[1]Import Eletra'!$AQ:$AQ,,0,1)=0,"",_xlfn.XLOOKUP($E123,'[1]Import Eletra'!$B:$B,'[1]Import Eletra'!$AQ:$AQ,,0,1))</f>
        <v>46057</v>
      </c>
      <c r="V123" s="343">
        <f>IF(_xlfn.XLOOKUP($E123,'[1]Import Eletra'!$B:$B,'[1]Import Eletra'!$AQ:$AQ,,0,1)=0,"",_xlfn.XLOOKUP($E123,'[1]Import Eletra'!$B:$B,'[1]Import Eletra'!$AQ:$AQ,,0,1))</f>
        <v>46057</v>
      </c>
      <c r="W123" s="336">
        <f>AB123-$AB$4</f>
        <v>46067</v>
      </c>
      <c r="X123" s="345">
        <f>IF(_xlfn.XLOOKUP($E123,'[1]Import Eletra'!$B:$B,'[1]Import Eletra'!$AR:$AR,,0,1)=0,"",_xlfn.XLOOKUP($E123,'[1]Import Eletra'!$B:$B,'[1]Import Eletra'!$AR:$AR,,0,1))</f>
        <v>46051</v>
      </c>
      <c r="Y123" s="309">
        <f>$W$4</f>
        <v>0</v>
      </c>
      <c r="Z123" s="309">
        <f ca="1">IF(X123="",TODAY()-W123,X123-W123)</f>
        <v>-16</v>
      </c>
      <c r="AA123" s="310" t="str">
        <f ca="1">IF(AND(ISNUMBER($Z123),$Z123&gt;0),$Z123-$Y123,"")</f>
        <v/>
      </c>
      <c r="AB123" s="350">
        <f>AG123-$AB$4</f>
        <v>46067</v>
      </c>
      <c r="AC123" s="345">
        <f>IF(_xlfn.XLOOKUP($E123,'[1]Import Eletra'!$B:$B,'[1]Import Eletra'!$AD:$AD,,0,1)=0,"",_xlfn.XLOOKUP($E123,'[1]Import Eletra'!$B:$B,'[1]Import Eletra'!$AD:$AD,,0,1))</f>
        <v>46063</v>
      </c>
      <c r="AD123" s="309">
        <f>$AB$4</f>
        <v>0</v>
      </c>
      <c r="AE123" s="309">
        <f ca="1">IF(AC123="",TODAY()-AB123,AC123-AB123)</f>
        <v>-4</v>
      </c>
      <c r="AF123" s="310">
        <f ca="1">AE123-AD123</f>
        <v>-4</v>
      </c>
      <c r="AG123" s="356">
        <f>AL123-$AL$4</f>
        <v>46067</v>
      </c>
      <c r="AH123" s="345">
        <f>IF(_xlfn.XLOOKUP($E123,'[1]Import Eletra'!$B:$B,'[1]Import Eletra'!$AE:$AE,,0,1)=0,"",_xlfn.XLOOKUP($E123,'[1]Import Eletra'!$B:$B,'[1]Import Eletra'!$AE:$AE,,0,1))</f>
        <v>46064</v>
      </c>
      <c r="AI123" s="309">
        <f>$AG$4</f>
        <v>0</v>
      </c>
      <c r="AJ123" s="309">
        <f ca="1">IF(AH123="",TODAY()-AG123,AH123-AG123)</f>
        <v>-3</v>
      </c>
      <c r="AK123" s="310" t="str">
        <f ca="1">IF(AND(ISNUMBER($AJ123),$AJ123&gt;0),$AJ123-$AI123,"")</f>
        <v/>
      </c>
      <c r="AL123" s="356">
        <f>AQ123-$AQ$4</f>
        <v>46067</v>
      </c>
      <c r="AM123" s="345">
        <f>IF(_xlfn.XLOOKUP($E123,'[1]Import Eletra'!$B:$B,'[1]Import Eletra'!$AT:$AT,,0,1)=0,"",_xlfn.XLOOKUP($E123,'[1]Import Eletra'!$B:$B,'[1]Import Eletra'!$AT:$AT,,0,1))</f>
        <v>46064</v>
      </c>
      <c r="AN123" s="309">
        <f>$AL$4</f>
        <v>0</v>
      </c>
      <c r="AO123" s="309">
        <f ca="1">IF(AM123="",TODAY()-AL123,AM123-AL123)</f>
        <v>-3</v>
      </c>
      <c r="AP123" s="310" t="str">
        <f ca="1">IF(AND(ISNUMBER($AO123),$AO123&gt;0),$AO123-$AN123,"")</f>
        <v/>
      </c>
      <c r="AQ123" s="359">
        <f>AV123-$AV$4</f>
        <v>46068</v>
      </c>
      <c r="AR123" s="345">
        <f>IF(_xlfn.XLOOKUP($E123,'[1]Import Eletra'!$B:$B,'[1]Import Eletra'!$AU:$AU,,0,1)=0,"",_xlfn.XLOOKUP($E123,'[1]Import Eletra'!$B:$B,'[1]Import Eletra'!$AU:$AU,,0,1))</f>
        <v>46064</v>
      </c>
      <c r="AS123" s="309">
        <f>$AQ$4</f>
        <v>1</v>
      </c>
      <c r="AT123" s="309">
        <f ca="1">IF(AR123="",TODAY()-AQ123,AR123-AQ123)</f>
        <v>-4</v>
      </c>
      <c r="AU123" s="310" t="str">
        <f ca="1">IF(AND(ISNUMBER($AT123),$AT123&gt;0),$AT123-$AS123,"")</f>
        <v/>
      </c>
      <c r="AV123" s="356">
        <f>BA123-$BA$4</f>
        <v>46068</v>
      </c>
      <c r="AW123" s="345">
        <f>IF(_xlfn.XLOOKUP($E123,'[1]Import Eletra'!$B:$B,'[1]Import Eletra'!$AU:$AU,,0,1)=0,"",_xlfn.XLOOKUP($E123,'[1]Import Eletra'!$B:$B,'[1]Import Eletra'!$AU:$AU,,0,1))</f>
        <v>46064</v>
      </c>
      <c r="AX123" s="309">
        <f>$AV$4</f>
        <v>0</v>
      </c>
      <c r="AY123" s="309">
        <f ca="1">IF(AW123="",TODAY()-AV123,AW123-AV123)</f>
        <v>-4</v>
      </c>
      <c r="AZ123" s="310" t="str">
        <f ca="1">IF(AND(ISNUMBER($AY123),$AY123&gt;0),$AY123-$AX123,"")</f>
        <v/>
      </c>
      <c r="BA123" s="359">
        <f>BF123-$BF$4</f>
        <v>46068</v>
      </c>
      <c r="BB123" s="345" t="str">
        <f>IF(_xlfn.XLOOKUP($E123,'[1]Import Eletra'!$B:$B,'[1]Import Eletra'!$AW:$AW,,0,1)=0,"",_xlfn.XLOOKUP($E123,'[1]Import Eletra'!$B:$B,'[1]Import Eletra'!$AW:$AW,,0,1))</f>
        <v/>
      </c>
      <c r="BC123" s="309">
        <f>$BA$4</f>
        <v>0</v>
      </c>
      <c r="BD123" s="309">
        <f ca="1">IF(BB123="",TODAY()-BA123,BB123-BA123)</f>
        <v>143</v>
      </c>
      <c r="BE123" s="310">
        <f ca="1">BD123-BC123</f>
        <v>143</v>
      </c>
      <c r="BF123" s="336">
        <f>BK123-$BK$4</f>
        <v>46068</v>
      </c>
      <c r="BG123" s="345" t="str">
        <f>IF(_xlfn.XLOOKUP($E123,'[1]Import Eletra'!$B:$B,'[1]Import Eletra'!$AX:$AX,,0,1)=0,"",_xlfn.XLOOKUP($E123,'[1]Import Eletra'!$B:$B,'[1]Import Eletra'!$AX:$AX,,0,1))</f>
        <v/>
      </c>
      <c r="BH123" s="309">
        <f>$BF$4</f>
        <v>0</v>
      </c>
      <c r="BI123" s="309">
        <f ca="1">IF(BG123="",TODAY()-BF123,BG123-BF123)</f>
        <v>143</v>
      </c>
      <c r="BJ123" s="310">
        <f ca="1">IF(AND(ISNUMBER($BI123),$BI123&gt;0),$BI123-$BH123,"")</f>
        <v>143</v>
      </c>
      <c r="BK123" s="363">
        <f>BP123-$BP$4</f>
        <v>46068</v>
      </c>
      <c r="BL123" s="345">
        <f>IF(_xlfn.XLOOKUP($E123,'[1]Import Eletra'!$B:$B,'[1]Import Eletra'!$AY:$AY,,0,1)=0,"",_xlfn.XLOOKUP($E123,'[1]Import Eletra'!$B:$B,'[1]Import Eletra'!$AY:$AY,,0,1))</f>
        <v>46062</v>
      </c>
      <c r="BM123" s="309">
        <f>$BK$4</f>
        <v>0</v>
      </c>
      <c r="BN123" s="309">
        <f ca="1">IF(BL123="",TODAY()-BK123,BL123-BK123)</f>
        <v>-6</v>
      </c>
      <c r="BO123" s="310">
        <f ca="1">BN123-BM123</f>
        <v>-6</v>
      </c>
      <c r="BP123" s="336">
        <f>BU123-$BU$4</f>
        <v>46068</v>
      </c>
      <c r="BQ123" s="345">
        <f>IF(_xlfn.XLOOKUP($E123,'[1]Import Eletra'!$B:$B,'[1]Import Eletra'!$AZ:$AZ,,0,1)=0,"",_xlfn.XLOOKUP($E123,'[1]Import Eletra'!$B:$B,'[1]Import Eletra'!$AZ:$AZ,,0,1))</f>
        <v>46062</v>
      </c>
      <c r="BR123" s="309">
        <f>$BP$4</f>
        <v>0</v>
      </c>
      <c r="BS123" s="309">
        <f ca="1">IF(BQ123="",TODAY()-BP123,BQ123-BP123)</f>
        <v>-6</v>
      </c>
      <c r="BT123" s="310">
        <f ca="1">BS123-BR123</f>
        <v>-6</v>
      </c>
      <c r="BU123" s="363">
        <f>BZ123-$BZ$4</f>
        <v>46070</v>
      </c>
      <c r="BV123" s="345">
        <f>IF(_xlfn.XLOOKUP($E123,'[1]Import Eletra'!$B:$B,'[1]Import Eletra'!$BA:$BA,,0,1)=0,"",_xlfn.XLOOKUP($E123,'[1]Import Eletra'!$B:$B,'[1]Import Eletra'!$BA:$BA,,0,1))</f>
        <v>46064</v>
      </c>
      <c r="BW123" s="309">
        <f>$BU$4</f>
        <v>2</v>
      </c>
      <c r="BX123" s="309">
        <f ca="1">IF(BV123="",TODAY()-BU123,BV123-BU123)</f>
        <v>-6</v>
      </c>
      <c r="BY123" s="310" t="str">
        <f ca="1">IF(AND(ISNUMBER($BX123),$BX123&gt;0),$BX123-$BW123,"")</f>
        <v/>
      </c>
      <c r="BZ123" s="336">
        <f>CE123-$CE$4</f>
        <v>46070</v>
      </c>
      <c r="CA123" s="345">
        <f>IF(_xlfn.XLOOKUP($E123,'[1]Import Eletra'!$B:$B,'[1]Import Eletra'!$BB:$BB,,0,1)=0,"",_xlfn.XLOOKUP($E123,'[1]Import Eletra'!$B:$B,'[1]Import Eletra'!$BB:$BB,,0,1))</f>
        <v>46064</v>
      </c>
      <c r="CB123" s="309">
        <f>$BZ$4</f>
        <v>0</v>
      </c>
      <c r="CC123" s="309">
        <f ca="1">IF(CA123="",TODAY()-BZ123,CA123-BZ123)</f>
        <v>-6</v>
      </c>
      <c r="CD123" s="310">
        <f ca="1">CC123-CB123</f>
        <v>-6</v>
      </c>
      <c r="CE123" s="363">
        <f>CJ123-$CJ$4</f>
        <v>46070</v>
      </c>
      <c r="CF123" s="345">
        <f>IF(_xlfn.XLOOKUP($E123,'[1]Import Eletra'!$B:$B,'[1]Import Eletra'!$BC:$BC,,0,1)=0,"",_xlfn.XLOOKUP($E123,'[1]Import Eletra'!$B:$B,'[1]Import Eletra'!$BC:$BC,,0,1))</f>
        <v>45701</v>
      </c>
      <c r="CG123" s="309">
        <f>$CE$4</f>
        <v>0</v>
      </c>
      <c r="CH123" s="309">
        <f ca="1">IF(CF123="",TODAY()-CE123,CF123-CE123)</f>
        <v>-369</v>
      </c>
      <c r="CI123" s="310">
        <f ca="1">CH123-CG123</f>
        <v>-369</v>
      </c>
      <c r="CJ123" s="336">
        <f>CO123-$CO$4</f>
        <v>46070</v>
      </c>
      <c r="CK123" s="345">
        <f>IF(_xlfn.XLOOKUP($E123,'[1]Import Eletra'!$B:$B,'[1]Import Eletra'!$BD:$BD,,0,1)=0,"",_xlfn.XLOOKUP($E123,'[1]Import Eletra'!$B:$B,'[1]Import Eletra'!$BD:$BD,,0,1))</f>
        <v>46064</v>
      </c>
      <c r="CL123" s="309"/>
      <c r="CM123" s="309">
        <f ca="1">IF(CK123="",TODAY()-CJ123,CK123-CJ123)</f>
        <v>-6</v>
      </c>
      <c r="CN123" s="310">
        <f ca="1">CM123-CL123</f>
        <v>-6</v>
      </c>
      <c r="CO123" s="363">
        <f>CT123-$CT$4</f>
        <v>46070</v>
      </c>
      <c r="CP123" s="345">
        <f>IF(_xlfn.XLOOKUP($E123,'[1]Import Eletra'!$B:$B,'[1]Import Eletra'!$BE:$BE,,0,1)=0,"",_xlfn.XLOOKUP($E123,'[1]Import Eletra'!$B:$B,'[1]Import Eletra'!$BE:$BE,,0,1))</f>
        <v>46066</v>
      </c>
      <c r="CQ123" s="309">
        <f>$CO$4</f>
        <v>0</v>
      </c>
      <c r="CR123" s="309">
        <f ca="1">IF(CP123="",TODAY()-CO123,CP123-CO123)</f>
        <v>-4</v>
      </c>
      <c r="CS123" s="310">
        <f ca="1">CR123-CQ123</f>
        <v>-4</v>
      </c>
      <c r="CT123" s="336">
        <f>CY123-$CY$4</f>
        <v>46070</v>
      </c>
      <c r="CU123" s="345">
        <f>IF(_xlfn.XLOOKUP($E123,'[1]Import Eletra'!$B:$B,'[1]Import Eletra'!$BF:$BF,,0,1)=0,"",_xlfn.XLOOKUP($E123,'[1]Import Eletra'!$B:$B,'[1]Import Eletra'!$BF:$BF,,0,1))</f>
        <v>46066</v>
      </c>
      <c r="CV123" s="309">
        <f>$CT$4</f>
        <v>0</v>
      </c>
      <c r="CW123" s="309">
        <f ca="1">IF(CU123="",TODAY()-CT123,CU123-CT123)</f>
        <v>-4</v>
      </c>
      <c r="CX123" s="310">
        <f ca="1">CW123-CV123</f>
        <v>-4</v>
      </c>
      <c r="CY123" s="85">
        <f>DD123-$DD$4</f>
        <v>46070</v>
      </c>
      <c r="CZ123" s="271">
        <f>IF(_xlfn.XLOOKUP($E123,'[1]Import Eletra'!$B:$B,'[1]Import Eletra'!$BF:$BF,,0,1)=0,"",_xlfn.XLOOKUP($E123,'[1]Import Eletra'!$B:$B,'[1]Import Eletra'!$BF:$BF,,0,1))</f>
        <v>46066</v>
      </c>
      <c r="DA123" s="311">
        <f>$CY$4</f>
        <v>0</v>
      </c>
      <c r="DB123" s="309">
        <f ca="1">IF(CZ123="",TODAY()-CY123,CZ123-CY123)</f>
        <v>-4</v>
      </c>
      <c r="DC123" s="310">
        <f ca="1">DB123-DA123</f>
        <v>-4</v>
      </c>
      <c r="DD123" s="85">
        <f>DI123-$DI$4</f>
        <v>46072</v>
      </c>
      <c r="DE123" s="271">
        <f>IF(_xlfn.XLOOKUP($E123,'[1]Import Eletra'!$B:$B,'[1]Import Eletra'!$BG:$BG,,0,1)=0,"",_xlfn.XLOOKUP($E123,'[1]Import Eletra'!$B:$B,'[1]Import Eletra'!$BG:$BG,0,1))</f>
        <v>46069</v>
      </c>
      <c r="DF123" s="309">
        <f>$DD$4</f>
        <v>2</v>
      </c>
      <c r="DG123" s="309">
        <f ca="1">IF(DE123="",TODAY()-DD123,DE123-DD123)</f>
        <v>-3</v>
      </c>
      <c r="DH123" s="310">
        <f ca="1">DG123-DF123</f>
        <v>-5</v>
      </c>
      <c r="DI123" s="85">
        <f>DO123-$DN$4</f>
        <v>46073</v>
      </c>
      <c r="DJ123" s="271">
        <f>IF(_xlfn.XLOOKUP($E123,'[1]Import Eletra'!$B:$B,'[1]Import Eletra'!$BH:$BH,,0,1)=0,"",_xlfn.XLOOKUP($E123,'[1]Import Eletra'!$B:$B,'[1]Import Eletra'!$BH:$BH,0,1))</f>
        <v>46074</v>
      </c>
      <c r="DK123" s="309">
        <f>$DI$4</f>
        <v>1</v>
      </c>
      <c r="DL123" s="309">
        <f ca="1">IF(DJ123="",TODAY()-DI123,DJ123-DI123)</f>
        <v>1</v>
      </c>
      <c r="DM123" s="310">
        <f ca="1">DL123-DK123</f>
        <v>0</v>
      </c>
      <c r="DN123" s="312"/>
      <c r="DO123" s="313">
        <f>IF(V123="",N123+DT123,V123+DT123)</f>
        <v>46074</v>
      </c>
      <c r="DP123" s="59">
        <f>IF(_xlfn.XLOOKUP($E123,'[1]Import Eletra'!$B:$B,'[1]Import Eletra'!$O:$O,,0,1)=0,"",_xlfn.XLOOKUP($E123,'[1]Import Eletra'!$B:$B,'[1]Import Eletra'!$O:$O,0,1))</f>
        <v>46074</v>
      </c>
      <c r="DQ123" s="309">
        <f>$DN$4</f>
        <v>1</v>
      </c>
      <c r="DR123" s="309">
        <f ca="1">IF(DP123="",TODAY()-DO123,DP123-DO123)</f>
        <v>0</v>
      </c>
      <c r="DS123" s="310">
        <f ca="1">DR123-DQ123</f>
        <v>-1</v>
      </c>
      <c r="DT123" s="314">
        <v>17</v>
      </c>
      <c r="DU123" s="140">
        <f ca="1">IF(DP123="",TODAY()-N123,DP123-N123)</f>
        <v>24</v>
      </c>
      <c r="DV123" s="184">
        <f ca="1">DU123-DT123</f>
        <v>7</v>
      </c>
      <c r="DX123" s="316"/>
      <c r="DY123" s="108" t="str">
        <f>IF(_xlfn.XLOOKUP($E123,'[1]Import Eletra'!$B:$B,'[1]Import Eletra'!$DW:$DW,,0,1)=0,"",_xlfn.XLOOKUP($E123,'[1]Import Eletra'!$B:$B,'[1]Import Eletra'!$DW:$DW,0,1))</f>
        <v/>
      </c>
      <c r="EB123" s="317"/>
      <c r="ED123" s="406">
        <f>IF(_xlfn.XLOOKUP($E123,'[1]Import Eletra'!$B:$B,'[1]Import Eletra'!$BQ:$BQ,,0,1)=0,"",_xlfn.XLOOKUP($E123,'[1]Import Eletra'!$B:$B,'[1]Import Eletra'!$BQ:$BQ,0,1))</f>
        <v>2984.73</v>
      </c>
      <c r="EE123" s="407">
        <f>IF(_xlfn.XLOOKUP($E123,'[1]Import Eletra'!$B:$B,'[1]Import Eletra'!$BR:$BR,,0,1)=0,"",_xlfn.XLOOKUP($E123,'[1]Import Eletra'!$B:$B,'[1]Import Eletra'!$BR:$BR,0,1))</f>
        <v>46079</v>
      </c>
      <c r="EF123" s="406">
        <f>IF(_xlfn.XLOOKUP($E123,'[1]Import Eletra'!$B:$B,'[1]Import Eletra'!$BS:$BS,,0,1)=0,"",_xlfn.XLOOKUP($E123,'[1]Import Eletra'!$B:$B,'[1]Import Eletra'!$BS:$BS,0,1))</f>
        <v>49889.61</v>
      </c>
      <c r="EG123" s="407">
        <f>IF(_xlfn.XLOOKUP($E123,'[1]Import Eletra'!$B:$B,'[1]Import Eletra'!$BT:$BT,,0,1)=0,"",_xlfn.XLOOKUP($E123,'[1]Import Eletra'!$B:$B,'[1]Import Eletra'!$BT:$BT,0,1))</f>
        <v>46139</v>
      </c>
      <c r="EH123" s="406" t="str">
        <f>IF(_xlfn.XLOOKUP($E123,'[1]Import Eletra'!$B:$B,'[1]Import Eletra'!$BU:$BU,,0,1)=0,"",_xlfn.XLOOKUP($E123,'[1]Import Eletra'!$B:$B,'[1]Import Eletra'!$BU:$BU,0,1))</f>
        <v/>
      </c>
      <c r="EI123" s="407" t="str">
        <f>IF(_xlfn.XLOOKUP($E123,'[1]Import Eletra'!$B:$B,'[1]Import Eletra'!$BV:$BV,,0,1)=0,"",_xlfn.XLOOKUP($E123,'[1]Import Eletra'!$B:$B,'[1]Import Eletra'!$BV:$BV,0,1))</f>
        <v/>
      </c>
      <c r="EJ123" s="407">
        <f>IF(_xlfn.XLOOKUP($E123,'[1]Import Eletra'!$B:$B,'[1]Import Eletra'!$CI:$CI,,0,1)=0,"",_xlfn.XLOOKUP($E123,'[1]Import Eletra'!$B:$B,'[1]Import Eletra'!$CI:$CI,0,1))</f>
        <v>46071</v>
      </c>
      <c r="EK123" s="407">
        <f>IF(_xlfn.XLOOKUP($E123,'[1]Import Eletra'!$B:$B,'[1]Import Eletra'!$CD:$CD,,0,1)=0,"",_xlfn.XLOOKUP($E123,'[1]Import Eletra'!$B:$B,'[1]Import Eletra'!$CD:$CD,0,1))</f>
        <v>46074</v>
      </c>
      <c r="EL123" s="407" t="str">
        <f>IF(_xlfn.XLOOKUP($E123,'[1]Import Eletra'!$B:$B,'[1]Import Eletra'!$CE:$CE,,0,1)=0,"",_xlfn.XLOOKUP($E123,'[1]Import Eletra'!$B:$B,'[1]Import Eletra'!$CE:$CE,0,1))</f>
        <v>SIM  3 dias</v>
      </c>
      <c r="EM123" s="408" t="str">
        <f>IF(_xlfn.XLOOKUP($E123,'[1]Import Eletra'!$B:$B,'[1]Import Eletra'!$E:$E,,0,1)=0,"",_xlfn.XLOOKUP($E123,'[1]Import Eletra'!$B:$B,'[1]Import Eletra'!$E:$E,0,1))</f>
        <v>LEISIANE</v>
      </c>
      <c r="EN123" s="408" t="str">
        <f>IF(_xlfn.XLOOKUP($E123,'[1]Import Eletra'!$B:$B,'[1]Import Eletra'!$E:$E,,0,1)=0,"",_xlfn.XLOOKUP($E123,'[1]Import Eletra'!$B:$B,'[1]Import Eletra'!$E:$E,0,1))</f>
        <v>LEISIANE</v>
      </c>
      <c r="EO123" s="408" t="str">
        <f>IF(_xlfn.XLOOKUP($E123,'[1]Import Eletra'!$B:$B,'[1]Import Eletra'!$E:$E,,0,1)=0,"",_xlfn.XLOOKUP($E123,'[1]Import Eletra'!$B:$B,'[1]Import Eletra'!$E:$E,0,1))</f>
        <v>LEISIANE</v>
      </c>
      <c r="EP123" s="408" t="str">
        <f>IF(_xlfn.XLOOKUP($E123,'[1]Import Eletra'!$B:$B,'[1]Import Eletra'!$E:$E,,0,1)=0,"",_xlfn.XLOOKUP($E123,'[1]Import Eletra'!$B:$B,'[1]Import Eletra'!$E:$E,0,1))</f>
        <v>LEISIANE</v>
      </c>
    </row>
    <row r="124" spans="1:146" s="315" customFormat="1" ht="30" hidden="1" customHeight="1" outlineLevel="1">
      <c r="A124" s="305"/>
      <c r="B124" s="306"/>
      <c r="C124" s="306"/>
      <c r="D124" s="306"/>
      <c r="E124" s="318" t="s">
        <v>420</v>
      </c>
      <c r="F124" s="307">
        <f>IF(_xlfn.XLOOKUP($E124,'[1]Import Eletra'!$B:$B,'[1]Import Eletra'!$U:$U,,0,1)=0,"",_xlfn.XLOOKUP($E124,'[1]Import Eletra'!$B:$B,'[1]Import Eletra'!$U:$U,,0,1))</f>
        <v>1</v>
      </c>
      <c r="G124" s="320" t="s">
        <v>244</v>
      </c>
      <c r="H124" s="59" t="str">
        <f>_xlfn.XLOOKUP($E124,'[1]Import Eletra'!$B:$B,'[1]Import Eletra'!$F:$F,,0,1)</f>
        <v>DELIVERED</v>
      </c>
      <c r="I124" s="4" t="str">
        <f>_xlfn.XLOOKUP($E124,'[1]Import Eletra'!$B:$B,'[1]Import Eletra'!$G:$G,,0,1)</f>
        <v>SEA</v>
      </c>
      <c r="J124" s="331"/>
      <c r="K124" s="308"/>
      <c r="L124" s="308"/>
      <c r="M124" s="331">
        <f>IF(_xlfn.XLOOKUP($E124,'[1]Import Eletra'!$B:$B,'[1]Import Eletra'!$J:$J,,0,1)=0,"",_xlfn.XLOOKUP($E124,'[1]Import Eletra'!$B:$B,'[1]Import Eletra'!$J:$J,,0,1))</f>
        <v>45992</v>
      </c>
      <c r="N124" s="334">
        <f>IF(_xlfn.XLOOKUP($E124,'[1]Import Eletra'!$B:$B,'[1]Import Eletra'!$L:$L,,0,1)=0,"",_xlfn.XLOOKUP($E124,'[1]Import Eletra'!$B:$B,'[1]Import Eletra'!$L:$L,,0,1))</f>
        <v>46040</v>
      </c>
      <c r="O124" s="336">
        <f>IF(_xlfn.XLOOKUP($E124,'[1]Import Eletra'!$B:$B,'[1]Import Eletra'!$AK:$AK,,0,1)=0,"",_xlfn.XLOOKUP($E124,'[1]Import Eletra'!$B:$B,'[1]Import Eletra'!$AK:$AK,,0,1))</f>
        <v>46029</v>
      </c>
      <c r="P124" s="331">
        <f>IF(_xlfn.XLOOKUP($E124,'[1]Import Eletra'!$B:$B,'[1]Import Eletra'!$AL:$AL,,0,1)=0,"",_xlfn.XLOOKUP($E124,'[1]Import Eletra'!$B:$B,'[1]Import Eletra'!$AL:$AL,,0,1))</f>
        <v>46031</v>
      </c>
      <c r="Q124" s="331">
        <f>IF(_xlfn.XLOOKUP($E124,'[1]Import Eletra'!$B:$B,'[1]Import Eletra'!$AM:$AM,,0,1)=0,"",_xlfn.XLOOKUP($E124,'[1]Import Eletra'!$B:$B,'[1]Import Eletra'!$AM:$AM,,0,1))</f>
        <v>46037</v>
      </c>
      <c r="R124" s="331">
        <f>IF(_xlfn.XLOOKUP($E124,'[1]Import Eletra'!$B:$B,'[1]Import Eletra'!$AN:$AN,,0,1)=0,"",_xlfn.XLOOKUP($E124,'[1]Import Eletra'!$B:$B,'[1]Import Eletra'!$AN:$AN,,0,1))</f>
        <v>46037</v>
      </c>
      <c r="S124" s="331">
        <f>IF(_xlfn.XLOOKUP($E124,'[1]Import Eletra'!$B:$B,'[1]Import Eletra'!$AO:$AO,,0,1)=0,"",_xlfn.XLOOKUP($E124,'[1]Import Eletra'!$B:$B,'[1]Import Eletra'!$AO:$AO,,0,1))</f>
        <v>46041</v>
      </c>
      <c r="T124" s="331">
        <f>IF(_xlfn.XLOOKUP($E124,'[1]Import Eletra'!$B:$B,'[1]Import Eletra'!$AP:$AP,,0,1)=0,"",_xlfn.XLOOKUP($E124,'[1]Import Eletra'!$B:$B,'[1]Import Eletra'!$AP:$AP,,0,1))</f>
        <v>46042</v>
      </c>
      <c r="U124" s="338">
        <f>IF(_xlfn.XLOOKUP($E124,'[1]Import Eletra'!$B:$B,'[1]Import Eletra'!$AQ:$AQ,,0,1)=0,"",_xlfn.XLOOKUP($E124,'[1]Import Eletra'!$B:$B,'[1]Import Eletra'!$AQ:$AQ,,0,1))</f>
        <v>46045</v>
      </c>
      <c r="V124" s="343">
        <f>IF(_xlfn.XLOOKUP($E124,'[1]Import Eletra'!$B:$B,'[1]Import Eletra'!$AQ:$AQ,,0,1)=0,"",_xlfn.XLOOKUP($E124,'[1]Import Eletra'!$B:$B,'[1]Import Eletra'!$AQ:$AQ,,0,1))</f>
        <v>46045</v>
      </c>
      <c r="W124" s="336">
        <f>AB124-$AB$4</f>
        <v>46055</v>
      </c>
      <c r="X124" s="345">
        <f>IF(_xlfn.XLOOKUP($E124,'[1]Import Eletra'!$B:$B,'[1]Import Eletra'!$AR:$AR,,0,1)=0,"",_xlfn.XLOOKUP($E124,'[1]Import Eletra'!$B:$B,'[1]Import Eletra'!$AR:$AR,,0,1))</f>
        <v>46042</v>
      </c>
      <c r="Y124" s="309">
        <f>$W$4</f>
        <v>0</v>
      </c>
      <c r="Z124" s="309">
        <f ca="1">IF(X124="",TODAY()-W124,X124-W124)</f>
        <v>-13</v>
      </c>
      <c r="AA124" s="310" t="str">
        <f ca="1">IF(AND(ISNUMBER($Z124),$Z124&gt;0),$Z124-$Y124,"")</f>
        <v/>
      </c>
      <c r="AB124" s="350">
        <f>AG124-$AB$4</f>
        <v>46055</v>
      </c>
      <c r="AC124" s="345">
        <f>IF(_xlfn.XLOOKUP($E124,'[1]Import Eletra'!$B:$B,'[1]Import Eletra'!$AD:$AD,,0,1)=0,"",_xlfn.XLOOKUP($E124,'[1]Import Eletra'!$B:$B,'[1]Import Eletra'!$AD:$AD,,0,1))</f>
        <v>46052</v>
      </c>
      <c r="AD124" s="309">
        <f>$AB$4</f>
        <v>0</v>
      </c>
      <c r="AE124" s="309">
        <f ca="1">IF(AC124="",TODAY()-AB124,AC124-AB124)</f>
        <v>-3</v>
      </c>
      <c r="AF124" s="310">
        <f ca="1">AE124-AD124</f>
        <v>-3</v>
      </c>
      <c r="AG124" s="356">
        <f>AL124-$AL$4</f>
        <v>46055</v>
      </c>
      <c r="AH124" s="345">
        <f>IF(_xlfn.XLOOKUP($E124,'[1]Import Eletra'!$B:$B,'[1]Import Eletra'!$AE:$AE,,0,1)=0,"",_xlfn.XLOOKUP($E124,'[1]Import Eletra'!$B:$B,'[1]Import Eletra'!$AE:$AE,,0,1))</f>
        <v>46052</v>
      </c>
      <c r="AI124" s="309">
        <f>$AG$4</f>
        <v>0</v>
      </c>
      <c r="AJ124" s="309">
        <f ca="1">IF(AH124="",TODAY()-AG124,AH124-AG124)</f>
        <v>-3</v>
      </c>
      <c r="AK124" s="310" t="str">
        <f ca="1">IF(AND(ISNUMBER($AJ124),$AJ124&gt;0),$AJ124-$AI124,"")</f>
        <v/>
      </c>
      <c r="AL124" s="356">
        <f>AQ124-$AQ$4</f>
        <v>46055</v>
      </c>
      <c r="AM124" s="345">
        <f>IF(_xlfn.XLOOKUP($E124,'[1]Import Eletra'!$B:$B,'[1]Import Eletra'!$AT:$AT,,0,1)=0,"",_xlfn.XLOOKUP($E124,'[1]Import Eletra'!$B:$B,'[1]Import Eletra'!$AT:$AT,,0,1))</f>
        <v>46052</v>
      </c>
      <c r="AN124" s="309">
        <f>$AL$4</f>
        <v>0</v>
      </c>
      <c r="AO124" s="309">
        <f ca="1">IF(AM124="",TODAY()-AL124,AM124-AL124)</f>
        <v>-3</v>
      </c>
      <c r="AP124" s="310" t="str">
        <f ca="1">IF(AND(ISNUMBER($AO124),$AO124&gt;0),$AO124-$AN124,"")</f>
        <v/>
      </c>
      <c r="AQ124" s="359">
        <f>AV124-$AV$4</f>
        <v>46056</v>
      </c>
      <c r="AR124" s="345">
        <f>IF(_xlfn.XLOOKUP($E124,'[1]Import Eletra'!$B:$B,'[1]Import Eletra'!$AU:$AU,,0,1)=0,"",_xlfn.XLOOKUP($E124,'[1]Import Eletra'!$B:$B,'[1]Import Eletra'!$AU:$AU,,0,1))</f>
        <v>46052</v>
      </c>
      <c r="AS124" s="309">
        <f>$AQ$4</f>
        <v>1</v>
      </c>
      <c r="AT124" s="309">
        <f ca="1">IF(AR124="",TODAY()-AQ124,AR124-AQ124)</f>
        <v>-4</v>
      </c>
      <c r="AU124" s="310" t="str">
        <f ca="1">IF(AND(ISNUMBER($AT124),$AT124&gt;0),$AT124-$AS124,"")</f>
        <v/>
      </c>
      <c r="AV124" s="356">
        <f>BA124-$BA$4</f>
        <v>46056</v>
      </c>
      <c r="AW124" s="345">
        <f>IF(_xlfn.XLOOKUP($E124,'[1]Import Eletra'!$B:$B,'[1]Import Eletra'!$AU:$AU,,0,1)=0,"",_xlfn.XLOOKUP($E124,'[1]Import Eletra'!$B:$B,'[1]Import Eletra'!$AU:$AU,,0,1))</f>
        <v>46052</v>
      </c>
      <c r="AX124" s="309">
        <f>$AV$4</f>
        <v>0</v>
      </c>
      <c r="AY124" s="309">
        <f ca="1">IF(AW124="",TODAY()-AV124,AW124-AV124)</f>
        <v>-4</v>
      </c>
      <c r="AZ124" s="310" t="str">
        <f ca="1">IF(AND(ISNUMBER($AY124),$AY124&gt;0),$AY124-$AX124,"")</f>
        <v/>
      </c>
      <c r="BA124" s="359">
        <f>BF124-$BF$4</f>
        <v>46056</v>
      </c>
      <c r="BB124" s="345" t="str">
        <f>IF(_xlfn.XLOOKUP($E124,'[1]Import Eletra'!$B:$B,'[1]Import Eletra'!$AW:$AW,,0,1)=0,"",_xlfn.XLOOKUP($E124,'[1]Import Eletra'!$B:$B,'[1]Import Eletra'!$AW:$AW,,0,1))</f>
        <v/>
      </c>
      <c r="BC124" s="309">
        <f>$BA$4</f>
        <v>0</v>
      </c>
      <c r="BD124" s="309">
        <f ca="1">IF(BB124="",TODAY()-BA124,BB124-BA124)</f>
        <v>155</v>
      </c>
      <c r="BE124" s="310">
        <f ca="1">BD124-BC124</f>
        <v>155</v>
      </c>
      <c r="BF124" s="336">
        <f>BK124-$BK$4</f>
        <v>46056</v>
      </c>
      <c r="BG124" s="345" t="str">
        <f>IF(_xlfn.XLOOKUP($E124,'[1]Import Eletra'!$B:$B,'[1]Import Eletra'!$AX:$AX,,0,1)=0,"",_xlfn.XLOOKUP($E124,'[1]Import Eletra'!$B:$B,'[1]Import Eletra'!$AX:$AX,,0,1))</f>
        <v/>
      </c>
      <c r="BH124" s="309">
        <f>$BF$4</f>
        <v>0</v>
      </c>
      <c r="BI124" s="309">
        <f ca="1">IF(BG124="",TODAY()-BF124,BG124-BF124)</f>
        <v>155</v>
      </c>
      <c r="BJ124" s="310">
        <f ca="1">IF(AND(ISNUMBER($BI124),$BI124&gt;0),$BI124-$BH124,"")</f>
        <v>155</v>
      </c>
      <c r="BK124" s="363">
        <f>BP124-$BP$4</f>
        <v>46056</v>
      </c>
      <c r="BL124" s="345">
        <f>IF(_xlfn.XLOOKUP($E124,'[1]Import Eletra'!$B:$B,'[1]Import Eletra'!$AY:$AY,,0,1)=0,"",_xlfn.XLOOKUP($E124,'[1]Import Eletra'!$B:$B,'[1]Import Eletra'!$AY:$AY,,0,1))</f>
        <v>46052</v>
      </c>
      <c r="BM124" s="309">
        <f>$BK$4</f>
        <v>0</v>
      </c>
      <c r="BN124" s="309">
        <f ca="1">IF(BL124="",TODAY()-BK124,BL124-BK124)</f>
        <v>-4</v>
      </c>
      <c r="BO124" s="310">
        <f ca="1">BN124-BM124</f>
        <v>-4</v>
      </c>
      <c r="BP124" s="336">
        <f>BU124-$BU$4</f>
        <v>46056</v>
      </c>
      <c r="BQ124" s="345">
        <f>IF(_xlfn.XLOOKUP($E124,'[1]Import Eletra'!$B:$B,'[1]Import Eletra'!$AZ:$AZ,,0,1)=0,"",_xlfn.XLOOKUP($E124,'[1]Import Eletra'!$B:$B,'[1]Import Eletra'!$AZ:$AZ,,0,1))</f>
        <v>46052</v>
      </c>
      <c r="BR124" s="309">
        <f>$BP$4</f>
        <v>0</v>
      </c>
      <c r="BS124" s="309">
        <f ca="1">IF(BQ124="",TODAY()-BP124,BQ124-BP124)</f>
        <v>-4</v>
      </c>
      <c r="BT124" s="310">
        <f ca="1">BS124-BR124</f>
        <v>-4</v>
      </c>
      <c r="BU124" s="363">
        <f>BZ124-$BZ$4</f>
        <v>46058</v>
      </c>
      <c r="BV124" s="345">
        <f>IF(_xlfn.XLOOKUP($E124,'[1]Import Eletra'!$B:$B,'[1]Import Eletra'!$BA:$BA,,0,1)=0,"",_xlfn.XLOOKUP($E124,'[1]Import Eletra'!$B:$B,'[1]Import Eletra'!$BA:$BA,,0,1))</f>
        <v>46059</v>
      </c>
      <c r="BW124" s="309">
        <f>$BU$4</f>
        <v>2</v>
      </c>
      <c r="BX124" s="309">
        <f ca="1">IF(BV124="",TODAY()-BU124,BV124-BU124)</f>
        <v>1</v>
      </c>
      <c r="BY124" s="310">
        <f ca="1">IF(AND(ISNUMBER($BX124),$BX124&gt;0),$BX124-$BW124,"")</f>
        <v>-1</v>
      </c>
      <c r="BZ124" s="336">
        <f>CE124-$CE$4</f>
        <v>46058</v>
      </c>
      <c r="CA124" s="345">
        <f>IF(_xlfn.XLOOKUP($E124,'[1]Import Eletra'!$B:$B,'[1]Import Eletra'!$BB:$BB,,0,1)=0,"",_xlfn.XLOOKUP($E124,'[1]Import Eletra'!$B:$B,'[1]Import Eletra'!$BB:$BB,,0,1))</f>
        <v>46059</v>
      </c>
      <c r="CB124" s="309">
        <f>$BZ$4</f>
        <v>0</v>
      </c>
      <c r="CC124" s="309">
        <f ca="1">IF(CA124="",TODAY()-BZ124,CA124-BZ124)</f>
        <v>1</v>
      </c>
      <c r="CD124" s="310">
        <f ca="1">CC124-CB124</f>
        <v>1</v>
      </c>
      <c r="CE124" s="363">
        <f>CJ124-$CJ$4</f>
        <v>46058</v>
      </c>
      <c r="CF124" s="345">
        <f>IF(_xlfn.XLOOKUP($E124,'[1]Import Eletra'!$B:$B,'[1]Import Eletra'!$BC:$BC,,0,1)=0,"",_xlfn.XLOOKUP($E124,'[1]Import Eletra'!$B:$B,'[1]Import Eletra'!$BC:$BC,,0,1))</f>
        <v>46076</v>
      </c>
      <c r="CG124" s="309">
        <f>$CE$4</f>
        <v>0</v>
      </c>
      <c r="CH124" s="309">
        <f ca="1">IF(CF124="",TODAY()-CE124,CF124-CE124)</f>
        <v>18</v>
      </c>
      <c r="CI124" s="310">
        <f ca="1">CH124-CG124</f>
        <v>18</v>
      </c>
      <c r="CJ124" s="336">
        <f>CO124-$CO$4</f>
        <v>46058</v>
      </c>
      <c r="CK124" s="345">
        <f>IF(_xlfn.XLOOKUP($E124,'[1]Import Eletra'!$B:$B,'[1]Import Eletra'!$BD:$BD,,0,1)=0,"",_xlfn.XLOOKUP($E124,'[1]Import Eletra'!$B:$B,'[1]Import Eletra'!$BD:$BD,,0,1))</f>
        <v>46059</v>
      </c>
      <c r="CL124" s="309"/>
      <c r="CM124" s="309">
        <f ca="1">IF(CK124="",TODAY()-CJ124,CK124-CJ124)</f>
        <v>1</v>
      </c>
      <c r="CN124" s="310">
        <f ca="1">CM124-CL124</f>
        <v>1</v>
      </c>
      <c r="CO124" s="363">
        <f>CT124-$CT$4</f>
        <v>46058</v>
      </c>
      <c r="CP124" s="345">
        <f>IF(_xlfn.XLOOKUP($E124,'[1]Import Eletra'!$B:$B,'[1]Import Eletra'!$BE:$BE,,0,1)=0,"",_xlfn.XLOOKUP($E124,'[1]Import Eletra'!$B:$B,'[1]Import Eletra'!$BE:$BE,,0,1))</f>
        <v>46076</v>
      </c>
      <c r="CQ124" s="309">
        <f>$CO$4</f>
        <v>0</v>
      </c>
      <c r="CR124" s="309">
        <f ca="1">IF(CP124="",TODAY()-CO124,CP124-CO124)</f>
        <v>18</v>
      </c>
      <c r="CS124" s="310">
        <f ca="1">CR124-CQ124</f>
        <v>18</v>
      </c>
      <c r="CT124" s="336">
        <f>CY124-$CY$4</f>
        <v>46058</v>
      </c>
      <c r="CU124" s="345">
        <f>IF(_xlfn.XLOOKUP($E124,'[1]Import Eletra'!$B:$B,'[1]Import Eletra'!$BF:$BF,,0,1)=0,"",_xlfn.XLOOKUP($E124,'[1]Import Eletra'!$B:$B,'[1]Import Eletra'!$BF:$BF,,0,1))</f>
        <v>46076</v>
      </c>
      <c r="CV124" s="309">
        <f>$CT$4</f>
        <v>0</v>
      </c>
      <c r="CW124" s="309">
        <f ca="1">IF(CU124="",TODAY()-CT124,CU124-CT124)</f>
        <v>18</v>
      </c>
      <c r="CX124" s="310">
        <f ca="1">CW124-CV124</f>
        <v>18</v>
      </c>
      <c r="CY124" s="85">
        <f>DD124-$DD$4</f>
        <v>46058</v>
      </c>
      <c r="CZ124" s="271">
        <f>IF(_xlfn.XLOOKUP($E124,'[1]Import Eletra'!$B:$B,'[1]Import Eletra'!$BF:$BF,,0,1)=0,"",_xlfn.XLOOKUP($E124,'[1]Import Eletra'!$B:$B,'[1]Import Eletra'!$BF:$BF,,0,1))</f>
        <v>46076</v>
      </c>
      <c r="DA124" s="311">
        <f>$CY$4</f>
        <v>0</v>
      </c>
      <c r="DB124" s="309">
        <f ca="1">IF(CZ124="",TODAY()-CY124,CZ124-CY124)</f>
        <v>18</v>
      </c>
      <c r="DC124" s="310">
        <f ca="1">DB124-DA124</f>
        <v>18</v>
      </c>
      <c r="DD124" s="85">
        <f>DI124-$DI$4</f>
        <v>46060</v>
      </c>
      <c r="DE124" s="271">
        <f>IF(_xlfn.XLOOKUP($E124,'[1]Import Eletra'!$B:$B,'[1]Import Eletra'!$BG:$BG,,0,1)=0,"",_xlfn.XLOOKUP($E124,'[1]Import Eletra'!$B:$B,'[1]Import Eletra'!$BG:$BG,0,1))</f>
        <v>46078</v>
      </c>
      <c r="DF124" s="309">
        <f>$DD$4</f>
        <v>2</v>
      </c>
      <c r="DG124" s="309">
        <f ca="1">IF(DE124="",TODAY()-DD124,DE124-DD124)</f>
        <v>18</v>
      </c>
      <c r="DH124" s="310">
        <f ca="1">DG124-DF124</f>
        <v>16</v>
      </c>
      <c r="DI124" s="85">
        <f>DO124-$DN$4</f>
        <v>46061</v>
      </c>
      <c r="DJ124" s="271" t="str">
        <f>IF(_xlfn.XLOOKUP($E124,'[1]Import Eletra'!$B:$B,'[1]Import Eletra'!$BH:$BH,,0,1)=0,"",_xlfn.XLOOKUP($E124,'[1]Import Eletra'!$B:$B,'[1]Import Eletra'!$BH:$BH,0,1))</f>
        <v/>
      </c>
      <c r="DK124" s="309">
        <f>$DI$4</f>
        <v>1</v>
      </c>
      <c r="DL124" s="309">
        <f ca="1">IF(DJ124="",TODAY()-DI124,DJ124-DI124)</f>
        <v>150</v>
      </c>
      <c r="DM124" s="310">
        <f ca="1">DL124-DK124</f>
        <v>149</v>
      </c>
      <c r="DN124" s="312"/>
      <c r="DO124" s="313">
        <f>IF(V124="",N124+DT124,V124+DT124)</f>
        <v>46062</v>
      </c>
      <c r="DP124" s="59">
        <f>IF(_xlfn.XLOOKUP($E124,'[1]Import Eletra'!$B:$B,'[1]Import Eletra'!$O:$O,,0,1)=0,"",_xlfn.XLOOKUP($E124,'[1]Import Eletra'!$B:$B,'[1]Import Eletra'!$O:$O,0,1))</f>
        <v>46078</v>
      </c>
      <c r="DQ124" s="309">
        <f>$DN$4</f>
        <v>1</v>
      </c>
      <c r="DR124" s="309">
        <f ca="1">IF(DP124="",TODAY()-DO124,DP124-DO124)</f>
        <v>16</v>
      </c>
      <c r="DS124" s="310">
        <f ca="1">DR124-DQ124</f>
        <v>15</v>
      </c>
      <c r="DT124" s="314">
        <v>17</v>
      </c>
      <c r="DU124" s="140">
        <f ca="1">IF(DP124="",TODAY()-N124,DP124-N124)</f>
        <v>38</v>
      </c>
      <c r="DV124" s="184">
        <f ca="1">DU124-DT124</f>
        <v>21</v>
      </c>
      <c r="DX124" s="316"/>
      <c r="DY124" s="108" t="str">
        <f>IF(_xlfn.XLOOKUP($E124,'[1]Import Eletra'!$B:$B,'[1]Import Eletra'!$DW:$DW,,0,1)=0,"",_xlfn.XLOOKUP($E124,'[1]Import Eletra'!$B:$B,'[1]Import Eletra'!$DW:$DW,0,1))</f>
        <v/>
      </c>
      <c r="EB124" s="317"/>
      <c r="ED124" s="406">
        <f>IF(_xlfn.XLOOKUP($E124,'[1]Import Eletra'!$B:$B,'[1]Import Eletra'!$BQ:$BQ,,0,1)=0,"",_xlfn.XLOOKUP($E124,'[1]Import Eletra'!$B:$B,'[1]Import Eletra'!$BQ:$BQ,0,1))</f>
        <v>3114.26</v>
      </c>
      <c r="EE124" s="407">
        <f>IF(_xlfn.XLOOKUP($E124,'[1]Import Eletra'!$B:$B,'[1]Import Eletra'!$BR:$BR,,0,1)=0,"",_xlfn.XLOOKUP($E124,'[1]Import Eletra'!$B:$B,'[1]Import Eletra'!$BR:$BR,0,1))</f>
        <v>46066</v>
      </c>
      <c r="EF124" s="406">
        <f>IF(_xlfn.XLOOKUP($E124,'[1]Import Eletra'!$B:$B,'[1]Import Eletra'!$BS:$BS,,0,1)=0,"",_xlfn.XLOOKUP($E124,'[1]Import Eletra'!$B:$B,'[1]Import Eletra'!$BS:$BS,0,1))</f>
        <v>54228.03</v>
      </c>
      <c r="EG124" s="407">
        <f>IF(_xlfn.XLOOKUP($E124,'[1]Import Eletra'!$B:$B,'[1]Import Eletra'!$BT:$BT,,0,1)=0,"",_xlfn.XLOOKUP($E124,'[1]Import Eletra'!$B:$B,'[1]Import Eletra'!$BT:$BT,0,1))</f>
        <v>46140</v>
      </c>
      <c r="EH124" s="406" t="str">
        <f>IF(_xlfn.XLOOKUP($E124,'[1]Import Eletra'!$B:$B,'[1]Import Eletra'!$BU:$BU,,0,1)=0,"",_xlfn.XLOOKUP($E124,'[1]Import Eletra'!$B:$B,'[1]Import Eletra'!$BU:$BU,0,1))</f>
        <v/>
      </c>
      <c r="EI124" s="407" t="str">
        <f>IF(_xlfn.XLOOKUP($E124,'[1]Import Eletra'!$B:$B,'[1]Import Eletra'!$BV:$BV,,0,1)=0,"",_xlfn.XLOOKUP($E124,'[1]Import Eletra'!$B:$B,'[1]Import Eletra'!$BV:$BV,0,1))</f>
        <v/>
      </c>
      <c r="EJ124" s="407">
        <f>IF(_xlfn.XLOOKUP($E124,'[1]Import Eletra'!$B:$B,'[1]Import Eletra'!$CI:$CI,,0,1)=0,"",_xlfn.XLOOKUP($E124,'[1]Import Eletra'!$B:$B,'[1]Import Eletra'!$CI:$CI,0,1))</f>
        <v>46061</v>
      </c>
      <c r="EK124" s="407">
        <f>IF(_xlfn.XLOOKUP($E124,'[1]Import Eletra'!$B:$B,'[1]Import Eletra'!$CD:$CD,,0,1)=0,"",_xlfn.XLOOKUP($E124,'[1]Import Eletra'!$B:$B,'[1]Import Eletra'!$CD:$CD,0,1))</f>
        <v>46079</v>
      </c>
      <c r="EL124" s="407" t="str">
        <f>IF(_xlfn.XLOOKUP($E124,'[1]Import Eletra'!$B:$B,'[1]Import Eletra'!$CE:$CE,,0,1)=0,"",_xlfn.XLOOKUP($E124,'[1]Import Eletra'!$B:$B,'[1]Import Eletra'!$CE:$CE,0,1))</f>
        <v>SIM  18 dias</v>
      </c>
      <c r="EM124" s="408" t="str">
        <f>IF(_xlfn.XLOOKUP($E124,'[1]Import Eletra'!$B:$B,'[1]Import Eletra'!$E:$E,,0,1)=0,"",_xlfn.XLOOKUP($E124,'[1]Import Eletra'!$B:$B,'[1]Import Eletra'!$E:$E,0,1))</f>
        <v>STELLA</v>
      </c>
      <c r="EN124" s="408" t="str">
        <f>IF(_xlfn.XLOOKUP($E124,'[1]Import Eletra'!$B:$B,'[1]Import Eletra'!$E:$E,,0,1)=0,"",_xlfn.XLOOKUP($E124,'[1]Import Eletra'!$B:$B,'[1]Import Eletra'!$E:$E,0,1))</f>
        <v>STELLA</v>
      </c>
      <c r="EO124" s="408" t="str">
        <f>IF(_xlfn.XLOOKUP($E124,'[1]Import Eletra'!$B:$B,'[1]Import Eletra'!$E:$E,,0,1)=0,"",_xlfn.XLOOKUP($E124,'[1]Import Eletra'!$B:$B,'[1]Import Eletra'!$E:$E,0,1))</f>
        <v>STELLA</v>
      </c>
      <c r="EP124" s="408" t="str">
        <f>IF(_xlfn.XLOOKUP($E124,'[1]Import Eletra'!$B:$B,'[1]Import Eletra'!$E:$E,,0,1)=0,"",_xlfn.XLOOKUP($E124,'[1]Import Eletra'!$B:$B,'[1]Import Eletra'!$E:$E,0,1))</f>
        <v>STELLA</v>
      </c>
    </row>
    <row r="125" spans="1:146" s="315" customFormat="1" ht="30" hidden="1" customHeight="1" outlineLevel="1">
      <c r="A125" s="305"/>
      <c r="B125" s="306"/>
      <c r="C125" s="306"/>
      <c r="D125" s="306"/>
      <c r="E125" s="318" t="s">
        <v>421</v>
      </c>
      <c r="F125" s="307">
        <f>IF(_xlfn.XLOOKUP($E125,'[1]Import Eletra'!$B:$B,'[1]Import Eletra'!$U:$U,,0,1)=0,"",_xlfn.XLOOKUP($E125,'[1]Import Eletra'!$B:$B,'[1]Import Eletra'!$U:$U,,0,1))</f>
        <v>3</v>
      </c>
      <c r="G125" s="320" t="s">
        <v>244</v>
      </c>
      <c r="H125" s="59" t="str">
        <f>_xlfn.XLOOKUP($E125,'[1]Import Eletra'!$B:$B,'[1]Import Eletra'!$F:$F,,0,1)</f>
        <v>DELIVERED</v>
      </c>
      <c r="I125" s="4" t="str">
        <f>_xlfn.XLOOKUP($E125,'[1]Import Eletra'!$B:$B,'[1]Import Eletra'!$G:$G,,0,1)</f>
        <v>SEA</v>
      </c>
      <c r="J125" s="331"/>
      <c r="K125" s="308"/>
      <c r="L125" s="308"/>
      <c r="M125" s="331">
        <f>IF(_xlfn.XLOOKUP($E125,'[1]Import Eletra'!$B:$B,'[1]Import Eletra'!$J:$J,,0,1)=0,"",_xlfn.XLOOKUP($E125,'[1]Import Eletra'!$B:$B,'[1]Import Eletra'!$J:$J,,0,1))</f>
        <v>45992</v>
      </c>
      <c r="N125" s="334">
        <f>IF(_xlfn.XLOOKUP($E125,'[1]Import Eletra'!$B:$B,'[1]Import Eletra'!$L:$L,,0,1)=0,"",_xlfn.XLOOKUP($E125,'[1]Import Eletra'!$B:$B,'[1]Import Eletra'!$L:$L,,0,1))</f>
        <v>46040</v>
      </c>
      <c r="O125" s="336">
        <f>IF(_xlfn.XLOOKUP($E125,'[1]Import Eletra'!$B:$B,'[1]Import Eletra'!$AK:$AK,,0,1)=0,"",_xlfn.XLOOKUP($E125,'[1]Import Eletra'!$B:$B,'[1]Import Eletra'!$AK:$AK,,0,1))</f>
        <v>46029</v>
      </c>
      <c r="P125" s="331">
        <f>IF(_xlfn.XLOOKUP($E125,'[1]Import Eletra'!$B:$B,'[1]Import Eletra'!$AL:$AL,,0,1)=0,"",_xlfn.XLOOKUP($E125,'[1]Import Eletra'!$B:$B,'[1]Import Eletra'!$AL:$AL,,0,1))</f>
        <v>46031</v>
      </c>
      <c r="Q125" s="331">
        <f>IF(_xlfn.XLOOKUP($E125,'[1]Import Eletra'!$B:$B,'[1]Import Eletra'!$AM:$AM,,0,1)=0,"",_xlfn.XLOOKUP($E125,'[1]Import Eletra'!$B:$B,'[1]Import Eletra'!$AM:$AM,,0,1))</f>
        <v>46045</v>
      </c>
      <c r="R125" s="331">
        <f>IF(_xlfn.XLOOKUP($E125,'[1]Import Eletra'!$B:$B,'[1]Import Eletra'!$AN:$AN,,0,1)=0,"",_xlfn.XLOOKUP($E125,'[1]Import Eletra'!$B:$B,'[1]Import Eletra'!$AN:$AN,,0,1))</f>
        <v>46049</v>
      </c>
      <c r="S125" s="331">
        <f>IF(_xlfn.XLOOKUP($E125,'[1]Import Eletra'!$B:$B,'[1]Import Eletra'!$AO:$AO,,0,1)=0,"",_xlfn.XLOOKUP($E125,'[1]Import Eletra'!$B:$B,'[1]Import Eletra'!$AO:$AO,,0,1))</f>
        <v>46051</v>
      </c>
      <c r="T125" s="331">
        <f>IF(_xlfn.XLOOKUP($E125,'[1]Import Eletra'!$B:$B,'[1]Import Eletra'!$AP:$AP,,0,1)=0,"",_xlfn.XLOOKUP($E125,'[1]Import Eletra'!$B:$B,'[1]Import Eletra'!$AP:$AP,,0,1))</f>
        <v>46052</v>
      </c>
      <c r="U125" s="338">
        <f>IF(_xlfn.XLOOKUP($E125,'[1]Import Eletra'!$B:$B,'[1]Import Eletra'!$AQ:$AQ,,0,1)=0,"",_xlfn.XLOOKUP($E125,'[1]Import Eletra'!$B:$B,'[1]Import Eletra'!$AQ:$AQ,,0,1))</f>
        <v>46052</v>
      </c>
      <c r="V125" s="343">
        <f>IF(_xlfn.XLOOKUP($E125,'[1]Import Eletra'!$B:$B,'[1]Import Eletra'!$AQ:$AQ,,0,1)=0,"",_xlfn.XLOOKUP($E125,'[1]Import Eletra'!$B:$B,'[1]Import Eletra'!$AQ:$AQ,,0,1))</f>
        <v>46052</v>
      </c>
      <c r="W125" s="336">
        <f>AB125-$AB$4</f>
        <v>46062</v>
      </c>
      <c r="X125" s="345">
        <f>IF(_xlfn.XLOOKUP($E125,'[1]Import Eletra'!$B:$B,'[1]Import Eletra'!$AR:$AR,,0,1)=0,"",_xlfn.XLOOKUP($E125,'[1]Import Eletra'!$B:$B,'[1]Import Eletra'!$AR:$AR,,0,1))</f>
        <v>46042</v>
      </c>
      <c r="Y125" s="309">
        <f>$W$4</f>
        <v>0</v>
      </c>
      <c r="Z125" s="309">
        <f ca="1">IF(X125="",TODAY()-W125,X125-W125)</f>
        <v>-20</v>
      </c>
      <c r="AA125" s="310" t="str">
        <f ca="1">IF(AND(ISNUMBER($Z125),$Z125&gt;0),$Z125-$Y125,"")</f>
        <v/>
      </c>
      <c r="AB125" s="350">
        <f>AG125-$AB$4</f>
        <v>46062</v>
      </c>
      <c r="AC125" s="345">
        <f>IF(_xlfn.XLOOKUP($E125,'[1]Import Eletra'!$B:$B,'[1]Import Eletra'!$AD:$AD,,0,1)=0,"",_xlfn.XLOOKUP($E125,'[1]Import Eletra'!$B:$B,'[1]Import Eletra'!$AD:$AD,,0,1))</f>
        <v>46056</v>
      </c>
      <c r="AD125" s="309">
        <f>$AB$4</f>
        <v>0</v>
      </c>
      <c r="AE125" s="309">
        <f ca="1">IF(AC125="",TODAY()-AB125,AC125-AB125)</f>
        <v>-6</v>
      </c>
      <c r="AF125" s="310">
        <f ca="1">AE125-AD125</f>
        <v>-6</v>
      </c>
      <c r="AG125" s="356">
        <f>AL125-$AL$4</f>
        <v>46062</v>
      </c>
      <c r="AH125" s="345">
        <f>IF(_xlfn.XLOOKUP($E125,'[1]Import Eletra'!$B:$B,'[1]Import Eletra'!$AE:$AE,,0,1)=0,"",_xlfn.XLOOKUP($E125,'[1]Import Eletra'!$B:$B,'[1]Import Eletra'!$AE:$AE,,0,1))</f>
        <v>46056</v>
      </c>
      <c r="AI125" s="309">
        <f>$AG$4</f>
        <v>0</v>
      </c>
      <c r="AJ125" s="309">
        <f ca="1">IF(AH125="",TODAY()-AG125,AH125-AG125)</f>
        <v>-6</v>
      </c>
      <c r="AK125" s="310" t="str">
        <f ca="1">IF(AND(ISNUMBER($AJ125),$AJ125&gt;0),$AJ125-$AI125,"")</f>
        <v/>
      </c>
      <c r="AL125" s="356">
        <f>AQ125-$AQ$4</f>
        <v>46062</v>
      </c>
      <c r="AM125" s="345">
        <f>IF(_xlfn.XLOOKUP($E125,'[1]Import Eletra'!$B:$B,'[1]Import Eletra'!$AT:$AT,,0,1)=0,"",_xlfn.XLOOKUP($E125,'[1]Import Eletra'!$B:$B,'[1]Import Eletra'!$AT:$AT,,0,1))</f>
        <v>46056</v>
      </c>
      <c r="AN125" s="309">
        <f>$AL$4</f>
        <v>0</v>
      </c>
      <c r="AO125" s="309">
        <f ca="1">IF(AM125="",TODAY()-AL125,AM125-AL125)</f>
        <v>-6</v>
      </c>
      <c r="AP125" s="310" t="str">
        <f ca="1">IF(AND(ISNUMBER($AO125),$AO125&gt;0),$AO125-$AN125,"")</f>
        <v/>
      </c>
      <c r="AQ125" s="359">
        <f>AV125-$AV$4</f>
        <v>46063</v>
      </c>
      <c r="AR125" s="345">
        <f>IF(_xlfn.XLOOKUP($E125,'[1]Import Eletra'!$B:$B,'[1]Import Eletra'!$AU:$AU,,0,1)=0,"",_xlfn.XLOOKUP($E125,'[1]Import Eletra'!$B:$B,'[1]Import Eletra'!$AU:$AU,,0,1))</f>
        <v>46057</v>
      </c>
      <c r="AS125" s="309">
        <f>$AQ$4</f>
        <v>1</v>
      </c>
      <c r="AT125" s="309">
        <f ca="1">IF(AR125="",TODAY()-AQ125,AR125-AQ125)</f>
        <v>-6</v>
      </c>
      <c r="AU125" s="310" t="str">
        <f ca="1">IF(AND(ISNUMBER($AT125),$AT125&gt;0),$AT125-$AS125,"")</f>
        <v/>
      </c>
      <c r="AV125" s="356">
        <f>BA125-$BA$4</f>
        <v>46063</v>
      </c>
      <c r="AW125" s="345">
        <f>IF(_xlfn.XLOOKUP($E125,'[1]Import Eletra'!$B:$B,'[1]Import Eletra'!$AU:$AU,,0,1)=0,"",_xlfn.XLOOKUP($E125,'[1]Import Eletra'!$B:$B,'[1]Import Eletra'!$AU:$AU,,0,1))</f>
        <v>46057</v>
      </c>
      <c r="AX125" s="309">
        <f>$AV$4</f>
        <v>0</v>
      </c>
      <c r="AY125" s="309">
        <f ca="1">IF(AW125="",TODAY()-AV125,AW125-AV125)</f>
        <v>-6</v>
      </c>
      <c r="AZ125" s="310" t="str">
        <f ca="1">IF(AND(ISNUMBER($AY125),$AY125&gt;0),$AY125-$AX125,"")</f>
        <v/>
      </c>
      <c r="BA125" s="359">
        <f>BF125-$BF$4</f>
        <v>46063</v>
      </c>
      <c r="BB125" s="345" t="str">
        <f>IF(_xlfn.XLOOKUP($E125,'[1]Import Eletra'!$B:$B,'[1]Import Eletra'!$AW:$AW,,0,1)=0,"",_xlfn.XLOOKUP($E125,'[1]Import Eletra'!$B:$B,'[1]Import Eletra'!$AW:$AW,,0,1))</f>
        <v/>
      </c>
      <c r="BC125" s="309">
        <f>$BA$4</f>
        <v>0</v>
      </c>
      <c r="BD125" s="309">
        <f ca="1">IF(BB125="",TODAY()-BA125,BB125-BA125)</f>
        <v>148</v>
      </c>
      <c r="BE125" s="310">
        <f ca="1">BD125-BC125</f>
        <v>148</v>
      </c>
      <c r="BF125" s="336">
        <f>BK125-$BK$4</f>
        <v>46063</v>
      </c>
      <c r="BG125" s="345" t="str">
        <f>IF(_xlfn.XLOOKUP($E125,'[1]Import Eletra'!$B:$B,'[1]Import Eletra'!$AX:$AX,,0,1)=0,"",_xlfn.XLOOKUP($E125,'[1]Import Eletra'!$B:$B,'[1]Import Eletra'!$AX:$AX,,0,1))</f>
        <v/>
      </c>
      <c r="BH125" s="309">
        <f>$BF$4</f>
        <v>0</v>
      </c>
      <c r="BI125" s="309">
        <f ca="1">IF(BG125="",TODAY()-BF125,BG125-BF125)</f>
        <v>148</v>
      </c>
      <c r="BJ125" s="310">
        <f ca="1">IF(AND(ISNUMBER($BI125),$BI125&gt;0),$BI125-$BH125,"")</f>
        <v>148</v>
      </c>
      <c r="BK125" s="363">
        <f>BP125-$BP$4</f>
        <v>46063</v>
      </c>
      <c r="BL125" s="345">
        <f>IF(_xlfn.XLOOKUP($E125,'[1]Import Eletra'!$B:$B,'[1]Import Eletra'!$AY:$AY,,0,1)=0,"",_xlfn.XLOOKUP($E125,'[1]Import Eletra'!$B:$B,'[1]Import Eletra'!$AY:$AY,,0,1))</f>
        <v>46056</v>
      </c>
      <c r="BM125" s="309">
        <f>$BK$4</f>
        <v>0</v>
      </c>
      <c r="BN125" s="309">
        <f ca="1">IF(BL125="",TODAY()-BK125,BL125-BK125)</f>
        <v>-7</v>
      </c>
      <c r="BO125" s="310">
        <f ca="1">BN125-BM125</f>
        <v>-7</v>
      </c>
      <c r="BP125" s="336">
        <f>BU125-$BU$4</f>
        <v>46063</v>
      </c>
      <c r="BQ125" s="345">
        <f>IF(_xlfn.XLOOKUP($E125,'[1]Import Eletra'!$B:$B,'[1]Import Eletra'!$AZ:$AZ,,0,1)=0,"",_xlfn.XLOOKUP($E125,'[1]Import Eletra'!$B:$B,'[1]Import Eletra'!$AZ:$AZ,,0,1))</f>
        <v>46057</v>
      </c>
      <c r="BR125" s="309">
        <f>$BP$4</f>
        <v>0</v>
      </c>
      <c r="BS125" s="309">
        <f ca="1">IF(BQ125="",TODAY()-BP125,BQ125-BP125)</f>
        <v>-6</v>
      </c>
      <c r="BT125" s="310">
        <f ca="1">BS125-BR125</f>
        <v>-6</v>
      </c>
      <c r="BU125" s="363">
        <f>BZ125-$BZ$4</f>
        <v>46065</v>
      </c>
      <c r="BV125" s="345">
        <f>IF(_xlfn.XLOOKUP($E125,'[1]Import Eletra'!$B:$B,'[1]Import Eletra'!$BA:$BA,,0,1)=0,"",_xlfn.XLOOKUP($E125,'[1]Import Eletra'!$B:$B,'[1]Import Eletra'!$BA:$BA,,0,1))</f>
        <v>46059</v>
      </c>
      <c r="BW125" s="309">
        <f>$BU$4</f>
        <v>2</v>
      </c>
      <c r="BX125" s="309">
        <f ca="1">IF(BV125="",TODAY()-BU125,BV125-BU125)</f>
        <v>-6</v>
      </c>
      <c r="BY125" s="310" t="str">
        <f ca="1">IF(AND(ISNUMBER($BX125),$BX125&gt;0),$BX125-$BW125,"")</f>
        <v/>
      </c>
      <c r="BZ125" s="336">
        <f>CE125-$CE$4</f>
        <v>46065</v>
      </c>
      <c r="CA125" s="345">
        <f>IF(_xlfn.XLOOKUP($E125,'[1]Import Eletra'!$B:$B,'[1]Import Eletra'!$BB:$BB,,0,1)=0,"",_xlfn.XLOOKUP($E125,'[1]Import Eletra'!$B:$B,'[1]Import Eletra'!$BB:$BB,,0,1))</f>
        <v>46063</v>
      </c>
      <c r="CB125" s="309">
        <f>$BZ$4</f>
        <v>0</v>
      </c>
      <c r="CC125" s="309">
        <f ca="1">IF(CA125="",TODAY()-BZ125,CA125-BZ125)</f>
        <v>-2</v>
      </c>
      <c r="CD125" s="310">
        <f ca="1">CC125-CB125</f>
        <v>-2</v>
      </c>
      <c r="CE125" s="363">
        <f>CJ125-$CJ$4</f>
        <v>46065</v>
      </c>
      <c r="CF125" s="345">
        <f>IF(_xlfn.XLOOKUP($E125,'[1]Import Eletra'!$B:$B,'[1]Import Eletra'!$BC:$BC,,0,1)=0,"",_xlfn.XLOOKUP($E125,'[1]Import Eletra'!$B:$B,'[1]Import Eletra'!$BC:$BC,,0,1))</f>
        <v>46074</v>
      </c>
      <c r="CG125" s="309">
        <f>$CE$4</f>
        <v>0</v>
      </c>
      <c r="CH125" s="309">
        <f ca="1">IF(CF125="",TODAY()-CE125,CF125-CE125)</f>
        <v>9</v>
      </c>
      <c r="CI125" s="310">
        <f ca="1">CH125-CG125</f>
        <v>9</v>
      </c>
      <c r="CJ125" s="336">
        <f>CO125-$CO$4</f>
        <v>46065</v>
      </c>
      <c r="CK125" s="345">
        <f>IF(_xlfn.XLOOKUP($E125,'[1]Import Eletra'!$B:$B,'[1]Import Eletra'!$BD:$BD,,0,1)=0,"",_xlfn.XLOOKUP($E125,'[1]Import Eletra'!$B:$B,'[1]Import Eletra'!$BD:$BD,,0,1))</f>
        <v>46063</v>
      </c>
      <c r="CL125" s="309"/>
      <c r="CM125" s="309">
        <f ca="1">IF(CK125="",TODAY()-CJ125,CK125-CJ125)</f>
        <v>-2</v>
      </c>
      <c r="CN125" s="310">
        <f ca="1">CM125-CL125</f>
        <v>-2</v>
      </c>
      <c r="CO125" s="363">
        <f>CT125-$CT$4</f>
        <v>46065</v>
      </c>
      <c r="CP125" s="345">
        <f>IF(_xlfn.XLOOKUP($E125,'[1]Import Eletra'!$B:$B,'[1]Import Eletra'!$BE:$BE,,0,1)=0,"",_xlfn.XLOOKUP($E125,'[1]Import Eletra'!$B:$B,'[1]Import Eletra'!$BE:$BE,,0,1))</f>
        <v>46074</v>
      </c>
      <c r="CQ125" s="309">
        <f>$CO$4</f>
        <v>0</v>
      </c>
      <c r="CR125" s="309">
        <f ca="1">IF(CP125="",TODAY()-CO125,CP125-CO125)</f>
        <v>9</v>
      </c>
      <c r="CS125" s="310">
        <f ca="1">CR125-CQ125</f>
        <v>9</v>
      </c>
      <c r="CT125" s="336">
        <f>CY125-$CY$4</f>
        <v>46065</v>
      </c>
      <c r="CU125" s="345">
        <f>IF(_xlfn.XLOOKUP($E125,'[1]Import Eletra'!$B:$B,'[1]Import Eletra'!$BF:$BF,,0,1)=0,"",_xlfn.XLOOKUP($E125,'[1]Import Eletra'!$B:$B,'[1]Import Eletra'!$BF:$BF,,0,1))</f>
        <v>46074</v>
      </c>
      <c r="CV125" s="309">
        <f>$CT$4</f>
        <v>0</v>
      </c>
      <c r="CW125" s="309">
        <f ca="1">IF(CU125="",TODAY()-CT125,CU125-CT125)</f>
        <v>9</v>
      </c>
      <c r="CX125" s="310">
        <f ca="1">CW125-CV125</f>
        <v>9</v>
      </c>
      <c r="CY125" s="85">
        <f>DD125-$DD$4</f>
        <v>46065</v>
      </c>
      <c r="CZ125" s="271">
        <f>IF(_xlfn.XLOOKUP($E125,'[1]Import Eletra'!$B:$B,'[1]Import Eletra'!$BF:$BF,,0,1)=0,"",_xlfn.XLOOKUP($E125,'[1]Import Eletra'!$B:$B,'[1]Import Eletra'!$BF:$BF,,0,1))</f>
        <v>46074</v>
      </c>
      <c r="DA125" s="311">
        <f>$CY$4</f>
        <v>0</v>
      </c>
      <c r="DB125" s="309">
        <f ca="1">IF(CZ125="",TODAY()-CY125,CZ125-CY125)</f>
        <v>9</v>
      </c>
      <c r="DC125" s="310">
        <f ca="1">DB125-DA125</f>
        <v>9</v>
      </c>
      <c r="DD125" s="85">
        <f>DI125-$DI$4</f>
        <v>46067</v>
      </c>
      <c r="DE125" s="271">
        <f>IF(_xlfn.XLOOKUP($E125,'[1]Import Eletra'!$B:$B,'[1]Import Eletra'!$BG:$BG,,0,1)=0,"",_xlfn.XLOOKUP($E125,'[1]Import Eletra'!$B:$B,'[1]Import Eletra'!$BG:$BG,0,1))</f>
        <v>46076</v>
      </c>
      <c r="DF125" s="309">
        <f>$DD$4</f>
        <v>2</v>
      </c>
      <c r="DG125" s="309">
        <f ca="1">IF(DE125="",TODAY()-DD125,DE125-DD125)</f>
        <v>9</v>
      </c>
      <c r="DH125" s="310">
        <f ca="1">DG125-DF125</f>
        <v>7</v>
      </c>
      <c r="DI125" s="85">
        <f>DO125-$DN$4</f>
        <v>46068</v>
      </c>
      <c r="DJ125" s="271" t="str">
        <f>IF(_xlfn.XLOOKUP($E125,'[1]Import Eletra'!$B:$B,'[1]Import Eletra'!$BH:$BH,,0,1)=0,"",_xlfn.XLOOKUP($E125,'[1]Import Eletra'!$B:$B,'[1]Import Eletra'!$BH:$BH,0,1))</f>
        <v/>
      </c>
      <c r="DK125" s="309">
        <f>$DI$4</f>
        <v>1</v>
      </c>
      <c r="DL125" s="309">
        <f ca="1">IF(DJ125="",TODAY()-DI125,DJ125-DI125)</f>
        <v>143</v>
      </c>
      <c r="DM125" s="310">
        <f ca="1">DL125-DK125</f>
        <v>142</v>
      </c>
      <c r="DN125" s="312"/>
      <c r="DO125" s="313">
        <f>IF(V125="",N125+DT125,V125+DT125)</f>
        <v>46069</v>
      </c>
      <c r="DP125" s="59">
        <f>IF(_xlfn.XLOOKUP($E125,'[1]Import Eletra'!$B:$B,'[1]Import Eletra'!$O:$O,,0,1)=0,"",_xlfn.XLOOKUP($E125,'[1]Import Eletra'!$B:$B,'[1]Import Eletra'!$O:$O,0,1))</f>
        <v>46078</v>
      </c>
      <c r="DQ125" s="309">
        <f>$DN$4</f>
        <v>1</v>
      </c>
      <c r="DR125" s="309">
        <f ca="1">IF(DP125="",TODAY()-DO125,DP125-DO125)</f>
        <v>9</v>
      </c>
      <c r="DS125" s="310">
        <f ca="1">DR125-DQ125</f>
        <v>8</v>
      </c>
      <c r="DT125" s="314">
        <v>17</v>
      </c>
      <c r="DU125" s="140">
        <f ca="1">IF(DP125="",TODAY()-N125,DP125-N125)</f>
        <v>38</v>
      </c>
      <c r="DV125" s="184">
        <f ca="1">DU125-DT125</f>
        <v>21</v>
      </c>
      <c r="DX125" s="316"/>
      <c r="DY125" s="108" t="str">
        <f>IF(_xlfn.XLOOKUP($E125,'[1]Import Eletra'!$B:$B,'[1]Import Eletra'!$DW:$DW,,0,1)=0,"",_xlfn.XLOOKUP($E125,'[1]Import Eletra'!$B:$B,'[1]Import Eletra'!$DW:$DW,0,1))</f>
        <v/>
      </c>
      <c r="EB125" s="317"/>
      <c r="ED125" s="406">
        <f>IF(_xlfn.XLOOKUP($E125,'[1]Import Eletra'!$B:$B,'[1]Import Eletra'!$BQ:$BQ,,0,1)=0,"",_xlfn.XLOOKUP($E125,'[1]Import Eletra'!$B:$B,'[1]Import Eletra'!$BQ:$BQ,0,1))</f>
        <v>9342.7800000000007</v>
      </c>
      <c r="EE125" s="407">
        <f>IF(_xlfn.XLOOKUP($E125,'[1]Import Eletra'!$B:$B,'[1]Import Eletra'!$BR:$BR,,0,1)=0,"",_xlfn.XLOOKUP($E125,'[1]Import Eletra'!$B:$B,'[1]Import Eletra'!$BR:$BR,0,1))</f>
        <v>46066</v>
      </c>
      <c r="EF125" s="406">
        <f>IF(_xlfn.XLOOKUP($E125,'[1]Import Eletra'!$B:$B,'[1]Import Eletra'!$BS:$BS,,0,1)=0,"",_xlfn.XLOOKUP($E125,'[1]Import Eletra'!$B:$B,'[1]Import Eletra'!$BS:$BS,0,1))</f>
        <v>153646.07999999999</v>
      </c>
      <c r="EG125" s="407">
        <f>IF(_xlfn.XLOOKUP($E125,'[1]Import Eletra'!$B:$B,'[1]Import Eletra'!$BT:$BT,,0,1)=0,"",_xlfn.XLOOKUP($E125,'[1]Import Eletra'!$B:$B,'[1]Import Eletra'!$BT:$BT,0,1))</f>
        <v>46140</v>
      </c>
      <c r="EH125" s="406" t="str">
        <f>IF(_xlfn.XLOOKUP($E125,'[1]Import Eletra'!$B:$B,'[1]Import Eletra'!$BU:$BU,,0,1)=0,"",_xlfn.XLOOKUP($E125,'[1]Import Eletra'!$B:$B,'[1]Import Eletra'!$BU:$BU,0,1))</f>
        <v/>
      </c>
      <c r="EI125" s="407" t="str">
        <f>IF(_xlfn.XLOOKUP($E125,'[1]Import Eletra'!$B:$B,'[1]Import Eletra'!$BV:$BV,,0,1)=0,"",_xlfn.XLOOKUP($E125,'[1]Import Eletra'!$B:$B,'[1]Import Eletra'!$BV:$BV,0,1))</f>
        <v/>
      </c>
      <c r="EJ125" s="407">
        <f>IF(_xlfn.XLOOKUP($E125,'[1]Import Eletra'!$B:$B,'[1]Import Eletra'!$CI:$CI,,0,1)=0,"",_xlfn.XLOOKUP($E125,'[1]Import Eletra'!$B:$B,'[1]Import Eletra'!$CI:$CI,0,1))</f>
        <v>46061</v>
      </c>
      <c r="EK125" s="407">
        <f>IF(_xlfn.XLOOKUP($E125,'[1]Import Eletra'!$B:$B,'[1]Import Eletra'!$CD:$CD,,0,1)=0,"",_xlfn.XLOOKUP($E125,'[1]Import Eletra'!$B:$B,'[1]Import Eletra'!$CD:$CD,0,1))</f>
        <v>46078</v>
      </c>
      <c r="EL125" s="407" t="str">
        <f>IF(_xlfn.XLOOKUP($E125,'[1]Import Eletra'!$B:$B,'[1]Import Eletra'!$CE:$CE,,0,1)=0,"",_xlfn.XLOOKUP($E125,'[1]Import Eletra'!$B:$B,'[1]Import Eletra'!$CE:$CE,0,1))</f>
        <v>SIM  17 dias</v>
      </c>
      <c r="EM125" s="408" t="str">
        <f>IF(_xlfn.XLOOKUP($E125,'[1]Import Eletra'!$B:$B,'[1]Import Eletra'!$E:$E,,0,1)=0,"",_xlfn.XLOOKUP($E125,'[1]Import Eletra'!$B:$B,'[1]Import Eletra'!$E:$E,0,1))</f>
        <v>STELLA</v>
      </c>
      <c r="EN125" s="408" t="str">
        <f>IF(_xlfn.XLOOKUP($E125,'[1]Import Eletra'!$B:$B,'[1]Import Eletra'!$E:$E,,0,1)=0,"",_xlfn.XLOOKUP($E125,'[1]Import Eletra'!$B:$B,'[1]Import Eletra'!$E:$E,0,1))</f>
        <v>STELLA</v>
      </c>
      <c r="EO125" s="408" t="str">
        <f>IF(_xlfn.XLOOKUP($E125,'[1]Import Eletra'!$B:$B,'[1]Import Eletra'!$E:$E,,0,1)=0,"",_xlfn.XLOOKUP($E125,'[1]Import Eletra'!$B:$B,'[1]Import Eletra'!$E:$E,0,1))</f>
        <v>STELLA</v>
      </c>
      <c r="EP125" s="408" t="str">
        <f>IF(_xlfn.XLOOKUP($E125,'[1]Import Eletra'!$B:$B,'[1]Import Eletra'!$E:$E,,0,1)=0,"",_xlfn.XLOOKUP($E125,'[1]Import Eletra'!$B:$B,'[1]Import Eletra'!$E:$E,0,1))</f>
        <v>STELLA</v>
      </c>
    </row>
    <row r="126" spans="1:146" s="315" customFormat="1" ht="30" hidden="1" customHeight="1" outlineLevel="1">
      <c r="A126" s="305"/>
      <c r="B126" s="306"/>
      <c r="C126" s="306"/>
      <c r="D126" s="306"/>
      <c r="E126" s="318" t="s">
        <v>422</v>
      </c>
      <c r="F126" s="307">
        <f>IF(_xlfn.XLOOKUP($E126,'[1]Import Eletra'!$B:$B,'[1]Import Eletra'!$U:$U,,0,1)=0,"",_xlfn.XLOOKUP($E126,'[1]Import Eletra'!$B:$B,'[1]Import Eletra'!$U:$U,,0,1))</f>
        <v>3</v>
      </c>
      <c r="G126" s="320" t="s">
        <v>244</v>
      </c>
      <c r="H126" s="59" t="str">
        <f>_xlfn.XLOOKUP($E126,'[1]Import Eletra'!$B:$B,'[1]Import Eletra'!$F:$F,,0,1)</f>
        <v>DELIVERED</v>
      </c>
      <c r="I126" s="4" t="str">
        <f>_xlfn.XLOOKUP($E126,'[1]Import Eletra'!$B:$B,'[1]Import Eletra'!$G:$G,,0,1)</f>
        <v>SEA</v>
      </c>
      <c r="J126" s="331"/>
      <c r="K126" s="308"/>
      <c r="L126" s="308"/>
      <c r="M126" s="331">
        <f>IF(_xlfn.XLOOKUP($E126,'[1]Import Eletra'!$B:$B,'[1]Import Eletra'!$J:$J,,0,1)=0,"",_xlfn.XLOOKUP($E126,'[1]Import Eletra'!$B:$B,'[1]Import Eletra'!$J:$J,,0,1))</f>
        <v>45997</v>
      </c>
      <c r="N126" s="334">
        <f>IF(_xlfn.XLOOKUP($E126,'[1]Import Eletra'!$B:$B,'[1]Import Eletra'!$L:$L,,0,1)=0,"",_xlfn.XLOOKUP($E126,'[1]Import Eletra'!$B:$B,'[1]Import Eletra'!$L:$L,,0,1))</f>
        <v>46050</v>
      </c>
      <c r="O126" s="336">
        <f>IF(_xlfn.XLOOKUP($E126,'[1]Import Eletra'!$B:$B,'[1]Import Eletra'!$AK:$AK,,0,1)=0,"",_xlfn.XLOOKUP($E126,'[1]Import Eletra'!$B:$B,'[1]Import Eletra'!$AK:$AK,,0,1))</f>
        <v>46045</v>
      </c>
      <c r="P126" s="331">
        <f>IF(_xlfn.XLOOKUP($E126,'[1]Import Eletra'!$B:$B,'[1]Import Eletra'!$AL:$AL,,0,1)=0,"",_xlfn.XLOOKUP($E126,'[1]Import Eletra'!$B:$B,'[1]Import Eletra'!$AL:$AL,,0,1))</f>
        <v>46050</v>
      </c>
      <c r="Q126" s="331">
        <f>IF(_xlfn.XLOOKUP($E126,'[1]Import Eletra'!$B:$B,'[1]Import Eletra'!$AM:$AM,,0,1)=0,"",_xlfn.XLOOKUP($E126,'[1]Import Eletra'!$B:$B,'[1]Import Eletra'!$AM:$AM,,0,1))</f>
        <v>46052</v>
      </c>
      <c r="R126" s="331">
        <f>IF(_xlfn.XLOOKUP($E126,'[1]Import Eletra'!$B:$B,'[1]Import Eletra'!$AN:$AN,,0,1)=0,"",_xlfn.XLOOKUP($E126,'[1]Import Eletra'!$B:$B,'[1]Import Eletra'!$AN:$AN,,0,1))</f>
        <v>46052</v>
      </c>
      <c r="S126" s="331">
        <f>IF(_xlfn.XLOOKUP($E126,'[1]Import Eletra'!$B:$B,'[1]Import Eletra'!$AO:$AO,,0,1)=0,"",_xlfn.XLOOKUP($E126,'[1]Import Eletra'!$B:$B,'[1]Import Eletra'!$AO:$AO,,0,1))</f>
        <v>46057</v>
      </c>
      <c r="T126" s="331">
        <f>IF(_xlfn.XLOOKUP($E126,'[1]Import Eletra'!$B:$B,'[1]Import Eletra'!$AP:$AP,,0,1)=0,"",_xlfn.XLOOKUP($E126,'[1]Import Eletra'!$B:$B,'[1]Import Eletra'!$AP:$AP,,0,1))</f>
        <v>46057</v>
      </c>
      <c r="U126" s="338">
        <f>IF(_xlfn.XLOOKUP($E126,'[1]Import Eletra'!$B:$B,'[1]Import Eletra'!$AQ:$AQ,,0,1)=0,"",_xlfn.XLOOKUP($E126,'[1]Import Eletra'!$B:$B,'[1]Import Eletra'!$AQ:$AQ,,0,1))</f>
        <v>46057</v>
      </c>
      <c r="V126" s="343">
        <f>IF(_xlfn.XLOOKUP($E126,'[1]Import Eletra'!$B:$B,'[1]Import Eletra'!$AQ:$AQ,,0,1)=0,"",_xlfn.XLOOKUP($E126,'[1]Import Eletra'!$B:$B,'[1]Import Eletra'!$AQ:$AQ,,0,1))</f>
        <v>46057</v>
      </c>
      <c r="W126" s="336">
        <f>AB126-$AB$4</f>
        <v>46067</v>
      </c>
      <c r="X126" s="345">
        <f>IF(_xlfn.XLOOKUP($E126,'[1]Import Eletra'!$B:$B,'[1]Import Eletra'!$AR:$AR,,0,1)=0,"",_xlfn.XLOOKUP($E126,'[1]Import Eletra'!$B:$B,'[1]Import Eletra'!$AR:$AR,,0,1))</f>
        <v>46051</v>
      </c>
      <c r="Y126" s="309">
        <f>$W$4</f>
        <v>0</v>
      </c>
      <c r="Z126" s="309">
        <f ca="1">IF(X126="",TODAY()-W126,X126-W126)</f>
        <v>-16</v>
      </c>
      <c r="AA126" s="310" t="str">
        <f ca="1">IF(AND(ISNUMBER($Z126),$Z126&gt;0),$Z126-$Y126,"")</f>
        <v/>
      </c>
      <c r="AB126" s="350">
        <f>AG126-$AB$4</f>
        <v>46067</v>
      </c>
      <c r="AC126" s="345">
        <f>IF(_xlfn.XLOOKUP($E126,'[1]Import Eletra'!$B:$B,'[1]Import Eletra'!$AD:$AD,,0,1)=0,"",_xlfn.XLOOKUP($E126,'[1]Import Eletra'!$B:$B,'[1]Import Eletra'!$AD:$AD,,0,1))</f>
        <v>46059</v>
      </c>
      <c r="AD126" s="309">
        <f>$AB$4</f>
        <v>0</v>
      </c>
      <c r="AE126" s="309">
        <f ca="1">IF(AC126="",TODAY()-AB126,AC126-AB126)</f>
        <v>-8</v>
      </c>
      <c r="AF126" s="310">
        <f ca="1">AE126-AD126</f>
        <v>-8</v>
      </c>
      <c r="AG126" s="356">
        <f>AL126-$AL$4</f>
        <v>46067</v>
      </c>
      <c r="AH126" s="345">
        <f>IF(_xlfn.XLOOKUP($E126,'[1]Import Eletra'!$B:$B,'[1]Import Eletra'!$AE:$AE,,0,1)=0,"",_xlfn.XLOOKUP($E126,'[1]Import Eletra'!$B:$B,'[1]Import Eletra'!$AE:$AE,,0,1))</f>
        <v>46062</v>
      </c>
      <c r="AI126" s="309">
        <f>$AG$4</f>
        <v>0</v>
      </c>
      <c r="AJ126" s="309">
        <f ca="1">IF(AH126="",TODAY()-AG126,AH126-AG126)</f>
        <v>-5</v>
      </c>
      <c r="AK126" s="310" t="str">
        <f ca="1">IF(AND(ISNUMBER($AJ126),$AJ126&gt;0),$AJ126-$AI126,"")</f>
        <v/>
      </c>
      <c r="AL126" s="356">
        <f>AQ126-$AQ$4</f>
        <v>46067</v>
      </c>
      <c r="AM126" s="345">
        <f>IF(_xlfn.XLOOKUP($E126,'[1]Import Eletra'!$B:$B,'[1]Import Eletra'!$AT:$AT,,0,1)=0,"",_xlfn.XLOOKUP($E126,'[1]Import Eletra'!$B:$B,'[1]Import Eletra'!$AT:$AT,,0,1))</f>
        <v>46062</v>
      </c>
      <c r="AN126" s="309">
        <f>$AL$4</f>
        <v>0</v>
      </c>
      <c r="AO126" s="309">
        <f ca="1">IF(AM126="",TODAY()-AL126,AM126-AL126)</f>
        <v>-5</v>
      </c>
      <c r="AP126" s="310" t="str">
        <f ca="1">IF(AND(ISNUMBER($AO126),$AO126&gt;0),$AO126-$AN126,"")</f>
        <v/>
      </c>
      <c r="AQ126" s="359">
        <f>AV126-$AV$4</f>
        <v>46068</v>
      </c>
      <c r="AR126" s="345">
        <f>IF(_xlfn.XLOOKUP($E126,'[1]Import Eletra'!$B:$B,'[1]Import Eletra'!$AU:$AU,,0,1)=0,"",_xlfn.XLOOKUP($E126,'[1]Import Eletra'!$B:$B,'[1]Import Eletra'!$AU:$AU,,0,1))</f>
        <v>46062</v>
      </c>
      <c r="AS126" s="309">
        <f>$AQ$4</f>
        <v>1</v>
      </c>
      <c r="AT126" s="309">
        <f ca="1">IF(AR126="",TODAY()-AQ126,AR126-AQ126)</f>
        <v>-6</v>
      </c>
      <c r="AU126" s="310" t="str">
        <f ca="1">IF(AND(ISNUMBER($AT126),$AT126&gt;0),$AT126-$AS126,"")</f>
        <v/>
      </c>
      <c r="AV126" s="356">
        <f>BA126-$BA$4</f>
        <v>46068</v>
      </c>
      <c r="AW126" s="345">
        <f>IF(_xlfn.XLOOKUP($E126,'[1]Import Eletra'!$B:$B,'[1]Import Eletra'!$AU:$AU,,0,1)=0,"",_xlfn.XLOOKUP($E126,'[1]Import Eletra'!$B:$B,'[1]Import Eletra'!$AU:$AU,,0,1))</f>
        <v>46062</v>
      </c>
      <c r="AX126" s="309">
        <f>$AV$4</f>
        <v>0</v>
      </c>
      <c r="AY126" s="309">
        <f ca="1">IF(AW126="",TODAY()-AV126,AW126-AV126)</f>
        <v>-6</v>
      </c>
      <c r="AZ126" s="310" t="str">
        <f ca="1">IF(AND(ISNUMBER($AY126),$AY126&gt;0),$AY126-$AX126,"")</f>
        <v/>
      </c>
      <c r="BA126" s="359">
        <f>BF126-$BF$4</f>
        <v>46068</v>
      </c>
      <c r="BB126" s="345" t="str">
        <f>IF(_xlfn.XLOOKUP($E126,'[1]Import Eletra'!$B:$B,'[1]Import Eletra'!$AW:$AW,,0,1)=0,"",_xlfn.XLOOKUP($E126,'[1]Import Eletra'!$B:$B,'[1]Import Eletra'!$AW:$AW,,0,1))</f>
        <v/>
      </c>
      <c r="BC126" s="309">
        <f>$BA$4</f>
        <v>0</v>
      </c>
      <c r="BD126" s="309">
        <f ca="1">IF(BB126="",TODAY()-BA126,BB126-BA126)</f>
        <v>143</v>
      </c>
      <c r="BE126" s="310">
        <f ca="1">BD126-BC126</f>
        <v>143</v>
      </c>
      <c r="BF126" s="336">
        <f>BK126-$BK$4</f>
        <v>46068</v>
      </c>
      <c r="BG126" s="345" t="str">
        <f>IF(_xlfn.XLOOKUP($E126,'[1]Import Eletra'!$B:$B,'[1]Import Eletra'!$AX:$AX,,0,1)=0,"",_xlfn.XLOOKUP($E126,'[1]Import Eletra'!$B:$B,'[1]Import Eletra'!$AX:$AX,,0,1))</f>
        <v/>
      </c>
      <c r="BH126" s="309">
        <f>$BF$4</f>
        <v>0</v>
      </c>
      <c r="BI126" s="309">
        <f ca="1">IF(BG126="",TODAY()-BF126,BG126-BF126)</f>
        <v>143</v>
      </c>
      <c r="BJ126" s="310">
        <f ca="1">IF(AND(ISNUMBER($BI126),$BI126&gt;0),$BI126-$BH126,"")</f>
        <v>143</v>
      </c>
      <c r="BK126" s="363">
        <f>BP126-$BP$4</f>
        <v>46068</v>
      </c>
      <c r="BL126" s="345">
        <f>IF(_xlfn.XLOOKUP($E126,'[1]Import Eletra'!$B:$B,'[1]Import Eletra'!$AY:$AY,,0,1)=0,"",_xlfn.XLOOKUP($E126,'[1]Import Eletra'!$B:$B,'[1]Import Eletra'!$AY:$AY,,0,1))</f>
        <v>46062</v>
      </c>
      <c r="BM126" s="309">
        <f>$BK$4</f>
        <v>0</v>
      </c>
      <c r="BN126" s="309">
        <f ca="1">IF(BL126="",TODAY()-BK126,BL126-BK126)</f>
        <v>-6</v>
      </c>
      <c r="BO126" s="310">
        <f ca="1">BN126-BM126</f>
        <v>-6</v>
      </c>
      <c r="BP126" s="336">
        <f>BU126-$BU$4</f>
        <v>46068</v>
      </c>
      <c r="BQ126" s="345">
        <f>IF(_xlfn.XLOOKUP($E126,'[1]Import Eletra'!$B:$B,'[1]Import Eletra'!$AZ:$AZ,,0,1)=0,"",_xlfn.XLOOKUP($E126,'[1]Import Eletra'!$B:$B,'[1]Import Eletra'!$AZ:$AZ,,0,1))</f>
        <v>46062</v>
      </c>
      <c r="BR126" s="309">
        <f>$BP$4</f>
        <v>0</v>
      </c>
      <c r="BS126" s="309">
        <f ca="1">IF(BQ126="",TODAY()-BP126,BQ126-BP126)</f>
        <v>-6</v>
      </c>
      <c r="BT126" s="310">
        <f ca="1">BS126-BR126</f>
        <v>-6</v>
      </c>
      <c r="BU126" s="363">
        <f>BZ126-$BZ$4</f>
        <v>46070</v>
      </c>
      <c r="BV126" s="345">
        <f>IF(_xlfn.XLOOKUP($E126,'[1]Import Eletra'!$B:$B,'[1]Import Eletra'!$BA:$BA,,0,1)=0,"",_xlfn.XLOOKUP($E126,'[1]Import Eletra'!$B:$B,'[1]Import Eletra'!$BA:$BA,,0,1))</f>
        <v>46064</v>
      </c>
      <c r="BW126" s="309">
        <f>$BU$4</f>
        <v>2</v>
      </c>
      <c r="BX126" s="309">
        <f ca="1">IF(BV126="",TODAY()-BU126,BV126-BU126)</f>
        <v>-6</v>
      </c>
      <c r="BY126" s="310" t="str">
        <f ca="1">IF(AND(ISNUMBER($BX126),$BX126&gt;0),$BX126-$BW126,"")</f>
        <v/>
      </c>
      <c r="BZ126" s="336">
        <f>CE126-$CE$4</f>
        <v>46070</v>
      </c>
      <c r="CA126" s="345">
        <f>IF(_xlfn.XLOOKUP($E126,'[1]Import Eletra'!$B:$B,'[1]Import Eletra'!$BB:$BB,,0,1)=0,"",_xlfn.XLOOKUP($E126,'[1]Import Eletra'!$B:$B,'[1]Import Eletra'!$BB:$BB,,0,1))</f>
        <v>46064</v>
      </c>
      <c r="CB126" s="309">
        <f>$BZ$4</f>
        <v>0</v>
      </c>
      <c r="CC126" s="309">
        <f ca="1">IF(CA126="",TODAY()-BZ126,CA126-BZ126)</f>
        <v>-6</v>
      </c>
      <c r="CD126" s="310">
        <f ca="1">CC126-CB126</f>
        <v>-6</v>
      </c>
      <c r="CE126" s="363">
        <f>CJ126-$CJ$4</f>
        <v>46070</v>
      </c>
      <c r="CF126" s="345">
        <f>IF(_xlfn.XLOOKUP($E126,'[1]Import Eletra'!$B:$B,'[1]Import Eletra'!$BC:$BC,,0,1)=0,"",_xlfn.XLOOKUP($E126,'[1]Import Eletra'!$B:$B,'[1]Import Eletra'!$BC:$BC,,0,1))</f>
        <v>46073</v>
      </c>
      <c r="CG126" s="309">
        <f>$CE$4</f>
        <v>0</v>
      </c>
      <c r="CH126" s="309">
        <f ca="1">IF(CF126="",TODAY()-CE126,CF126-CE126)</f>
        <v>3</v>
      </c>
      <c r="CI126" s="310">
        <f ca="1">CH126-CG126</f>
        <v>3</v>
      </c>
      <c r="CJ126" s="336">
        <f>CO126-$CO$4</f>
        <v>46070</v>
      </c>
      <c r="CK126" s="345">
        <f>IF(_xlfn.XLOOKUP($E126,'[1]Import Eletra'!$B:$B,'[1]Import Eletra'!$BD:$BD,,0,1)=0,"",_xlfn.XLOOKUP($E126,'[1]Import Eletra'!$B:$B,'[1]Import Eletra'!$BD:$BD,,0,1))</f>
        <v>46064</v>
      </c>
      <c r="CL126" s="309"/>
      <c r="CM126" s="309">
        <f ca="1">IF(CK126="",TODAY()-CJ126,CK126-CJ126)</f>
        <v>-6</v>
      </c>
      <c r="CN126" s="310">
        <f ca="1">CM126-CL126</f>
        <v>-6</v>
      </c>
      <c r="CO126" s="363">
        <f>CT126-$CT$4</f>
        <v>46070</v>
      </c>
      <c r="CP126" s="345">
        <f>IF(_xlfn.XLOOKUP($E126,'[1]Import Eletra'!$B:$B,'[1]Import Eletra'!$BE:$BE,,0,1)=0,"",_xlfn.XLOOKUP($E126,'[1]Import Eletra'!$B:$B,'[1]Import Eletra'!$BE:$BE,,0,1))</f>
        <v>46073</v>
      </c>
      <c r="CQ126" s="309">
        <f>$CO$4</f>
        <v>0</v>
      </c>
      <c r="CR126" s="309">
        <f ca="1">IF(CP126="",TODAY()-CO126,CP126-CO126)</f>
        <v>3</v>
      </c>
      <c r="CS126" s="310">
        <f ca="1">CR126-CQ126</f>
        <v>3</v>
      </c>
      <c r="CT126" s="336">
        <f>CY126-$CY$4</f>
        <v>46070</v>
      </c>
      <c r="CU126" s="345">
        <f>IF(_xlfn.XLOOKUP($E126,'[1]Import Eletra'!$B:$B,'[1]Import Eletra'!$BF:$BF,,0,1)=0,"",_xlfn.XLOOKUP($E126,'[1]Import Eletra'!$B:$B,'[1]Import Eletra'!$BF:$BF,,0,1))</f>
        <v>46073</v>
      </c>
      <c r="CV126" s="309">
        <f>$CT$4</f>
        <v>0</v>
      </c>
      <c r="CW126" s="309">
        <f ca="1">IF(CU126="",TODAY()-CT126,CU126-CT126)</f>
        <v>3</v>
      </c>
      <c r="CX126" s="310">
        <f ca="1">CW126-CV126</f>
        <v>3</v>
      </c>
      <c r="CY126" s="85">
        <f>DD126-$DD$4</f>
        <v>46070</v>
      </c>
      <c r="CZ126" s="271">
        <f>IF(_xlfn.XLOOKUP($E126,'[1]Import Eletra'!$B:$B,'[1]Import Eletra'!$BF:$BF,,0,1)=0,"",_xlfn.XLOOKUP($E126,'[1]Import Eletra'!$B:$B,'[1]Import Eletra'!$BF:$BF,,0,1))</f>
        <v>46073</v>
      </c>
      <c r="DA126" s="311">
        <f>$CY$4</f>
        <v>0</v>
      </c>
      <c r="DB126" s="309">
        <f ca="1">IF(CZ126="",TODAY()-CY126,CZ126-CY126)</f>
        <v>3</v>
      </c>
      <c r="DC126" s="310">
        <f ca="1">DB126-DA126</f>
        <v>3</v>
      </c>
      <c r="DD126" s="85">
        <f>DI126-$DI$4</f>
        <v>46072</v>
      </c>
      <c r="DE126" s="271">
        <f>IF(_xlfn.XLOOKUP($E126,'[1]Import Eletra'!$B:$B,'[1]Import Eletra'!$BG:$BG,,0,1)=0,"",_xlfn.XLOOKUP($E126,'[1]Import Eletra'!$B:$B,'[1]Import Eletra'!$BG:$BG,0,1))</f>
        <v>46076</v>
      </c>
      <c r="DF126" s="309">
        <f>$DD$4</f>
        <v>2</v>
      </c>
      <c r="DG126" s="309">
        <f ca="1">IF(DE126="",TODAY()-DD126,DE126-DD126)</f>
        <v>4</v>
      </c>
      <c r="DH126" s="310">
        <f ca="1">DG126-DF126</f>
        <v>2</v>
      </c>
      <c r="DI126" s="85">
        <f>DO126-$DN$4</f>
        <v>46073</v>
      </c>
      <c r="DJ126" s="271">
        <f>IF(_xlfn.XLOOKUP($E126,'[1]Import Eletra'!$B:$B,'[1]Import Eletra'!$BH:$BH,,0,1)=0,"",_xlfn.XLOOKUP($E126,'[1]Import Eletra'!$B:$B,'[1]Import Eletra'!$BH:$BH,0,1))</f>
        <v>46078</v>
      </c>
      <c r="DK126" s="309">
        <f>$DI$4</f>
        <v>1</v>
      </c>
      <c r="DL126" s="309">
        <f ca="1">IF(DJ126="",TODAY()-DI126,DJ126-DI126)</f>
        <v>5</v>
      </c>
      <c r="DM126" s="310">
        <f ca="1">DL126-DK126</f>
        <v>4</v>
      </c>
      <c r="DN126" s="312"/>
      <c r="DO126" s="313">
        <f>IF(V126="",N126+DT126,V126+DT126)</f>
        <v>46074</v>
      </c>
      <c r="DP126" s="59">
        <f>IF(_xlfn.XLOOKUP($E126,'[1]Import Eletra'!$B:$B,'[1]Import Eletra'!$O:$O,,0,1)=0,"",_xlfn.XLOOKUP($E126,'[1]Import Eletra'!$B:$B,'[1]Import Eletra'!$O:$O,0,1))</f>
        <v>46078</v>
      </c>
      <c r="DQ126" s="309">
        <f>$DN$4</f>
        <v>1</v>
      </c>
      <c r="DR126" s="309">
        <f ca="1">IF(DP126="",TODAY()-DO126,DP126-DO126)</f>
        <v>4</v>
      </c>
      <c r="DS126" s="310">
        <f ca="1">DR126-DQ126</f>
        <v>3</v>
      </c>
      <c r="DT126" s="314">
        <v>17</v>
      </c>
      <c r="DU126" s="140">
        <f ca="1">IF(DP126="",TODAY()-N126,DP126-N126)</f>
        <v>28</v>
      </c>
      <c r="DV126" s="184">
        <f ca="1">DU126-DT126</f>
        <v>11</v>
      </c>
      <c r="DX126" s="316"/>
      <c r="DY126" s="108" t="str">
        <f>IF(_xlfn.XLOOKUP($E126,'[1]Import Eletra'!$B:$B,'[1]Import Eletra'!$DW:$DW,,0,1)=0,"",_xlfn.XLOOKUP($E126,'[1]Import Eletra'!$B:$B,'[1]Import Eletra'!$DW:$DW,0,1))</f>
        <v/>
      </c>
      <c r="EB126" s="317"/>
      <c r="ED126" s="406">
        <f>IF(_xlfn.XLOOKUP($E126,'[1]Import Eletra'!$B:$B,'[1]Import Eletra'!$BQ:$BQ,,0,1)=0,"",_xlfn.XLOOKUP($E126,'[1]Import Eletra'!$B:$B,'[1]Import Eletra'!$BQ:$BQ,0,1))</f>
        <v>5495.25</v>
      </c>
      <c r="EE126" s="407">
        <f>IF(_xlfn.XLOOKUP($E126,'[1]Import Eletra'!$B:$B,'[1]Import Eletra'!$BR:$BR,,0,1)=0,"",_xlfn.XLOOKUP($E126,'[1]Import Eletra'!$B:$B,'[1]Import Eletra'!$BR:$BR,0,1))</f>
        <v>46073</v>
      </c>
      <c r="EF126" s="406">
        <f>IF(_xlfn.XLOOKUP($E126,'[1]Import Eletra'!$B:$B,'[1]Import Eletra'!$BS:$BS,,0,1)=0,"",_xlfn.XLOOKUP($E126,'[1]Import Eletra'!$B:$B,'[1]Import Eletra'!$BS:$BS,0,1))</f>
        <v>91280.93</v>
      </c>
      <c r="EG126" s="407">
        <f>IF(_xlfn.XLOOKUP($E126,'[1]Import Eletra'!$B:$B,'[1]Import Eletra'!$BT:$BT,,0,1)=0,"",_xlfn.XLOOKUP($E126,'[1]Import Eletra'!$B:$B,'[1]Import Eletra'!$BT:$BT,0,1))</f>
        <v>46139</v>
      </c>
      <c r="EH126" s="406" t="str">
        <f>IF(_xlfn.XLOOKUP($E126,'[1]Import Eletra'!$B:$B,'[1]Import Eletra'!$BU:$BU,,0,1)=0,"",_xlfn.XLOOKUP($E126,'[1]Import Eletra'!$B:$B,'[1]Import Eletra'!$BU:$BU,0,1))</f>
        <v/>
      </c>
      <c r="EI126" s="407" t="str">
        <f>IF(_xlfn.XLOOKUP($E126,'[1]Import Eletra'!$B:$B,'[1]Import Eletra'!$BV:$BV,,0,1)=0,"",_xlfn.XLOOKUP($E126,'[1]Import Eletra'!$B:$B,'[1]Import Eletra'!$BV:$BV,0,1))</f>
        <v/>
      </c>
      <c r="EJ126" s="407">
        <f>IF(_xlfn.XLOOKUP($E126,'[1]Import Eletra'!$B:$B,'[1]Import Eletra'!$CI:$CI,,0,1)=0,"",_xlfn.XLOOKUP($E126,'[1]Import Eletra'!$B:$B,'[1]Import Eletra'!$CI:$CI,0,1))</f>
        <v>46071</v>
      </c>
      <c r="EK126" s="407">
        <f>IF(_xlfn.XLOOKUP($E126,'[1]Import Eletra'!$B:$B,'[1]Import Eletra'!$CD:$CD,,0,1)=0,"",_xlfn.XLOOKUP($E126,'[1]Import Eletra'!$B:$B,'[1]Import Eletra'!$CD:$CD,0,1))</f>
        <v>46078</v>
      </c>
      <c r="EL126" s="407" t="str">
        <f>IF(_xlfn.XLOOKUP($E126,'[1]Import Eletra'!$B:$B,'[1]Import Eletra'!$CE:$CE,,0,1)=0,"",_xlfn.XLOOKUP($E126,'[1]Import Eletra'!$B:$B,'[1]Import Eletra'!$CE:$CE,0,1))</f>
        <v>SIM  7 dias</v>
      </c>
      <c r="EM126" s="408" t="str">
        <f>IF(_xlfn.XLOOKUP($E126,'[1]Import Eletra'!$B:$B,'[1]Import Eletra'!$E:$E,,0,1)=0,"",_xlfn.XLOOKUP($E126,'[1]Import Eletra'!$B:$B,'[1]Import Eletra'!$E:$E,0,1))</f>
        <v>LEISIANE</v>
      </c>
      <c r="EN126" s="408" t="str">
        <f>IF(_xlfn.XLOOKUP($E126,'[1]Import Eletra'!$B:$B,'[1]Import Eletra'!$E:$E,,0,1)=0,"",_xlfn.XLOOKUP($E126,'[1]Import Eletra'!$B:$B,'[1]Import Eletra'!$E:$E,0,1))</f>
        <v>LEISIANE</v>
      </c>
      <c r="EO126" s="408" t="str">
        <f>IF(_xlfn.XLOOKUP($E126,'[1]Import Eletra'!$B:$B,'[1]Import Eletra'!$E:$E,,0,1)=0,"",_xlfn.XLOOKUP($E126,'[1]Import Eletra'!$B:$B,'[1]Import Eletra'!$E:$E,0,1))</f>
        <v>LEISIANE</v>
      </c>
      <c r="EP126" s="408" t="str">
        <f>IF(_xlfn.XLOOKUP($E126,'[1]Import Eletra'!$B:$B,'[1]Import Eletra'!$E:$E,,0,1)=0,"",_xlfn.XLOOKUP($E126,'[1]Import Eletra'!$B:$B,'[1]Import Eletra'!$E:$E,0,1))</f>
        <v>LEISIANE</v>
      </c>
    </row>
    <row r="127" spans="1:146" s="315" customFormat="1" ht="30" hidden="1" customHeight="1" outlineLevel="1">
      <c r="A127" s="305"/>
      <c r="B127" s="306"/>
      <c r="C127" s="306"/>
      <c r="D127" s="306"/>
      <c r="E127" s="318" t="s">
        <v>423</v>
      </c>
      <c r="F127" s="307">
        <f>IF(_xlfn.XLOOKUP($E127,'[1]Import Eletra'!$B:$B,'[1]Import Eletra'!$U:$U,,0,1)=0,"",_xlfn.XLOOKUP($E127,'[1]Import Eletra'!$B:$B,'[1]Import Eletra'!$U:$U,,0,1))</f>
        <v>1</v>
      </c>
      <c r="G127" s="320" t="s">
        <v>244</v>
      </c>
      <c r="H127" s="59" t="str">
        <f>_xlfn.XLOOKUP($E127,'[1]Import Eletra'!$B:$B,'[1]Import Eletra'!$F:$F,,0,1)</f>
        <v>DELIVERED</v>
      </c>
      <c r="I127" s="4" t="str">
        <f>_xlfn.XLOOKUP($E127,'[1]Import Eletra'!$B:$B,'[1]Import Eletra'!$G:$G,,0,1)</f>
        <v>SEA</v>
      </c>
      <c r="J127" s="331"/>
      <c r="K127" s="308"/>
      <c r="L127" s="308"/>
      <c r="M127" s="331">
        <f>IF(_xlfn.XLOOKUP($E127,'[1]Import Eletra'!$B:$B,'[1]Import Eletra'!$J:$J,,0,1)=0,"",_xlfn.XLOOKUP($E127,'[1]Import Eletra'!$B:$B,'[1]Import Eletra'!$J:$J,,0,1))</f>
        <v>46012</v>
      </c>
      <c r="N127" s="334">
        <f>IF(_xlfn.XLOOKUP($E127,'[1]Import Eletra'!$B:$B,'[1]Import Eletra'!$L:$L,,0,1)=0,"",_xlfn.XLOOKUP($E127,'[1]Import Eletra'!$B:$B,'[1]Import Eletra'!$L:$L,,0,1))</f>
        <v>46060</v>
      </c>
      <c r="O127" s="336">
        <f>IF(_xlfn.XLOOKUP($E127,'[1]Import Eletra'!$B:$B,'[1]Import Eletra'!$AK:$AK,,0,1)=0,"",_xlfn.XLOOKUP($E127,'[1]Import Eletra'!$B:$B,'[1]Import Eletra'!$AK:$AK,,0,1))</f>
        <v>46024</v>
      </c>
      <c r="P127" s="331">
        <f>IF(_xlfn.XLOOKUP($E127,'[1]Import Eletra'!$B:$B,'[1]Import Eletra'!$AL:$AL,,0,1)=0,"",_xlfn.XLOOKUP($E127,'[1]Import Eletra'!$B:$B,'[1]Import Eletra'!$AL:$AL,,0,1))</f>
        <v>46051</v>
      </c>
      <c r="Q127" s="331">
        <f>IF(_xlfn.XLOOKUP($E127,'[1]Import Eletra'!$B:$B,'[1]Import Eletra'!$AM:$AM,,0,1)=0,"",_xlfn.XLOOKUP($E127,'[1]Import Eletra'!$B:$B,'[1]Import Eletra'!$AM:$AM,,0,1))</f>
        <v>46052</v>
      </c>
      <c r="R127" s="331">
        <f>IF(_xlfn.XLOOKUP($E127,'[1]Import Eletra'!$B:$B,'[1]Import Eletra'!$AN:$AN,,0,1)=0,"",_xlfn.XLOOKUP($E127,'[1]Import Eletra'!$B:$B,'[1]Import Eletra'!$AN:$AN,,0,1))</f>
        <v>46058</v>
      </c>
      <c r="S127" s="331">
        <f>IF(_xlfn.XLOOKUP($E127,'[1]Import Eletra'!$B:$B,'[1]Import Eletra'!$AO:$AO,,0,1)=0,"",_xlfn.XLOOKUP($E127,'[1]Import Eletra'!$B:$B,'[1]Import Eletra'!$AO:$AO,,0,1))</f>
        <v>46062</v>
      </c>
      <c r="T127" s="331">
        <f>IF(_xlfn.XLOOKUP($E127,'[1]Import Eletra'!$B:$B,'[1]Import Eletra'!$AP:$AP,,0,1)=0,"",_xlfn.XLOOKUP($E127,'[1]Import Eletra'!$B:$B,'[1]Import Eletra'!$AP:$AP,,0,1))</f>
        <v>46062</v>
      </c>
      <c r="U127" s="338">
        <f>IF(_xlfn.XLOOKUP($E127,'[1]Import Eletra'!$B:$B,'[1]Import Eletra'!$AQ:$AQ,,0,1)=0,"",_xlfn.XLOOKUP($E127,'[1]Import Eletra'!$B:$B,'[1]Import Eletra'!$AQ:$AQ,,0,1))</f>
        <v>46062</v>
      </c>
      <c r="V127" s="343">
        <f>IF(_xlfn.XLOOKUP($E127,'[1]Import Eletra'!$B:$B,'[1]Import Eletra'!$AQ:$AQ,,0,1)=0,"",_xlfn.XLOOKUP($E127,'[1]Import Eletra'!$B:$B,'[1]Import Eletra'!$AQ:$AQ,,0,1))</f>
        <v>46062</v>
      </c>
      <c r="W127" s="336">
        <f>AB127-$AB$4</f>
        <v>46072</v>
      </c>
      <c r="X127" s="345">
        <f>IF(_xlfn.XLOOKUP($E127,'[1]Import Eletra'!$B:$B,'[1]Import Eletra'!$AR:$AR,,0,1)=0,"",_xlfn.XLOOKUP($E127,'[1]Import Eletra'!$B:$B,'[1]Import Eletra'!$AR:$AR,,0,1))</f>
        <v>46062</v>
      </c>
      <c r="Y127" s="309">
        <f>$W$4</f>
        <v>0</v>
      </c>
      <c r="Z127" s="309">
        <f ca="1">IF(X127="",TODAY()-W127,X127-W127)</f>
        <v>-10</v>
      </c>
      <c r="AA127" s="310" t="str">
        <f ca="1">IF(AND(ISNUMBER($Z127),$Z127&gt;0),$Z127-$Y127,"")</f>
        <v/>
      </c>
      <c r="AB127" s="350">
        <f>AG127-$AB$4</f>
        <v>46072</v>
      </c>
      <c r="AC127" s="345">
        <f>IF(_xlfn.XLOOKUP($E127,'[1]Import Eletra'!$B:$B,'[1]Import Eletra'!$AD:$AD,,0,1)=0,"",_xlfn.XLOOKUP($E127,'[1]Import Eletra'!$B:$B,'[1]Import Eletra'!$AD:$AD,,0,1))</f>
        <v>46066</v>
      </c>
      <c r="AD127" s="309">
        <f>$AB$4</f>
        <v>0</v>
      </c>
      <c r="AE127" s="309">
        <f ca="1">IF(AC127="",TODAY()-AB127,AC127-AB127)</f>
        <v>-6</v>
      </c>
      <c r="AF127" s="310">
        <f ca="1">AE127-AD127</f>
        <v>-6</v>
      </c>
      <c r="AG127" s="356">
        <f>AL127-$AL$4</f>
        <v>46072</v>
      </c>
      <c r="AH127" s="345">
        <f>IF(_xlfn.XLOOKUP($E127,'[1]Import Eletra'!$B:$B,'[1]Import Eletra'!$AE:$AE,,0,1)=0,"",_xlfn.XLOOKUP($E127,'[1]Import Eletra'!$B:$B,'[1]Import Eletra'!$AE:$AE,,0,1))</f>
        <v>46072</v>
      </c>
      <c r="AI127" s="309">
        <f>$AG$4</f>
        <v>0</v>
      </c>
      <c r="AJ127" s="309">
        <f ca="1">IF(AH127="",TODAY()-AG127,AH127-AG127)</f>
        <v>0</v>
      </c>
      <c r="AK127" s="310" t="str">
        <f ca="1">IF(AND(ISNUMBER($AJ127),$AJ127&gt;0),$AJ127-$AI127,"")</f>
        <v/>
      </c>
      <c r="AL127" s="356">
        <f>AQ127-$AQ$4</f>
        <v>46072</v>
      </c>
      <c r="AM127" s="345">
        <f>IF(_xlfn.XLOOKUP($E127,'[1]Import Eletra'!$B:$B,'[1]Import Eletra'!$AT:$AT,,0,1)=0,"",_xlfn.XLOOKUP($E127,'[1]Import Eletra'!$B:$B,'[1]Import Eletra'!$AT:$AT,,0,1))</f>
        <v>46071</v>
      </c>
      <c r="AN127" s="309">
        <f>$AL$4</f>
        <v>0</v>
      </c>
      <c r="AO127" s="309">
        <f ca="1">IF(AM127="",TODAY()-AL127,AM127-AL127)</f>
        <v>-1</v>
      </c>
      <c r="AP127" s="310" t="str">
        <f ca="1">IF(AND(ISNUMBER($AO127),$AO127&gt;0),$AO127-$AN127,"")</f>
        <v/>
      </c>
      <c r="AQ127" s="359">
        <f>AV127-$AV$4</f>
        <v>46073</v>
      </c>
      <c r="AR127" s="345">
        <f>IF(_xlfn.XLOOKUP($E127,'[1]Import Eletra'!$B:$B,'[1]Import Eletra'!$AU:$AU,,0,1)=0,"",_xlfn.XLOOKUP($E127,'[1]Import Eletra'!$B:$B,'[1]Import Eletra'!$AU:$AU,,0,1))</f>
        <v>46071</v>
      </c>
      <c r="AS127" s="309">
        <f>$AQ$4</f>
        <v>1</v>
      </c>
      <c r="AT127" s="309">
        <f ca="1">IF(AR127="",TODAY()-AQ127,AR127-AQ127)</f>
        <v>-2</v>
      </c>
      <c r="AU127" s="310" t="str">
        <f ca="1">IF(AND(ISNUMBER($AT127),$AT127&gt;0),$AT127-$AS127,"")</f>
        <v/>
      </c>
      <c r="AV127" s="356">
        <f>BA127-$BA$4</f>
        <v>46073</v>
      </c>
      <c r="AW127" s="345">
        <f>IF(_xlfn.XLOOKUP($E127,'[1]Import Eletra'!$B:$B,'[1]Import Eletra'!$AU:$AU,,0,1)=0,"",_xlfn.XLOOKUP($E127,'[1]Import Eletra'!$B:$B,'[1]Import Eletra'!$AU:$AU,,0,1))</f>
        <v>46071</v>
      </c>
      <c r="AX127" s="309">
        <f>$AV$4</f>
        <v>0</v>
      </c>
      <c r="AY127" s="309">
        <f ca="1">IF(AW127="",TODAY()-AV127,AW127-AV127)</f>
        <v>-2</v>
      </c>
      <c r="AZ127" s="310" t="str">
        <f ca="1">IF(AND(ISNUMBER($AY127),$AY127&gt;0),$AY127-$AX127,"")</f>
        <v/>
      </c>
      <c r="BA127" s="359">
        <f>BF127-$BF$4</f>
        <v>46073</v>
      </c>
      <c r="BB127" s="345" t="str">
        <f>IF(_xlfn.XLOOKUP($E127,'[1]Import Eletra'!$B:$B,'[1]Import Eletra'!$AW:$AW,,0,1)=0,"",_xlfn.XLOOKUP($E127,'[1]Import Eletra'!$B:$B,'[1]Import Eletra'!$AW:$AW,,0,1))</f>
        <v/>
      </c>
      <c r="BC127" s="309">
        <f>$BA$4</f>
        <v>0</v>
      </c>
      <c r="BD127" s="309">
        <f ca="1">IF(BB127="",TODAY()-BA127,BB127-BA127)</f>
        <v>138</v>
      </c>
      <c r="BE127" s="310">
        <f ca="1">BD127-BC127</f>
        <v>138</v>
      </c>
      <c r="BF127" s="336">
        <f>BK127-$BK$4</f>
        <v>46073</v>
      </c>
      <c r="BG127" s="345" t="str">
        <f>IF(_xlfn.XLOOKUP($E127,'[1]Import Eletra'!$B:$B,'[1]Import Eletra'!$AX:$AX,,0,1)=0,"",_xlfn.XLOOKUP($E127,'[1]Import Eletra'!$B:$B,'[1]Import Eletra'!$AX:$AX,,0,1))</f>
        <v/>
      </c>
      <c r="BH127" s="309">
        <f>$BF$4</f>
        <v>0</v>
      </c>
      <c r="BI127" s="309">
        <f ca="1">IF(BG127="",TODAY()-BF127,BG127-BF127)</f>
        <v>138</v>
      </c>
      <c r="BJ127" s="310">
        <f ca="1">IF(AND(ISNUMBER($BI127),$BI127&gt;0),$BI127-$BH127,"")</f>
        <v>138</v>
      </c>
      <c r="BK127" s="363">
        <f>BP127-$BP$4</f>
        <v>46073</v>
      </c>
      <c r="BL127" s="345">
        <f>IF(_xlfn.XLOOKUP($E127,'[1]Import Eletra'!$B:$B,'[1]Import Eletra'!$AY:$AY,,0,1)=0,"",_xlfn.XLOOKUP($E127,'[1]Import Eletra'!$B:$B,'[1]Import Eletra'!$AY:$AY,,0,1))</f>
        <v>46071</v>
      </c>
      <c r="BM127" s="309">
        <f>$BK$4</f>
        <v>0</v>
      </c>
      <c r="BN127" s="309">
        <f ca="1">IF(BL127="",TODAY()-BK127,BL127-BK127)</f>
        <v>-2</v>
      </c>
      <c r="BO127" s="310">
        <f ca="1">BN127-BM127</f>
        <v>-2</v>
      </c>
      <c r="BP127" s="336">
        <f>BU127-$BU$4</f>
        <v>46073</v>
      </c>
      <c r="BQ127" s="345">
        <f>IF(_xlfn.XLOOKUP($E127,'[1]Import Eletra'!$B:$B,'[1]Import Eletra'!$AZ:$AZ,,0,1)=0,"",_xlfn.XLOOKUP($E127,'[1]Import Eletra'!$B:$B,'[1]Import Eletra'!$AZ:$AZ,,0,1))</f>
        <v>46071</v>
      </c>
      <c r="BR127" s="309">
        <f>$BP$4</f>
        <v>0</v>
      </c>
      <c r="BS127" s="309">
        <f ca="1">IF(BQ127="",TODAY()-BP127,BQ127-BP127)</f>
        <v>-2</v>
      </c>
      <c r="BT127" s="310">
        <f ca="1">BS127-BR127</f>
        <v>-2</v>
      </c>
      <c r="BU127" s="363">
        <f>BZ127-$BZ$4</f>
        <v>46075</v>
      </c>
      <c r="BV127" s="345">
        <f>IF(_xlfn.XLOOKUP($E127,'[1]Import Eletra'!$B:$B,'[1]Import Eletra'!$BA:$BA,,0,1)=0,"",_xlfn.XLOOKUP($E127,'[1]Import Eletra'!$B:$B,'[1]Import Eletra'!$BA:$BA,,0,1))</f>
        <v>46072</v>
      </c>
      <c r="BW127" s="309">
        <f>$BU$4</f>
        <v>2</v>
      </c>
      <c r="BX127" s="309">
        <f ca="1">IF(BV127="",TODAY()-BU127,BV127-BU127)</f>
        <v>-3</v>
      </c>
      <c r="BY127" s="310" t="str">
        <f ca="1">IF(AND(ISNUMBER($BX127),$BX127&gt;0),$BX127-$BW127,"")</f>
        <v/>
      </c>
      <c r="BZ127" s="336">
        <f>CE127-$CE$4</f>
        <v>46075</v>
      </c>
      <c r="CA127" s="345">
        <f>IF(_xlfn.XLOOKUP($E127,'[1]Import Eletra'!$B:$B,'[1]Import Eletra'!$BB:$BB,,0,1)=0,"",_xlfn.XLOOKUP($E127,'[1]Import Eletra'!$B:$B,'[1]Import Eletra'!$BB:$BB,,0,1))</f>
        <v>46073</v>
      </c>
      <c r="CB127" s="309">
        <f>$BZ$4</f>
        <v>0</v>
      </c>
      <c r="CC127" s="309">
        <f ca="1">IF(CA127="",TODAY()-BZ127,CA127-BZ127)</f>
        <v>-2</v>
      </c>
      <c r="CD127" s="310">
        <f ca="1">CC127-CB127</f>
        <v>-2</v>
      </c>
      <c r="CE127" s="363">
        <f>CJ127-$CJ$4</f>
        <v>46075</v>
      </c>
      <c r="CF127" s="345">
        <f>IF(_xlfn.XLOOKUP($E127,'[1]Import Eletra'!$B:$B,'[1]Import Eletra'!$BC:$BC,,0,1)=0,"",_xlfn.XLOOKUP($E127,'[1]Import Eletra'!$B:$B,'[1]Import Eletra'!$BC:$BC,,0,1))</f>
        <v>46073</v>
      </c>
      <c r="CG127" s="309">
        <f>$CE$4</f>
        <v>0</v>
      </c>
      <c r="CH127" s="309">
        <f ca="1">IF(CF127="",TODAY()-CE127,CF127-CE127)</f>
        <v>-2</v>
      </c>
      <c r="CI127" s="310">
        <f ca="1">CH127-CG127</f>
        <v>-2</v>
      </c>
      <c r="CJ127" s="336">
        <f>CO127-$CO$4</f>
        <v>46075</v>
      </c>
      <c r="CK127" s="345">
        <f>IF(_xlfn.XLOOKUP($E127,'[1]Import Eletra'!$B:$B,'[1]Import Eletra'!$BD:$BD,,0,1)=0,"",_xlfn.XLOOKUP($E127,'[1]Import Eletra'!$B:$B,'[1]Import Eletra'!$BD:$BD,,0,1))</f>
        <v>46073</v>
      </c>
      <c r="CL127" s="309"/>
      <c r="CM127" s="309">
        <f ca="1">IF(CK127="",TODAY()-CJ127,CK127-CJ127)</f>
        <v>-2</v>
      </c>
      <c r="CN127" s="310">
        <f ca="1">CM127-CL127</f>
        <v>-2</v>
      </c>
      <c r="CO127" s="363">
        <f>CT127-$CT$4</f>
        <v>46075</v>
      </c>
      <c r="CP127" s="345">
        <f>IF(_xlfn.XLOOKUP($E127,'[1]Import Eletra'!$B:$B,'[1]Import Eletra'!$BE:$BE,,0,1)=0,"",_xlfn.XLOOKUP($E127,'[1]Import Eletra'!$B:$B,'[1]Import Eletra'!$BE:$BE,,0,1))</f>
        <v>46073</v>
      </c>
      <c r="CQ127" s="309">
        <f>$CO$4</f>
        <v>0</v>
      </c>
      <c r="CR127" s="309">
        <f ca="1">IF(CP127="",TODAY()-CO127,CP127-CO127)</f>
        <v>-2</v>
      </c>
      <c r="CS127" s="310">
        <f ca="1">CR127-CQ127</f>
        <v>-2</v>
      </c>
      <c r="CT127" s="336">
        <f>CY127-$CY$4</f>
        <v>46075</v>
      </c>
      <c r="CU127" s="345">
        <f>IF(_xlfn.XLOOKUP($E127,'[1]Import Eletra'!$B:$B,'[1]Import Eletra'!$BF:$BF,,0,1)=0,"",_xlfn.XLOOKUP($E127,'[1]Import Eletra'!$B:$B,'[1]Import Eletra'!$BF:$BF,,0,1))</f>
        <v>46073</v>
      </c>
      <c r="CV127" s="309">
        <f>$CT$4</f>
        <v>0</v>
      </c>
      <c r="CW127" s="309">
        <f ca="1">IF(CU127="",TODAY()-CT127,CU127-CT127)</f>
        <v>-2</v>
      </c>
      <c r="CX127" s="310">
        <f ca="1">CW127-CV127</f>
        <v>-2</v>
      </c>
      <c r="CY127" s="85">
        <f>DD127-$DD$4</f>
        <v>46075</v>
      </c>
      <c r="CZ127" s="271">
        <f>IF(_xlfn.XLOOKUP($E127,'[1]Import Eletra'!$B:$B,'[1]Import Eletra'!$BF:$BF,,0,1)=0,"",_xlfn.XLOOKUP($E127,'[1]Import Eletra'!$B:$B,'[1]Import Eletra'!$BF:$BF,,0,1))</f>
        <v>46073</v>
      </c>
      <c r="DA127" s="311">
        <f>$CY$4</f>
        <v>0</v>
      </c>
      <c r="DB127" s="309">
        <f ca="1">IF(CZ127="",TODAY()-CY127,CZ127-CY127)</f>
        <v>-2</v>
      </c>
      <c r="DC127" s="310">
        <f ca="1">DB127-DA127</f>
        <v>-2</v>
      </c>
      <c r="DD127" s="85">
        <f>DI127-$DI$4</f>
        <v>46077</v>
      </c>
      <c r="DE127" s="271">
        <f>IF(_xlfn.XLOOKUP($E127,'[1]Import Eletra'!$B:$B,'[1]Import Eletra'!$BG:$BG,,0,1)=0,"",_xlfn.XLOOKUP($E127,'[1]Import Eletra'!$B:$B,'[1]Import Eletra'!$BG:$BG,0,1))</f>
        <v>46078</v>
      </c>
      <c r="DF127" s="309">
        <f>$DD$4</f>
        <v>2</v>
      </c>
      <c r="DG127" s="309">
        <f ca="1">IF(DE127="",TODAY()-DD127,DE127-DD127)</f>
        <v>1</v>
      </c>
      <c r="DH127" s="310">
        <f ca="1">DG127-DF127</f>
        <v>-1</v>
      </c>
      <c r="DI127" s="85">
        <f>DO127-$DN$4</f>
        <v>46078</v>
      </c>
      <c r="DJ127" s="271">
        <f>IF(_xlfn.XLOOKUP($E127,'[1]Import Eletra'!$B:$B,'[1]Import Eletra'!$BH:$BH,,0,1)=0,"",_xlfn.XLOOKUP($E127,'[1]Import Eletra'!$B:$B,'[1]Import Eletra'!$BH:$BH,0,1))</f>
        <v>46078</v>
      </c>
      <c r="DK127" s="309">
        <f>$DI$4</f>
        <v>1</v>
      </c>
      <c r="DL127" s="309">
        <f ca="1">IF(DJ127="",TODAY()-DI127,DJ127-DI127)</f>
        <v>0</v>
      </c>
      <c r="DM127" s="310">
        <f ca="1">DL127-DK127</f>
        <v>-1</v>
      </c>
      <c r="DN127" s="312"/>
      <c r="DO127" s="313">
        <f>IF(V127="",N127+DT127,V127+DT127)</f>
        <v>46079</v>
      </c>
      <c r="DP127" s="59">
        <f>IF(_xlfn.XLOOKUP($E127,'[1]Import Eletra'!$B:$B,'[1]Import Eletra'!$O:$O,,0,1)=0,"",_xlfn.XLOOKUP($E127,'[1]Import Eletra'!$B:$B,'[1]Import Eletra'!$O:$O,0,1))</f>
        <v>46078</v>
      </c>
      <c r="DQ127" s="309">
        <f>$DN$4</f>
        <v>1</v>
      </c>
      <c r="DR127" s="309">
        <f ca="1">IF(DP127="",TODAY()-DO127,DP127-DO127)</f>
        <v>-1</v>
      </c>
      <c r="DS127" s="310">
        <f ca="1">DR127-DQ127</f>
        <v>-2</v>
      </c>
      <c r="DT127" s="314">
        <v>17</v>
      </c>
      <c r="DU127" s="140">
        <f ca="1">IF(DP127="",TODAY()-N127,DP127-N127)</f>
        <v>18</v>
      </c>
      <c r="DV127" s="184">
        <f ca="1">DU127-DT127</f>
        <v>1</v>
      </c>
      <c r="DX127" s="316"/>
      <c r="DY127" s="108" t="str">
        <f>IF(_xlfn.XLOOKUP($E127,'[1]Import Eletra'!$B:$B,'[1]Import Eletra'!$DW:$DW,,0,1)=0,"",_xlfn.XLOOKUP($E127,'[1]Import Eletra'!$B:$B,'[1]Import Eletra'!$DW:$DW,0,1))</f>
        <v/>
      </c>
      <c r="EB127" s="317"/>
      <c r="ED127" s="406">
        <f>IF(_xlfn.XLOOKUP($E127,'[1]Import Eletra'!$B:$B,'[1]Import Eletra'!$BQ:$BQ,,0,1)=0,"",_xlfn.XLOOKUP($E127,'[1]Import Eletra'!$B:$B,'[1]Import Eletra'!$BQ:$BQ,0,1))</f>
        <v>2012.89</v>
      </c>
      <c r="EE127" s="407">
        <f>IF(_xlfn.XLOOKUP($E127,'[1]Import Eletra'!$B:$B,'[1]Import Eletra'!$BR:$BR,,0,1)=0,"",_xlfn.XLOOKUP($E127,'[1]Import Eletra'!$B:$B,'[1]Import Eletra'!$BR:$BR,0,1))</f>
        <v>46077</v>
      </c>
      <c r="EF127" s="406" t="str">
        <f>IF(_xlfn.XLOOKUP($E127,'[1]Import Eletra'!$B:$B,'[1]Import Eletra'!$BS:$BS,,0,1)=0,"",_xlfn.XLOOKUP($E127,'[1]Import Eletra'!$B:$B,'[1]Import Eletra'!$BS:$BS,0,1))</f>
        <v/>
      </c>
      <c r="EG127" s="407" t="str">
        <f>IF(_xlfn.XLOOKUP($E127,'[1]Import Eletra'!$B:$B,'[1]Import Eletra'!$BT:$BT,,0,1)=0,"",_xlfn.XLOOKUP($E127,'[1]Import Eletra'!$B:$B,'[1]Import Eletra'!$BT:$BT,0,1))</f>
        <v/>
      </c>
      <c r="EH127" s="406" t="str">
        <f>IF(_xlfn.XLOOKUP($E127,'[1]Import Eletra'!$B:$B,'[1]Import Eletra'!$BU:$BU,,0,1)=0,"",_xlfn.XLOOKUP($E127,'[1]Import Eletra'!$B:$B,'[1]Import Eletra'!$BU:$BU,0,1))</f>
        <v/>
      </c>
      <c r="EI127" s="407" t="str">
        <f>IF(_xlfn.XLOOKUP($E127,'[1]Import Eletra'!$B:$B,'[1]Import Eletra'!$BV:$BV,,0,1)=0,"",_xlfn.XLOOKUP($E127,'[1]Import Eletra'!$B:$B,'[1]Import Eletra'!$BV:$BV,0,1))</f>
        <v/>
      </c>
      <c r="EJ127" s="407">
        <f>IF(_xlfn.XLOOKUP($E127,'[1]Import Eletra'!$B:$B,'[1]Import Eletra'!$CI:$CI,,0,1)=0,"",_xlfn.XLOOKUP($E127,'[1]Import Eletra'!$B:$B,'[1]Import Eletra'!$CI:$CI,0,1))</f>
        <v>46081</v>
      </c>
      <c r="EK127" s="407">
        <f>IF(_xlfn.XLOOKUP($E127,'[1]Import Eletra'!$B:$B,'[1]Import Eletra'!$CD:$CD,,0,1)=0,"",_xlfn.XLOOKUP($E127,'[1]Import Eletra'!$B:$B,'[1]Import Eletra'!$CD:$CD,0,1))</f>
        <v>46078</v>
      </c>
      <c r="EL127" s="407" t="str">
        <f>IF(_xlfn.XLOOKUP($E127,'[1]Import Eletra'!$B:$B,'[1]Import Eletra'!$CE:$CE,,0,1)=0,"",_xlfn.XLOOKUP($E127,'[1]Import Eletra'!$B:$B,'[1]Import Eletra'!$CE:$CE,0,1))</f>
        <v>NÃO</v>
      </c>
      <c r="EM127" s="408" t="str">
        <f>IF(_xlfn.XLOOKUP($E127,'[1]Import Eletra'!$B:$B,'[1]Import Eletra'!$E:$E,,0,1)=0,"",_xlfn.XLOOKUP($E127,'[1]Import Eletra'!$B:$B,'[1]Import Eletra'!$E:$E,0,1))</f>
        <v>LEISIANE</v>
      </c>
      <c r="EN127" s="408" t="str">
        <f>IF(_xlfn.XLOOKUP($E127,'[1]Import Eletra'!$B:$B,'[1]Import Eletra'!$E:$E,,0,1)=0,"",_xlfn.XLOOKUP($E127,'[1]Import Eletra'!$B:$B,'[1]Import Eletra'!$E:$E,0,1))</f>
        <v>LEISIANE</v>
      </c>
      <c r="EO127" s="408" t="str">
        <f>IF(_xlfn.XLOOKUP($E127,'[1]Import Eletra'!$B:$B,'[1]Import Eletra'!$E:$E,,0,1)=0,"",_xlfn.XLOOKUP($E127,'[1]Import Eletra'!$B:$B,'[1]Import Eletra'!$E:$E,0,1))</f>
        <v>LEISIANE</v>
      </c>
      <c r="EP127" s="408" t="str">
        <f>IF(_xlfn.XLOOKUP($E127,'[1]Import Eletra'!$B:$B,'[1]Import Eletra'!$E:$E,,0,1)=0,"",_xlfn.XLOOKUP($E127,'[1]Import Eletra'!$B:$B,'[1]Import Eletra'!$E:$E,0,1))</f>
        <v>LEISIANE</v>
      </c>
    </row>
    <row r="128" spans="1:146" s="315" customFormat="1" ht="30" hidden="1" customHeight="1" outlineLevel="1">
      <c r="A128" s="305"/>
      <c r="B128" s="306"/>
      <c r="C128" s="306"/>
      <c r="D128" s="306"/>
      <c r="E128" s="318" t="s">
        <v>424</v>
      </c>
      <c r="F128" s="307">
        <f>IF(_xlfn.XLOOKUP($E128,'[1]Import Eletra'!$B:$B,'[1]Import Eletra'!$U:$U,,0,1)=0,"",_xlfn.XLOOKUP($E128,'[1]Import Eletra'!$B:$B,'[1]Import Eletra'!$U:$U,,0,1))</f>
        <v>1</v>
      </c>
      <c r="G128" s="320" t="s">
        <v>244</v>
      </c>
      <c r="H128" s="59" t="str">
        <f>_xlfn.XLOOKUP($E128,'[1]Import Eletra'!$B:$B,'[1]Import Eletra'!$F:$F,,0,1)</f>
        <v>DELIVERED</v>
      </c>
      <c r="I128" s="4" t="str">
        <f>_xlfn.XLOOKUP($E128,'[1]Import Eletra'!$B:$B,'[1]Import Eletra'!$G:$G,,0,1)</f>
        <v>SEA</v>
      </c>
      <c r="J128" s="331"/>
      <c r="K128" s="308"/>
      <c r="L128" s="308"/>
      <c r="M128" s="331">
        <f>IF(_xlfn.XLOOKUP($E128,'[1]Import Eletra'!$B:$B,'[1]Import Eletra'!$J:$J,,0,1)=0,"",_xlfn.XLOOKUP($E128,'[1]Import Eletra'!$B:$B,'[1]Import Eletra'!$J:$J,,0,1))</f>
        <v>45992</v>
      </c>
      <c r="N128" s="334">
        <f>IF(_xlfn.XLOOKUP($E128,'[1]Import Eletra'!$B:$B,'[1]Import Eletra'!$L:$L,,0,1)=0,"",_xlfn.XLOOKUP($E128,'[1]Import Eletra'!$B:$B,'[1]Import Eletra'!$L:$L,,0,1))</f>
        <v>46040</v>
      </c>
      <c r="O128" s="336">
        <f>IF(_xlfn.XLOOKUP($E128,'[1]Import Eletra'!$B:$B,'[1]Import Eletra'!$AK:$AK,,0,1)=0,"",_xlfn.XLOOKUP($E128,'[1]Import Eletra'!$B:$B,'[1]Import Eletra'!$AK:$AK,,0,1))</f>
        <v>46008</v>
      </c>
      <c r="P128" s="331">
        <f>IF(_xlfn.XLOOKUP($E128,'[1]Import Eletra'!$B:$B,'[1]Import Eletra'!$AL:$AL,,0,1)=0,"",_xlfn.XLOOKUP($E128,'[1]Import Eletra'!$B:$B,'[1]Import Eletra'!$AL:$AL,,0,1))</f>
        <v>46008</v>
      </c>
      <c r="Q128" s="331">
        <f>IF(_xlfn.XLOOKUP($E128,'[1]Import Eletra'!$B:$B,'[1]Import Eletra'!$AM:$AM,,0,1)=0,"",_xlfn.XLOOKUP($E128,'[1]Import Eletra'!$B:$B,'[1]Import Eletra'!$AM:$AM,,0,1))</f>
        <v>46021</v>
      </c>
      <c r="R128" s="331">
        <f>IF(_xlfn.XLOOKUP($E128,'[1]Import Eletra'!$B:$B,'[1]Import Eletra'!$AN:$AN,,0,1)=0,"",_xlfn.XLOOKUP($E128,'[1]Import Eletra'!$B:$B,'[1]Import Eletra'!$AN:$AN,,0,1))</f>
        <v>46035</v>
      </c>
      <c r="S128" s="331">
        <f>IF(_xlfn.XLOOKUP($E128,'[1]Import Eletra'!$B:$B,'[1]Import Eletra'!$AO:$AO,,0,1)=0,"",_xlfn.XLOOKUP($E128,'[1]Import Eletra'!$B:$B,'[1]Import Eletra'!$AO:$AO,,0,1))</f>
        <v>46041</v>
      </c>
      <c r="T128" s="331">
        <f>IF(_xlfn.XLOOKUP($E128,'[1]Import Eletra'!$B:$B,'[1]Import Eletra'!$AP:$AP,,0,1)=0,"",_xlfn.XLOOKUP($E128,'[1]Import Eletra'!$B:$B,'[1]Import Eletra'!$AP:$AP,,0,1))</f>
        <v>46042</v>
      </c>
      <c r="U128" s="338">
        <f>IF(_xlfn.XLOOKUP($E128,'[1]Import Eletra'!$B:$B,'[1]Import Eletra'!$AQ:$AQ,,0,1)=0,"",_xlfn.XLOOKUP($E128,'[1]Import Eletra'!$B:$B,'[1]Import Eletra'!$AQ:$AQ,,0,1))</f>
        <v>46041</v>
      </c>
      <c r="V128" s="343">
        <f>IF(_xlfn.XLOOKUP($E128,'[1]Import Eletra'!$B:$B,'[1]Import Eletra'!$AQ:$AQ,,0,1)=0,"",_xlfn.XLOOKUP($E128,'[1]Import Eletra'!$B:$B,'[1]Import Eletra'!$AQ:$AQ,,0,1))</f>
        <v>46041</v>
      </c>
      <c r="W128" s="336">
        <f>AB128-$AB$4</f>
        <v>46051</v>
      </c>
      <c r="X128" s="345">
        <f>IF(_xlfn.XLOOKUP($E128,'[1]Import Eletra'!$B:$B,'[1]Import Eletra'!$AR:$AR,,0,1)=0,"",_xlfn.XLOOKUP($E128,'[1]Import Eletra'!$B:$B,'[1]Import Eletra'!$AR:$AR,,0,1))</f>
        <v>46042</v>
      </c>
      <c r="Y128" s="309">
        <f>$W$4</f>
        <v>0</v>
      </c>
      <c r="Z128" s="309">
        <f ca="1">IF(X128="",TODAY()-W128,X128-W128)</f>
        <v>-9</v>
      </c>
      <c r="AA128" s="310" t="str">
        <f ca="1">IF(AND(ISNUMBER($Z128),$Z128&gt;0),$Z128-$Y128,"")</f>
        <v/>
      </c>
      <c r="AB128" s="350">
        <f>AG128-$AB$4</f>
        <v>46051</v>
      </c>
      <c r="AC128" s="345">
        <f>IF(_xlfn.XLOOKUP($E128,'[1]Import Eletra'!$B:$B,'[1]Import Eletra'!$AD:$AD,,0,1)=0,"",_xlfn.XLOOKUP($E128,'[1]Import Eletra'!$B:$B,'[1]Import Eletra'!$AD:$AD,,0,1))</f>
        <v>46044</v>
      </c>
      <c r="AD128" s="309">
        <f>$AB$4</f>
        <v>0</v>
      </c>
      <c r="AE128" s="309">
        <f ca="1">IF(AC128="",TODAY()-AB128,AC128-AB128)</f>
        <v>-7</v>
      </c>
      <c r="AF128" s="310">
        <f ca="1">AE128-AD128</f>
        <v>-7</v>
      </c>
      <c r="AG128" s="356">
        <f>AL128-$AL$4</f>
        <v>46051</v>
      </c>
      <c r="AH128" s="345">
        <f>IF(_xlfn.XLOOKUP($E128,'[1]Import Eletra'!$B:$B,'[1]Import Eletra'!$AE:$AE,,0,1)=0,"",_xlfn.XLOOKUP($E128,'[1]Import Eletra'!$B:$B,'[1]Import Eletra'!$AE:$AE,,0,1))</f>
        <v>46044</v>
      </c>
      <c r="AI128" s="309">
        <f>$AG$4</f>
        <v>0</v>
      </c>
      <c r="AJ128" s="309">
        <f ca="1">IF(AH128="",TODAY()-AG128,AH128-AG128)</f>
        <v>-7</v>
      </c>
      <c r="AK128" s="310" t="str">
        <f ca="1">IF(AND(ISNUMBER($AJ128),$AJ128&gt;0),$AJ128-$AI128,"")</f>
        <v/>
      </c>
      <c r="AL128" s="356">
        <f>AQ128-$AQ$4</f>
        <v>46051</v>
      </c>
      <c r="AM128" s="345">
        <f>IF(_xlfn.XLOOKUP($E128,'[1]Import Eletra'!$B:$B,'[1]Import Eletra'!$AT:$AT,,0,1)=0,"",_xlfn.XLOOKUP($E128,'[1]Import Eletra'!$B:$B,'[1]Import Eletra'!$AT:$AT,,0,1))</f>
        <v>46045</v>
      </c>
      <c r="AN128" s="309">
        <f>$AL$4</f>
        <v>0</v>
      </c>
      <c r="AO128" s="309">
        <f ca="1">IF(AM128="",TODAY()-AL128,AM128-AL128)</f>
        <v>-6</v>
      </c>
      <c r="AP128" s="310" t="str">
        <f ca="1">IF(AND(ISNUMBER($AO128),$AO128&gt;0),$AO128-$AN128,"")</f>
        <v/>
      </c>
      <c r="AQ128" s="359">
        <f>AV128-$AV$4</f>
        <v>46052</v>
      </c>
      <c r="AR128" s="345">
        <f>IF(_xlfn.XLOOKUP($E128,'[1]Import Eletra'!$B:$B,'[1]Import Eletra'!$AU:$AU,,0,1)=0,"",_xlfn.XLOOKUP($E128,'[1]Import Eletra'!$B:$B,'[1]Import Eletra'!$AU:$AU,,0,1))</f>
        <v>46066</v>
      </c>
      <c r="AS128" s="309">
        <f>$AQ$4</f>
        <v>1</v>
      </c>
      <c r="AT128" s="309">
        <f ca="1">IF(AR128="",TODAY()-AQ128,AR128-AQ128)</f>
        <v>14</v>
      </c>
      <c r="AU128" s="310">
        <f ca="1">IF(AND(ISNUMBER($AT128),$AT128&gt;0),$AT128-$AS128,"")</f>
        <v>13</v>
      </c>
      <c r="AV128" s="356">
        <f>BA128-$BA$4</f>
        <v>46052</v>
      </c>
      <c r="AW128" s="345">
        <f>IF(_xlfn.XLOOKUP($E128,'[1]Import Eletra'!$B:$B,'[1]Import Eletra'!$AU:$AU,,0,1)=0,"",_xlfn.XLOOKUP($E128,'[1]Import Eletra'!$B:$B,'[1]Import Eletra'!$AU:$AU,,0,1))</f>
        <v>46066</v>
      </c>
      <c r="AX128" s="309">
        <f>$AV$4</f>
        <v>0</v>
      </c>
      <c r="AY128" s="309">
        <f ca="1">IF(AW128="",TODAY()-AV128,AW128-AV128)</f>
        <v>14</v>
      </c>
      <c r="AZ128" s="310">
        <f ca="1">IF(AND(ISNUMBER($AY128),$AY128&gt;0),$AY128-$AX128,"")</f>
        <v>14</v>
      </c>
      <c r="BA128" s="359">
        <f>BF128-$BF$4</f>
        <v>46052</v>
      </c>
      <c r="BB128" s="345">
        <f>IF(_xlfn.XLOOKUP($E128,'[1]Import Eletra'!$B:$B,'[1]Import Eletra'!$AW:$AW,,0,1)=0,"",_xlfn.XLOOKUP($E128,'[1]Import Eletra'!$B:$B,'[1]Import Eletra'!$AW:$AW,,0,1))</f>
        <v>46045</v>
      </c>
      <c r="BC128" s="309">
        <f>$BA$4</f>
        <v>0</v>
      </c>
      <c r="BD128" s="309">
        <f ca="1">IF(BB128="",TODAY()-BA128,BB128-BA128)</f>
        <v>-7</v>
      </c>
      <c r="BE128" s="310">
        <f ca="1">BD128-BC128</f>
        <v>-7</v>
      </c>
      <c r="BF128" s="336">
        <f>BK128-$BK$4</f>
        <v>46052</v>
      </c>
      <c r="BG128" s="345">
        <f>IF(_xlfn.XLOOKUP($E128,'[1]Import Eletra'!$B:$B,'[1]Import Eletra'!$AX:$AX,,0,1)=0,"",_xlfn.XLOOKUP($E128,'[1]Import Eletra'!$B:$B,'[1]Import Eletra'!$AX:$AX,,0,1))</f>
        <v>46045</v>
      </c>
      <c r="BH128" s="309">
        <f>$BF$4</f>
        <v>0</v>
      </c>
      <c r="BI128" s="309">
        <f ca="1">IF(BG128="",TODAY()-BF128,BG128-BF128)</f>
        <v>-7</v>
      </c>
      <c r="BJ128" s="310" t="str">
        <f ca="1">IF(AND(ISNUMBER($BI128),$BI128&gt;0),$BI128-$BH128,"")</f>
        <v/>
      </c>
      <c r="BK128" s="363">
        <f>BP128-$BP$4</f>
        <v>46052</v>
      </c>
      <c r="BL128" s="345">
        <f>IF(_xlfn.XLOOKUP($E128,'[1]Import Eletra'!$B:$B,'[1]Import Eletra'!$AY:$AY,,0,1)=0,"",_xlfn.XLOOKUP($E128,'[1]Import Eletra'!$B:$B,'[1]Import Eletra'!$AY:$AY,,0,1))</f>
        <v>46066</v>
      </c>
      <c r="BM128" s="309">
        <f>$BK$4</f>
        <v>0</v>
      </c>
      <c r="BN128" s="309">
        <f ca="1">IF(BL128="",TODAY()-BK128,BL128-BK128)</f>
        <v>14</v>
      </c>
      <c r="BO128" s="310">
        <f ca="1">BN128-BM128</f>
        <v>14</v>
      </c>
      <c r="BP128" s="336">
        <f>BU128-$BU$4</f>
        <v>46052</v>
      </c>
      <c r="BQ128" s="345">
        <f>IF(_xlfn.XLOOKUP($E128,'[1]Import Eletra'!$B:$B,'[1]Import Eletra'!$AZ:$AZ,,0,1)=0,"",_xlfn.XLOOKUP($E128,'[1]Import Eletra'!$B:$B,'[1]Import Eletra'!$AZ:$AZ,,0,1))</f>
        <v>46066</v>
      </c>
      <c r="BR128" s="309">
        <f>$BP$4</f>
        <v>0</v>
      </c>
      <c r="BS128" s="309">
        <f ca="1">IF(BQ128="",TODAY()-BP128,BQ128-BP128)</f>
        <v>14</v>
      </c>
      <c r="BT128" s="310">
        <f ca="1">BS128-BR128</f>
        <v>14</v>
      </c>
      <c r="BU128" s="363">
        <f>BZ128-$BZ$4</f>
        <v>46054</v>
      </c>
      <c r="BV128" s="345">
        <f>IF(_xlfn.XLOOKUP($E128,'[1]Import Eletra'!$B:$B,'[1]Import Eletra'!$BA:$BA,,0,1)=0,"",_xlfn.XLOOKUP($E128,'[1]Import Eletra'!$B:$B,'[1]Import Eletra'!$BA:$BA,,0,1))</f>
        <v>46070</v>
      </c>
      <c r="BW128" s="309">
        <f>$BU$4</f>
        <v>2</v>
      </c>
      <c r="BX128" s="309">
        <f ca="1">IF(BV128="",TODAY()-BU128,BV128-BU128)</f>
        <v>16</v>
      </c>
      <c r="BY128" s="310">
        <f ca="1">IF(AND(ISNUMBER($BX128),$BX128&gt;0),$BX128-$BW128,"")</f>
        <v>14</v>
      </c>
      <c r="BZ128" s="336">
        <f>CE128-$CE$4</f>
        <v>46054</v>
      </c>
      <c r="CA128" s="345">
        <f>IF(_xlfn.XLOOKUP($E128,'[1]Import Eletra'!$B:$B,'[1]Import Eletra'!$BB:$BB,,0,1)=0,"",_xlfn.XLOOKUP($E128,'[1]Import Eletra'!$B:$B,'[1]Import Eletra'!$BB:$BB,,0,1))</f>
        <v>46070</v>
      </c>
      <c r="CB128" s="309">
        <f>$BZ$4</f>
        <v>0</v>
      </c>
      <c r="CC128" s="309">
        <f ca="1">IF(CA128="",TODAY()-BZ128,CA128-BZ128)</f>
        <v>16</v>
      </c>
      <c r="CD128" s="310">
        <f ca="1">CC128-CB128</f>
        <v>16</v>
      </c>
      <c r="CE128" s="363">
        <f>CJ128-$CJ$4</f>
        <v>46054</v>
      </c>
      <c r="CF128" s="345">
        <f>IF(_xlfn.XLOOKUP($E128,'[1]Import Eletra'!$B:$B,'[1]Import Eletra'!$BC:$BC,,0,1)=0,"",_xlfn.XLOOKUP($E128,'[1]Import Eletra'!$B:$B,'[1]Import Eletra'!$BC:$BC,,0,1))</f>
        <v>46076</v>
      </c>
      <c r="CG128" s="309">
        <f>$CE$4</f>
        <v>0</v>
      </c>
      <c r="CH128" s="309">
        <f ca="1">IF(CF128="",TODAY()-CE128,CF128-CE128)</f>
        <v>22</v>
      </c>
      <c r="CI128" s="310">
        <f ca="1">CH128-CG128</f>
        <v>22</v>
      </c>
      <c r="CJ128" s="336">
        <f>CO128-$CO$4</f>
        <v>46054</v>
      </c>
      <c r="CK128" s="345">
        <f>IF(_xlfn.XLOOKUP($E128,'[1]Import Eletra'!$B:$B,'[1]Import Eletra'!$BD:$BD,,0,1)=0,"",_xlfn.XLOOKUP($E128,'[1]Import Eletra'!$B:$B,'[1]Import Eletra'!$BD:$BD,,0,1))</f>
        <v>46070</v>
      </c>
      <c r="CL128" s="309"/>
      <c r="CM128" s="309">
        <f ca="1">IF(CK128="",TODAY()-CJ128,CK128-CJ128)</f>
        <v>16</v>
      </c>
      <c r="CN128" s="310">
        <f ca="1">CM128-CL128</f>
        <v>16</v>
      </c>
      <c r="CO128" s="363">
        <f>CT128-$CT$4</f>
        <v>46054</v>
      </c>
      <c r="CP128" s="345">
        <f>IF(_xlfn.XLOOKUP($E128,'[1]Import Eletra'!$B:$B,'[1]Import Eletra'!$BE:$BE,,0,1)=0,"",_xlfn.XLOOKUP($E128,'[1]Import Eletra'!$B:$B,'[1]Import Eletra'!$BE:$BE,,0,1))</f>
        <v>46076</v>
      </c>
      <c r="CQ128" s="309">
        <f>$CO$4</f>
        <v>0</v>
      </c>
      <c r="CR128" s="309">
        <f ca="1">IF(CP128="",TODAY()-CO128,CP128-CO128)</f>
        <v>22</v>
      </c>
      <c r="CS128" s="310">
        <f ca="1">CR128-CQ128</f>
        <v>22</v>
      </c>
      <c r="CT128" s="336">
        <f>CY128-$CY$4</f>
        <v>46054</v>
      </c>
      <c r="CU128" s="345">
        <f>IF(_xlfn.XLOOKUP($E128,'[1]Import Eletra'!$B:$B,'[1]Import Eletra'!$BF:$BF,,0,1)=0,"",_xlfn.XLOOKUP($E128,'[1]Import Eletra'!$B:$B,'[1]Import Eletra'!$BF:$BF,,0,1))</f>
        <v>46076</v>
      </c>
      <c r="CV128" s="309">
        <f>$CT$4</f>
        <v>0</v>
      </c>
      <c r="CW128" s="309">
        <f ca="1">IF(CU128="",TODAY()-CT128,CU128-CT128)</f>
        <v>22</v>
      </c>
      <c r="CX128" s="310">
        <f ca="1">CW128-CV128</f>
        <v>22</v>
      </c>
      <c r="CY128" s="85">
        <f>DD128-$DD$4</f>
        <v>46054</v>
      </c>
      <c r="CZ128" s="271">
        <f>IF(_xlfn.XLOOKUP($E128,'[1]Import Eletra'!$B:$B,'[1]Import Eletra'!$BF:$BF,,0,1)=0,"",_xlfn.XLOOKUP($E128,'[1]Import Eletra'!$B:$B,'[1]Import Eletra'!$BF:$BF,,0,1))</f>
        <v>46076</v>
      </c>
      <c r="DA128" s="311">
        <f>$CY$4</f>
        <v>0</v>
      </c>
      <c r="DB128" s="309">
        <f ca="1">IF(CZ128="",TODAY()-CY128,CZ128-CY128)</f>
        <v>22</v>
      </c>
      <c r="DC128" s="310">
        <f ca="1">DB128-DA128</f>
        <v>22</v>
      </c>
      <c r="DD128" s="85">
        <f>DI128-$DI$4</f>
        <v>46056</v>
      </c>
      <c r="DE128" s="271">
        <f>IF(_xlfn.XLOOKUP($E128,'[1]Import Eletra'!$B:$B,'[1]Import Eletra'!$BG:$BG,,0,1)=0,"",_xlfn.XLOOKUP($E128,'[1]Import Eletra'!$B:$B,'[1]Import Eletra'!$BG:$BG,0,1))</f>
        <v>46079</v>
      </c>
      <c r="DF128" s="309">
        <f>$DD$4</f>
        <v>2</v>
      </c>
      <c r="DG128" s="309">
        <f ca="1">IF(DE128="",TODAY()-DD128,DE128-DD128)</f>
        <v>23</v>
      </c>
      <c r="DH128" s="310">
        <f ca="1">DG128-DF128</f>
        <v>21</v>
      </c>
      <c r="DI128" s="85">
        <f>DO128-$DN$4</f>
        <v>46057</v>
      </c>
      <c r="DJ128" s="271" t="str">
        <f>IF(_xlfn.XLOOKUP($E128,'[1]Import Eletra'!$B:$B,'[1]Import Eletra'!$BH:$BH,,0,1)=0,"",_xlfn.XLOOKUP($E128,'[1]Import Eletra'!$B:$B,'[1]Import Eletra'!$BH:$BH,0,1))</f>
        <v/>
      </c>
      <c r="DK128" s="309">
        <f>$DI$4</f>
        <v>1</v>
      </c>
      <c r="DL128" s="309">
        <f ca="1">IF(DJ128="",TODAY()-DI128,DJ128-DI128)</f>
        <v>154</v>
      </c>
      <c r="DM128" s="310">
        <f ca="1">DL128-DK128</f>
        <v>153</v>
      </c>
      <c r="DN128" s="312"/>
      <c r="DO128" s="313">
        <f>IF(V128="",N128+DT128,V128+DT128)</f>
        <v>46058</v>
      </c>
      <c r="DP128" s="59">
        <f>IF(_xlfn.XLOOKUP($E128,'[1]Import Eletra'!$B:$B,'[1]Import Eletra'!$O:$O,,0,1)=0,"",_xlfn.XLOOKUP($E128,'[1]Import Eletra'!$B:$B,'[1]Import Eletra'!$O:$O,0,1))</f>
        <v>46079</v>
      </c>
      <c r="DQ128" s="309">
        <f>$DN$4</f>
        <v>1</v>
      </c>
      <c r="DR128" s="309">
        <f ca="1">IF(DP128="",TODAY()-DO128,DP128-DO128)</f>
        <v>21</v>
      </c>
      <c r="DS128" s="310">
        <f ca="1">DR128-DQ128</f>
        <v>20</v>
      </c>
      <c r="DT128" s="314">
        <v>17</v>
      </c>
      <c r="DU128" s="140">
        <f ca="1">IF(DP128="",TODAY()-N128,DP128-N128)</f>
        <v>39</v>
      </c>
      <c r="DV128" s="184">
        <f ca="1">DU128-DT128</f>
        <v>22</v>
      </c>
      <c r="DX128" s="316"/>
      <c r="DY128" s="108" t="str">
        <f>IF(_xlfn.XLOOKUP($E128,'[1]Import Eletra'!$B:$B,'[1]Import Eletra'!$DW:$DW,,0,1)=0,"",_xlfn.XLOOKUP($E128,'[1]Import Eletra'!$B:$B,'[1]Import Eletra'!$DW:$DW,0,1))</f>
        <v/>
      </c>
      <c r="EB128" s="317"/>
      <c r="ED128" s="406">
        <f>IF(_xlfn.XLOOKUP($E128,'[1]Import Eletra'!$B:$B,'[1]Import Eletra'!$BQ:$BQ,,0,1)=0,"",_xlfn.XLOOKUP($E128,'[1]Import Eletra'!$B:$B,'[1]Import Eletra'!$BQ:$BQ,0,1))</f>
        <v>3114.26</v>
      </c>
      <c r="EE128" s="407">
        <f>IF(_xlfn.XLOOKUP($E128,'[1]Import Eletra'!$B:$B,'[1]Import Eletra'!$BR:$BR,,0,1)=0,"",_xlfn.XLOOKUP($E128,'[1]Import Eletra'!$B:$B,'[1]Import Eletra'!$BR:$BR,0,1))</f>
        <v>46055</v>
      </c>
      <c r="EF128" s="406">
        <f>IF(_xlfn.XLOOKUP($E128,'[1]Import Eletra'!$B:$B,'[1]Import Eletra'!$BS:$BS,,0,1)=0,"",_xlfn.XLOOKUP($E128,'[1]Import Eletra'!$B:$B,'[1]Import Eletra'!$BS:$BS,0,1))</f>
        <v>58427.13</v>
      </c>
      <c r="EG128" s="407">
        <f>IF(_xlfn.XLOOKUP($E128,'[1]Import Eletra'!$B:$B,'[1]Import Eletra'!$BT:$BT,,0,1)=0,"",_xlfn.XLOOKUP($E128,'[1]Import Eletra'!$B:$B,'[1]Import Eletra'!$BT:$BT,0,1))</f>
        <v>46147</v>
      </c>
      <c r="EH128" s="406" t="str">
        <f>IF(_xlfn.XLOOKUP($E128,'[1]Import Eletra'!$B:$B,'[1]Import Eletra'!$BU:$BU,,0,1)=0,"",_xlfn.XLOOKUP($E128,'[1]Import Eletra'!$B:$B,'[1]Import Eletra'!$BU:$BU,0,1))</f>
        <v/>
      </c>
      <c r="EI128" s="407" t="str">
        <f>IF(_xlfn.XLOOKUP($E128,'[1]Import Eletra'!$B:$B,'[1]Import Eletra'!$BV:$BV,,0,1)=0,"",_xlfn.XLOOKUP($E128,'[1]Import Eletra'!$B:$B,'[1]Import Eletra'!$BV:$BV,0,1))</f>
        <v/>
      </c>
      <c r="EJ128" s="407">
        <f>IF(_xlfn.XLOOKUP($E128,'[1]Import Eletra'!$B:$B,'[1]Import Eletra'!$CI:$CI,,0,1)=0,"",_xlfn.XLOOKUP($E128,'[1]Import Eletra'!$B:$B,'[1]Import Eletra'!$CI:$CI,0,1))</f>
        <v>46061</v>
      </c>
      <c r="EK128" s="407">
        <f>IF(_xlfn.XLOOKUP($E128,'[1]Import Eletra'!$B:$B,'[1]Import Eletra'!$CD:$CD,,0,1)=0,"",_xlfn.XLOOKUP($E128,'[1]Import Eletra'!$B:$B,'[1]Import Eletra'!$CD:$CD,0,1))</f>
        <v>46080</v>
      </c>
      <c r="EL128" s="407" t="str">
        <f>IF(_xlfn.XLOOKUP($E128,'[1]Import Eletra'!$B:$B,'[1]Import Eletra'!$CE:$CE,,0,1)=0,"",_xlfn.XLOOKUP($E128,'[1]Import Eletra'!$B:$B,'[1]Import Eletra'!$CE:$CE,0,1))</f>
        <v>SIM  19 dias</v>
      </c>
      <c r="EM128" s="408" t="str">
        <f>IF(_xlfn.XLOOKUP($E128,'[1]Import Eletra'!$B:$B,'[1]Import Eletra'!$E:$E,,0,1)=0,"",_xlfn.XLOOKUP($E128,'[1]Import Eletra'!$B:$B,'[1]Import Eletra'!$E:$E,0,1))</f>
        <v>STELLA</v>
      </c>
      <c r="EN128" s="408" t="str">
        <f>IF(_xlfn.XLOOKUP($E128,'[1]Import Eletra'!$B:$B,'[1]Import Eletra'!$E:$E,,0,1)=0,"",_xlfn.XLOOKUP($E128,'[1]Import Eletra'!$B:$B,'[1]Import Eletra'!$E:$E,0,1))</f>
        <v>STELLA</v>
      </c>
      <c r="EO128" s="408" t="str">
        <f>IF(_xlfn.XLOOKUP($E128,'[1]Import Eletra'!$B:$B,'[1]Import Eletra'!$E:$E,,0,1)=0,"",_xlfn.XLOOKUP($E128,'[1]Import Eletra'!$B:$B,'[1]Import Eletra'!$E:$E,0,1))</f>
        <v>STELLA</v>
      </c>
      <c r="EP128" s="408" t="str">
        <f>IF(_xlfn.XLOOKUP($E128,'[1]Import Eletra'!$B:$B,'[1]Import Eletra'!$E:$E,,0,1)=0,"",_xlfn.XLOOKUP($E128,'[1]Import Eletra'!$B:$B,'[1]Import Eletra'!$E:$E,0,1))</f>
        <v>STELLA</v>
      </c>
    </row>
    <row r="129" spans="1:146" s="315" customFormat="1" ht="30" hidden="1" customHeight="1" outlineLevel="1">
      <c r="A129" s="305"/>
      <c r="B129" s="306"/>
      <c r="C129" s="306"/>
      <c r="D129" s="306"/>
      <c r="E129" s="318" t="s">
        <v>425</v>
      </c>
      <c r="F129" s="307" t="str">
        <f>IF(_xlfn.XLOOKUP($E129,'[1]Import Eletra'!$B:$B,'[1]Import Eletra'!$U:$U,,0,1)=0,"",_xlfn.XLOOKUP($E129,'[1]Import Eletra'!$B:$B,'[1]Import Eletra'!$U:$U,,0,1))</f>
        <v/>
      </c>
      <c r="G129" s="320" t="s">
        <v>244</v>
      </c>
      <c r="H129" s="59" t="str">
        <f>_xlfn.XLOOKUP($E129,'[1]Import Eletra'!$B:$B,'[1]Import Eletra'!$F:$F,,0,1)</f>
        <v>DELIVERED</v>
      </c>
      <c r="I129" s="4" t="str">
        <f>_xlfn.XLOOKUP($E129,'[1]Import Eletra'!$B:$B,'[1]Import Eletra'!$G:$G,,0,1)</f>
        <v>AIR</v>
      </c>
      <c r="J129" s="331"/>
      <c r="K129" s="308"/>
      <c r="L129" s="308"/>
      <c r="M129" s="331">
        <f>IF(_xlfn.XLOOKUP($E129,'[1]Import Eletra'!$B:$B,'[1]Import Eletra'!$J:$J,,0,1)=0,"",_xlfn.XLOOKUP($E129,'[1]Import Eletra'!$B:$B,'[1]Import Eletra'!$J:$J,,0,1))</f>
        <v>46067</v>
      </c>
      <c r="N129" s="334">
        <f>IF(_xlfn.XLOOKUP($E129,'[1]Import Eletra'!$B:$B,'[1]Import Eletra'!$L:$L,,0,1)=0,"",_xlfn.XLOOKUP($E129,'[1]Import Eletra'!$B:$B,'[1]Import Eletra'!$L:$L,,0,1))</f>
        <v>46073</v>
      </c>
      <c r="O129" s="336">
        <f>IF(_xlfn.XLOOKUP($E129,'[1]Import Eletra'!$B:$B,'[1]Import Eletra'!$AK:$AK,,0,1)=0,"",_xlfn.XLOOKUP($E129,'[1]Import Eletra'!$B:$B,'[1]Import Eletra'!$AK:$AK,,0,1))</f>
        <v>46078</v>
      </c>
      <c r="P129" s="331">
        <f>IF(_xlfn.XLOOKUP($E129,'[1]Import Eletra'!$B:$B,'[1]Import Eletra'!$AL:$AL,,0,1)=0,"",_xlfn.XLOOKUP($E129,'[1]Import Eletra'!$B:$B,'[1]Import Eletra'!$AL:$AL,,0,1))</f>
        <v>46078</v>
      </c>
      <c r="Q129" s="331">
        <f>IF(_xlfn.XLOOKUP($E129,'[1]Import Eletra'!$B:$B,'[1]Import Eletra'!$AM:$AM,,0,1)=0,"",_xlfn.XLOOKUP($E129,'[1]Import Eletra'!$B:$B,'[1]Import Eletra'!$AM:$AM,,0,1))</f>
        <v>46078</v>
      </c>
      <c r="R129" s="331">
        <f>IF(_xlfn.XLOOKUP($E129,'[1]Import Eletra'!$B:$B,'[1]Import Eletra'!$AN:$AN,,0,1)=0,"",_xlfn.XLOOKUP($E129,'[1]Import Eletra'!$B:$B,'[1]Import Eletra'!$AN:$AN,,0,1))</f>
        <v>46078</v>
      </c>
      <c r="S129" s="331">
        <f>IF(_xlfn.XLOOKUP($E129,'[1]Import Eletra'!$B:$B,'[1]Import Eletra'!$AO:$AO,,0,1)=0,"",_xlfn.XLOOKUP($E129,'[1]Import Eletra'!$B:$B,'[1]Import Eletra'!$AO:$AO,,0,1))</f>
        <v>46079</v>
      </c>
      <c r="T129" s="331">
        <f>IF(_xlfn.XLOOKUP($E129,'[1]Import Eletra'!$B:$B,'[1]Import Eletra'!$AP:$AP,,0,1)=0,"",_xlfn.XLOOKUP($E129,'[1]Import Eletra'!$B:$B,'[1]Import Eletra'!$AP:$AP,,0,1))</f>
        <v>46079</v>
      </c>
      <c r="U129" s="338">
        <f>IF(_xlfn.XLOOKUP($E129,'[1]Import Eletra'!$B:$B,'[1]Import Eletra'!$AQ:$AQ,,0,1)=0,"",_xlfn.XLOOKUP($E129,'[1]Import Eletra'!$B:$B,'[1]Import Eletra'!$AQ:$AQ,,0,1))</f>
        <v>46080</v>
      </c>
      <c r="V129" s="343">
        <f>IF(_xlfn.XLOOKUP($E129,'[1]Import Eletra'!$B:$B,'[1]Import Eletra'!$AQ:$AQ,,0,1)=0,"",_xlfn.XLOOKUP($E129,'[1]Import Eletra'!$B:$B,'[1]Import Eletra'!$AQ:$AQ,,0,1))</f>
        <v>46080</v>
      </c>
      <c r="W129" s="336">
        <f>AB129-$AB$4</f>
        <v>46090</v>
      </c>
      <c r="X129" s="345">
        <f>IF(_xlfn.XLOOKUP($E129,'[1]Import Eletra'!$B:$B,'[1]Import Eletra'!$AR:$AR,,0,1)=0,"",_xlfn.XLOOKUP($E129,'[1]Import Eletra'!$B:$B,'[1]Import Eletra'!$AR:$AR,,0,1))</f>
        <v>46071</v>
      </c>
      <c r="Y129" s="309">
        <f>$W$4</f>
        <v>0</v>
      </c>
      <c r="Z129" s="309">
        <f ca="1">IF(X129="",TODAY()-W129,X129-W129)</f>
        <v>-19</v>
      </c>
      <c r="AA129" s="310" t="str">
        <f ca="1">IF(AND(ISNUMBER($Z129),$Z129&gt;0),$Z129-$Y129,"")</f>
        <v/>
      </c>
      <c r="AB129" s="350">
        <f>AG129-$AB$4</f>
        <v>46090</v>
      </c>
      <c r="AC129" s="345">
        <f>IF(_xlfn.XLOOKUP($E129,'[1]Import Eletra'!$B:$B,'[1]Import Eletra'!$AD:$AD,,0,1)=0,"",_xlfn.XLOOKUP($E129,'[1]Import Eletra'!$B:$B,'[1]Import Eletra'!$AD:$AD,,0,1))</f>
        <v>46083</v>
      </c>
      <c r="AD129" s="309">
        <f>$AB$4</f>
        <v>0</v>
      </c>
      <c r="AE129" s="309">
        <f ca="1">IF(AC129="",TODAY()-AB129,AC129-AB129)</f>
        <v>-7</v>
      </c>
      <c r="AF129" s="310">
        <f ca="1">AE129-AD129</f>
        <v>-7</v>
      </c>
      <c r="AG129" s="356">
        <f>AL129-$AL$4</f>
        <v>46090</v>
      </c>
      <c r="AH129" s="345">
        <f>IF(_xlfn.XLOOKUP($E129,'[1]Import Eletra'!$B:$B,'[1]Import Eletra'!$AE:$AE,,0,1)=0,"",_xlfn.XLOOKUP($E129,'[1]Import Eletra'!$B:$B,'[1]Import Eletra'!$AE:$AE,,0,1))</f>
        <v>46084</v>
      </c>
      <c r="AI129" s="309">
        <f>$AG$4</f>
        <v>0</v>
      </c>
      <c r="AJ129" s="309">
        <f ca="1">IF(AH129="",TODAY()-AG129,AH129-AG129)</f>
        <v>-6</v>
      </c>
      <c r="AK129" s="310" t="str">
        <f ca="1">IF(AND(ISNUMBER($AJ129),$AJ129&gt;0),$AJ129-$AI129,"")</f>
        <v/>
      </c>
      <c r="AL129" s="356">
        <f>AQ129-$AQ$4</f>
        <v>46090</v>
      </c>
      <c r="AM129" s="345" t="str">
        <f>IF(_xlfn.XLOOKUP($E129,'[1]Import Eletra'!$B:$B,'[1]Import Eletra'!$AT:$AT,,0,1)=0,"",_xlfn.XLOOKUP($E129,'[1]Import Eletra'!$B:$B,'[1]Import Eletra'!$AT:$AT,,0,1))</f>
        <v/>
      </c>
      <c r="AN129" s="309">
        <f>$AL$4</f>
        <v>0</v>
      </c>
      <c r="AO129" s="309">
        <f ca="1">IF(AM129="",TODAY()-AL129,AM129-AL129)</f>
        <v>121</v>
      </c>
      <c r="AP129" s="310">
        <f ca="1">IF(AND(ISNUMBER($AO129),$AO129&gt;0),$AO129-$AN129,"")</f>
        <v>121</v>
      </c>
      <c r="AQ129" s="359">
        <f>AV129-$AV$4</f>
        <v>46091</v>
      </c>
      <c r="AR129" s="345" t="str">
        <f>IF(_xlfn.XLOOKUP($E129,'[1]Import Eletra'!$B:$B,'[1]Import Eletra'!$AU:$AU,,0,1)=0,"",_xlfn.XLOOKUP($E129,'[1]Import Eletra'!$B:$B,'[1]Import Eletra'!$AU:$AU,,0,1))</f>
        <v/>
      </c>
      <c r="AS129" s="309">
        <f>$AQ$4</f>
        <v>1</v>
      </c>
      <c r="AT129" s="309">
        <f ca="1">IF(AR129="",TODAY()-AQ129,AR129-AQ129)</f>
        <v>120</v>
      </c>
      <c r="AU129" s="310">
        <f ca="1">IF(AND(ISNUMBER($AT129),$AT129&gt;0),$AT129-$AS129,"")</f>
        <v>119</v>
      </c>
      <c r="AV129" s="356">
        <f>BA129-$BA$4</f>
        <v>46091</v>
      </c>
      <c r="AW129" s="345" t="str">
        <f>IF(_xlfn.XLOOKUP($E129,'[1]Import Eletra'!$B:$B,'[1]Import Eletra'!$AU:$AU,,0,1)=0,"",_xlfn.XLOOKUP($E129,'[1]Import Eletra'!$B:$B,'[1]Import Eletra'!$AU:$AU,,0,1))</f>
        <v/>
      </c>
      <c r="AX129" s="309">
        <f>$AV$4</f>
        <v>0</v>
      </c>
      <c r="AY129" s="309">
        <f ca="1">IF(AW129="",TODAY()-AV129,AW129-AV129)</f>
        <v>120</v>
      </c>
      <c r="AZ129" s="310">
        <f ca="1">IF(AND(ISNUMBER($AY129),$AY129&gt;0),$AY129-$AX129,"")</f>
        <v>120</v>
      </c>
      <c r="BA129" s="359">
        <f>BF129-$BF$4</f>
        <v>46091</v>
      </c>
      <c r="BB129" s="345" t="str">
        <f>IF(_xlfn.XLOOKUP($E129,'[1]Import Eletra'!$B:$B,'[1]Import Eletra'!$AW:$AW,,0,1)=0,"",_xlfn.XLOOKUP($E129,'[1]Import Eletra'!$B:$B,'[1]Import Eletra'!$AW:$AW,,0,1))</f>
        <v/>
      </c>
      <c r="BC129" s="309">
        <f>$BA$4</f>
        <v>0</v>
      </c>
      <c r="BD129" s="309">
        <f ca="1">IF(BB129="",TODAY()-BA129,BB129-BA129)</f>
        <v>120</v>
      </c>
      <c r="BE129" s="310">
        <f ca="1">BD129-BC129</f>
        <v>120</v>
      </c>
      <c r="BF129" s="336">
        <f>BK129-$BK$4</f>
        <v>46091</v>
      </c>
      <c r="BG129" s="345" t="str">
        <f>IF(_xlfn.XLOOKUP($E129,'[1]Import Eletra'!$B:$B,'[1]Import Eletra'!$AX:$AX,,0,1)=0,"",_xlfn.XLOOKUP($E129,'[1]Import Eletra'!$B:$B,'[1]Import Eletra'!$AX:$AX,,0,1))</f>
        <v/>
      </c>
      <c r="BH129" s="309">
        <f>$BF$4</f>
        <v>0</v>
      </c>
      <c r="BI129" s="309">
        <f ca="1">IF(BG129="",TODAY()-BF129,BG129-BF129)</f>
        <v>120</v>
      </c>
      <c r="BJ129" s="310">
        <f ca="1">IF(AND(ISNUMBER($BI129),$BI129&gt;0),$BI129-$BH129,"")</f>
        <v>120</v>
      </c>
      <c r="BK129" s="363">
        <f>BP129-$BP$4</f>
        <v>46091</v>
      </c>
      <c r="BL129" s="345" t="str">
        <f>IF(_xlfn.XLOOKUP($E129,'[1]Import Eletra'!$B:$B,'[1]Import Eletra'!$AY:$AY,,0,1)=0,"",_xlfn.XLOOKUP($E129,'[1]Import Eletra'!$B:$B,'[1]Import Eletra'!$AY:$AY,,0,1))</f>
        <v/>
      </c>
      <c r="BM129" s="309">
        <f>$BK$4</f>
        <v>0</v>
      </c>
      <c r="BN129" s="309">
        <f ca="1">IF(BL129="",TODAY()-BK129,BL129-BK129)</f>
        <v>120</v>
      </c>
      <c r="BO129" s="310">
        <f ca="1">BN129-BM129</f>
        <v>120</v>
      </c>
      <c r="BP129" s="336">
        <f>BU129-$BU$4</f>
        <v>46091</v>
      </c>
      <c r="BQ129" s="345" t="str">
        <f>IF(_xlfn.XLOOKUP($E129,'[1]Import Eletra'!$B:$B,'[1]Import Eletra'!$AZ:$AZ,,0,1)=0,"",_xlfn.XLOOKUP($E129,'[1]Import Eletra'!$B:$B,'[1]Import Eletra'!$AZ:$AZ,,0,1))</f>
        <v/>
      </c>
      <c r="BR129" s="309">
        <f>$BP$4</f>
        <v>0</v>
      </c>
      <c r="BS129" s="309">
        <f ca="1">IF(BQ129="",TODAY()-BP129,BQ129-BP129)</f>
        <v>120</v>
      </c>
      <c r="BT129" s="310">
        <f ca="1">BS129-BR129</f>
        <v>120</v>
      </c>
      <c r="BU129" s="363">
        <f>BZ129-$BZ$4</f>
        <v>46093</v>
      </c>
      <c r="BV129" s="345" t="str">
        <f>IF(_xlfn.XLOOKUP($E129,'[1]Import Eletra'!$B:$B,'[1]Import Eletra'!$BA:$BA,,0,1)=0,"",_xlfn.XLOOKUP($E129,'[1]Import Eletra'!$B:$B,'[1]Import Eletra'!$BA:$BA,,0,1))</f>
        <v/>
      </c>
      <c r="BW129" s="309">
        <f>$BU$4</f>
        <v>2</v>
      </c>
      <c r="BX129" s="309">
        <f ca="1">IF(BV129="",TODAY()-BU129,BV129-BU129)</f>
        <v>118</v>
      </c>
      <c r="BY129" s="310">
        <f ca="1">IF(AND(ISNUMBER($BX129),$BX129&gt;0),$BX129-$BW129,"")</f>
        <v>116</v>
      </c>
      <c r="BZ129" s="336">
        <f>CE129-$CE$4</f>
        <v>46093</v>
      </c>
      <c r="CA129" s="345" t="str">
        <f>IF(_xlfn.XLOOKUP($E129,'[1]Import Eletra'!$B:$B,'[1]Import Eletra'!$BB:$BB,,0,1)=0,"",_xlfn.XLOOKUP($E129,'[1]Import Eletra'!$B:$B,'[1]Import Eletra'!$BB:$BB,,0,1))</f>
        <v/>
      </c>
      <c r="CB129" s="309">
        <f>$BZ$4</f>
        <v>0</v>
      </c>
      <c r="CC129" s="309">
        <f ca="1">IF(CA129="",TODAY()-BZ129,CA129-BZ129)</f>
        <v>118</v>
      </c>
      <c r="CD129" s="310">
        <f ca="1">CC129-CB129</f>
        <v>118</v>
      </c>
      <c r="CE129" s="363">
        <f>CJ129-$CJ$4</f>
        <v>46093</v>
      </c>
      <c r="CF129" s="345" t="str">
        <f>IF(_xlfn.XLOOKUP($E129,'[1]Import Eletra'!$B:$B,'[1]Import Eletra'!$BC:$BC,,0,1)=0,"",_xlfn.XLOOKUP($E129,'[1]Import Eletra'!$B:$B,'[1]Import Eletra'!$BC:$BC,,0,1))</f>
        <v/>
      </c>
      <c r="CG129" s="309">
        <f>$CE$4</f>
        <v>0</v>
      </c>
      <c r="CH129" s="309">
        <f ca="1">IF(CF129="",TODAY()-CE129,CF129-CE129)</f>
        <v>118</v>
      </c>
      <c r="CI129" s="310">
        <f ca="1">CH129-CG129</f>
        <v>118</v>
      </c>
      <c r="CJ129" s="336">
        <f>CO129-$CO$4</f>
        <v>46093</v>
      </c>
      <c r="CK129" s="345" t="str">
        <f>IF(_xlfn.XLOOKUP($E129,'[1]Import Eletra'!$B:$B,'[1]Import Eletra'!$BD:$BD,,0,1)=0,"",_xlfn.XLOOKUP($E129,'[1]Import Eletra'!$B:$B,'[1]Import Eletra'!$BD:$BD,,0,1))</f>
        <v/>
      </c>
      <c r="CL129" s="309"/>
      <c r="CM129" s="309">
        <f ca="1">IF(CK129="",TODAY()-CJ129,CK129-CJ129)</f>
        <v>118</v>
      </c>
      <c r="CN129" s="310">
        <f ca="1">CM129-CL129</f>
        <v>118</v>
      </c>
      <c r="CO129" s="363">
        <f>CT129-$CT$4</f>
        <v>46093</v>
      </c>
      <c r="CP129" s="345" t="str">
        <f>IF(_xlfn.XLOOKUP($E129,'[1]Import Eletra'!$B:$B,'[1]Import Eletra'!$BE:$BE,,0,1)=0,"",_xlfn.XLOOKUP($E129,'[1]Import Eletra'!$B:$B,'[1]Import Eletra'!$BE:$BE,,0,1))</f>
        <v/>
      </c>
      <c r="CQ129" s="309">
        <f>$CO$4</f>
        <v>0</v>
      </c>
      <c r="CR129" s="309">
        <f ca="1">IF(CP129="",TODAY()-CO129,CP129-CO129)</f>
        <v>118</v>
      </c>
      <c r="CS129" s="310">
        <f ca="1">CR129-CQ129</f>
        <v>118</v>
      </c>
      <c r="CT129" s="336">
        <f>CY129-$CY$4</f>
        <v>46093</v>
      </c>
      <c r="CU129" s="345" t="str">
        <f>IF(_xlfn.XLOOKUP($E129,'[1]Import Eletra'!$B:$B,'[1]Import Eletra'!$BF:$BF,,0,1)=0,"",_xlfn.XLOOKUP($E129,'[1]Import Eletra'!$B:$B,'[1]Import Eletra'!$BF:$BF,,0,1))</f>
        <v/>
      </c>
      <c r="CV129" s="309">
        <f>$CT$4</f>
        <v>0</v>
      </c>
      <c r="CW129" s="309">
        <f ca="1">IF(CU129="",TODAY()-CT129,CU129-CT129)</f>
        <v>118</v>
      </c>
      <c r="CX129" s="310">
        <f ca="1">CW129-CV129</f>
        <v>118</v>
      </c>
      <c r="CY129" s="85">
        <f>DD129-$DD$4</f>
        <v>46093</v>
      </c>
      <c r="CZ129" s="271" t="str">
        <f>IF(_xlfn.XLOOKUP($E129,'[1]Import Eletra'!$B:$B,'[1]Import Eletra'!$BF:$BF,,0,1)=0,"",_xlfn.XLOOKUP($E129,'[1]Import Eletra'!$B:$B,'[1]Import Eletra'!$BF:$BF,,0,1))</f>
        <v/>
      </c>
      <c r="DA129" s="311">
        <f>$CY$4</f>
        <v>0</v>
      </c>
      <c r="DB129" s="309">
        <f ca="1">IF(CZ129="",TODAY()-CY129,CZ129-CY129)</f>
        <v>118</v>
      </c>
      <c r="DC129" s="310">
        <f ca="1">DB129-DA129</f>
        <v>118</v>
      </c>
      <c r="DD129" s="85">
        <f>DI129-$DI$4</f>
        <v>46095</v>
      </c>
      <c r="DE129" s="271" t="str">
        <f>IF(_xlfn.XLOOKUP($E129,'[1]Import Eletra'!$B:$B,'[1]Import Eletra'!$BG:$BG,,0,1)=0,"",_xlfn.XLOOKUP($E129,'[1]Import Eletra'!$B:$B,'[1]Import Eletra'!$BG:$BG,0,1))</f>
        <v/>
      </c>
      <c r="DF129" s="309">
        <f>$DD$4</f>
        <v>2</v>
      </c>
      <c r="DG129" s="309">
        <f ca="1">IF(DE129="",TODAY()-DD129,DE129-DD129)</f>
        <v>116</v>
      </c>
      <c r="DH129" s="310">
        <f ca="1">DG129-DF129</f>
        <v>114</v>
      </c>
      <c r="DI129" s="85">
        <f>DO129-$DN$4</f>
        <v>46096</v>
      </c>
      <c r="DJ129" s="271" t="str">
        <f>IF(_xlfn.XLOOKUP($E129,'[1]Import Eletra'!$B:$B,'[1]Import Eletra'!$BH:$BH,,0,1)=0,"",_xlfn.XLOOKUP($E129,'[1]Import Eletra'!$B:$B,'[1]Import Eletra'!$BH:$BH,0,1))</f>
        <v/>
      </c>
      <c r="DK129" s="309">
        <f>$DI$4</f>
        <v>1</v>
      </c>
      <c r="DL129" s="309">
        <f ca="1">IF(DJ129="",TODAY()-DI129,DJ129-DI129)</f>
        <v>115</v>
      </c>
      <c r="DM129" s="310">
        <f ca="1">DL129-DK129</f>
        <v>114</v>
      </c>
      <c r="DN129" s="312"/>
      <c r="DO129" s="313">
        <f>IF(V129="",N129+DT129,V129+DT129)</f>
        <v>46097</v>
      </c>
      <c r="DP129" s="59">
        <f>IF(_xlfn.XLOOKUP($E129,'[1]Import Eletra'!$B:$B,'[1]Import Eletra'!$O:$O,,0,1)=0,"",_xlfn.XLOOKUP($E129,'[1]Import Eletra'!$B:$B,'[1]Import Eletra'!$O:$O,0,1))</f>
        <v>46087</v>
      </c>
      <c r="DQ129" s="309">
        <f>$DN$4</f>
        <v>1</v>
      </c>
      <c r="DR129" s="309">
        <f ca="1">IF(DP129="",TODAY()-DO129,DP129-DO129)</f>
        <v>-10</v>
      </c>
      <c r="DS129" s="310">
        <f ca="1">DR129-DQ129</f>
        <v>-11</v>
      </c>
      <c r="DT129" s="314">
        <v>17</v>
      </c>
      <c r="DU129" s="140">
        <f ca="1">IF(DP129="",TODAY()-N129,DP129-N129)</f>
        <v>14</v>
      </c>
      <c r="DV129" s="184">
        <f ca="1">DU129-DT129</f>
        <v>-3</v>
      </c>
      <c r="DX129" s="316"/>
      <c r="DY129" s="108" t="str">
        <f>IF(_xlfn.XLOOKUP($E129,'[1]Import Eletra'!$B:$B,'[1]Import Eletra'!$DW:$DW,,0,1)=0,"",_xlfn.XLOOKUP($E129,'[1]Import Eletra'!$B:$B,'[1]Import Eletra'!$DW:$DW,0,1))</f>
        <v/>
      </c>
      <c r="EB129" s="317"/>
      <c r="ED129" s="406">
        <f>IF(_xlfn.XLOOKUP($E129,'[1]Import Eletra'!$B:$B,'[1]Import Eletra'!$BQ:$BQ,,0,1)=0,"",_xlfn.XLOOKUP($E129,'[1]Import Eletra'!$B:$B,'[1]Import Eletra'!$BQ:$BQ,0,1))</f>
        <v>395.94</v>
      </c>
      <c r="EE129" s="407">
        <f>IF(_xlfn.XLOOKUP($E129,'[1]Import Eletra'!$B:$B,'[1]Import Eletra'!$BR:$BR,,0,1)=0,"",_xlfn.XLOOKUP($E129,'[1]Import Eletra'!$B:$B,'[1]Import Eletra'!$BR:$BR,0,1))</f>
        <v>46122</v>
      </c>
      <c r="EF129" s="406" t="str">
        <f>IF(_xlfn.XLOOKUP($E129,'[1]Import Eletra'!$B:$B,'[1]Import Eletra'!$BS:$BS,,0,1)=0,"",_xlfn.XLOOKUP($E129,'[1]Import Eletra'!$B:$B,'[1]Import Eletra'!$BS:$BS,0,1))</f>
        <v/>
      </c>
      <c r="EG129" s="407" t="str">
        <f>IF(_xlfn.XLOOKUP($E129,'[1]Import Eletra'!$B:$B,'[1]Import Eletra'!$BT:$BT,,0,1)=0,"",_xlfn.XLOOKUP($E129,'[1]Import Eletra'!$B:$B,'[1]Import Eletra'!$BT:$BT,0,1))</f>
        <v/>
      </c>
      <c r="EH129" s="406" t="str">
        <f>IF(_xlfn.XLOOKUP($E129,'[1]Import Eletra'!$B:$B,'[1]Import Eletra'!$BU:$BU,,0,1)=0,"",_xlfn.XLOOKUP($E129,'[1]Import Eletra'!$B:$B,'[1]Import Eletra'!$BU:$BU,0,1))</f>
        <v/>
      </c>
      <c r="EI129" s="407" t="str">
        <f>IF(_xlfn.XLOOKUP($E129,'[1]Import Eletra'!$B:$B,'[1]Import Eletra'!$BV:$BV,,0,1)=0,"",_xlfn.XLOOKUP($E129,'[1]Import Eletra'!$B:$B,'[1]Import Eletra'!$BV:$BV,0,1))</f>
        <v/>
      </c>
      <c r="EJ129" s="407" t="str">
        <f>IF(_xlfn.XLOOKUP($E129,'[1]Import Eletra'!$B:$B,'[1]Import Eletra'!$CI:$CI,,0,1)=0,"",_xlfn.XLOOKUP($E129,'[1]Import Eletra'!$B:$B,'[1]Import Eletra'!$CI:$CI,0,1))</f>
        <v/>
      </c>
      <c r="EK129" s="407" t="str">
        <f>IF(_xlfn.XLOOKUP($E129,'[1]Import Eletra'!$B:$B,'[1]Import Eletra'!$CD:$CD,,0,1)=0,"",_xlfn.XLOOKUP($E129,'[1]Import Eletra'!$B:$B,'[1]Import Eletra'!$CD:$CD,0,1))</f>
        <v/>
      </c>
      <c r="EL129" s="407" t="str">
        <f>IF(_xlfn.XLOOKUP($E129,'[1]Import Eletra'!$B:$B,'[1]Import Eletra'!$CE:$CE,,0,1)=0,"",_xlfn.XLOOKUP($E129,'[1]Import Eletra'!$B:$B,'[1]Import Eletra'!$CE:$CE,0,1))</f>
        <v>NÃO</v>
      </c>
      <c r="EM129" s="408" t="str">
        <f>IF(_xlfn.XLOOKUP($E129,'[1]Import Eletra'!$B:$B,'[1]Import Eletra'!$E:$E,,0,1)=0,"",_xlfn.XLOOKUP($E129,'[1]Import Eletra'!$B:$B,'[1]Import Eletra'!$E:$E,0,1))</f>
        <v>LEISIANE</v>
      </c>
      <c r="EN129" s="408" t="str">
        <f>IF(_xlfn.XLOOKUP($E129,'[1]Import Eletra'!$B:$B,'[1]Import Eletra'!$E:$E,,0,1)=0,"",_xlfn.XLOOKUP($E129,'[1]Import Eletra'!$B:$B,'[1]Import Eletra'!$E:$E,0,1))</f>
        <v>LEISIANE</v>
      </c>
      <c r="EO129" s="408" t="str">
        <f>IF(_xlfn.XLOOKUP($E129,'[1]Import Eletra'!$B:$B,'[1]Import Eletra'!$E:$E,,0,1)=0,"",_xlfn.XLOOKUP($E129,'[1]Import Eletra'!$B:$B,'[1]Import Eletra'!$E:$E,0,1))</f>
        <v>LEISIANE</v>
      </c>
      <c r="EP129" s="408" t="str">
        <f>IF(_xlfn.XLOOKUP($E129,'[1]Import Eletra'!$B:$B,'[1]Import Eletra'!$E:$E,,0,1)=0,"",_xlfn.XLOOKUP($E129,'[1]Import Eletra'!$B:$B,'[1]Import Eletra'!$E:$E,0,1))</f>
        <v>LEISIANE</v>
      </c>
    </row>
    <row r="130" spans="1:146" s="315" customFormat="1" ht="30" hidden="1" customHeight="1" outlineLevel="1">
      <c r="A130" s="305"/>
      <c r="B130" s="306"/>
      <c r="C130" s="306"/>
      <c r="D130" s="306"/>
      <c r="E130" s="318" t="s">
        <v>426</v>
      </c>
      <c r="F130" s="307" t="str">
        <f>IF(_xlfn.XLOOKUP($E130,'[1]Import Eletra'!$B:$B,'[1]Import Eletra'!$U:$U,,0,1)=0,"",_xlfn.XLOOKUP($E130,'[1]Import Eletra'!$B:$B,'[1]Import Eletra'!$U:$U,,0,1))</f>
        <v/>
      </c>
      <c r="G130" s="320" t="s">
        <v>244</v>
      </c>
      <c r="H130" s="59" t="str">
        <f>_xlfn.XLOOKUP($E130,'[1]Import Eletra'!$B:$B,'[1]Import Eletra'!$F:$F,,0,1)</f>
        <v>DELIVERED</v>
      </c>
      <c r="I130" s="4" t="str">
        <f>_xlfn.XLOOKUP($E130,'[1]Import Eletra'!$B:$B,'[1]Import Eletra'!$G:$G,,0,1)</f>
        <v>AIR</v>
      </c>
      <c r="J130" s="331"/>
      <c r="K130" s="308"/>
      <c r="L130" s="308"/>
      <c r="M130" s="331">
        <f>IF(_xlfn.XLOOKUP($E130,'[1]Import Eletra'!$B:$B,'[1]Import Eletra'!$J:$J,,0,1)=0,"",_xlfn.XLOOKUP($E130,'[1]Import Eletra'!$B:$B,'[1]Import Eletra'!$J:$J,,0,1))</f>
        <v>46067</v>
      </c>
      <c r="N130" s="334">
        <f>IF(_xlfn.XLOOKUP($E130,'[1]Import Eletra'!$B:$B,'[1]Import Eletra'!$L:$L,,0,1)=0,"",_xlfn.XLOOKUP($E130,'[1]Import Eletra'!$B:$B,'[1]Import Eletra'!$L:$L,,0,1))</f>
        <v>46073</v>
      </c>
      <c r="O130" s="336">
        <f>IF(_xlfn.XLOOKUP($E130,'[1]Import Eletra'!$B:$B,'[1]Import Eletra'!$AK:$AK,,0,1)=0,"",_xlfn.XLOOKUP($E130,'[1]Import Eletra'!$B:$B,'[1]Import Eletra'!$AK:$AK,,0,1))</f>
        <v>46059</v>
      </c>
      <c r="P130" s="331">
        <f>IF(_xlfn.XLOOKUP($E130,'[1]Import Eletra'!$B:$B,'[1]Import Eletra'!$AL:$AL,,0,1)=0,"",_xlfn.XLOOKUP($E130,'[1]Import Eletra'!$B:$B,'[1]Import Eletra'!$AL:$AL,,0,1))</f>
        <v>46079</v>
      </c>
      <c r="Q130" s="331">
        <f>IF(_xlfn.XLOOKUP($E130,'[1]Import Eletra'!$B:$B,'[1]Import Eletra'!$AM:$AM,,0,1)=0,"",_xlfn.XLOOKUP($E130,'[1]Import Eletra'!$B:$B,'[1]Import Eletra'!$AM:$AM,,0,1))</f>
        <v>46079</v>
      </c>
      <c r="R130" s="331">
        <f>IF(_xlfn.XLOOKUP($E130,'[1]Import Eletra'!$B:$B,'[1]Import Eletra'!$AN:$AN,,0,1)=0,"",_xlfn.XLOOKUP($E130,'[1]Import Eletra'!$B:$B,'[1]Import Eletra'!$AN:$AN,,0,1))</f>
        <v>46079</v>
      </c>
      <c r="S130" s="331">
        <f>IF(_xlfn.XLOOKUP($E130,'[1]Import Eletra'!$B:$B,'[1]Import Eletra'!$AO:$AO,,0,1)=0,"",_xlfn.XLOOKUP($E130,'[1]Import Eletra'!$B:$B,'[1]Import Eletra'!$AO:$AO,,0,1))</f>
        <v>46079</v>
      </c>
      <c r="T130" s="331">
        <f>IF(_xlfn.XLOOKUP($E130,'[1]Import Eletra'!$B:$B,'[1]Import Eletra'!$AP:$AP,,0,1)=0,"",_xlfn.XLOOKUP($E130,'[1]Import Eletra'!$B:$B,'[1]Import Eletra'!$AP:$AP,,0,1))</f>
        <v>46079</v>
      </c>
      <c r="U130" s="338">
        <f>IF(_xlfn.XLOOKUP($E130,'[1]Import Eletra'!$B:$B,'[1]Import Eletra'!$AQ:$AQ,,0,1)=0,"",_xlfn.XLOOKUP($E130,'[1]Import Eletra'!$B:$B,'[1]Import Eletra'!$AQ:$AQ,,0,1))</f>
        <v>46080</v>
      </c>
      <c r="V130" s="343">
        <f>IF(_xlfn.XLOOKUP($E130,'[1]Import Eletra'!$B:$B,'[1]Import Eletra'!$AQ:$AQ,,0,1)=0,"",_xlfn.XLOOKUP($E130,'[1]Import Eletra'!$B:$B,'[1]Import Eletra'!$AQ:$AQ,,0,1))</f>
        <v>46080</v>
      </c>
      <c r="W130" s="336">
        <f>AB130-$AB$4</f>
        <v>46090</v>
      </c>
      <c r="X130" s="345">
        <f>IF(_xlfn.XLOOKUP($E130,'[1]Import Eletra'!$B:$B,'[1]Import Eletra'!$AR:$AR,,0,1)=0,"",_xlfn.XLOOKUP($E130,'[1]Import Eletra'!$B:$B,'[1]Import Eletra'!$AR:$AR,,0,1))</f>
        <v>46076</v>
      </c>
      <c r="Y130" s="309">
        <f>$W$4</f>
        <v>0</v>
      </c>
      <c r="Z130" s="309">
        <f ca="1">IF(X130="",TODAY()-W130,X130-W130)</f>
        <v>-14</v>
      </c>
      <c r="AA130" s="310" t="str">
        <f ca="1">IF(AND(ISNUMBER($Z130),$Z130&gt;0),$Z130-$Y130,"")</f>
        <v/>
      </c>
      <c r="AB130" s="350">
        <f>AG130-$AB$4</f>
        <v>46090</v>
      </c>
      <c r="AC130" s="345">
        <f>IF(_xlfn.XLOOKUP($E130,'[1]Import Eletra'!$B:$B,'[1]Import Eletra'!$AD:$AD,,0,1)=0,"",_xlfn.XLOOKUP($E130,'[1]Import Eletra'!$B:$B,'[1]Import Eletra'!$AD:$AD,,0,1))</f>
        <v>46084</v>
      </c>
      <c r="AD130" s="309">
        <f>$AB$4</f>
        <v>0</v>
      </c>
      <c r="AE130" s="309">
        <f ca="1">IF(AC130="",TODAY()-AB130,AC130-AB130)</f>
        <v>-6</v>
      </c>
      <c r="AF130" s="310">
        <f ca="1">AE130-AD130</f>
        <v>-6</v>
      </c>
      <c r="AG130" s="356">
        <f>AL130-$AL$4</f>
        <v>46090</v>
      </c>
      <c r="AH130" s="345">
        <f>IF(_xlfn.XLOOKUP($E130,'[1]Import Eletra'!$B:$B,'[1]Import Eletra'!$AE:$AE,,0,1)=0,"",_xlfn.XLOOKUP($E130,'[1]Import Eletra'!$B:$B,'[1]Import Eletra'!$AE:$AE,,0,1))</f>
        <v>46084</v>
      </c>
      <c r="AI130" s="309">
        <f>$AG$4</f>
        <v>0</v>
      </c>
      <c r="AJ130" s="309">
        <f ca="1">IF(AH130="",TODAY()-AG130,AH130-AG130)</f>
        <v>-6</v>
      </c>
      <c r="AK130" s="310" t="str">
        <f ca="1">IF(AND(ISNUMBER($AJ130),$AJ130&gt;0),$AJ130-$AI130,"")</f>
        <v/>
      </c>
      <c r="AL130" s="356">
        <f>AQ130-$AQ$4</f>
        <v>46090</v>
      </c>
      <c r="AM130" s="345" t="str">
        <f>IF(_xlfn.XLOOKUP($E130,'[1]Import Eletra'!$B:$B,'[1]Import Eletra'!$AT:$AT,,0,1)=0,"",_xlfn.XLOOKUP($E130,'[1]Import Eletra'!$B:$B,'[1]Import Eletra'!$AT:$AT,,0,1))</f>
        <v/>
      </c>
      <c r="AN130" s="309">
        <f>$AL$4</f>
        <v>0</v>
      </c>
      <c r="AO130" s="309">
        <f ca="1">IF(AM130="",TODAY()-AL130,AM130-AL130)</f>
        <v>121</v>
      </c>
      <c r="AP130" s="310">
        <f ca="1">IF(AND(ISNUMBER($AO130),$AO130&gt;0),$AO130-$AN130,"")</f>
        <v>121</v>
      </c>
      <c r="AQ130" s="359">
        <f>AV130-$AV$4</f>
        <v>46091</v>
      </c>
      <c r="AR130" s="345" t="str">
        <f>IF(_xlfn.XLOOKUP($E130,'[1]Import Eletra'!$B:$B,'[1]Import Eletra'!$AU:$AU,,0,1)=0,"",_xlfn.XLOOKUP($E130,'[1]Import Eletra'!$B:$B,'[1]Import Eletra'!$AU:$AU,,0,1))</f>
        <v/>
      </c>
      <c r="AS130" s="309">
        <f>$AQ$4</f>
        <v>1</v>
      </c>
      <c r="AT130" s="309">
        <f ca="1">IF(AR130="",TODAY()-AQ130,AR130-AQ130)</f>
        <v>120</v>
      </c>
      <c r="AU130" s="310">
        <f ca="1">IF(AND(ISNUMBER($AT130),$AT130&gt;0),$AT130-$AS130,"")</f>
        <v>119</v>
      </c>
      <c r="AV130" s="356">
        <f>BA130-$BA$4</f>
        <v>46091</v>
      </c>
      <c r="AW130" s="345" t="str">
        <f>IF(_xlfn.XLOOKUP($E130,'[1]Import Eletra'!$B:$B,'[1]Import Eletra'!$AU:$AU,,0,1)=0,"",_xlfn.XLOOKUP($E130,'[1]Import Eletra'!$B:$B,'[1]Import Eletra'!$AU:$AU,,0,1))</f>
        <v/>
      </c>
      <c r="AX130" s="309">
        <f>$AV$4</f>
        <v>0</v>
      </c>
      <c r="AY130" s="309">
        <f ca="1">IF(AW130="",TODAY()-AV130,AW130-AV130)</f>
        <v>120</v>
      </c>
      <c r="AZ130" s="310">
        <f ca="1">IF(AND(ISNUMBER($AY130),$AY130&gt;0),$AY130-$AX130,"")</f>
        <v>120</v>
      </c>
      <c r="BA130" s="359">
        <f>BF130-$BF$4</f>
        <v>46091</v>
      </c>
      <c r="BB130" s="345" t="str">
        <f>IF(_xlfn.XLOOKUP($E130,'[1]Import Eletra'!$B:$B,'[1]Import Eletra'!$AW:$AW,,0,1)=0,"",_xlfn.XLOOKUP($E130,'[1]Import Eletra'!$B:$B,'[1]Import Eletra'!$AW:$AW,,0,1))</f>
        <v/>
      </c>
      <c r="BC130" s="309">
        <f>$BA$4</f>
        <v>0</v>
      </c>
      <c r="BD130" s="309">
        <f ca="1">IF(BB130="",TODAY()-BA130,BB130-BA130)</f>
        <v>120</v>
      </c>
      <c r="BE130" s="310">
        <f ca="1">BD130-BC130</f>
        <v>120</v>
      </c>
      <c r="BF130" s="336">
        <f>BK130-$BK$4</f>
        <v>46091</v>
      </c>
      <c r="BG130" s="345" t="str">
        <f>IF(_xlfn.XLOOKUP($E130,'[1]Import Eletra'!$B:$B,'[1]Import Eletra'!$AX:$AX,,0,1)=0,"",_xlfn.XLOOKUP($E130,'[1]Import Eletra'!$B:$B,'[1]Import Eletra'!$AX:$AX,,0,1))</f>
        <v/>
      </c>
      <c r="BH130" s="309">
        <f>$BF$4</f>
        <v>0</v>
      </c>
      <c r="BI130" s="309">
        <f ca="1">IF(BG130="",TODAY()-BF130,BG130-BF130)</f>
        <v>120</v>
      </c>
      <c r="BJ130" s="310">
        <f ca="1">IF(AND(ISNUMBER($BI130),$BI130&gt;0),$BI130-$BH130,"")</f>
        <v>120</v>
      </c>
      <c r="BK130" s="363">
        <f>BP130-$BP$4</f>
        <v>46091</v>
      </c>
      <c r="BL130" s="345" t="str">
        <f>IF(_xlfn.XLOOKUP($E130,'[1]Import Eletra'!$B:$B,'[1]Import Eletra'!$AY:$AY,,0,1)=0,"",_xlfn.XLOOKUP($E130,'[1]Import Eletra'!$B:$B,'[1]Import Eletra'!$AY:$AY,,0,1))</f>
        <v/>
      </c>
      <c r="BM130" s="309">
        <f>$BK$4</f>
        <v>0</v>
      </c>
      <c r="BN130" s="309">
        <f ca="1">IF(BL130="",TODAY()-BK130,BL130-BK130)</f>
        <v>120</v>
      </c>
      <c r="BO130" s="310">
        <f ca="1">BN130-BM130</f>
        <v>120</v>
      </c>
      <c r="BP130" s="336">
        <f>BU130-$BU$4</f>
        <v>46091</v>
      </c>
      <c r="BQ130" s="345" t="str">
        <f>IF(_xlfn.XLOOKUP($E130,'[1]Import Eletra'!$B:$B,'[1]Import Eletra'!$AZ:$AZ,,0,1)=0,"",_xlfn.XLOOKUP($E130,'[1]Import Eletra'!$B:$B,'[1]Import Eletra'!$AZ:$AZ,,0,1))</f>
        <v/>
      </c>
      <c r="BR130" s="309">
        <f>$BP$4</f>
        <v>0</v>
      </c>
      <c r="BS130" s="309">
        <f ca="1">IF(BQ130="",TODAY()-BP130,BQ130-BP130)</f>
        <v>120</v>
      </c>
      <c r="BT130" s="310">
        <f ca="1">BS130-BR130</f>
        <v>120</v>
      </c>
      <c r="BU130" s="363">
        <f>BZ130-$BZ$4</f>
        <v>46093</v>
      </c>
      <c r="BV130" s="345" t="str">
        <f>IF(_xlfn.XLOOKUP($E130,'[1]Import Eletra'!$B:$B,'[1]Import Eletra'!$BA:$BA,,0,1)=0,"",_xlfn.XLOOKUP($E130,'[1]Import Eletra'!$B:$B,'[1]Import Eletra'!$BA:$BA,,0,1))</f>
        <v/>
      </c>
      <c r="BW130" s="309">
        <f>$BU$4</f>
        <v>2</v>
      </c>
      <c r="BX130" s="309">
        <f ca="1">IF(BV130="",TODAY()-BU130,BV130-BU130)</f>
        <v>118</v>
      </c>
      <c r="BY130" s="310">
        <f ca="1">IF(AND(ISNUMBER($BX130),$BX130&gt;0),$BX130-$BW130,"")</f>
        <v>116</v>
      </c>
      <c r="BZ130" s="336">
        <f>CE130-$CE$4</f>
        <v>46093</v>
      </c>
      <c r="CA130" s="345" t="str">
        <f>IF(_xlfn.XLOOKUP($E130,'[1]Import Eletra'!$B:$B,'[1]Import Eletra'!$BB:$BB,,0,1)=0,"",_xlfn.XLOOKUP($E130,'[1]Import Eletra'!$B:$B,'[1]Import Eletra'!$BB:$BB,,0,1))</f>
        <v/>
      </c>
      <c r="CB130" s="309">
        <f>$BZ$4</f>
        <v>0</v>
      </c>
      <c r="CC130" s="309">
        <f ca="1">IF(CA130="",TODAY()-BZ130,CA130-BZ130)</f>
        <v>118</v>
      </c>
      <c r="CD130" s="310">
        <f ca="1">CC130-CB130</f>
        <v>118</v>
      </c>
      <c r="CE130" s="363">
        <f>CJ130-$CJ$4</f>
        <v>46093</v>
      </c>
      <c r="CF130" s="345" t="str">
        <f>IF(_xlfn.XLOOKUP($E130,'[1]Import Eletra'!$B:$B,'[1]Import Eletra'!$BC:$BC,,0,1)=0,"",_xlfn.XLOOKUP($E130,'[1]Import Eletra'!$B:$B,'[1]Import Eletra'!$BC:$BC,,0,1))</f>
        <v/>
      </c>
      <c r="CG130" s="309">
        <f>$CE$4</f>
        <v>0</v>
      </c>
      <c r="CH130" s="309">
        <f ca="1">IF(CF130="",TODAY()-CE130,CF130-CE130)</f>
        <v>118</v>
      </c>
      <c r="CI130" s="310">
        <f ca="1">CH130-CG130</f>
        <v>118</v>
      </c>
      <c r="CJ130" s="336">
        <f>CO130-$CO$4</f>
        <v>46093</v>
      </c>
      <c r="CK130" s="345" t="str">
        <f>IF(_xlfn.XLOOKUP($E130,'[1]Import Eletra'!$B:$B,'[1]Import Eletra'!$BD:$BD,,0,1)=0,"",_xlfn.XLOOKUP($E130,'[1]Import Eletra'!$B:$B,'[1]Import Eletra'!$BD:$BD,,0,1))</f>
        <v/>
      </c>
      <c r="CL130" s="309"/>
      <c r="CM130" s="309">
        <f ca="1">IF(CK130="",TODAY()-CJ130,CK130-CJ130)</f>
        <v>118</v>
      </c>
      <c r="CN130" s="310">
        <f ca="1">CM130-CL130</f>
        <v>118</v>
      </c>
      <c r="CO130" s="363">
        <f>CT130-$CT$4</f>
        <v>46093</v>
      </c>
      <c r="CP130" s="345" t="str">
        <f>IF(_xlfn.XLOOKUP($E130,'[1]Import Eletra'!$B:$B,'[1]Import Eletra'!$BE:$BE,,0,1)=0,"",_xlfn.XLOOKUP($E130,'[1]Import Eletra'!$B:$B,'[1]Import Eletra'!$BE:$BE,,0,1))</f>
        <v/>
      </c>
      <c r="CQ130" s="309">
        <f>$CO$4</f>
        <v>0</v>
      </c>
      <c r="CR130" s="309">
        <f ca="1">IF(CP130="",TODAY()-CO130,CP130-CO130)</f>
        <v>118</v>
      </c>
      <c r="CS130" s="310">
        <f ca="1">CR130-CQ130</f>
        <v>118</v>
      </c>
      <c r="CT130" s="336">
        <f>CY130-$CY$4</f>
        <v>46093</v>
      </c>
      <c r="CU130" s="345" t="str">
        <f>IF(_xlfn.XLOOKUP($E130,'[1]Import Eletra'!$B:$B,'[1]Import Eletra'!$BF:$BF,,0,1)=0,"",_xlfn.XLOOKUP($E130,'[1]Import Eletra'!$B:$B,'[1]Import Eletra'!$BF:$BF,,0,1))</f>
        <v/>
      </c>
      <c r="CV130" s="309">
        <f>$CT$4</f>
        <v>0</v>
      </c>
      <c r="CW130" s="309">
        <f ca="1">IF(CU130="",TODAY()-CT130,CU130-CT130)</f>
        <v>118</v>
      </c>
      <c r="CX130" s="310">
        <f ca="1">CW130-CV130</f>
        <v>118</v>
      </c>
      <c r="CY130" s="85">
        <f>DD130-$DD$4</f>
        <v>46093</v>
      </c>
      <c r="CZ130" s="271" t="str">
        <f>IF(_xlfn.XLOOKUP($E130,'[1]Import Eletra'!$B:$B,'[1]Import Eletra'!$BF:$BF,,0,1)=0,"",_xlfn.XLOOKUP($E130,'[1]Import Eletra'!$B:$B,'[1]Import Eletra'!$BF:$BF,,0,1))</f>
        <v/>
      </c>
      <c r="DA130" s="311">
        <f>$CY$4</f>
        <v>0</v>
      </c>
      <c r="DB130" s="309">
        <f ca="1">IF(CZ130="",TODAY()-CY130,CZ130-CY130)</f>
        <v>118</v>
      </c>
      <c r="DC130" s="310">
        <f ca="1">DB130-DA130</f>
        <v>118</v>
      </c>
      <c r="DD130" s="85">
        <f>DI130-$DI$4</f>
        <v>46095</v>
      </c>
      <c r="DE130" s="271" t="str">
        <f>IF(_xlfn.XLOOKUP($E130,'[1]Import Eletra'!$B:$B,'[1]Import Eletra'!$BG:$BG,,0,1)=0,"",_xlfn.XLOOKUP($E130,'[1]Import Eletra'!$B:$B,'[1]Import Eletra'!$BG:$BG,0,1))</f>
        <v/>
      </c>
      <c r="DF130" s="309">
        <f>$DD$4</f>
        <v>2</v>
      </c>
      <c r="DG130" s="309">
        <f ca="1">IF(DE130="",TODAY()-DD130,DE130-DD130)</f>
        <v>116</v>
      </c>
      <c r="DH130" s="310">
        <f ca="1">DG130-DF130</f>
        <v>114</v>
      </c>
      <c r="DI130" s="85">
        <f>DO130-$DN$4</f>
        <v>46096</v>
      </c>
      <c r="DJ130" s="271" t="str">
        <f>IF(_xlfn.XLOOKUP($E130,'[1]Import Eletra'!$B:$B,'[1]Import Eletra'!$BH:$BH,,0,1)=0,"",_xlfn.XLOOKUP($E130,'[1]Import Eletra'!$B:$B,'[1]Import Eletra'!$BH:$BH,0,1))</f>
        <v/>
      </c>
      <c r="DK130" s="309">
        <f>$DI$4</f>
        <v>1</v>
      </c>
      <c r="DL130" s="309">
        <f ca="1">IF(DJ130="",TODAY()-DI130,DJ130-DI130)</f>
        <v>115</v>
      </c>
      <c r="DM130" s="310">
        <f ca="1">DL130-DK130</f>
        <v>114</v>
      </c>
      <c r="DN130" s="312"/>
      <c r="DO130" s="313">
        <f>IF(V130="",N130+DT130,V130+DT130)</f>
        <v>46097</v>
      </c>
      <c r="DP130" s="59">
        <f>IF(_xlfn.XLOOKUP($E130,'[1]Import Eletra'!$B:$B,'[1]Import Eletra'!$O:$O,,0,1)=0,"",_xlfn.XLOOKUP($E130,'[1]Import Eletra'!$B:$B,'[1]Import Eletra'!$O:$O,0,1))</f>
        <v>46090</v>
      </c>
      <c r="DQ130" s="309">
        <f>$DN$4</f>
        <v>1</v>
      </c>
      <c r="DR130" s="309">
        <f ca="1">IF(DP130="",TODAY()-DO130,DP130-DO130)</f>
        <v>-7</v>
      </c>
      <c r="DS130" s="310">
        <f ca="1">DR130-DQ130</f>
        <v>-8</v>
      </c>
      <c r="DT130" s="314">
        <v>17</v>
      </c>
      <c r="DU130" s="140">
        <f ca="1">IF(DP130="",TODAY()-N130,DP130-N130)</f>
        <v>17</v>
      </c>
      <c r="DV130" s="184">
        <f ca="1">DU130-DT130</f>
        <v>0</v>
      </c>
      <c r="DX130" s="316"/>
      <c r="DY130" s="108" t="str">
        <f>IF(_xlfn.XLOOKUP($E130,'[1]Import Eletra'!$B:$B,'[1]Import Eletra'!$DW:$DW,,0,1)=0,"",_xlfn.XLOOKUP($E130,'[1]Import Eletra'!$B:$B,'[1]Import Eletra'!$DW:$DW,0,1))</f>
        <v/>
      </c>
      <c r="EB130" s="317"/>
      <c r="ED130" s="406">
        <f>IF(_xlfn.XLOOKUP($E130,'[1]Import Eletra'!$B:$B,'[1]Import Eletra'!$BQ:$BQ,,0,1)=0,"",_xlfn.XLOOKUP($E130,'[1]Import Eletra'!$B:$B,'[1]Import Eletra'!$BQ:$BQ,0,1))</f>
        <v>151842.14000000001</v>
      </c>
      <c r="EE130" s="407">
        <f>IF(_xlfn.XLOOKUP($E130,'[1]Import Eletra'!$B:$B,'[1]Import Eletra'!$BR:$BR,,0,1)=0,"",_xlfn.XLOOKUP($E130,'[1]Import Eletra'!$B:$B,'[1]Import Eletra'!$BR:$BR,0,1))</f>
        <v>46122</v>
      </c>
      <c r="EF130" s="406" t="str">
        <f>IF(_xlfn.XLOOKUP($E130,'[1]Import Eletra'!$B:$B,'[1]Import Eletra'!$BS:$BS,,0,1)=0,"",_xlfn.XLOOKUP($E130,'[1]Import Eletra'!$B:$B,'[1]Import Eletra'!$BS:$BS,0,1))</f>
        <v/>
      </c>
      <c r="EG130" s="407" t="str">
        <f>IF(_xlfn.XLOOKUP($E130,'[1]Import Eletra'!$B:$B,'[1]Import Eletra'!$BT:$BT,,0,1)=0,"",_xlfn.XLOOKUP($E130,'[1]Import Eletra'!$B:$B,'[1]Import Eletra'!$BT:$BT,0,1))</f>
        <v/>
      </c>
      <c r="EH130" s="406" t="str">
        <f>IF(_xlfn.XLOOKUP($E130,'[1]Import Eletra'!$B:$B,'[1]Import Eletra'!$BU:$BU,,0,1)=0,"",_xlfn.XLOOKUP($E130,'[1]Import Eletra'!$B:$B,'[1]Import Eletra'!$BU:$BU,0,1))</f>
        <v/>
      </c>
      <c r="EI130" s="407" t="str">
        <f>IF(_xlfn.XLOOKUP($E130,'[1]Import Eletra'!$B:$B,'[1]Import Eletra'!$BV:$BV,,0,1)=0,"",_xlfn.XLOOKUP($E130,'[1]Import Eletra'!$B:$B,'[1]Import Eletra'!$BV:$BV,0,1))</f>
        <v/>
      </c>
      <c r="EJ130" s="407" t="str">
        <f>IF(_xlfn.XLOOKUP($E130,'[1]Import Eletra'!$B:$B,'[1]Import Eletra'!$CI:$CI,,0,1)=0,"",_xlfn.XLOOKUP($E130,'[1]Import Eletra'!$B:$B,'[1]Import Eletra'!$CI:$CI,0,1))</f>
        <v/>
      </c>
      <c r="EK130" s="407" t="str">
        <f>IF(_xlfn.XLOOKUP($E130,'[1]Import Eletra'!$B:$B,'[1]Import Eletra'!$CD:$CD,,0,1)=0,"",_xlfn.XLOOKUP($E130,'[1]Import Eletra'!$B:$B,'[1]Import Eletra'!$CD:$CD,0,1))</f>
        <v/>
      </c>
      <c r="EL130" s="407" t="str">
        <f>IF(_xlfn.XLOOKUP($E130,'[1]Import Eletra'!$B:$B,'[1]Import Eletra'!$CE:$CE,,0,1)=0,"",_xlfn.XLOOKUP($E130,'[1]Import Eletra'!$B:$B,'[1]Import Eletra'!$CE:$CE,0,1))</f>
        <v>NÃO</v>
      </c>
      <c r="EM130" s="408" t="str">
        <f>IF(_xlfn.XLOOKUP($E130,'[1]Import Eletra'!$B:$B,'[1]Import Eletra'!$E:$E,,0,1)=0,"",_xlfn.XLOOKUP($E130,'[1]Import Eletra'!$B:$B,'[1]Import Eletra'!$E:$E,0,1))</f>
        <v>LEISIANE</v>
      </c>
      <c r="EN130" s="408" t="str">
        <f>IF(_xlfn.XLOOKUP($E130,'[1]Import Eletra'!$B:$B,'[1]Import Eletra'!$E:$E,,0,1)=0,"",_xlfn.XLOOKUP($E130,'[1]Import Eletra'!$B:$B,'[1]Import Eletra'!$E:$E,0,1))</f>
        <v>LEISIANE</v>
      </c>
      <c r="EO130" s="408" t="str">
        <f>IF(_xlfn.XLOOKUP($E130,'[1]Import Eletra'!$B:$B,'[1]Import Eletra'!$E:$E,,0,1)=0,"",_xlfn.XLOOKUP($E130,'[1]Import Eletra'!$B:$B,'[1]Import Eletra'!$E:$E,0,1))</f>
        <v>LEISIANE</v>
      </c>
      <c r="EP130" s="408" t="str">
        <f>IF(_xlfn.XLOOKUP($E130,'[1]Import Eletra'!$B:$B,'[1]Import Eletra'!$E:$E,,0,1)=0,"",_xlfn.XLOOKUP($E130,'[1]Import Eletra'!$B:$B,'[1]Import Eletra'!$E:$E,0,1))</f>
        <v>LEISIANE</v>
      </c>
    </row>
    <row r="131" spans="1:146" s="315" customFormat="1" ht="30" hidden="1" customHeight="1" outlineLevel="1">
      <c r="A131" s="305"/>
      <c r="B131" s="306"/>
      <c r="C131" s="306"/>
      <c r="D131" s="306"/>
      <c r="E131" s="318" t="s">
        <v>427</v>
      </c>
      <c r="F131" s="307" t="str">
        <f>IF(_xlfn.XLOOKUP($E131,'[1]Import Eletra'!$B:$B,'[1]Import Eletra'!$U:$U,,0,1)=0,"",_xlfn.XLOOKUP($E131,'[1]Import Eletra'!$B:$B,'[1]Import Eletra'!$U:$U,,0,1))</f>
        <v/>
      </c>
      <c r="G131" s="320" t="s">
        <v>244</v>
      </c>
      <c r="H131" s="59" t="str">
        <f>_xlfn.XLOOKUP($E131,'[1]Import Eletra'!$B:$B,'[1]Import Eletra'!$F:$F,,0,1)</f>
        <v>DELIVERED</v>
      </c>
      <c r="I131" s="4" t="str">
        <f>_xlfn.XLOOKUP($E131,'[1]Import Eletra'!$B:$B,'[1]Import Eletra'!$G:$G,,0,1)</f>
        <v>AIR</v>
      </c>
      <c r="J131" s="331"/>
      <c r="K131" s="308"/>
      <c r="L131" s="308"/>
      <c r="M131" s="331">
        <f>IF(_xlfn.XLOOKUP($E131,'[1]Import Eletra'!$B:$B,'[1]Import Eletra'!$J:$J,,0,1)=0,"",_xlfn.XLOOKUP($E131,'[1]Import Eletra'!$B:$B,'[1]Import Eletra'!$J:$J,,0,1))</f>
        <v>46067</v>
      </c>
      <c r="N131" s="334">
        <f>IF(_xlfn.XLOOKUP($E131,'[1]Import Eletra'!$B:$B,'[1]Import Eletra'!$L:$L,,0,1)=0,"",_xlfn.XLOOKUP($E131,'[1]Import Eletra'!$B:$B,'[1]Import Eletra'!$L:$L,,0,1))</f>
        <v>46073</v>
      </c>
      <c r="O131" s="336">
        <f>IF(_xlfn.XLOOKUP($E131,'[1]Import Eletra'!$B:$B,'[1]Import Eletra'!$AK:$AK,,0,1)=0,"",_xlfn.XLOOKUP($E131,'[1]Import Eletra'!$B:$B,'[1]Import Eletra'!$AK:$AK,,0,1))</f>
        <v>46071</v>
      </c>
      <c r="P131" s="331">
        <f>IF(_xlfn.XLOOKUP($E131,'[1]Import Eletra'!$B:$B,'[1]Import Eletra'!$AL:$AL,,0,1)=0,"",_xlfn.XLOOKUP($E131,'[1]Import Eletra'!$B:$B,'[1]Import Eletra'!$AL:$AL,,0,1))</f>
        <v>46079</v>
      </c>
      <c r="Q131" s="331">
        <f>IF(_xlfn.XLOOKUP($E131,'[1]Import Eletra'!$B:$B,'[1]Import Eletra'!$AM:$AM,,0,1)=0,"",_xlfn.XLOOKUP($E131,'[1]Import Eletra'!$B:$B,'[1]Import Eletra'!$AM:$AM,,0,1))</f>
        <v>46079</v>
      </c>
      <c r="R131" s="331">
        <f>IF(_xlfn.XLOOKUP($E131,'[1]Import Eletra'!$B:$B,'[1]Import Eletra'!$AN:$AN,,0,1)=0,"",_xlfn.XLOOKUP($E131,'[1]Import Eletra'!$B:$B,'[1]Import Eletra'!$AN:$AN,,0,1))</f>
        <v>46079</v>
      </c>
      <c r="S131" s="331">
        <f>IF(_xlfn.XLOOKUP($E131,'[1]Import Eletra'!$B:$B,'[1]Import Eletra'!$AO:$AO,,0,1)=0,"",_xlfn.XLOOKUP($E131,'[1]Import Eletra'!$B:$B,'[1]Import Eletra'!$AO:$AO,,0,1))</f>
        <v>46079</v>
      </c>
      <c r="T131" s="331">
        <f>IF(_xlfn.XLOOKUP($E131,'[1]Import Eletra'!$B:$B,'[1]Import Eletra'!$AP:$AP,,0,1)=0,"",_xlfn.XLOOKUP($E131,'[1]Import Eletra'!$B:$B,'[1]Import Eletra'!$AP:$AP,,0,1))</f>
        <v>46079</v>
      </c>
      <c r="U131" s="338">
        <f>IF(_xlfn.XLOOKUP($E131,'[1]Import Eletra'!$B:$B,'[1]Import Eletra'!$AQ:$AQ,,0,1)=0,"",_xlfn.XLOOKUP($E131,'[1]Import Eletra'!$B:$B,'[1]Import Eletra'!$AQ:$AQ,,0,1))</f>
        <v>46080</v>
      </c>
      <c r="V131" s="343">
        <f>IF(_xlfn.XLOOKUP($E131,'[1]Import Eletra'!$B:$B,'[1]Import Eletra'!$AQ:$AQ,,0,1)=0,"",_xlfn.XLOOKUP($E131,'[1]Import Eletra'!$B:$B,'[1]Import Eletra'!$AQ:$AQ,,0,1))</f>
        <v>46080</v>
      </c>
      <c r="W131" s="336">
        <f>AB131-$AB$4</f>
        <v>46090</v>
      </c>
      <c r="X131" s="345">
        <f>IF(_xlfn.XLOOKUP($E131,'[1]Import Eletra'!$B:$B,'[1]Import Eletra'!$AR:$AR,,0,1)=0,"",_xlfn.XLOOKUP($E131,'[1]Import Eletra'!$B:$B,'[1]Import Eletra'!$AR:$AR,,0,1))</f>
        <v>46076</v>
      </c>
      <c r="Y131" s="309">
        <f>$W$4</f>
        <v>0</v>
      </c>
      <c r="Z131" s="309">
        <f ca="1">IF(X131="",TODAY()-W131,X131-W131)</f>
        <v>-14</v>
      </c>
      <c r="AA131" s="310" t="str">
        <f ca="1">IF(AND(ISNUMBER($Z131),$Z131&gt;0),$Z131-$Y131,"")</f>
        <v/>
      </c>
      <c r="AB131" s="350">
        <f>AG131-$AB$4</f>
        <v>46090</v>
      </c>
      <c r="AC131" s="345">
        <f>IF(_xlfn.XLOOKUP($E131,'[1]Import Eletra'!$B:$B,'[1]Import Eletra'!$AD:$AD,,0,1)=0,"",_xlfn.XLOOKUP($E131,'[1]Import Eletra'!$B:$B,'[1]Import Eletra'!$AD:$AD,,0,1))</f>
        <v>46084</v>
      </c>
      <c r="AD131" s="309">
        <f>$AB$4</f>
        <v>0</v>
      </c>
      <c r="AE131" s="309">
        <f ca="1">IF(AC131="",TODAY()-AB131,AC131-AB131)</f>
        <v>-6</v>
      </c>
      <c r="AF131" s="310">
        <f ca="1">AE131-AD131</f>
        <v>-6</v>
      </c>
      <c r="AG131" s="356">
        <f>AL131-$AL$4</f>
        <v>46090</v>
      </c>
      <c r="AH131" s="345">
        <f>IF(_xlfn.XLOOKUP($E131,'[1]Import Eletra'!$B:$B,'[1]Import Eletra'!$AE:$AE,,0,1)=0,"",_xlfn.XLOOKUP($E131,'[1]Import Eletra'!$B:$B,'[1]Import Eletra'!$AE:$AE,,0,1))</f>
        <v>46084</v>
      </c>
      <c r="AI131" s="309">
        <f>$AG$4</f>
        <v>0</v>
      </c>
      <c r="AJ131" s="309">
        <f ca="1">IF(AH131="",TODAY()-AG131,AH131-AG131)</f>
        <v>-6</v>
      </c>
      <c r="AK131" s="310" t="str">
        <f ca="1">IF(AND(ISNUMBER($AJ131),$AJ131&gt;0),$AJ131-$AI131,"")</f>
        <v/>
      </c>
      <c r="AL131" s="356">
        <f>AQ131-$AQ$4</f>
        <v>46090</v>
      </c>
      <c r="AM131" s="345" t="str">
        <f>IF(_xlfn.XLOOKUP($E131,'[1]Import Eletra'!$B:$B,'[1]Import Eletra'!$AT:$AT,,0,1)=0,"",_xlfn.XLOOKUP($E131,'[1]Import Eletra'!$B:$B,'[1]Import Eletra'!$AT:$AT,,0,1))</f>
        <v/>
      </c>
      <c r="AN131" s="309">
        <f>$AL$4</f>
        <v>0</v>
      </c>
      <c r="AO131" s="309">
        <f ca="1">IF(AM131="",TODAY()-AL131,AM131-AL131)</f>
        <v>121</v>
      </c>
      <c r="AP131" s="310">
        <f ca="1">IF(AND(ISNUMBER($AO131),$AO131&gt;0),$AO131-$AN131,"")</f>
        <v>121</v>
      </c>
      <c r="AQ131" s="359">
        <f>AV131-$AV$4</f>
        <v>46091</v>
      </c>
      <c r="AR131" s="345" t="str">
        <f>IF(_xlfn.XLOOKUP($E131,'[1]Import Eletra'!$B:$B,'[1]Import Eletra'!$AU:$AU,,0,1)=0,"",_xlfn.XLOOKUP($E131,'[1]Import Eletra'!$B:$B,'[1]Import Eletra'!$AU:$AU,,0,1))</f>
        <v/>
      </c>
      <c r="AS131" s="309">
        <f>$AQ$4</f>
        <v>1</v>
      </c>
      <c r="AT131" s="309">
        <f ca="1">IF(AR131="",TODAY()-AQ131,AR131-AQ131)</f>
        <v>120</v>
      </c>
      <c r="AU131" s="310">
        <f ca="1">IF(AND(ISNUMBER($AT131),$AT131&gt;0),$AT131-$AS131,"")</f>
        <v>119</v>
      </c>
      <c r="AV131" s="356">
        <f>BA131-$BA$4</f>
        <v>46091</v>
      </c>
      <c r="AW131" s="345" t="str">
        <f>IF(_xlfn.XLOOKUP($E131,'[1]Import Eletra'!$B:$B,'[1]Import Eletra'!$AU:$AU,,0,1)=0,"",_xlfn.XLOOKUP($E131,'[1]Import Eletra'!$B:$B,'[1]Import Eletra'!$AU:$AU,,0,1))</f>
        <v/>
      </c>
      <c r="AX131" s="309">
        <f>$AV$4</f>
        <v>0</v>
      </c>
      <c r="AY131" s="309">
        <f ca="1">IF(AW131="",TODAY()-AV131,AW131-AV131)</f>
        <v>120</v>
      </c>
      <c r="AZ131" s="310">
        <f ca="1">IF(AND(ISNUMBER($AY131),$AY131&gt;0),$AY131-$AX131,"")</f>
        <v>120</v>
      </c>
      <c r="BA131" s="359">
        <f>BF131-$BF$4</f>
        <v>46091</v>
      </c>
      <c r="BB131" s="345" t="str">
        <f>IF(_xlfn.XLOOKUP($E131,'[1]Import Eletra'!$B:$B,'[1]Import Eletra'!$AW:$AW,,0,1)=0,"",_xlfn.XLOOKUP($E131,'[1]Import Eletra'!$B:$B,'[1]Import Eletra'!$AW:$AW,,0,1))</f>
        <v/>
      </c>
      <c r="BC131" s="309">
        <f>$BA$4</f>
        <v>0</v>
      </c>
      <c r="BD131" s="309">
        <f ca="1">IF(BB131="",TODAY()-BA131,BB131-BA131)</f>
        <v>120</v>
      </c>
      <c r="BE131" s="310">
        <f ca="1">BD131-BC131</f>
        <v>120</v>
      </c>
      <c r="BF131" s="336">
        <f>BK131-$BK$4</f>
        <v>46091</v>
      </c>
      <c r="BG131" s="345" t="str">
        <f>IF(_xlfn.XLOOKUP($E131,'[1]Import Eletra'!$B:$B,'[1]Import Eletra'!$AX:$AX,,0,1)=0,"",_xlfn.XLOOKUP($E131,'[1]Import Eletra'!$B:$B,'[1]Import Eletra'!$AX:$AX,,0,1))</f>
        <v/>
      </c>
      <c r="BH131" s="309">
        <f>$BF$4</f>
        <v>0</v>
      </c>
      <c r="BI131" s="309">
        <f ca="1">IF(BG131="",TODAY()-BF131,BG131-BF131)</f>
        <v>120</v>
      </c>
      <c r="BJ131" s="310">
        <f ca="1">IF(AND(ISNUMBER($BI131),$BI131&gt;0),$BI131-$BH131,"")</f>
        <v>120</v>
      </c>
      <c r="BK131" s="363">
        <f>BP131-$BP$4</f>
        <v>46091</v>
      </c>
      <c r="BL131" s="345" t="str">
        <f>IF(_xlfn.XLOOKUP($E131,'[1]Import Eletra'!$B:$B,'[1]Import Eletra'!$AY:$AY,,0,1)=0,"",_xlfn.XLOOKUP($E131,'[1]Import Eletra'!$B:$B,'[1]Import Eletra'!$AY:$AY,,0,1))</f>
        <v/>
      </c>
      <c r="BM131" s="309">
        <f>$BK$4</f>
        <v>0</v>
      </c>
      <c r="BN131" s="309">
        <f ca="1">IF(BL131="",TODAY()-BK131,BL131-BK131)</f>
        <v>120</v>
      </c>
      <c r="BO131" s="310">
        <f ca="1">BN131-BM131</f>
        <v>120</v>
      </c>
      <c r="BP131" s="336">
        <f>BU131-$BU$4</f>
        <v>46091</v>
      </c>
      <c r="BQ131" s="345" t="str">
        <f>IF(_xlfn.XLOOKUP($E131,'[1]Import Eletra'!$B:$B,'[1]Import Eletra'!$AZ:$AZ,,0,1)=0,"",_xlfn.XLOOKUP($E131,'[1]Import Eletra'!$B:$B,'[1]Import Eletra'!$AZ:$AZ,,0,1))</f>
        <v/>
      </c>
      <c r="BR131" s="309">
        <f>$BP$4</f>
        <v>0</v>
      </c>
      <c r="BS131" s="309">
        <f ca="1">IF(BQ131="",TODAY()-BP131,BQ131-BP131)</f>
        <v>120</v>
      </c>
      <c r="BT131" s="310">
        <f ca="1">BS131-BR131</f>
        <v>120</v>
      </c>
      <c r="BU131" s="363">
        <f>BZ131-$BZ$4</f>
        <v>46093</v>
      </c>
      <c r="BV131" s="345" t="str">
        <f>IF(_xlfn.XLOOKUP($E131,'[1]Import Eletra'!$B:$B,'[1]Import Eletra'!$BA:$BA,,0,1)=0,"",_xlfn.XLOOKUP($E131,'[1]Import Eletra'!$B:$B,'[1]Import Eletra'!$BA:$BA,,0,1))</f>
        <v/>
      </c>
      <c r="BW131" s="309">
        <f>$BU$4</f>
        <v>2</v>
      </c>
      <c r="BX131" s="309">
        <f ca="1">IF(BV131="",TODAY()-BU131,BV131-BU131)</f>
        <v>118</v>
      </c>
      <c r="BY131" s="310">
        <f ca="1">IF(AND(ISNUMBER($BX131),$BX131&gt;0),$BX131-$BW131,"")</f>
        <v>116</v>
      </c>
      <c r="BZ131" s="336">
        <f>CE131-$CE$4</f>
        <v>46093</v>
      </c>
      <c r="CA131" s="345" t="str">
        <f>IF(_xlfn.XLOOKUP($E131,'[1]Import Eletra'!$B:$B,'[1]Import Eletra'!$BB:$BB,,0,1)=0,"",_xlfn.XLOOKUP($E131,'[1]Import Eletra'!$B:$B,'[1]Import Eletra'!$BB:$BB,,0,1))</f>
        <v/>
      </c>
      <c r="CB131" s="309">
        <f>$BZ$4</f>
        <v>0</v>
      </c>
      <c r="CC131" s="309">
        <f ca="1">IF(CA131="",TODAY()-BZ131,CA131-BZ131)</f>
        <v>118</v>
      </c>
      <c r="CD131" s="310">
        <f ca="1">CC131-CB131</f>
        <v>118</v>
      </c>
      <c r="CE131" s="363">
        <f>CJ131-$CJ$4</f>
        <v>46093</v>
      </c>
      <c r="CF131" s="345" t="str">
        <f>IF(_xlfn.XLOOKUP($E131,'[1]Import Eletra'!$B:$B,'[1]Import Eletra'!$BC:$BC,,0,1)=0,"",_xlfn.XLOOKUP($E131,'[1]Import Eletra'!$B:$B,'[1]Import Eletra'!$BC:$BC,,0,1))</f>
        <v/>
      </c>
      <c r="CG131" s="309">
        <f>$CE$4</f>
        <v>0</v>
      </c>
      <c r="CH131" s="309">
        <f ca="1">IF(CF131="",TODAY()-CE131,CF131-CE131)</f>
        <v>118</v>
      </c>
      <c r="CI131" s="310">
        <f ca="1">CH131-CG131</f>
        <v>118</v>
      </c>
      <c r="CJ131" s="336">
        <f>CO131-$CO$4</f>
        <v>46093</v>
      </c>
      <c r="CK131" s="345" t="str">
        <f>IF(_xlfn.XLOOKUP($E131,'[1]Import Eletra'!$B:$B,'[1]Import Eletra'!$BD:$BD,,0,1)=0,"",_xlfn.XLOOKUP($E131,'[1]Import Eletra'!$B:$B,'[1]Import Eletra'!$BD:$BD,,0,1))</f>
        <v/>
      </c>
      <c r="CL131" s="309"/>
      <c r="CM131" s="309">
        <f ca="1">IF(CK131="",TODAY()-CJ131,CK131-CJ131)</f>
        <v>118</v>
      </c>
      <c r="CN131" s="310">
        <f ca="1">CM131-CL131</f>
        <v>118</v>
      </c>
      <c r="CO131" s="363">
        <f>CT131-$CT$4</f>
        <v>46093</v>
      </c>
      <c r="CP131" s="345" t="str">
        <f>IF(_xlfn.XLOOKUP($E131,'[1]Import Eletra'!$B:$B,'[1]Import Eletra'!$BE:$BE,,0,1)=0,"",_xlfn.XLOOKUP($E131,'[1]Import Eletra'!$B:$B,'[1]Import Eletra'!$BE:$BE,,0,1))</f>
        <v/>
      </c>
      <c r="CQ131" s="309">
        <f>$CO$4</f>
        <v>0</v>
      </c>
      <c r="CR131" s="309">
        <f ca="1">IF(CP131="",TODAY()-CO131,CP131-CO131)</f>
        <v>118</v>
      </c>
      <c r="CS131" s="310">
        <f ca="1">CR131-CQ131</f>
        <v>118</v>
      </c>
      <c r="CT131" s="336">
        <f>CY131-$CY$4</f>
        <v>46093</v>
      </c>
      <c r="CU131" s="345" t="str">
        <f>IF(_xlfn.XLOOKUP($E131,'[1]Import Eletra'!$B:$B,'[1]Import Eletra'!$BF:$BF,,0,1)=0,"",_xlfn.XLOOKUP($E131,'[1]Import Eletra'!$B:$B,'[1]Import Eletra'!$BF:$BF,,0,1))</f>
        <v/>
      </c>
      <c r="CV131" s="309">
        <f>$CT$4</f>
        <v>0</v>
      </c>
      <c r="CW131" s="309">
        <f ca="1">IF(CU131="",TODAY()-CT131,CU131-CT131)</f>
        <v>118</v>
      </c>
      <c r="CX131" s="310">
        <f ca="1">CW131-CV131</f>
        <v>118</v>
      </c>
      <c r="CY131" s="85">
        <f>DD131-$DD$4</f>
        <v>46093</v>
      </c>
      <c r="CZ131" s="271" t="str">
        <f>IF(_xlfn.XLOOKUP($E131,'[1]Import Eletra'!$B:$B,'[1]Import Eletra'!$BF:$BF,,0,1)=0,"",_xlfn.XLOOKUP($E131,'[1]Import Eletra'!$B:$B,'[1]Import Eletra'!$BF:$BF,,0,1))</f>
        <v/>
      </c>
      <c r="DA131" s="311">
        <f>$CY$4</f>
        <v>0</v>
      </c>
      <c r="DB131" s="309">
        <f ca="1">IF(CZ131="",TODAY()-CY131,CZ131-CY131)</f>
        <v>118</v>
      </c>
      <c r="DC131" s="310">
        <f ca="1">DB131-DA131</f>
        <v>118</v>
      </c>
      <c r="DD131" s="85">
        <f>DI131-$DI$4</f>
        <v>46095</v>
      </c>
      <c r="DE131" s="271" t="str">
        <f>IF(_xlfn.XLOOKUP($E131,'[1]Import Eletra'!$B:$B,'[1]Import Eletra'!$BG:$BG,,0,1)=0,"",_xlfn.XLOOKUP($E131,'[1]Import Eletra'!$B:$B,'[1]Import Eletra'!$BG:$BG,0,1))</f>
        <v/>
      </c>
      <c r="DF131" s="309">
        <f>$DD$4</f>
        <v>2</v>
      </c>
      <c r="DG131" s="309">
        <f ca="1">IF(DE131="",TODAY()-DD131,DE131-DD131)</f>
        <v>116</v>
      </c>
      <c r="DH131" s="310">
        <f ca="1">DG131-DF131</f>
        <v>114</v>
      </c>
      <c r="DI131" s="85">
        <f>DO131-$DN$4</f>
        <v>46096</v>
      </c>
      <c r="DJ131" s="271" t="str">
        <f>IF(_xlfn.XLOOKUP($E131,'[1]Import Eletra'!$B:$B,'[1]Import Eletra'!$BH:$BH,,0,1)=0,"",_xlfn.XLOOKUP($E131,'[1]Import Eletra'!$B:$B,'[1]Import Eletra'!$BH:$BH,0,1))</f>
        <v/>
      </c>
      <c r="DK131" s="309">
        <f>$DI$4</f>
        <v>1</v>
      </c>
      <c r="DL131" s="309">
        <f ca="1">IF(DJ131="",TODAY()-DI131,DJ131-DI131)</f>
        <v>115</v>
      </c>
      <c r="DM131" s="310">
        <f ca="1">DL131-DK131</f>
        <v>114</v>
      </c>
      <c r="DN131" s="312"/>
      <c r="DO131" s="313">
        <f>IF(V131="",N131+DT131,V131+DT131)</f>
        <v>46097</v>
      </c>
      <c r="DP131" s="59">
        <f>IF(_xlfn.XLOOKUP($E131,'[1]Import Eletra'!$B:$B,'[1]Import Eletra'!$O:$O,,0,1)=0,"",_xlfn.XLOOKUP($E131,'[1]Import Eletra'!$B:$B,'[1]Import Eletra'!$O:$O,0,1))</f>
        <v>46090</v>
      </c>
      <c r="DQ131" s="309">
        <f>$DN$4</f>
        <v>1</v>
      </c>
      <c r="DR131" s="309">
        <f ca="1">IF(DP131="",TODAY()-DO131,DP131-DO131)</f>
        <v>-7</v>
      </c>
      <c r="DS131" s="310">
        <f ca="1">DR131-DQ131</f>
        <v>-8</v>
      </c>
      <c r="DT131" s="314">
        <v>17</v>
      </c>
      <c r="DU131" s="140">
        <f ca="1">IF(DP131="",TODAY()-N131,DP131-N131)</f>
        <v>17</v>
      </c>
      <c r="DV131" s="184">
        <f ca="1">DU131-DT131</f>
        <v>0</v>
      </c>
      <c r="DX131" s="316"/>
      <c r="DY131" s="108" t="str">
        <f>IF(_xlfn.XLOOKUP($E131,'[1]Import Eletra'!$B:$B,'[1]Import Eletra'!$DW:$DW,,0,1)=0,"",_xlfn.XLOOKUP($E131,'[1]Import Eletra'!$B:$B,'[1]Import Eletra'!$DW:$DW,0,1))</f>
        <v/>
      </c>
      <c r="EB131" s="317"/>
      <c r="ED131" s="406">
        <f>IF(_xlfn.XLOOKUP($E131,'[1]Import Eletra'!$B:$B,'[1]Import Eletra'!$BQ:$BQ,,0,1)=0,"",_xlfn.XLOOKUP($E131,'[1]Import Eletra'!$B:$B,'[1]Import Eletra'!$BQ:$BQ,0,1))</f>
        <v>34331.82</v>
      </c>
      <c r="EE131" s="407">
        <f>IF(_xlfn.XLOOKUP($E131,'[1]Import Eletra'!$B:$B,'[1]Import Eletra'!$BR:$BR,,0,1)=0,"",_xlfn.XLOOKUP($E131,'[1]Import Eletra'!$B:$B,'[1]Import Eletra'!$BR:$BR,0,1))</f>
        <v>46122</v>
      </c>
      <c r="EF131" s="406" t="str">
        <f>IF(_xlfn.XLOOKUP($E131,'[1]Import Eletra'!$B:$B,'[1]Import Eletra'!$BS:$BS,,0,1)=0,"",_xlfn.XLOOKUP($E131,'[1]Import Eletra'!$B:$B,'[1]Import Eletra'!$BS:$BS,0,1))</f>
        <v/>
      </c>
      <c r="EG131" s="407" t="str">
        <f>IF(_xlfn.XLOOKUP($E131,'[1]Import Eletra'!$B:$B,'[1]Import Eletra'!$BT:$BT,,0,1)=0,"",_xlfn.XLOOKUP($E131,'[1]Import Eletra'!$B:$B,'[1]Import Eletra'!$BT:$BT,0,1))</f>
        <v/>
      </c>
      <c r="EH131" s="406" t="str">
        <f>IF(_xlfn.XLOOKUP($E131,'[1]Import Eletra'!$B:$B,'[1]Import Eletra'!$BU:$BU,,0,1)=0,"",_xlfn.XLOOKUP($E131,'[1]Import Eletra'!$B:$B,'[1]Import Eletra'!$BU:$BU,0,1))</f>
        <v/>
      </c>
      <c r="EI131" s="407" t="str">
        <f>IF(_xlfn.XLOOKUP($E131,'[1]Import Eletra'!$B:$B,'[1]Import Eletra'!$BV:$BV,,0,1)=0,"",_xlfn.XLOOKUP($E131,'[1]Import Eletra'!$B:$B,'[1]Import Eletra'!$BV:$BV,0,1))</f>
        <v/>
      </c>
      <c r="EJ131" s="407" t="str">
        <f>IF(_xlfn.XLOOKUP($E131,'[1]Import Eletra'!$B:$B,'[1]Import Eletra'!$CI:$CI,,0,1)=0,"",_xlfn.XLOOKUP($E131,'[1]Import Eletra'!$B:$B,'[1]Import Eletra'!$CI:$CI,0,1))</f>
        <v/>
      </c>
      <c r="EK131" s="407" t="str">
        <f>IF(_xlfn.XLOOKUP($E131,'[1]Import Eletra'!$B:$B,'[1]Import Eletra'!$CD:$CD,,0,1)=0,"",_xlfn.XLOOKUP($E131,'[1]Import Eletra'!$B:$B,'[1]Import Eletra'!$CD:$CD,0,1))</f>
        <v/>
      </c>
      <c r="EL131" s="407" t="str">
        <f>IF(_xlfn.XLOOKUP($E131,'[1]Import Eletra'!$B:$B,'[1]Import Eletra'!$CE:$CE,,0,1)=0,"",_xlfn.XLOOKUP($E131,'[1]Import Eletra'!$B:$B,'[1]Import Eletra'!$CE:$CE,0,1))</f>
        <v>NÃO</v>
      </c>
      <c r="EM131" s="408" t="str">
        <f>IF(_xlfn.XLOOKUP($E131,'[1]Import Eletra'!$B:$B,'[1]Import Eletra'!$E:$E,,0,1)=0,"",_xlfn.XLOOKUP($E131,'[1]Import Eletra'!$B:$B,'[1]Import Eletra'!$E:$E,0,1))</f>
        <v>LEISIANE</v>
      </c>
      <c r="EN131" s="408" t="str">
        <f>IF(_xlfn.XLOOKUP($E131,'[1]Import Eletra'!$B:$B,'[1]Import Eletra'!$E:$E,,0,1)=0,"",_xlfn.XLOOKUP($E131,'[1]Import Eletra'!$B:$B,'[1]Import Eletra'!$E:$E,0,1))</f>
        <v>LEISIANE</v>
      </c>
      <c r="EO131" s="408" t="str">
        <f>IF(_xlfn.XLOOKUP($E131,'[1]Import Eletra'!$B:$B,'[1]Import Eletra'!$E:$E,,0,1)=0,"",_xlfn.XLOOKUP($E131,'[1]Import Eletra'!$B:$B,'[1]Import Eletra'!$E:$E,0,1))</f>
        <v>LEISIANE</v>
      </c>
      <c r="EP131" s="408" t="str">
        <f>IF(_xlfn.XLOOKUP($E131,'[1]Import Eletra'!$B:$B,'[1]Import Eletra'!$E:$E,,0,1)=0,"",_xlfn.XLOOKUP($E131,'[1]Import Eletra'!$B:$B,'[1]Import Eletra'!$E:$E,0,1))</f>
        <v>LEISIANE</v>
      </c>
    </row>
    <row r="132" spans="1:146" s="315" customFormat="1" ht="30" hidden="1" customHeight="1" outlineLevel="1">
      <c r="A132" s="305"/>
      <c r="B132" s="306"/>
      <c r="C132" s="306"/>
      <c r="D132" s="306"/>
      <c r="E132" s="318" t="s">
        <v>428</v>
      </c>
      <c r="F132" s="307" t="str">
        <f>IF(_xlfn.XLOOKUP($E132,'[1]Import Eletra'!$B:$B,'[1]Import Eletra'!$U:$U,,0,1)=0,"",_xlfn.XLOOKUP($E132,'[1]Import Eletra'!$B:$B,'[1]Import Eletra'!$U:$U,,0,1))</f>
        <v/>
      </c>
      <c r="G132" s="320" t="s">
        <v>244</v>
      </c>
      <c r="H132" s="59" t="str">
        <f>_xlfn.XLOOKUP($E132,'[1]Import Eletra'!$B:$B,'[1]Import Eletra'!$F:$F,,0,1)</f>
        <v>DELIVERED</v>
      </c>
      <c r="I132" s="4" t="str">
        <f>_xlfn.XLOOKUP($E132,'[1]Import Eletra'!$B:$B,'[1]Import Eletra'!$G:$G,,0,1)</f>
        <v>AIR</v>
      </c>
      <c r="J132" s="331"/>
      <c r="K132" s="308"/>
      <c r="L132" s="308"/>
      <c r="M132" s="331">
        <f>IF(_xlfn.XLOOKUP($E132,'[1]Import Eletra'!$B:$B,'[1]Import Eletra'!$J:$J,,0,1)=0,"",_xlfn.XLOOKUP($E132,'[1]Import Eletra'!$B:$B,'[1]Import Eletra'!$J:$J,,0,1))</f>
        <v>46071</v>
      </c>
      <c r="N132" s="334">
        <f>IF(_xlfn.XLOOKUP($E132,'[1]Import Eletra'!$B:$B,'[1]Import Eletra'!$L:$L,,0,1)=0,"",_xlfn.XLOOKUP($E132,'[1]Import Eletra'!$B:$B,'[1]Import Eletra'!$L:$L,,0,1))</f>
        <v>46078</v>
      </c>
      <c r="O132" s="336">
        <f>IF(_xlfn.XLOOKUP($E132,'[1]Import Eletra'!$B:$B,'[1]Import Eletra'!$AK:$AK,,0,1)=0,"",_xlfn.XLOOKUP($E132,'[1]Import Eletra'!$B:$B,'[1]Import Eletra'!$AK:$AK,,0,1))</f>
        <v>46077</v>
      </c>
      <c r="P132" s="331">
        <f>IF(_xlfn.XLOOKUP($E132,'[1]Import Eletra'!$B:$B,'[1]Import Eletra'!$AL:$AL,,0,1)=0,"",_xlfn.XLOOKUP($E132,'[1]Import Eletra'!$B:$B,'[1]Import Eletra'!$AL:$AL,,0,1))</f>
        <v>46086</v>
      </c>
      <c r="Q132" s="331">
        <f>IF(_xlfn.XLOOKUP($E132,'[1]Import Eletra'!$B:$B,'[1]Import Eletra'!$AM:$AM,,0,1)=0,"",_xlfn.XLOOKUP($E132,'[1]Import Eletra'!$B:$B,'[1]Import Eletra'!$AM:$AM,,0,1))</f>
        <v>46090</v>
      </c>
      <c r="R132" s="331">
        <f>IF(_xlfn.XLOOKUP($E132,'[1]Import Eletra'!$B:$B,'[1]Import Eletra'!$AN:$AN,,0,1)=0,"",_xlfn.XLOOKUP($E132,'[1]Import Eletra'!$B:$B,'[1]Import Eletra'!$AN:$AN,,0,1))</f>
        <v>46092</v>
      </c>
      <c r="S132" s="331">
        <f>IF(_xlfn.XLOOKUP($E132,'[1]Import Eletra'!$B:$B,'[1]Import Eletra'!$AO:$AO,,0,1)=0,"",_xlfn.XLOOKUP($E132,'[1]Import Eletra'!$B:$B,'[1]Import Eletra'!$AO:$AO,,0,1))</f>
        <v>46092</v>
      </c>
      <c r="T132" s="331">
        <f>IF(_xlfn.XLOOKUP($E132,'[1]Import Eletra'!$B:$B,'[1]Import Eletra'!$AP:$AP,,0,1)=0,"",_xlfn.XLOOKUP($E132,'[1]Import Eletra'!$B:$B,'[1]Import Eletra'!$AP:$AP,,0,1))</f>
        <v>46092</v>
      </c>
      <c r="U132" s="338">
        <f>IF(_xlfn.XLOOKUP($E132,'[1]Import Eletra'!$B:$B,'[1]Import Eletra'!$AQ:$AQ,,0,1)=0,"",_xlfn.XLOOKUP($E132,'[1]Import Eletra'!$B:$B,'[1]Import Eletra'!$AQ:$AQ,,0,1))</f>
        <v>46092</v>
      </c>
      <c r="V132" s="343">
        <f>IF(_xlfn.XLOOKUP($E132,'[1]Import Eletra'!$B:$B,'[1]Import Eletra'!$AQ:$AQ,,0,1)=0,"",_xlfn.XLOOKUP($E132,'[1]Import Eletra'!$B:$B,'[1]Import Eletra'!$AQ:$AQ,,0,1))</f>
        <v>46092</v>
      </c>
      <c r="W132" s="336">
        <f>AB132-$AB$4</f>
        <v>46102</v>
      </c>
      <c r="X132" s="345">
        <f>IF(_xlfn.XLOOKUP($E132,'[1]Import Eletra'!$B:$B,'[1]Import Eletra'!$AR:$AR,,0,1)=0,"",_xlfn.XLOOKUP($E132,'[1]Import Eletra'!$B:$B,'[1]Import Eletra'!$AR:$AR,,0,1))</f>
        <v>46078</v>
      </c>
      <c r="Y132" s="309">
        <f>$W$4</f>
        <v>0</v>
      </c>
      <c r="Z132" s="309">
        <f ca="1">IF(X132="",TODAY()-W132,X132-W132)</f>
        <v>-24</v>
      </c>
      <c r="AA132" s="310" t="str">
        <f ca="1">IF(AND(ISNUMBER($Z132),$Z132&gt;0),$Z132-$Y132,"")</f>
        <v/>
      </c>
      <c r="AB132" s="350">
        <f>AG132-$AB$4</f>
        <v>46102</v>
      </c>
      <c r="AC132" s="345">
        <f>IF(_xlfn.XLOOKUP($E132,'[1]Import Eletra'!$B:$B,'[1]Import Eletra'!$AD:$AD,,0,1)=0,"",_xlfn.XLOOKUP($E132,'[1]Import Eletra'!$B:$B,'[1]Import Eletra'!$AD:$AD,,0,1))</f>
        <v>46093</v>
      </c>
      <c r="AD132" s="309">
        <f>$AB$4</f>
        <v>0</v>
      </c>
      <c r="AE132" s="309">
        <f ca="1">IF(AC132="",TODAY()-AB132,AC132-AB132)</f>
        <v>-9</v>
      </c>
      <c r="AF132" s="310">
        <f ca="1">AE132-AD132</f>
        <v>-9</v>
      </c>
      <c r="AG132" s="356">
        <f>AL132-$AL$4</f>
        <v>46102</v>
      </c>
      <c r="AH132" s="345">
        <f>IF(_xlfn.XLOOKUP($E132,'[1]Import Eletra'!$B:$B,'[1]Import Eletra'!$AE:$AE,,0,1)=0,"",_xlfn.XLOOKUP($E132,'[1]Import Eletra'!$B:$B,'[1]Import Eletra'!$AE:$AE,,0,1))</f>
        <v>46093</v>
      </c>
      <c r="AI132" s="309">
        <f>$AG$4</f>
        <v>0</v>
      </c>
      <c r="AJ132" s="309">
        <f ca="1">IF(AH132="",TODAY()-AG132,AH132-AG132)</f>
        <v>-9</v>
      </c>
      <c r="AK132" s="310" t="str">
        <f ca="1">IF(AND(ISNUMBER($AJ132),$AJ132&gt;0),$AJ132-$AI132,"")</f>
        <v/>
      </c>
      <c r="AL132" s="356">
        <f>AQ132-$AQ$4</f>
        <v>46102</v>
      </c>
      <c r="AM132" s="345">
        <f>IF(_xlfn.XLOOKUP($E132,'[1]Import Eletra'!$B:$B,'[1]Import Eletra'!$AT:$AT,,0,1)=0,"",_xlfn.XLOOKUP($E132,'[1]Import Eletra'!$B:$B,'[1]Import Eletra'!$AT:$AT,,0,1))</f>
        <v>46094</v>
      </c>
      <c r="AN132" s="309">
        <f>$AL$4</f>
        <v>0</v>
      </c>
      <c r="AO132" s="309">
        <f ca="1">IF(AM132="",TODAY()-AL132,AM132-AL132)</f>
        <v>-8</v>
      </c>
      <c r="AP132" s="310" t="str">
        <f ca="1">IF(AND(ISNUMBER($AO132),$AO132&gt;0),$AO132-$AN132,"")</f>
        <v/>
      </c>
      <c r="AQ132" s="359">
        <f>AV132-$AV$4</f>
        <v>46103</v>
      </c>
      <c r="AR132" s="345">
        <f>IF(_xlfn.XLOOKUP($E132,'[1]Import Eletra'!$B:$B,'[1]Import Eletra'!$AU:$AU,,0,1)=0,"",_xlfn.XLOOKUP($E132,'[1]Import Eletra'!$B:$B,'[1]Import Eletra'!$AU:$AU,,0,1))</f>
        <v>46094</v>
      </c>
      <c r="AS132" s="309">
        <f>$AQ$4</f>
        <v>1</v>
      </c>
      <c r="AT132" s="309">
        <f ca="1">IF(AR132="",TODAY()-AQ132,AR132-AQ132)</f>
        <v>-9</v>
      </c>
      <c r="AU132" s="310" t="str">
        <f ca="1">IF(AND(ISNUMBER($AT132),$AT132&gt;0),$AT132-$AS132,"")</f>
        <v/>
      </c>
      <c r="AV132" s="356">
        <f>BA132-$BA$4</f>
        <v>46103</v>
      </c>
      <c r="AW132" s="345">
        <f>IF(_xlfn.XLOOKUP($E132,'[1]Import Eletra'!$B:$B,'[1]Import Eletra'!$AU:$AU,,0,1)=0,"",_xlfn.XLOOKUP($E132,'[1]Import Eletra'!$B:$B,'[1]Import Eletra'!$AU:$AU,,0,1))</f>
        <v>46094</v>
      </c>
      <c r="AX132" s="309">
        <f>$AV$4</f>
        <v>0</v>
      </c>
      <c r="AY132" s="309">
        <f ca="1">IF(AW132="",TODAY()-AV132,AW132-AV132)</f>
        <v>-9</v>
      </c>
      <c r="AZ132" s="310" t="str">
        <f ca="1">IF(AND(ISNUMBER($AY132),$AY132&gt;0),$AY132-$AX132,"")</f>
        <v/>
      </c>
      <c r="BA132" s="359">
        <f>BF132-$BF$4</f>
        <v>46103</v>
      </c>
      <c r="BB132" s="345">
        <f>IF(_xlfn.XLOOKUP($E132,'[1]Import Eletra'!$B:$B,'[1]Import Eletra'!$AW:$AW,,0,1)=0,"",_xlfn.XLOOKUP($E132,'[1]Import Eletra'!$B:$B,'[1]Import Eletra'!$AW:$AW,,0,1))</f>
        <v>46094</v>
      </c>
      <c r="BC132" s="309">
        <f>$BA$4</f>
        <v>0</v>
      </c>
      <c r="BD132" s="309">
        <f ca="1">IF(BB132="",TODAY()-BA132,BB132-BA132)</f>
        <v>-9</v>
      </c>
      <c r="BE132" s="310">
        <f ca="1">BD132-BC132</f>
        <v>-9</v>
      </c>
      <c r="BF132" s="336">
        <f>BK132-$BK$4</f>
        <v>46103</v>
      </c>
      <c r="BG132" s="345">
        <f>IF(_xlfn.XLOOKUP($E132,'[1]Import Eletra'!$B:$B,'[1]Import Eletra'!$AX:$AX,,0,1)=0,"",_xlfn.XLOOKUP($E132,'[1]Import Eletra'!$B:$B,'[1]Import Eletra'!$AX:$AX,,0,1))</f>
        <v>46094</v>
      </c>
      <c r="BH132" s="309">
        <f>$BF$4</f>
        <v>0</v>
      </c>
      <c r="BI132" s="309">
        <f ca="1">IF(BG132="",TODAY()-BF132,BG132-BF132)</f>
        <v>-9</v>
      </c>
      <c r="BJ132" s="310" t="str">
        <f ca="1">IF(AND(ISNUMBER($BI132),$BI132&gt;0),$BI132-$BH132,"")</f>
        <v/>
      </c>
      <c r="BK132" s="363">
        <f>BP132-$BP$4</f>
        <v>46103</v>
      </c>
      <c r="BL132" s="345" t="str">
        <f>IF(_xlfn.XLOOKUP($E132,'[1]Import Eletra'!$B:$B,'[1]Import Eletra'!$AY:$AY,,0,1)=0,"",_xlfn.XLOOKUP($E132,'[1]Import Eletra'!$B:$B,'[1]Import Eletra'!$AY:$AY,,0,1))</f>
        <v/>
      </c>
      <c r="BM132" s="309">
        <f>$BK$4</f>
        <v>0</v>
      </c>
      <c r="BN132" s="309">
        <f ca="1">IF(BL132="",TODAY()-BK132,BL132-BK132)</f>
        <v>108</v>
      </c>
      <c r="BO132" s="310">
        <f ca="1">BN132-BM132</f>
        <v>108</v>
      </c>
      <c r="BP132" s="336">
        <f>BU132-$BU$4</f>
        <v>46103</v>
      </c>
      <c r="BQ132" s="345" t="str">
        <f>IF(_xlfn.XLOOKUP($E132,'[1]Import Eletra'!$B:$B,'[1]Import Eletra'!$AZ:$AZ,,0,1)=0,"",_xlfn.XLOOKUP($E132,'[1]Import Eletra'!$B:$B,'[1]Import Eletra'!$AZ:$AZ,,0,1))</f>
        <v/>
      </c>
      <c r="BR132" s="309">
        <f>$BP$4</f>
        <v>0</v>
      </c>
      <c r="BS132" s="309">
        <f ca="1">IF(BQ132="",TODAY()-BP132,BQ132-BP132)</f>
        <v>108</v>
      </c>
      <c r="BT132" s="310">
        <f ca="1">BS132-BR132</f>
        <v>108</v>
      </c>
      <c r="BU132" s="363">
        <f>BZ132-$BZ$4</f>
        <v>46105</v>
      </c>
      <c r="BV132" s="345" t="str">
        <f>IF(_xlfn.XLOOKUP($E132,'[1]Import Eletra'!$B:$B,'[1]Import Eletra'!$BA:$BA,,0,1)=0,"",_xlfn.XLOOKUP($E132,'[1]Import Eletra'!$B:$B,'[1]Import Eletra'!$BA:$BA,,0,1))</f>
        <v/>
      </c>
      <c r="BW132" s="309">
        <f>$BU$4</f>
        <v>2</v>
      </c>
      <c r="BX132" s="309">
        <f ca="1">IF(BV132="",TODAY()-BU132,BV132-BU132)</f>
        <v>106</v>
      </c>
      <c r="BY132" s="310">
        <f ca="1">IF(AND(ISNUMBER($BX132),$BX132&gt;0),$BX132-$BW132,"")</f>
        <v>104</v>
      </c>
      <c r="BZ132" s="336">
        <f>CE132-$CE$4</f>
        <v>46105</v>
      </c>
      <c r="CA132" s="345" t="str">
        <f>IF(_xlfn.XLOOKUP($E132,'[1]Import Eletra'!$B:$B,'[1]Import Eletra'!$BB:$BB,,0,1)=0,"",_xlfn.XLOOKUP($E132,'[1]Import Eletra'!$B:$B,'[1]Import Eletra'!$BB:$BB,,0,1))</f>
        <v/>
      </c>
      <c r="CB132" s="309">
        <f>$BZ$4</f>
        <v>0</v>
      </c>
      <c r="CC132" s="309">
        <f ca="1">IF(CA132="",TODAY()-BZ132,CA132-BZ132)</f>
        <v>106</v>
      </c>
      <c r="CD132" s="310">
        <f ca="1">CC132-CB132</f>
        <v>106</v>
      </c>
      <c r="CE132" s="363">
        <f>CJ132-$CJ$4</f>
        <v>46105</v>
      </c>
      <c r="CF132" s="345" t="str">
        <f>IF(_xlfn.XLOOKUP($E132,'[1]Import Eletra'!$B:$B,'[1]Import Eletra'!$BC:$BC,,0,1)=0,"",_xlfn.XLOOKUP($E132,'[1]Import Eletra'!$B:$B,'[1]Import Eletra'!$BC:$BC,,0,1))</f>
        <v/>
      </c>
      <c r="CG132" s="309">
        <f>$CE$4</f>
        <v>0</v>
      </c>
      <c r="CH132" s="309">
        <f ca="1">IF(CF132="",TODAY()-CE132,CF132-CE132)</f>
        <v>106</v>
      </c>
      <c r="CI132" s="310">
        <f ca="1">CH132-CG132</f>
        <v>106</v>
      </c>
      <c r="CJ132" s="336">
        <f>CO132-$CO$4</f>
        <v>46105</v>
      </c>
      <c r="CK132" s="345">
        <f>IF(_xlfn.XLOOKUP($E132,'[1]Import Eletra'!$B:$B,'[1]Import Eletra'!$BD:$BD,,0,1)=0,"",_xlfn.XLOOKUP($E132,'[1]Import Eletra'!$B:$B,'[1]Import Eletra'!$BD:$BD,,0,1))</f>
        <v>46097</v>
      </c>
      <c r="CL132" s="309"/>
      <c r="CM132" s="309">
        <f ca="1">IF(CK132="",TODAY()-CJ132,CK132-CJ132)</f>
        <v>-8</v>
      </c>
      <c r="CN132" s="310">
        <f ca="1">CM132-CL132</f>
        <v>-8</v>
      </c>
      <c r="CO132" s="363">
        <f>CT132-$CT$4</f>
        <v>46105</v>
      </c>
      <c r="CP132" s="345">
        <f>IF(_xlfn.XLOOKUP($E132,'[1]Import Eletra'!$B:$B,'[1]Import Eletra'!$BE:$BE,,0,1)=0,"",_xlfn.XLOOKUP($E132,'[1]Import Eletra'!$B:$B,'[1]Import Eletra'!$BE:$BE,,0,1))</f>
        <v>46101</v>
      </c>
      <c r="CQ132" s="309">
        <f>$CO$4</f>
        <v>0</v>
      </c>
      <c r="CR132" s="309">
        <f ca="1">IF(CP132="",TODAY()-CO132,CP132-CO132)</f>
        <v>-4</v>
      </c>
      <c r="CS132" s="310">
        <f ca="1">CR132-CQ132</f>
        <v>-4</v>
      </c>
      <c r="CT132" s="336">
        <f>CY132-$CY$4</f>
        <v>46105</v>
      </c>
      <c r="CU132" s="345">
        <f>IF(_xlfn.XLOOKUP($E132,'[1]Import Eletra'!$B:$B,'[1]Import Eletra'!$BF:$BF,,0,1)=0,"",_xlfn.XLOOKUP($E132,'[1]Import Eletra'!$B:$B,'[1]Import Eletra'!$BF:$BF,,0,1))</f>
        <v>46101</v>
      </c>
      <c r="CV132" s="309">
        <f>$CT$4</f>
        <v>0</v>
      </c>
      <c r="CW132" s="309">
        <f ca="1">IF(CU132="",TODAY()-CT132,CU132-CT132)</f>
        <v>-4</v>
      </c>
      <c r="CX132" s="310">
        <f ca="1">CW132-CV132</f>
        <v>-4</v>
      </c>
      <c r="CY132" s="85">
        <f>DD132-$DD$4</f>
        <v>46105</v>
      </c>
      <c r="CZ132" s="271">
        <f>IF(_xlfn.XLOOKUP($E132,'[1]Import Eletra'!$B:$B,'[1]Import Eletra'!$BF:$BF,,0,1)=0,"",_xlfn.XLOOKUP($E132,'[1]Import Eletra'!$B:$B,'[1]Import Eletra'!$BF:$BF,,0,1))</f>
        <v>46101</v>
      </c>
      <c r="DA132" s="311">
        <f>$CY$4</f>
        <v>0</v>
      </c>
      <c r="DB132" s="309">
        <f ca="1">IF(CZ132="",TODAY()-CY132,CZ132-CY132)</f>
        <v>-4</v>
      </c>
      <c r="DC132" s="310">
        <f ca="1">DB132-DA132</f>
        <v>-4</v>
      </c>
      <c r="DD132" s="85">
        <f>DI132-$DI$4</f>
        <v>46107</v>
      </c>
      <c r="DE132" s="271">
        <f>IF(_xlfn.XLOOKUP($E132,'[1]Import Eletra'!$B:$B,'[1]Import Eletra'!$BG:$BG,,0,1)=0,"",_xlfn.XLOOKUP($E132,'[1]Import Eletra'!$B:$B,'[1]Import Eletra'!$BG:$BG,0,1))</f>
        <v>46101</v>
      </c>
      <c r="DF132" s="309">
        <f>$DD$4</f>
        <v>2</v>
      </c>
      <c r="DG132" s="309">
        <f ca="1">IF(DE132="",TODAY()-DD132,DE132-DD132)</f>
        <v>-6</v>
      </c>
      <c r="DH132" s="310">
        <f ca="1">DG132-DF132</f>
        <v>-8</v>
      </c>
      <c r="DI132" s="85">
        <f>DO132-$DN$4</f>
        <v>46108</v>
      </c>
      <c r="DJ132" s="271">
        <f>IF(_xlfn.XLOOKUP($E132,'[1]Import Eletra'!$B:$B,'[1]Import Eletra'!$BH:$BH,,0,1)=0,"",_xlfn.XLOOKUP($E132,'[1]Import Eletra'!$B:$B,'[1]Import Eletra'!$BH:$BH,0,1))</f>
        <v>46101</v>
      </c>
      <c r="DK132" s="309">
        <f>$DI$4</f>
        <v>1</v>
      </c>
      <c r="DL132" s="309">
        <f ca="1">IF(DJ132="",TODAY()-DI132,DJ132-DI132)</f>
        <v>-7</v>
      </c>
      <c r="DM132" s="310">
        <f ca="1">DL132-DK132</f>
        <v>-8</v>
      </c>
      <c r="DN132" s="312"/>
      <c r="DO132" s="313">
        <f>IF(V132="",N132+DT132,V132+DT132)</f>
        <v>46109</v>
      </c>
      <c r="DP132" s="59">
        <f>IF(_xlfn.XLOOKUP($E132,'[1]Import Eletra'!$B:$B,'[1]Import Eletra'!$O:$O,,0,1)=0,"",_xlfn.XLOOKUP($E132,'[1]Import Eletra'!$B:$B,'[1]Import Eletra'!$O:$O,0,1))</f>
        <v>46101</v>
      </c>
      <c r="DQ132" s="309">
        <f>$DN$4</f>
        <v>1</v>
      </c>
      <c r="DR132" s="309">
        <f ca="1">IF(DP132="",TODAY()-DO132,DP132-DO132)</f>
        <v>-8</v>
      </c>
      <c r="DS132" s="310">
        <f ca="1">DR132-DQ132</f>
        <v>-9</v>
      </c>
      <c r="DT132" s="314">
        <v>17</v>
      </c>
      <c r="DU132" s="140">
        <f ca="1">IF(DP132="",TODAY()-N132,DP132-N132)</f>
        <v>23</v>
      </c>
      <c r="DV132" s="184">
        <f ca="1">DU132-DT132</f>
        <v>6</v>
      </c>
      <c r="DX132" s="316"/>
      <c r="DY132" s="108" t="str">
        <f>IF(_xlfn.XLOOKUP($E132,'[1]Import Eletra'!$B:$B,'[1]Import Eletra'!$DW:$DW,,0,1)=0,"",_xlfn.XLOOKUP($E132,'[1]Import Eletra'!$B:$B,'[1]Import Eletra'!$DW:$DW,0,1))</f>
        <v/>
      </c>
      <c r="EB132" s="317"/>
      <c r="ED132" s="406">
        <f>IF(_xlfn.XLOOKUP($E132,'[1]Import Eletra'!$B:$B,'[1]Import Eletra'!$BQ:$BQ,,0,1)=0,"",_xlfn.XLOOKUP($E132,'[1]Import Eletra'!$B:$B,'[1]Import Eletra'!$BQ:$BQ,0,1))</f>
        <v>4908</v>
      </c>
      <c r="EE132" s="407">
        <f>IF(_xlfn.XLOOKUP($E132,'[1]Import Eletra'!$B:$B,'[1]Import Eletra'!$BR:$BR,,0,1)=0,"",_xlfn.XLOOKUP($E132,'[1]Import Eletra'!$B:$B,'[1]Import Eletra'!$BR:$BR,0,1))</f>
        <v>46122</v>
      </c>
      <c r="EF132" s="406" t="str">
        <f>IF(_xlfn.XLOOKUP($E132,'[1]Import Eletra'!$B:$B,'[1]Import Eletra'!$BS:$BS,,0,1)=0,"",_xlfn.XLOOKUP($E132,'[1]Import Eletra'!$B:$B,'[1]Import Eletra'!$BS:$BS,0,1))</f>
        <v/>
      </c>
      <c r="EG132" s="407" t="str">
        <f>IF(_xlfn.XLOOKUP($E132,'[1]Import Eletra'!$B:$B,'[1]Import Eletra'!$BT:$BT,,0,1)=0,"",_xlfn.XLOOKUP($E132,'[1]Import Eletra'!$B:$B,'[1]Import Eletra'!$BT:$BT,0,1))</f>
        <v/>
      </c>
      <c r="EH132" s="406" t="str">
        <f>IF(_xlfn.XLOOKUP($E132,'[1]Import Eletra'!$B:$B,'[1]Import Eletra'!$BU:$BU,,0,1)=0,"",_xlfn.XLOOKUP($E132,'[1]Import Eletra'!$B:$B,'[1]Import Eletra'!$BU:$BU,0,1))</f>
        <v/>
      </c>
      <c r="EI132" s="407" t="str">
        <f>IF(_xlfn.XLOOKUP($E132,'[1]Import Eletra'!$B:$B,'[1]Import Eletra'!$BV:$BV,,0,1)=0,"",_xlfn.XLOOKUP($E132,'[1]Import Eletra'!$B:$B,'[1]Import Eletra'!$BV:$BV,0,1))</f>
        <v/>
      </c>
      <c r="EJ132" s="407" t="str">
        <f>IF(_xlfn.XLOOKUP($E132,'[1]Import Eletra'!$B:$B,'[1]Import Eletra'!$CI:$CI,,0,1)=0,"",_xlfn.XLOOKUP($E132,'[1]Import Eletra'!$B:$B,'[1]Import Eletra'!$CI:$CI,0,1))</f>
        <v/>
      </c>
      <c r="EK132" s="407" t="str">
        <f>IF(_xlfn.XLOOKUP($E132,'[1]Import Eletra'!$B:$B,'[1]Import Eletra'!$CD:$CD,,0,1)=0,"",_xlfn.XLOOKUP($E132,'[1]Import Eletra'!$B:$B,'[1]Import Eletra'!$CD:$CD,0,1))</f>
        <v/>
      </c>
      <c r="EL132" s="407" t="str">
        <f>IF(_xlfn.XLOOKUP($E132,'[1]Import Eletra'!$B:$B,'[1]Import Eletra'!$CE:$CE,,0,1)=0,"",_xlfn.XLOOKUP($E132,'[1]Import Eletra'!$B:$B,'[1]Import Eletra'!$CE:$CE,0,1))</f>
        <v>NÃO</v>
      </c>
      <c r="EM132" s="408" t="str">
        <f>IF(_xlfn.XLOOKUP($E132,'[1]Import Eletra'!$B:$B,'[1]Import Eletra'!$E:$E,,0,1)=0,"",_xlfn.XLOOKUP($E132,'[1]Import Eletra'!$B:$B,'[1]Import Eletra'!$E:$E,0,1))</f>
        <v>LEISIANE</v>
      </c>
      <c r="EN132" s="408" t="str">
        <f>IF(_xlfn.XLOOKUP($E132,'[1]Import Eletra'!$B:$B,'[1]Import Eletra'!$E:$E,,0,1)=0,"",_xlfn.XLOOKUP($E132,'[1]Import Eletra'!$B:$B,'[1]Import Eletra'!$E:$E,0,1))</f>
        <v>LEISIANE</v>
      </c>
      <c r="EO132" s="408" t="str">
        <f>IF(_xlfn.XLOOKUP($E132,'[1]Import Eletra'!$B:$B,'[1]Import Eletra'!$E:$E,,0,1)=0,"",_xlfn.XLOOKUP($E132,'[1]Import Eletra'!$B:$B,'[1]Import Eletra'!$E:$E,0,1))</f>
        <v>LEISIANE</v>
      </c>
      <c r="EP132" s="408" t="str">
        <f>IF(_xlfn.XLOOKUP($E132,'[1]Import Eletra'!$B:$B,'[1]Import Eletra'!$E:$E,,0,1)=0,"",_xlfn.XLOOKUP($E132,'[1]Import Eletra'!$B:$B,'[1]Import Eletra'!$E:$E,0,1))</f>
        <v>LEISIANE</v>
      </c>
    </row>
    <row r="133" spans="1:146" s="315" customFormat="1" ht="30" hidden="1" customHeight="1" outlineLevel="1">
      <c r="A133" s="305"/>
      <c r="B133" s="306"/>
      <c r="C133" s="306"/>
      <c r="D133" s="306"/>
      <c r="E133" s="318" t="s">
        <v>429</v>
      </c>
      <c r="F133" s="307" t="str">
        <f>IF(_xlfn.XLOOKUP($E133,'[1]Import Eletra'!$B:$B,'[1]Import Eletra'!$U:$U,,0,1)=0,"",_xlfn.XLOOKUP($E133,'[1]Import Eletra'!$B:$B,'[1]Import Eletra'!$U:$U,,0,1))</f>
        <v/>
      </c>
      <c r="G133" s="320" t="s">
        <v>244</v>
      </c>
      <c r="H133" s="59" t="str">
        <f>_xlfn.XLOOKUP($E133,'[1]Import Eletra'!$B:$B,'[1]Import Eletra'!$F:$F,,0,1)</f>
        <v>DELIVERED</v>
      </c>
      <c r="I133" s="4" t="str">
        <f>_xlfn.XLOOKUP($E133,'[1]Import Eletra'!$B:$B,'[1]Import Eletra'!$G:$G,,0,1)</f>
        <v>AIR</v>
      </c>
      <c r="J133" s="331"/>
      <c r="K133" s="308"/>
      <c r="L133" s="308"/>
      <c r="M133" s="331">
        <f>IF(_xlfn.XLOOKUP($E133,'[1]Import Eletra'!$B:$B,'[1]Import Eletra'!$J:$J,,0,1)=0,"",_xlfn.XLOOKUP($E133,'[1]Import Eletra'!$B:$B,'[1]Import Eletra'!$J:$J,,0,1))</f>
        <v>46063</v>
      </c>
      <c r="N133" s="334">
        <f>IF(_xlfn.XLOOKUP($E133,'[1]Import Eletra'!$B:$B,'[1]Import Eletra'!$L:$L,,0,1)=0,"",_xlfn.XLOOKUP($E133,'[1]Import Eletra'!$B:$B,'[1]Import Eletra'!$L:$L,,0,1))</f>
        <v>46072</v>
      </c>
      <c r="O133" s="336" t="str">
        <f>IF(_xlfn.XLOOKUP($E133,'[1]Import Eletra'!$B:$B,'[1]Import Eletra'!$AK:$AK,,0,1)=0,"",_xlfn.XLOOKUP($E133,'[1]Import Eletra'!$B:$B,'[1]Import Eletra'!$AK:$AK,,0,1))</f>
        <v/>
      </c>
      <c r="P133" s="331">
        <f>IF(_xlfn.XLOOKUP($E133,'[1]Import Eletra'!$B:$B,'[1]Import Eletra'!$AL:$AL,,0,1)=0,"",_xlfn.XLOOKUP($E133,'[1]Import Eletra'!$B:$B,'[1]Import Eletra'!$AL:$AL,,0,1))</f>
        <v>46078</v>
      </c>
      <c r="Q133" s="331">
        <f>IF(_xlfn.XLOOKUP($E133,'[1]Import Eletra'!$B:$B,'[1]Import Eletra'!$AM:$AM,,0,1)=0,"",_xlfn.XLOOKUP($E133,'[1]Import Eletra'!$B:$B,'[1]Import Eletra'!$AM:$AM,,0,1))</f>
        <v>46078</v>
      </c>
      <c r="R133" s="331">
        <f>IF(_xlfn.XLOOKUP($E133,'[1]Import Eletra'!$B:$B,'[1]Import Eletra'!$AN:$AN,,0,1)=0,"",_xlfn.XLOOKUP($E133,'[1]Import Eletra'!$B:$B,'[1]Import Eletra'!$AN:$AN,,0,1))</f>
        <v>46078</v>
      </c>
      <c r="S133" s="331">
        <f>IF(_xlfn.XLOOKUP($E133,'[1]Import Eletra'!$B:$B,'[1]Import Eletra'!$AO:$AO,,0,1)=0,"",_xlfn.XLOOKUP($E133,'[1]Import Eletra'!$B:$B,'[1]Import Eletra'!$AO:$AO,,0,1))</f>
        <v>46079</v>
      </c>
      <c r="T133" s="331">
        <f>IF(_xlfn.XLOOKUP($E133,'[1]Import Eletra'!$B:$B,'[1]Import Eletra'!$AP:$AP,,0,1)=0,"",_xlfn.XLOOKUP($E133,'[1]Import Eletra'!$B:$B,'[1]Import Eletra'!$AP:$AP,,0,1))</f>
        <v>46079</v>
      </c>
      <c r="U133" s="338">
        <f>IF(_xlfn.XLOOKUP($E133,'[1]Import Eletra'!$B:$B,'[1]Import Eletra'!$AQ:$AQ,,0,1)=0,"",_xlfn.XLOOKUP($E133,'[1]Import Eletra'!$B:$B,'[1]Import Eletra'!$AQ:$AQ,,0,1))</f>
        <v>46080</v>
      </c>
      <c r="V133" s="343">
        <f>IF(_xlfn.XLOOKUP($E133,'[1]Import Eletra'!$B:$B,'[1]Import Eletra'!$AQ:$AQ,,0,1)=0,"",_xlfn.XLOOKUP($E133,'[1]Import Eletra'!$B:$B,'[1]Import Eletra'!$AQ:$AQ,,0,1))</f>
        <v>46080</v>
      </c>
      <c r="W133" s="336">
        <f>AB133-$AB$4</f>
        <v>46090</v>
      </c>
      <c r="X133" s="345">
        <f>IF(_xlfn.XLOOKUP($E133,'[1]Import Eletra'!$B:$B,'[1]Import Eletra'!$AR:$AR,,0,1)=0,"",_xlfn.XLOOKUP($E133,'[1]Import Eletra'!$B:$B,'[1]Import Eletra'!$AR:$AR,,0,1))</f>
        <v>46070</v>
      </c>
      <c r="Y133" s="309">
        <f>$W$4</f>
        <v>0</v>
      </c>
      <c r="Z133" s="309">
        <f ca="1">IF(X133="",TODAY()-W133,X133-W133)</f>
        <v>-20</v>
      </c>
      <c r="AA133" s="310" t="str">
        <f ca="1">IF(AND(ISNUMBER($Z133),$Z133&gt;0),$Z133-$Y133,"")</f>
        <v/>
      </c>
      <c r="AB133" s="350">
        <f>AG133-$AB$4</f>
        <v>46090</v>
      </c>
      <c r="AC133" s="345">
        <f>IF(_xlfn.XLOOKUP($E133,'[1]Import Eletra'!$B:$B,'[1]Import Eletra'!$AD:$AD,,0,1)=0,"",_xlfn.XLOOKUP($E133,'[1]Import Eletra'!$B:$B,'[1]Import Eletra'!$AD:$AD,,0,1))</f>
        <v>46083</v>
      </c>
      <c r="AD133" s="309">
        <f>$AB$4</f>
        <v>0</v>
      </c>
      <c r="AE133" s="309">
        <f ca="1">IF(AC133="",TODAY()-AB133,AC133-AB133)</f>
        <v>-7</v>
      </c>
      <c r="AF133" s="310">
        <f ca="1">AE133-AD133</f>
        <v>-7</v>
      </c>
      <c r="AG133" s="356">
        <f>AL133-$AL$4</f>
        <v>46090</v>
      </c>
      <c r="AH133" s="345">
        <f>IF(_xlfn.XLOOKUP($E133,'[1]Import Eletra'!$B:$B,'[1]Import Eletra'!$AE:$AE,,0,1)=0,"",_xlfn.XLOOKUP($E133,'[1]Import Eletra'!$B:$B,'[1]Import Eletra'!$AE:$AE,,0,1))</f>
        <v>46084</v>
      </c>
      <c r="AI133" s="309">
        <f>$AG$4</f>
        <v>0</v>
      </c>
      <c r="AJ133" s="309">
        <f ca="1">IF(AH133="",TODAY()-AG133,AH133-AG133)</f>
        <v>-6</v>
      </c>
      <c r="AK133" s="310" t="str">
        <f ca="1">IF(AND(ISNUMBER($AJ133),$AJ133&gt;0),$AJ133-$AI133,"")</f>
        <v/>
      </c>
      <c r="AL133" s="356">
        <f>AQ133-$AQ$4</f>
        <v>46090</v>
      </c>
      <c r="AM133" s="345" t="str">
        <f>IF(_xlfn.XLOOKUP($E133,'[1]Import Eletra'!$B:$B,'[1]Import Eletra'!$AT:$AT,,0,1)=0,"",_xlfn.XLOOKUP($E133,'[1]Import Eletra'!$B:$B,'[1]Import Eletra'!$AT:$AT,,0,1))</f>
        <v/>
      </c>
      <c r="AN133" s="309">
        <f>$AL$4</f>
        <v>0</v>
      </c>
      <c r="AO133" s="309">
        <f ca="1">IF(AM133="",TODAY()-AL133,AM133-AL133)</f>
        <v>121</v>
      </c>
      <c r="AP133" s="310">
        <f ca="1">IF(AND(ISNUMBER($AO133),$AO133&gt;0),$AO133-$AN133,"")</f>
        <v>121</v>
      </c>
      <c r="AQ133" s="359">
        <f>AV133-$AV$4</f>
        <v>46091</v>
      </c>
      <c r="AR133" s="345" t="str">
        <f>IF(_xlfn.XLOOKUP($E133,'[1]Import Eletra'!$B:$B,'[1]Import Eletra'!$AU:$AU,,0,1)=0,"",_xlfn.XLOOKUP($E133,'[1]Import Eletra'!$B:$B,'[1]Import Eletra'!$AU:$AU,,0,1))</f>
        <v/>
      </c>
      <c r="AS133" s="309">
        <f>$AQ$4</f>
        <v>1</v>
      </c>
      <c r="AT133" s="309">
        <f ca="1">IF(AR133="",TODAY()-AQ133,AR133-AQ133)</f>
        <v>120</v>
      </c>
      <c r="AU133" s="310">
        <f ca="1">IF(AND(ISNUMBER($AT133),$AT133&gt;0),$AT133-$AS133,"")</f>
        <v>119</v>
      </c>
      <c r="AV133" s="356">
        <f>BA133-$BA$4</f>
        <v>46091</v>
      </c>
      <c r="AW133" s="345" t="str">
        <f>IF(_xlfn.XLOOKUP($E133,'[1]Import Eletra'!$B:$B,'[1]Import Eletra'!$AU:$AU,,0,1)=0,"",_xlfn.XLOOKUP($E133,'[1]Import Eletra'!$B:$B,'[1]Import Eletra'!$AU:$AU,,0,1))</f>
        <v/>
      </c>
      <c r="AX133" s="309">
        <f>$AV$4</f>
        <v>0</v>
      </c>
      <c r="AY133" s="309">
        <f ca="1">IF(AW133="",TODAY()-AV133,AW133-AV133)</f>
        <v>120</v>
      </c>
      <c r="AZ133" s="310">
        <f ca="1">IF(AND(ISNUMBER($AY133),$AY133&gt;0),$AY133-$AX133,"")</f>
        <v>120</v>
      </c>
      <c r="BA133" s="359">
        <f>BF133-$BF$4</f>
        <v>46091</v>
      </c>
      <c r="BB133" s="345" t="str">
        <f>IF(_xlfn.XLOOKUP($E133,'[1]Import Eletra'!$B:$B,'[1]Import Eletra'!$AW:$AW,,0,1)=0,"",_xlfn.XLOOKUP($E133,'[1]Import Eletra'!$B:$B,'[1]Import Eletra'!$AW:$AW,,0,1))</f>
        <v/>
      </c>
      <c r="BC133" s="309">
        <f>$BA$4</f>
        <v>0</v>
      </c>
      <c r="BD133" s="309">
        <f ca="1">IF(BB133="",TODAY()-BA133,BB133-BA133)</f>
        <v>120</v>
      </c>
      <c r="BE133" s="310">
        <f ca="1">BD133-BC133</f>
        <v>120</v>
      </c>
      <c r="BF133" s="336">
        <f>BK133-$BK$4</f>
        <v>46091</v>
      </c>
      <c r="BG133" s="345" t="str">
        <f>IF(_xlfn.XLOOKUP($E133,'[1]Import Eletra'!$B:$B,'[1]Import Eletra'!$AX:$AX,,0,1)=0,"",_xlfn.XLOOKUP($E133,'[1]Import Eletra'!$B:$B,'[1]Import Eletra'!$AX:$AX,,0,1))</f>
        <v/>
      </c>
      <c r="BH133" s="309">
        <f>$BF$4</f>
        <v>0</v>
      </c>
      <c r="BI133" s="309">
        <f ca="1">IF(BG133="",TODAY()-BF133,BG133-BF133)</f>
        <v>120</v>
      </c>
      <c r="BJ133" s="310">
        <f ca="1">IF(AND(ISNUMBER($BI133),$BI133&gt;0),$BI133-$BH133,"")</f>
        <v>120</v>
      </c>
      <c r="BK133" s="363">
        <f>BP133-$BP$4</f>
        <v>46091</v>
      </c>
      <c r="BL133" s="345" t="str">
        <f>IF(_xlfn.XLOOKUP($E133,'[1]Import Eletra'!$B:$B,'[1]Import Eletra'!$AY:$AY,,0,1)=0,"",_xlfn.XLOOKUP($E133,'[1]Import Eletra'!$B:$B,'[1]Import Eletra'!$AY:$AY,,0,1))</f>
        <v/>
      </c>
      <c r="BM133" s="309">
        <f>$BK$4</f>
        <v>0</v>
      </c>
      <c r="BN133" s="309">
        <f ca="1">IF(BL133="",TODAY()-BK133,BL133-BK133)</f>
        <v>120</v>
      </c>
      <c r="BO133" s="310">
        <f ca="1">BN133-BM133</f>
        <v>120</v>
      </c>
      <c r="BP133" s="336">
        <f>BU133-$BU$4</f>
        <v>46091</v>
      </c>
      <c r="BQ133" s="345" t="str">
        <f>IF(_xlfn.XLOOKUP($E133,'[1]Import Eletra'!$B:$B,'[1]Import Eletra'!$AZ:$AZ,,0,1)=0,"",_xlfn.XLOOKUP($E133,'[1]Import Eletra'!$B:$B,'[1]Import Eletra'!$AZ:$AZ,,0,1))</f>
        <v/>
      </c>
      <c r="BR133" s="309">
        <f>$BP$4</f>
        <v>0</v>
      </c>
      <c r="BS133" s="309">
        <f ca="1">IF(BQ133="",TODAY()-BP133,BQ133-BP133)</f>
        <v>120</v>
      </c>
      <c r="BT133" s="310">
        <f ca="1">BS133-BR133</f>
        <v>120</v>
      </c>
      <c r="BU133" s="363">
        <f>BZ133-$BZ$4</f>
        <v>46093</v>
      </c>
      <c r="BV133" s="345" t="str">
        <f>IF(_xlfn.XLOOKUP($E133,'[1]Import Eletra'!$B:$B,'[1]Import Eletra'!$BA:$BA,,0,1)=0,"",_xlfn.XLOOKUP($E133,'[1]Import Eletra'!$B:$B,'[1]Import Eletra'!$BA:$BA,,0,1))</f>
        <v/>
      </c>
      <c r="BW133" s="309">
        <f>$BU$4</f>
        <v>2</v>
      </c>
      <c r="BX133" s="309">
        <f ca="1">IF(BV133="",TODAY()-BU133,BV133-BU133)</f>
        <v>118</v>
      </c>
      <c r="BY133" s="310">
        <f ca="1">IF(AND(ISNUMBER($BX133),$BX133&gt;0),$BX133-$BW133,"")</f>
        <v>116</v>
      </c>
      <c r="BZ133" s="336">
        <f>CE133-$CE$4</f>
        <v>46093</v>
      </c>
      <c r="CA133" s="345" t="str">
        <f>IF(_xlfn.XLOOKUP($E133,'[1]Import Eletra'!$B:$B,'[1]Import Eletra'!$BB:$BB,,0,1)=0,"",_xlfn.XLOOKUP($E133,'[1]Import Eletra'!$B:$B,'[1]Import Eletra'!$BB:$BB,,0,1))</f>
        <v/>
      </c>
      <c r="CB133" s="309">
        <f>$BZ$4</f>
        <v>0</v>
      </c>
      <c r="CC133" s="309">
        <f ca="1">IF(CA133="",TODAY()-BZ133,CA133-BZ133)</f>
        <v>118</v>
      </c>
      <c r="CD133" s="310">
        <f ca="1">CC133-CB133</f>
        <v>118</v>
      </c>
      <c r="CE133" s="363">
        <f>CJ133-$CJ$4</f>
        <v>46093</v>
      </c>
      <c r="CF133" s="345" t="str">
        <f>IF(_xlfn.XLOOKUP($E133,'[1]Import Eletra'!$B:$B,'[1]Import Eletra'!$BC:$BC,,0,1)=0,"",_xlfn.XLOOKUP($E133,'[1]Import Eletra'!$B:$B,'[1]Import Eletra'!$BC:$BC,,0,1))</f>
        <v/>
      </c>
      <c r="CG133" s="309">
        <f>$CE$4</f>
        <v>0</v>
      </c>
      <c r="CH133" s="309">
        <f ca="1">IF(CF133="",TODAY()-CE133,CF133-CE133)</f>
        <v>118</v>
      </c>
      <c r="CI133" s="310">
        <f ca="1">CH133-CG133</f>
        <v>118</v>
      </c>
      <c r="CJ133" s="336">
        <f>CO133-$CO$4</f>
        <v>46093</v>
      </c>
      <c r="CK133" s="345" t="str">
        <f>IF(_xlfn.XLOOKUP($E133,'[1]Import Eletra'!$B:$B,'[1]Import Eletra'!$BD:$BD,,0,1)=0,"",_xlfn.XLOOKUP($E133,'[1]Import Eletra'!$B:$B,'[1]Import Eletra'!$BD:$BD,,0,1))</f>
        <v/>
      </c>
      <c r="CL133" s="309"/>
      <c r="CM133" s="309">
        <f ca="1">IF(CK133="",TODAY()-CJ133,CK133-CJ133)</f>
        <v>118</v>
      </c>
      <c r="CN133" s="310">
        <f ca="1">CM133-CL133</f>
        <v>118</v>
      </c>
      <c r="CO133" s="363">
        <f>CT133-$CT$4</f>
        <v>46093</v>
      </c>
      <c r="CP133" s="345" t="str">
        <f>IF(_xlfn.XLOOKUP($E133,'[1]Import Eletra'!$B:$B,'[1]Import Eletra'!$BE:$BE,,0,1)=0,"",_xlfn.XLOOKUP($E133,'[1]Import Eletra'!$B:$B,'[1]Import Eletra'!$BE:$BE,,0,1))</f>
        <v/>
      </c>
      <c r="CQ133" s="309">
        <f>$CO$4</f>
        <v>0</v>
      </c>
      <c r="CR133" s="309">
        <f ca="1">IF(CP133="",TODAY()-CO133,CP133-CO133)</f>
        <v>118</v>
      </c>
      <c r="CS133" s="310">
        <f ca="1">CR133-CQ133</f>
        <v>118</v>
      </c>
      <c r="CT133" s="336">
        <f>CY133-$CY$4</f>
        <v>46093</v>
      </c>
      <c r="CU133" s="345" t="str">
        <f>IF(_xlfn.XLOOKUP($E133,'[1]Import Eletra'!$B:$B,'[1]Import Eletra'!$BF:$BF,,0,1)=0,"",_xlfn.XLOOKUP($E133,'[1]Import Eletra'!$B:$B,'[1]Import Eletra'!$BF:$BF,,0,1))</f>
        <v/>
      </c>
      <c r="CV133" s="309">
        <f>$CT$4</f>
        <v>0</v>
      </c>
      <c r="CW133" s="309">
        <f ca="1">IF(CU133="",TODAY()-CT133,CU133-CT133)</f>
        <v>118</v>
      </c>
      <c r="CX133" s="310">
        <f ca="1">CW133-CV133</f>
        <v>118</v>
      </c>
      <c r="CY133" s="85">
        <f>DD133-$DD$4</f>
        <v>46093</v>
      </c>
      <c r="CZ133" s="271" t="str">
        <f>IF(_xlfn.XLOOKUP($E133,'[1]Import Eletra'!$B:$B,'[1]Import Eletra'!$BF:$BF,,0,1)=0,"",_xlfn.XLOOKUP($E133,'[1]Import Eletra'!$B:$B,'[1]Import Eletra'!$BF:$BF,,0,1))</f>
        <v/>
      </c>
      <c r="DA133" s="311">
        <f>$CY$4</f>
        <v>0</v>
      </c>
      <c r="DB133" s="309">
        <f ca="1">IF(CZ133="",TODAY()-CY133,CZ133-CY133)</f>
        <v>118</v>
      </c>
      <c r="DC133" s="310">
        <f ca="1">DB133-DA133</f>
        <v>118</v>
      </c>
      <c r="DD133" s="85">
        <f>DI133-$DI$4</f>
        <v>46095</v>
      </c>
      <c r="DE133" s="271" t="str">
        <f>IF(_xlfn.XLOOKUP($E133,'[1]Import Eletra'!$B:$B,'[1]Import Eletra'!$BG:$BG,,0,1)=0,"",_xlfn.XLOOKUP($E133,'[1]Import Eletra'!$B:$B,'[1]Import Eletra'!$BG:$BG,0,1))</f>
        <v/>
      </c>
      <c r="DF133" s="309">
        <f>$DD$4</f>
        <v>2</v>
      </c>
      <c r="DG133" s="309">
        <f ca="1">IF(DE133="",TODAY()-DD133,DE133-DD133)</f>
        <v>116</v>
      </c>
      <c r="DH133" s="310">
        <f ca="1">DG133-DF133</f>
        <v>114</v>
      </c>
      <c r="DI133" s="85">
        <f>DO133-$DN$4</f>
        <v>46096</v>
      </c>
      <c r="DJ133" s="271" t="str">
        <f>IF(_xlfn.XLOOKUP($E133,'[1]Import Eletra'!$B:$B,'[1]Import Eletra'!$BH:$BH,,0,1)=0,"",_xlfn.XLOOKUP($E133,'[1]Import Eletra'!$B:$B,'[1]Import Eletra'!$BH:$BH,0,1))</f>
        <v/>
      </c>
      <c r="DK133" s="309">
        <f>$DI$4</f>
        <v>1</v>
      </c>
      <c r="DL133" s="309">
        <f ca="1">IF(DJ133="",TODAY()-DI133,DJ133-DI133)</f>
        <v>115</v>
      </c>
      <c r="DM133" s="310">
        <f ca="1">DL133-DK133</f>
        <v>114</v>
      </c>
      <c r="DN133" s="312"/>
      <c r="DO133" s="313">
        <f>IF(V133="",N133+DT133,V133+DT133)</f>
        <v>46097</v>
      </c>
      <c r="DP133" s="59">
        <f>IF(_xlfn.XLOOKUP($E133,'[1]Import Eletra'!$B:$B,'[1]Import Eletra'!$O:$O,,0,1)=0,"",_xlfn.XLOOKUP($E133,'[1]Import Eletra'!$B:$B,'[1]Import Eletra'!$O:$O,0,1))</f>
        <v>46108</v>
      </c>
      <c r="DQ133" s="309">
        <f>$DN$4</f>
        <v>1</v>
      </c>
      <c r="DR133" s="309">
        <f ca="1">IF(DP133="",TODAY()-DO133,DP133-DO133)</f>
        <v>11</v>
      </c>
      <c r="DS133" s="310">
        <f ca="1">DR133-DQ133</f>
        <v>10</v>
      </c>
      <c r="DT133" s="314">
        <v>17</v>
      </c>
      <c r="DU133" s="140">
        <f ca="1">IF(DP133="",TODAY()-N133,DP133-N133)</f>
        <v>36</v>
      </c>
      <c r="DV133" s="184">
        <f ca="1">DU133-DT133</f>
        <v>19</v>
      </c>
      <c r="DX133" s="316"/>
      <c r="DY133" s="108" t="str">
        <f>IF(_xlfn.XLOOKUP($E133,'[1]Import Eletra'!$B:$B,'[1]Import Eletra'!$DW:$DW,,0,1)=0,"",_xlfn.XLOOKUP($E133,'[1]Import Eletra'!$B:$B,'[1]Import Eletra'!$DW:$DW,0,1))</f>
        <v/>
      </c>
      <c r="EB133" s="317"/>
      <c r="ED133" s="406">
        <f>IF(_xlfn.XLOOKUP($E133,'[1]Import Eletra'!$B:$B,'[1]Import Eletra'!$BQ:$BQ,,0,1)=0,"",_xlfn.XLOOKUP($E133,'[1]Import Eletra'!$B:$B,'[1]Import Eletra'!$BQ:$BQ,0,1))</f>
        <v>1173.46</v>
      </c>
      <c r="EE133" s="407">
        <f>IF(_xlfn.XLOOKUP($E133,'[1]Import Eletra'!$B:$B,'[1]Import Eletra'!$BR:$BR,,0,1)=0,"",_xlfn.XLOOKUP($E133,'[1]Import Eletra'!$B:$B,'[1]Import Eletra'!$BR:$BR,0,1))</f>
        <v>46152</v>
      </c>
      <c r="EF133" s="406" t="str">
        <f>IF(_xlfn.XLOOKUP($E133,'[1]Import Eletra'!$B:$B,'[1]Import Eletra'!$BS:$BS,,0,1)=0,"",_xlfn.XLOOKUP($E133,'[1]Import Eletra'!$B:$B,'[1]Import Eletra'!$BS:$BS,0,1))</f>
        <v/>
      </c>
      <c r="EG133" s="407" t="str">
        <f>IF(_xlfn.XLOOKUP($E133,'[1]Import Eletra'!$B:$B,'[1]Import Eletra'!$BT:$BT,,0,1)=0,"",_xlfn.XLOOKUP($E133,'[1]Import Eletra'!$B:$B,'[1]Import Eletra'!$BT:$BT,0,1))</f>
        <v/>
      </c>
      <c r="EH133" s="406" t="str">
        <f>IF(_xlfn.XLOOKUP($E133,'[1]Import Eletra'!$B:$B,'[1]Import Eletra'!$BU:$BU,,0,1)=0,"",_xlfn.XLOOKUP($E133,'[1]Import Eletra'!$B:$B,'[1]Import Eletra'!$BU:$BU,0,1))</f>
        <v/>
      </c>
      <c r="EI133" s="407" t="str">
        <f>IF(_xlfn.XLOOKUP($E133,'[1]Import Eletra'!$B:$B,'[1]Import Eletra'!$BV:$BV,,0,1)=0,"",_xlfn.XLOOKUP($E133,'[1]Import Eletra'!$B:$B,'[1]Import Eletra'!$BV:$BV,0,1))</f>
        <v/>
      </c>
      <c r="EJ133" s="407" t="str">
        <f>IF(_xlfn.XLOOKUP($E133,'[1]Import Eletra'!$B:$B,'[1]Import Eletra'!$CI:$CI,,0,1)=0,"",_xlfn.XLOOKUP($E133,'[1]Import Eletra'!$B:$B,'[1]Import Eletra'!$CI:$CI,0,1))</f>
        <v/>
      </c>
      <c r="EK133" s="407" t="str">
        <f>IF(_xlfn.XLOOKUP($E133,'[1]Import Eletra'!$B:$B,'[1]Import Eletra'!$CD:$CD,,0,1)=0,"",_xlfn.XLOOKUP($E133,'[1]Import Eletra'!$B:$B,'[1]Import Eletra'!$CD:$CD,0,1))</f>
        <v/>
      </c>
      <c r="EL133" s="407" t="str">
        <f>IF(_xlfn.XLOOKUP($E133,'[1]Import Eletra'!$B:$B,'[1]Import Eletra'!$CE:$CE,,0,1)=0,"",_xlfn.XLOOKUP($E133,'[1]Import Eletra'!$B:$B,'[1]Import Eletra'!$CE:$CE,0,1))</f>
        <v>NÃO</v>
      </c>
      <c r="EM133" s="408" t="str">
        <f>IF(_xlfn.XLOOKUP($E133,'[1]Import Eletra'!$B:$B,'[1]Import Eletra'!$E:$E,,0,1)=0,"",_xlfn.XLOOKUP($E133,'[1]Import Eletra'!$B:$B,'[1]Import Eletra'!$E:$E,0,1))</f>
        <v>LEISIANE</v>
      </c>
      <c r="EN133" s="408" t="str">
        <f>IF(_xlfn.XLOOKUP($E133,'[1]Import Eletra'!$B:$B,'[1]Import Eletra'!$E:$E,,0,1)=0,"",_xlfn.XLOOKUP($E133,'[1]Import Eletra'!$B:$B,'[1]Import Eletra'!$E:$E,0,1))</f>
        <v>LEISIANE</v>
      </c>
      <c r="EO133" s="408" t="str">
        <f>IF(_xlfn.XLOOKUP($E133,'[1]Import Eletra'!$B:$B,'[1]Import Eletra'!$E:$E,,0,1)=0,"",_xlfn.XLOOKUP($E133,'[1]Import Eletra'!$B:$B,'[1]Import Eletra'!$E:$E,0,1))</f>
        <v>LEISIANE</v>
      </c>
      <c r="EP133" s="408" t="str">
        <f>IF(_xlfn.XLOOKUP($E133,'[1]Import Eletra'!$B:$B,'[1]Import Eletra'!$E:$E,,0,1)=0,"",_xlfn.XLOOKUP($E133,'[1]Import Eletra'!$B:$B,'[1]Import Eletra'!$E:$E,0,1))</f>
        <v>LEISIANE</v>
      </c>
    </row>
    <row r="134" spans="1:146" s="315" customFormat="1" ht="30" hidden="1" customHeight="1" outlineLevel="1">
      <c r="A134" s="305"/>
      <c r="B134" s="306"/>
      <c r="C134" s="306"/>
      <c r="D134" s="306"/>
      <c r="E134" s="324" t="s">
        <v>430</v>
      </c>
      <c r="F134" s="307">
        <f>IF(_xlfn.XLOOKUP($E134,'[1]Import Eletra'!$B:$B,'[1]Import Eletra'!$U:$U,,0,1)=0,"",_xlfn.XLOOKUP($E134,'[1]Import Eletra'!$B:$B,'[1]Import Eletra'!$U:$U,,0,1))</f>
        <v>1</v>
      </c>
      <c r="G134" s="320" t="s">
        <v>244</v>
      </c>
      <c r="H134" s="59" t="str">
        <f>_xlfn.XLOOKUP($E134,'[1]Import Eletra'!$B:$B,'[1]Import Eletra'!$F:$F,,0,1)</f>
        <v>DELIVERED</v>
      </c>
      <c r="I134" s="4" t="str">
        <f>_xlfn.XLOOKUP($E134,'[1]Import Eletra'!$B:$B,'[1]Import Eletra'!$G:$G,,0,1)</f>
        <v>SEA</v>
      </c>
      <c r="J134" s="331"/>
      <c r="K134" s="308"/>
      <c r="L134" s="308"/>
      <c r="M134" s="331">
        <f>IF(_xlfn.XLOOKUP($E134,'[1]Import Eletra'!$B:$B,'[1]Import Eletra'!$J:$J,,0,1)=0,"",_xlfn.XLOOKUP($E134,'[1]Import Eletra'!$B:$B,'[1]Import Eletra'!$J:$J,,0,1))</f>
        <v>46028</v>
      </c>
      <c r="N134" s="334">
        <f>IF(_xlfn.XLOOKUP($E134,'[1]Import Eletra'!$B:$B,'[1]Import Eletra'!$L:$L,,0,1)=0,"",_xlfn.XLOOKUP($E134,'[1]Import Eletra'!$B:$B,'[1]Import Eletra'!$L:$L,,0,1))</f>
        <v>46091</v>
      </c>
      <c r="O134" s="336">
        <f>IF(_xlfn.XLOOKUP($E134,'[1]Import Eletra'!$B:$B,'[1]Import Eletra'!$AK:$AK,,0,1)=0,"",_xlfn.XLOOKUP($E134,'[1]Import Eletra'!$B:$B,'[1]Import Eletra'!$AK:$AK,,0,1))</f>
        <v>46051</v>
      </c>
      <c r="P134" s="331">
        <f>IF(_xlfn.XLOOKUP($E134,'[1]Import Eletra'!$B:$B,'[1]Import Eletra'!$AL:$AL,,0,1)=0,"",_xlfn.XLOOKUP($E134,'[1]Import Eletra'!$B:$B,'[1]Import Eletra'!$AL:$AL,,0,1))</f>
        <v>46059</v>
      </c>
      <c r="Q134" s="331">
        <f>IF(_xlfn.XLOOKUP($E134,'[1]Import Eletra'!$B:$B,'[1]Import Eletra'!$AM:$AM,,0,1)=0,"",_xlfn.XLOOKUP($E134,'[1]Import Eletra'!$B:$B,'[1]Import Eletra'!$AM:$AM,,0,1))</f>
        <v>46092</v>
      </c>
      <c r="R134" s="331">
        <f>IF(_xlfn.XLOOKUP($E134,'[1]Import Eletra'!$B:$B,'[1]Import Eletra'!$AN:$AN,,0,1)=0,"",_xlfn.XLOOKUP($E134,'[1]Import Eletra'!$B:$B,'[1]Import Eletra'!$AN:$AN,,0,1))</f>
        <v>46092</v>
      </c>
      <c r="S134" s="331">
        <f>IF(_xlfn.XLOOKUP($E134,'[1]Import Eletra'!$B:$B,'[1]Import Eletra'!$AO:$AO,,0,1)=0,"",_xlfn.XLOOKUP($E134,'[1]Import Eletra'!$B:$B,'[1]Import Eletra'!$AO:$AO,,0,1))</f>
        <v>46093</v>
      </c>
      <c r="T134" s="331">
        <f>IF(_xlfn.XLOOKUP($E134,'[1]Import Eletra'!$B:$B,'[1]Import Eletra'!$AP:$AP,,0,1)=0,"",_xlfn.XLOOKUP($E134,'[1]Import Eletra'!$B:$B,'[1]Import Eletra'!$AP:$AP,,0,1))</f>
        <v>46094</v>
      </c>
      <c r="U134" s="338">
        <f>IF(_xlfn.XLOOKUP($E134,'[1]Import Eletra'!$B:$B,'[1]Import Eletra'!$AQ:$AQ,,0,1)=0,"",_xlfn.XLOOKUP($E134,'[1]Import Eletra'!$B:$B,'[1]Import Eletra'!$AQ:$AQ,,0,1))</f>
        <v>46098</v>
      </c>
      <c r="V134" s="343">
        <f>IF(_xlfn.XLOOKUP($E134,'[1]Import Eletra'!$B:$B,'[1]Import Eletra'!$AQ:$AQ,,0,1)=0,"",_xlfn.XLOOKUP($E134,'[1]Import Eletra'!$B:$B,'[1]Import Eletra'!$AQ:$AQ,,0,1))</f>
        <v>46098</v>
      </c>
      <c r="W134" s="336">
        <f>AB134-$AB$4</f>
        <v>46108</v>
      </c>
      <c r="X134" s="345">
        <f>IF(_xlfn.XLOOKUP($E134,'[1]Import Eletra'!$B:$B,'[1]Import Eletra'!$AR:$AR,,0,1)=0,"",_xlfn.XLOOKUP($E134,'[1]Import Eletra'!$B:$B,'[1]Import Eletra'!$AR:$AR,,0,1))</f>
        <v>46093</v>
      </c>
      <c r="Y134" s="309">
        <f>$W$4</f>
        <v>0</v>
      </c>
      <c r="Z134" s="309">
        <f ca="1">IF(X134="",TODAY()-W134,X134-W134)</f>
        <v>-15</v>
      </c>
      <c r="AA134" s="310" t="str">
        <f ca="1">IF(AND(ISNUMBER($Z134),$Z134&gt;0),$Z134-$Y134,"")</f>
        <v/>
      </c>
      <c r="AB134" s="350">
        <f>AG134-$AB$4</f>
        <v>46108</v>
      </c>
      <c r="AC134" s="345">
        <f>IF(_xlfn.XLOOKUP($E134,'[1]Import Eletra'!$B:$B,'[1]Import Eletra'!$AD:$AD,,0,1)=0,"",_xlfn.XLOOKUP($E134,'[1]Import Eletra'!$B:$B,'[1]Import Eletra'!$AD:$AD,,0,1))</f>
        <v>46098</v>
      </c>
      <c r="AD134" s="309">
        <f>$AB$4</f>
        <v>0</v>
      </c>
      <c r="AE134" s="309">
        <f ca="1">IF(AC134="",TODAY()-AB134,AC134-AB134)</f>
        <v>-10</v>
      </c>
      <c r="AF134" s="310">
        <f ca="1">AE134-AD134</f>
        <v>-10</v>
      </c>
      <c r="AG134" s="356">
        <f>AL134-$AL$4</f>
        <v>46108</v>
      </c>
      <c r="AH134" s="345">
        <f>IF(_xlfn.XLOOKUP($E134,'[1]Import Eletra'!$B:$B,'[1]Import Eletra'!$AE:$AE,,0,1)=0,"",_xlfn.XLOOKUP($E134,'[1]Import Eletra'!$B:$B,'[1]Import Eletra'!$AE:$AE,,0,1))</f>
        <v>46098</v>
      </c>
      <c r="AI134" s="309">
        <f>$AG$4</f>
        <v>0</v>
      </c>
      <c r="AJ134" s="309">
        <f ca="1">IF(AH134="",TODAY()-AG134,AH134-AG134)</f>
        <v>-10</v>
      </c>
      <c r="AK134" s="310" t="str">
        <f ca="1">IF(AND(ISNUMBER($AJ134),$AJ134&gt;0),$AJ134-$AI134,"")</f>
        <v/>
      </c>
      <c r="AL134" s="356">
        <f>AQ134-$AQ$4</f>
        <v>46108</v>
      </c>
      <c r="AM134" s="345">
        <f>IF(_xlfn.XLOOKUP($E134,'[1]Import Eletra'!$B:$B,'[1]Import Eletra'!$AT:$AT,,0,1)=0,"",_xlfn.XLOOKUP($E134,'[1]Import Eletra'!$B:$B,'[1]Import Eletra'!$AT:$AT,,0,1))</f>
        <v>46101</v>
      </c>
      <c r="AN134" s="309">
        <f>$AL$4</f>
        <v>0</v>
      </c>
      <c r="AO134" s="309">
        <f ca="1">IF(AM134="",TODAY()-AL134,AM134-AL134)</f>
        <v>-7</v>
      </c>
      <c r="AP134" s="310" t="str">
        <f ca="1">IF(AND(ISNUMBER($AO134),$AO134&gt;0),$AO134-$AN134,"")</f>
        <v/>
      </c>
      <c r="AQ134" s="359">
        <f>AV134-$AV$4</f>
        <v>46109</v>
      </c>
      <c r="AR134" s="345">
        <f>IF(_xlfn.XLOOKUP($E134,'[1]Import Eletra'!$B:$B,'[1]Import Eletra'!$AU:$AU,,0,1)=0,"",_xlfn.XLOOKUP($E134,'[1]Import Eletra'!$B:$B,'[1]Import Eletra'!$AU:$AU,,0,1))</f>
        <v>46101</v>
      </c>
      <c r="AS134" s="309">
        <f>$AQ$4</f>
        <v>1</v>
      </c>
      <c r="AT134" s="309">
        <f ca="1">IF(AR134="",TODAY()-AQ134,AR134-AQ134)</f>
        <v>-8</v>
      </c>
      <c r="AU134" s="310" t="str">
        <f ca="1">IF(AND(ISNUMBER($AT134),$AT134&gt;0),$AT134-$AS134,"")</f>
        <v/>
      </c>
      <c r="AV134" s="356">
        <f>BA134-$BA$4</f>
        <v>46109</v>
      </c>
      <c r="AW134" s="345">
        <f>IF(_xlfn.XLOOKUP($E134,'[1]Import Eletra'!$B:$B,'[1]Import Eletra'!$AU:$AU,,0,1)=0,"",_xlfn.XLOOKUP($E134,'[1]Import Eletra'!$B:$B,'[1]Import Eletra'!$AU:$AU,,0,1))</f>
        <v>46101</v>
      </c>
      <c r="AX134" s="309">
        <f>$AV$4</f>
        <v>0</v>
      </c>
      <c r="AY134" s="309">
        <f ca="1">IF(AW134="",TODAY()-AV134,AW134-AV134)</f>
        <v>-8</v>
      </c>
      <c r="AZ134" s="310" t="str">
        <f ca="1">IF(AND(ISNUMBER($AY134),$AY134&gt;0),$AY134-$AX134,"")</f>
        <v/>
      </c>
      <c r="BA134" s="359">
        <f>BF134-$BF$4</f>
        <v>46109</v>
      </c>
      <c r="BB134" s="345" t="str">
        <f>IF(_xlfn.XLOOKUP($E134,'[1]Import Eletra'!$B:$B,'[1]Import Eletra'!$AW:$AW,,0,1)=0,"",_xlfn.XLOOKUP($E134,'[1]Import Eletra'!$B:$B,'[1]Import Eletra'!$AW:$AW,,0,1))</f>
        <v/>
      </c>
      <c r="BC134" s="309">
        <f>$BA$4</f>
        <v>0</v>
      </c>
      <c r="BD134" s="309">
        <f ca="1">IF(BB134="",TODAY()-BA134,BB134-BA134)</f>
        <v>102</v>
      </c>
      <c r="BE134" s="310">
        <f ca="1">BD134-BC134</f>
        <v>102</v>
      </c>
      <c r="BF134" s="336">
        <f>BK134-$BK$4</f>
        <v>46109</v>
      </c>
      <c r="BG134" s="345" t="str">
        <f>IF(_xlfn.XLOOKUP($E134,'[1]Import Eletra'!$B:$B,'[1]Import Eletra'!$AX:$AX,,0,1)=0,"",_xlfn.XLOOKUP($E134,'[1]Import Eletra'!$B:$B,'[1]Import Eletra'!$AX:$AX,,0,1))</f>
        <v/>
      </c>
      <c r="BH134" s="309">
        <f>$BF$4</f>
        <v>0</v>
      </c>
      <c r="BI134" s="309">
        <f ca="1">IF(BG134="",TODAY()-BF134,BG134-BF134)</f>
        <v>102</v>
      </c>
      <c r="BJ134" s="310">
        <f ca="1">IF(AND(ISNUMBER($BI134),$BI134&gt;0),$BI134-$BH134,"")</f>
        <v>102</v>
      </c>
      <c r="BK134" s="363">
        <f>BP134-$BP$4</f>
        <v>46109</v>
      </c>
      <c r="BL134" s="345">
        <f>IF(_xlfn.XLOOKUP($E134,'[1]Import Eletra'!$B:$B,'[1]Import Eletra'!$AY:$AY,,0,1)=0,"",_xlfn.XLOOKUP($E134,'[1]Import Eletra'!$B:$B,'[1]Import Eletra'!$AY:$AY,,0,1))</f>
        <v>46101</v>
      </c>
      <c r="BM134" s="309">
        <f>$BK$4</f>
        <v>0</v>
      </c>
      <c r="BN134" s="309">
        <f ca="1">IF(BL134="",TODAY()-BK134,BL134-BK134)</f>
        <v>-8</v>
      </c>
      <c r="BO134" s="310">
        <f ca="1">BN134-BM134</f>
        <v>-8</v>
      </c>
      <c r="BP134" s="336">
        <f>BU134-$BU$4</f>
        <v>46109</v>
      </c>
      <c r="BQ134" s="345">
        <f>IF(_xlfn.XLOOKUP($E134,'[1]Import Eletra'!$B:$B,'[1]Import Eletra'!$AZ:$AZ,,0,1)=0,"",_xlfn.XLOOKUP($E134,'[1]Import Eletra'!$B:$B,'[1]Import Eletra'!$AZ:$AZ,,0,1))</f>
        <v>46101</v>
      </c>
      <c r="BR134" s="309">
        <f>$BP$4</f>
        <v>0</v>
      </c>
      <c r="BS134" s="309">
        <f ca="1">IF(BQ134="",TODAY()-BP134,BQ134-BP134)</f>
        <v>-8</v>
      </c>
      <c r="BT134" s="310">
        <f ca="1">BS134-BR134</f>
        <v>-8</v>
      </c>
      <c r="BU134" s="363">
        <f>BZ134-$BZ$4</f>
        <v>46111</v>
      </c>
      <c r="BV134" s="345">
        <f>IF(_xlfn.XLOOKUP($E134,'[1]Import Eletra'!$B:$B,'[1]Import Eletra'!$BA:$BA,,0,1)=0,"",_xlfn.XLOOKUP($E134,'[1]Import Eletra'!$B:$B,'[1]Import Eletra'!$BA:$BA,,0,1))</f>
        <v>46107</v>
      </c>
      <c r="BW134" s="309">
        <f>$BU$4</f>
        <v>2</v>
      </c>
      <c r="BX134" s="309">
        <f ca="1">IF(BV134="",TODAY()-BU134,BV134-BU134)</f>
        <v>-4</v>
      </c>
      <c r="BY134" s="310" t="str">
        <f ca="1">IF(AND(ISNUMBER($BX134),$BX134&gt;0),$BX134-$BW134,"")</f>
        <v/>
      </c>
      <c r="BZ134" s="336">
        <f>CE134-$CE$4</f>
        <v>46111</v>
      </c>
      <c r="CA134" s="345">
        <f>IF(_xlfn.XLOOKUP($E134,'[1]Import Eletra'!$B:$B,'[1]Import Eletra'!$BB:$BB,,0,1)=0,"",_xlfn.XLOOKUP($E134,'[1]Import Eletra'!$B:$B,'[1]Import Eletra'!$BB:$BB,,0,1))</f>
        <v>46107</v>
      </c>
      <c r="CB134" s="309">
        <f>$BZ$4</f>
        <v>0</v>
      </c>
      <c r="CC134" s="309">
        <f ca="1">IF(CA134="",TODAY()-BZ134,CA134-BZ134)</f>
        <v>-4</v>
      </c>
      <c r="CD134" s="310">
        <f ca="1">CC134-CB134</f>
        <v>-4</v>
      </c>
      <c r="CE134" s="363">
        <f>CJ134-$CJ$4</f>
        <v>46111</v>
      </c>
      <c r="CF134" s="345">
        <f>IF(_xlfn.XLOOKUP($E134,'[1]Import Eletra'!$B:$B,'[1]Import Eletra'!$BC:$BC,,0,1)=0,"",_xlfn.XLOOKUP($E134,'[1]Import Eletra'!$B:$B,'[1]Import Eletra'!$BC:$BC,,0,1))</f>
        <v>46107</v>
      </c>
      <c r="CG134" s="309">
        <f>$CE$4</f>
        <v>0</v>
      </c>
      <c r="CH134" s="309">
        <f ca="1">IF(CF134="",TODAY()-CE134,CF134-CE134)</f>
        <v>-4</v>
      </c>
      <c r="CI134" s="310">
        <f ca="1">CH134-CG134</f>
        <v>-4</v>
      </c>
      <c r="CJ134" s="336">
        <f>CO134-$CO$4</f>
        <v>46111</v>
      </c>
      <c r="CK134" s="345">
        <f>IF(_xlfn.XLOOKUP($E134,'[1]Import Eletra'!$B:$B,'[1]Import Eletra'!$BD:$BD,,0,1)=0,"",_xlfn.XLOOKUP($E134,'[1]Import Eletra'!$B:$B,'[1]Import Eletra'!$BD:$BD,,0,1))</f>
        <v>46107</v>
      </c>
      <c r="CL134" s="309"/>
      <c r="CM134" s="309">
        <f ca="1">IF(CK134="",TODAY()-CJ134,CK134-CJ134)</f>
        <v>-4</v>
      </c>
      <c r="CN134" s="310">
        <f ca="1">CM134-CL134</f>
        <v>-4</v>
      </c>
      <c r="CO134" s="363">
        <f>CT134-$CT$4</f>
        <v>46111</v>
      </c>
      <c r="CP134" s="345">
        <f>IF(_xlfn.XLOOKUP($E134,'[1]Import Eletra'!$B:$B,'[1]Import Eletra'!$BE:$BE,,0,1)=0,"",_xlfn.XLOOKUP($E134,'[1]Import Eletra'!$B:$B,'[1]Import Eletra'!$BE:$BE,,0,1))</f>
        <v>46122</v>
      </c>
      <c r="CQ134" s="309">
        <f>$CO$4</f>
        <v>0</v>
      </c>
      <c r="CR134" s="309">
        <f ca="1">IF(CP134="",TODAY()-CO134,CP134-CO134)</f>
        <v>11</v>
      </c>
      <c r="CS134" s="310">
        <f ca="1">CR134-CQ134</f>
        <v>11</v>
      </c>
      <c r="CT134" s="336">
        <f>CY134-$CY$4</f>
        <v>46111</v>
      </c>
      <c r="CU134" s="345">
        <f>IF(_xlfn.XLOOKUP($E134,'[1]Import Eletra'!$B:$B,'[1]Import Eletra'!$BF:$BF,,0,1)=0,"",_xlfn.XLOOKUP($E134,'[1]Import Eletra'!$B:$B,'[1]Import Eletra'!$BF:$BF,,0,1))</f>
        <v>46122</v>
      </c>
      <c r="CV134" s="309">
        <f>$CT$4</f>
        <v>0</v>
      </c>
      <c r="CW134" s="309">
        <f ca="1">IF(CU134="",TODAY()-CT134,CU134-CT134)</f>
        <v>11</v>
      </c>
      <c r="CX134" s="310">
        <f ca="1">CW134-CV134</f>
        <v>11</v>
      </c>
      <c r="CY134" s="85">
        <f>DD134-$DD$4</f>
        <v>46111</v>
      </c>
      <c r="CZ134" s="271">
        <f>IF(_xlfn.XLOOKUP($E134,'[1]Import Eletra'!$B:$B,'[1]Import Eletra'!$BF:$BF,,0,1)=0,"",_xlfn.XLOOKUP($E134,'[1]Import Eletra'!$B:$B,'[1]Import Eletra'!$BF:$BF,,0,1))</f>
        <v>46122</v>
      </c>
      <c r="DA134" s="311">
        <f>$CY$4</f>
        <v>0</v>
      </c>
      <c r="DB134" s="309">
        <f ca="1">IF(CZ134="",TODAY()-CY134,CZ134-CY134)</f>
        <v>11</v>
      </c>
      <c r="DC134" s="310">
        <f ca="1">DB134-DA134</f>
        <v>11</v>
      </c>
      <c r="DD134" s="85">
        <f>DI134-$DI$4</f>
        <v>46113</v>
      </c>
      <c r="DE134" s="271">
        <f>IF(_xlfn.XLOOKUP($E134,'[1]Import Eletra'!$B:$B,'[1]Import Eletra'!$BG:$BG,,0,1)=0,"",_xlfn.XLOOKUP($E134,'[1]Import Eletra'!$B:$B,'[1]Import Eletra'!$BG:$BG,0,1))</f>
        <v>46127</v>
      </c>
      <c r="DF134" s="309">
        <f>$DD$4</f>
        <v>2</v>
      </c>
      <c r="DG134" s="309">
        <f ca="1">IF(DE134="",TODAY()-DD134,DE134-DD134)</f>
        <v>14</v>
      </c>
      <c r="DH134" s="310">
        <f ca="1">DG134-DF134</f>
        <v>12</v>
      </c>
      <c r="DI134" s="85">
        <f>DO134-$DN$4</f>
        <v>46114</v>
      </c>
      <c r="DJ134" s="271">
        <f>IF(_xlfn.XLOOKUP($E134,'[1]Import Eletra'!$B:$B,'[1]Import Eletra'!$BH:$BH,,0,1)=0,"",_xlfn.XLOOKUP($E134,'[1]Import Eletra'!$B:$B,'[1]Import Eletra'!$BH:$BH,0,1))</f>
        <v>46128</v>
      </c>
      <c r="DK134" s="309">
        <f>$DI$4</f>
        <v>1</v>
      </c>
      <c r="DL134" s="309">
        <f ca="1">IF(DJ134="",TODAY()-DI134,DJ134-DI134)</f>
        <v>14</v>
      </c>
      <c r="DM134" s="310">
        <f ca="1">DL134-DK134</f>
        <v>13</v>
      </c>
      <c r="DN134" s="312"/>
      <c r="DO134" s="313">
        <f>IF(V134="",N134+DT134,V134+DT134)</f>
        <v>46115</v>
      </c>
      <c r="DP134" s="59">
        <f>IF(_xlfn.XLOOKUP($E134,'[1]Import Eletra'!$B:$B,'[1]Import Eletra'!$O:$O,,0,1)=0,"",_xlfn.XLOOKUP($E134,'[1]Import Eletra'!$B:$B,'[1]Import Eletra'!$O:$O,0,1))</f>
        <v>46129</v>
      </c>
      <c r="DQ134" s="309">
        <f>$DN$4</f>
        <v>1</v>
      </c>
      <c r="DR134" s="309">
        <f ca="1">IF(DP134="",TODAY()-DO134,DP134-DO134)</f>
        <v>14</v>
      </c>
      <c r="DS134" s="310">
        <f ca="1">DR134-DQ134</f>
        <v>13</v>
      </c>
      <c r="DT134" s="314">
        <v>17</v>
      </c>
      <c r="DU134" s="140">
        <f ca="1">IF(DP134="",TODAY()-N134,DP134-N134)</f>
        <v>38</v>
      </c>
      <c r="DV134" s="184">
        <f ca="1">DU134-DT134</f>
        <v>21</v>
      </c>
      <c r="DX134" s="316"/>
      <c r="DY134" s="108" t="str">
        <f>IF(_xlfn.XLOOKUP($E134,'[1]Import Eletra'!$B:$B,'[1]Import Eletra'!$DW:$DW,,0,1)=0,"",_xlfn.XLOOKUP($E134,'[1]Import Eletra'!$B:$B,'[1]Import Eletra'!$DW:$DW,0,1))</f>
        <v/>
      </c>
      <c r="EB134" s="317"/>
      <c r="ED134" s="406">
        <f>IF(_xlfn.XLOOKUP($E134,'[1]Import Eletra'!$B:$B,'[1]Import Eletra'!$BQ:$BQ,,0,1)=0,"",_xlfn.XLOOKUP($E134,'[1]Import Eletra'!$B:$B,'[1]Import Eletra'!$BQ:$BQ,0,1))</f>
        <v>8819.5</v>
      </c>
      <c r="EE134" s="407">
        <f>IF(_xlfn.XLOOKUP($E134,'[1]Import Eletra'!$B:$B,'[1]Import Eletra'!$BR:$BR,,0,1)=0,"",_xlfn.XLOOKUP($E134,'[1]Import Eletra'!$B:$B,'[1]Import Eletra'!$BR:$BR,0,1))</f>
        <v>46120</v>
      </c>
      <c r="EF134" s="406">
        <f>IF(_xlfn.XLOOKUP($E134,'[1]Import Eletra'!$B:$B,'[1]Import Eletra'!$BS:$BS,,0,1)=0,"",_xlfn.XLOOKUP($E134,'[1]Import Eletra'!$B:$B,'[1]Import Eletra'!$BS:$BS,0,1))</f>
        <v>30853.89</v>
      </c>
      <c r="EG134" s="407">
        <f>IF(_xlfn.XLOOKUP($E134,'[1]Import Eletra'!$B:$B,'[1]Import Eletra'!$BT:$BT,,0,1)=0,"",_xlfn.XLOOKUP($E134,'[1]Import Eletra'!$B:$B,'[1]Import Eletra'!$BT:$BT,0,1))</f>
        <v>46141</v>
      </c>
      <c r="EH134" s="406" t="str">
        <f>IF(_xlfn.XLOOKUP($E134,'[1]Import Eletra'!$B:$B,'[1]Import Eletra'!$BU:$BU,,0,1)=0,"",_xlfn.XLOOKUP($E134,'[1]Import Eletra'!$B:$B,'[1]Import Eletra'!$BU:$BU,0,1))</f>
        <v/>
      </c>
      <c r="EI134" s="407" t="str">
        <f>IF(_xlfn.XLOOKUP($E134,'[1]Import Eletra'!$B:$B,'[1]Import Eletra'!$BV:$BV,,0,1)=0,"",_xlfn.XLOOKUP($E134,'[1]Import Eletra'!$B:$B,'[1]Import Eletra'!$BV:$BV,0,1))</f>
        <v/>
      </c>
      <c r="EJ134" s="407">
        <f>IF(_xlfn.XLOOKUP($E134,'[1]Import Eletra'!$B:$B,'[1]Import Eletra'!$CI:$CI,,0,1)=0,"",_xlfn.XLOOKUP($E134,'[1]Import Eletra'!$B:$B,'[1]Import Eletra'!$CI:$CI,0,1))</f>
        <v>46109</v>
      </c>
      <c r="EK134" s="407" t="str">
        <f>IF(_xlfn.XLOOKUP($E134,'[1]Import Eletra'!$B:$B,'[1]Import Eletra'!$CD:$CD,,0,1)=0,"",_xlfn.XLOOKUP($E134,'[1]Import Eletra'!$B:$B,'[1]Import Eletra'!$CD:$CD,0,1))</f>
        <v/>
      </c>
      <c r="EL134" s="407" t="str">
        <f>IF(_xlfn.XLOOKUP($E134,'[1]Import Eletra'!$B:$B,'[1]Import Eletra'!$CE:$CE,,0,1)=0,"",_xlfn.XLOOKUP($E134,'[1]Import Eletra'!$B:$B,'[1]Import Eletra'!$CE:$CE,0,1))</f>
        <v>NÃO</v>
      </c>
      <c r="EM134" s="408" t="str">
        <f>IF(_xlfn.XLOOKUP($E134,'[1]Import Eletra'!$B:$B,'[1]Import Eletra'!$E:$E,,0,1)=0,"",_xlfn.XLOOKUP($E134,'[1]Import Eletra'!$B:$B,'[1]Import Eletra'!$E:$E,0,1))</f>
        <v>RENATO</v>
      </c>
      <c r="EN134" s="408" t="str">
        <f>IF(_xlfn.XLOOKUP($E134,'[1]Import Eletra'!$B:$B,'[1]Import Eletra'!$E:$E,,0,1)=0,"",_xlfn.XLOOKUP($E134,'[1]Import Eletra'!$B:$B,'[1]Import Eletra'!$E:$E,0,1))</f>
        <v>RENATO</v>
      </c>
      <c r="EO134" s="408" t="str">
        <f>IF(_xlfn.XLOOKUP($E134,'[1]Import Eletra'!$B:$B,'[1]Import Eletra'!$E:$E,,0,1)=0,"",_xlfn.XLOOKUP($E134,'[1]Import Eletra'!$B:$B,'[1]Import Eletra'!$E:$E,0,1))</f>
        <v>RENATO</v>
      </c>
      <c r="EP134" s="408" t="str">
        <f>IF(_xlfn.XLOOKUP($E134,'[1]Import Eletra'!$B:$B,'[1]Import Eletra'!$E:$E,,0,1)=0,"",_xlfn.XLOOKUP($E134,'[1]Import Eletra'!$B:$B,'[1]Import Eletra'!$E:$E,0,1))</f>
        <v>RENATO</v>
      </c>
    </row>
    <row r="135" spans="1:146" s="315" customFormat="1" ht="30" hidden="1" customHeight="1" outlineLevel="1">
      <c r="A135" s="305"/>
      <c r="B135" s="306"/>
      <c r="C135" s="306"/>
      <c r="D135" s="306"/>
      <c r="E135" s="319" t="s">
        <v>431</v>
      </c>
      <c r="F135" s="307" t="str">
        <f>IF(_xlfn.XLOOKUP($E135,'[1]Import Eletra'!$B:$B,'[1]Import Eletra'!$U:$U,,0,1)=0,"",_xlfn.XLOOKUP($E135,'[1]Import Eletra'!$B:$B,'[1]Import Eletra'!$U:$U,,0,1))</f>
        <v>0</v>
      </c>
      <c r="G135" s="320" t="s">
        <v>244</v>
      </c>
      <c r="H135" s="59" t="str">
        <f>_xlfn.XLOOKUP($E135,'[1]Import Eletra'!$B:$B,'[1]Import Eletra'!$F:$F,,0,1)</f>
        <v>DELIVERED</v>
      </c>
      <c r="I135" s="4" t="str">
        <f>_xlfn.XLOOKUP($E135,'[1]Import Eletra'!$B:$B,'[1]Import Eletra'!$G:$G,,0,1)</f>
        <v>AIR</v>
      </c>
      <c r="J135" s="331"/>
      <c r="K135" s="308"/>
      <c r="L135" s="308"/>
      <c r="M135" s="331">
        <f>IF(_xlfn.XLOOKUP($E135,'[1]Import Eletra'!$B:$B,'[1]Import Eletra'!$J:$J,,0,1)=0,"",_xlfn.XLOOKUP($E135,'[1]Import Eletra'!$B:$B,'[1]Import Eletra'!$J:$J,,0,1))</f>
        <v>46095</v>
      </c>
      <c r="N135" s="334">
        <f>IF(_xlfn.XLOOKUP($E135,'[1]Import Eletra'!$B:$B,'[1]Import Eletra'!$L:$L,,0,1)=0,"",_xlfn.XLOOKUP($E135,'[1]Import Eletra'!$B:$B,'[1]Import Eletra'!$L:$L,,0,1))</f>
        <v>46098</v>
      </c>
      <c r="O135" s="336" t="str">
        <f>IF(_xlfn.XLOOKUP($E135,'[1]Import Eletra'!$B:$B,'[1]Import Eletra'!$AK:$AK,,0,1)=0,"",_xlfn.XLOOKUP($E135,'[1]Import Eletra'!$B:$B,'[1]Import Eletra'!$AK:$AK,,0,1))</f>
        <v/>
      </c>
      <c r="P135" s="331">
        <f>IF(_xlfn.XLOOKUP($E135,'[1]Import Eletra'!$B:$B,'[1]Import Eletra'!$AL:$AL,,0,1)=0,"",_xlfn.XLOOKUP($E135,'[1]Import Eletra'!$B:$B,'[1]Import Eletra'!$AL:$AL,,0,1))</f>
        <v>46104</v>
      </c>
      <c r="Q135" s="331">
        <f>IF(_xlfn.XLOOKUP($E135,'[1]Import Eletra'!$B:$B,'[1]Import Eletra'!$AM:$AM,,0,1)=0,"",_xlfn.XLOOKUP($E135,'[1]Import Eletra'!$B:$B,'[1]Import Eletra'!$AM:$AM,,0,1))</f>
        <v>46107</v>
      </c>
      <c r="R135" s="331">
        <f>IF(_xlfn.XLOOKUP($E135,'[1]Import Eletra'!$B:$B,'[1]Import Eletra'!$AN:$AN,,0,1)=0,"",_xlfn.XLOOKUP($E135,'[1]Import Eletra'!$B:$B,'[1]Import Eletra'!$AN:$AN,,0,1))</f>
        <v>46111</v>
      </c>
      <c r="S135" s="331">
        <f>IF(_xlfn.XLOOKUP($E135,'[1]Import Eletra'!$B:$B,'[1]Import Eletra'!$AO:$AO,,0,1)=0,"",_xlfn.XLOOKUP($E135,'[1]Import Eletra'!$B:$B,'[1]Import Eletra'!$AO:$AO,,0,1))</f>
        <v>46112</v>
      </c>
      <c r="T135" s="331">
        <f>IF(_xlfn.XLOOKUP($E135,'[1]Import Eletra'!$B:$B,'[1]Import Eletra'!$AP:$AP,,0,1)=0,"",_xlfn.XLOOKUP($E135,'[1]Import Eletra'!$B:$B,'[1]Import Eletra'!$AP:$AP,,0,1))</f>
        <v>46112</v>
      </c>
      <c r="U135" s="338">
        <f>IF(_xlfn.XLOOKUP($E135,'[1]Import Eletra'!$B:$B,'[1]Import Eletra'!$AQ:$AQ,,0,1)=0,"",_xlfn.XLOOKUP($E135,'[1]Import Eletra'!$B:$B,'[1]Import Eletra'!$AQ:$AQ,,0,1))</f>
        <v>46112</v>
      </c>
      <c r="V135" s="343">
        <f>IF(_xlfn.XLOOKUP($E135,'[1]Import Eletra'!$B:$B,'[1]Import Eletra'!$AQ:$AQ,,0,1)=0,"",_xlfn.XLOOKUP($E135,'[1]Import Eletra'!$B:$B,'[1]Import Eletra'!$AQ:$AQ,,0,1))</f>
        <v>46112</v>
      </c>
      <c r="W135" s="336">
        <f>AB135-$AB$4</f>
        <v>46122</v>
      </c>
      <c r="X135" s="345">
        <f>IF(_xlfn.XLOOKUP($E135,'[1]Import Eletra'!$B:$B,'[1]Import Eletra'!$AR:$AR,,0,1)=0,"",_xlfn.XLOOKUP($E135,'[1]Import Eletra'!$B:$B,'[1]Import Eletra'!$AR:$AR,,0,1))</f>
        <v>46098</v>
      </c>
      <c r="Y135" s="309">
        <f>$W$4</f>
        <v>0</v>
      </c>
      <c r="Z135" s="309">
        <f ca="1">IF(X135="",TODAY()-W135,X135-W135)</f>
        <v>-24</v>
      </c>
      <c r="AA135" s="310" t="str">
        <f ca="1">IF(AND(ISNUMBER($Z135),$Z135&gt;0),$Z135-$Y135,"")</f>
        <v/>
      </c>
      <c r="AB135" s="350">
        <f>AG135-$AB$4</f>
        <v>46122</v>
      </c>
      <c r="AC135" s="345">
        <f>IF(_xlfn.XLOOKUP($E135,'[1]Import Eletra'!$B:$B,'[1]Import Eletra'!$AD:$AD,,0,1)=0,"",_xlfn.XLOOKUP($E135,'[1]Import Eletra'!$B:$B,'[1]Import Eletra'!$AD:$AD,,0,1))</f>
        <v>46113</v>
      </c>
      <c r="AD135" s="309">
        <f>$AB$4</f>
        <v>0</v>
      </c>
      <c r="AE135" s="309">
        <f ca="1">IF(AC135="",TODAY()-AB135,AC135-AB135)</f>
        <v>-9</v>
      </c>
      <c r="AF135" s="310">
        <f ca="1">AE135-AD135</f>
        <v>-9</v>
      </c>
      <c r="AG135" s="356">
        <f>AL135-$AL$4</f>
        <v>46122</v>
      </c>
      <c r="AH135" s="345" t="str">
        <f>IF(_xlfn.XLOOKUP($E135,'[1]Import Eletra'!$B:$B,'[1]Import Eletra'!$AE:$AE,,0,1)=0,"",_xlfn.XLOOKUP($E135,'[1]Import Eletra'!$B:$B,'[1]Import Eletra'!$AE:$AE,,0,1))</f>
        <v/>
      </c>
      <c r="AI135" s="309">
        <f>$AG$4</f>
        <v>0</v>
      </c>
      <c r="AJ135" s="309">
        <f ca="1">IF(AH135="",TODAY()-AG135,AH135-AG135)</f>
        <v>89</v>
      </c>
      <c r="AK135" s="310">
        <f ca="1">IF(AND(ISNUMBER($AJ135),$AJ135&gt;0),$AJ135-$AI135,"")</f>
        <v>89</v>
      </c>
      <c r="AL135" s="356">
        <f>AQ135-$AQ$4</f>
        <v>46122</v>
      </c>
      <c r="AM135" s="345">
        <f>IF(_xlfn.XLOOKUP($E135,'[1]Import Eletra'!$B:$B,'[1]Import Eletra'!$AT:$AT,,0,1)=0,"",_xlfn.XLOOKUP($E135,'[1]Import Eletra'!$B:$B,'[1]Import Eletra'!$AT:$AT,,0,1))</f>
        <v>46114</v>
      </c>
      <c r="AN135" s="309">
        <f>$AL$4</f>
        <v>0</v>
      </c>
      <c r="AO135" s="309">
        <f ca="1">IF(AM135="",TODAY()-AL135,AM135-AL135)</f>
        <v>-8</v>
      </c>
      <c r="AP135" s="310" t="str">
        <f ca="1">IF(AND(ISNUMBER($AO135),$AO135&gt;0),$AO135-$AN135,"")</f>
        <v/>
      </c>
      <c r="AQ135" s="359">
        <f>AV135-$AV$4</f>
        <v>46123</v>
      </c>
      <c r="AR135" s="345">
        <f>IF(_xlfn.XLOOKUP($E135,'[1]Import Eletra'!$B:$B,'[1]Import Eletra'!$AU:$AU,,0,1)=0,"",_xlfn.XLOOKUP($E135,'[1]Import Eletra'!$B:$B,'[1]Import Eletra'!$AU:$AU,,0,1))</f>
        <v>46114</v>
      </c>
      <c r="AS135" s="309">
        <f>$AQ$4</f>
        <v>1</v>
      </c>
      <c r="AT135" s="309">
        <f ca="1">IF(AR135="",TODAY()-AQ135,AR135-AQ135)</f>
        <v>-9</v>
      </c>
      <c r="AU135" s="310" t="str">
        <f ca="1">IF(AND(ISNUMBER($AT135),$AT135&gt;0),$AT135-$AS135,"")</f>
        <v/>
      </c>
      <c r="AV135" s="356">
        <f>BA135-$BA$4</f>
        <v>46123</v>
      </c>
      <c r="AW135" s="345">
        <f>IF(_xlfn.XLOOKUP($E135,'[1]Import Eletra'!$B:$B,'[1]Import Eletra'!$AU:$AU,,0,1)=0,"",_xlfn.XLOOKUP($E135,'[1]Import Eletra'!$B:$B,'[1]Import Eletra'!$AU:$AU,,0,1))</f>
        <v>46114</v>
      </c>
      <c r="AX135" s="309">
        <f>$AV$4</f>
        <v>0</v>
      </c>
      <c r="AY135" s="309">
        <f ca="1">IF(AW135="",TODAY()-AV135,AW135-AV135)</f>
        <v>-9</v>
      </c>
      <c r="AZ135" s="310" t="str">
        <f ca="1">IF(AND(ISNUMBER($AY135),$AY135&gt;0),$AY135-$AX135,"")</f>
        <v/>
      </c>
      <c r="BA135" s="359">
        <f>BF135-$BF$4</f>
        <v>46123</v>
      </c>
      <c r="BB135" s="345">
        <f>IF(_xlfn.XLOOKUP($E135,'[1]Import Eletra'!$B:$B,'[1]Import Eletra'!$AW:$AW,,0,1)=0,"",_xlfn.XLOOKUP($E135,'[1]Import Eletra'!$B:$B,'[1]Import Eletra'!$AW:$AW,,0,1))</f>
        <v>46114</v>
      </c>
      <c r="BC135" s="309">
        <f>$BA$4</f>
        <v>0</v>
      </c>
      <c r="BD135" s="309">
        <f ca="1">IF(BB135="",TODAY()-BA135,BB135-BA135)</f>
        <v>-9</v>
      </c>
      <c r="BE135" s="310">
        <f ca="1">BD135-BC135</f>
        <v>-9</v>
      </c>
      <c r="BF135" s="336">
        <f>BK135-$BK$4</f>
        <v>46123</v>
      </c>
      <c r="BG135" s="345">
        <f>IF(_xlfn.XLOOKUP($E135,'[1]Import Eletra'!$B:$B,'[1]Import Eletra'!$AX:$AX,,0,1)=0,"",_xlfn.XLOOKUP($E135,'[1]Import Eletra'!$B:$B,'[1]Import Eletra'!$AX:$AX,,0,1))</f>
        <v>46114</v>
      </c>
      <c r="BH135" s="309">
        <f>$BF$4</f>
        <v>0</v>
      </c>
      <c r="BI135" s="309">
        <f ca="1">IF(BG135="",TODAY()-BF135,BG135-BF135)</f>
        <v>-9</v>
      </c>
      <c r="BJ135" s="310" t="str">
        <f ca="1">IF(AND(ISNUMBER($BI135),$BI135&gt;0),$BI135-$BH135,"")</f>
        <v/>
      </c>
      <c r="BK135" s="363">
        <f>BP135-$BP$4</f>
        <v>46123</v>
      </c>
      <c r="BL135" s="345">
        <f>IF(_xlfn.XLOOKUP($E135,'[1]Import Eletra'!$B:$B,'[1]Import Eletra'!$AY:$AY,,0,1)=0,"",_xlfn.XLOOKUP($E135,'[1]Import Eletra'!$B:$B,'[1]Import Eletra'!$AY:$AY,,0,1))</f>
        <v>46114</v>
      </c>
      <c r="BM135" s="309">
        <f>$BK$4</f>
        <v>0</v>
      </c>
      <c r="BN135" s="309">
        <f ca="1">IF(BL135="",TODAY()-BK135,BL135-BK135)</f>
        <v>-9</v>
      </c>
      <c r="BO135" s="310">
        <f ca="1">BN135-BM135</f>
        <v>-9</v>
      </c>
      <c r="BP135" s="336">
        <f>BU135-$BU$4</f>
        <v>46123</v>
      </c>
      <c r="BQ135" s="345">
        <f>IF(_xlfn.XLOOKUP($E135,'[1]Import Eletra'!$B:$B,'[1]Import Eletra'!$AZ:$AZ,,0,1)=0,"",_xlfn.XLOOKUP($E135,'[1]Import Eletra'!$B:$B,'[1]Import Eletra'!$AZ:$AZ,,0,1))</f>
        <v>46114</v>
      </c>
      <c r="BR135" s="309">
        <f>$BP$4</f>
        <v>0</v>
      </c>
      <c r="BS135" s="309">
        <f ca="1">IF(BQ135="",TODAY()-BP135,BQ135-BP135)</f>
        <v>-9</v>
      </c>
      <c r="BT135" s="310">
        <f ca="1">BS135-BR135</f>
        <v>-9</v>
      </c>
      <c r="BU135" s="363">
        <f>BZ135-$BZ$4</f>
        <v>46125</v>
      </c>
      <c r="BV135" s="345">
        <f>IF(_xlfn.XLOOKUP($E135,'[1]Import Eletra'!$B:$B,'[1]Import Eletra'!$BA:$BA,,0,1)=0,"",_xlfn.XLOOKUP($E135,'[1]Import Eletra'!$B:$B,'[1]Import Eletra'!$BA:$BA,,0,1))</f>
        <v>46119</v>
      </c>
      <c r="BW135" s="309">
        <f>$BU$4</f>
        <v>2</v>
      </c>
      <c r="BX135" s="309">
        <f ca="1">IF(BV135="",TODAY()-BU135,BV135-BU135)</f>
        <v>-6</v>
      </c>
      <c r="BY135" s="310" t="str">
        <f ca="1">IF(AND(ISNUMBER($BX135),$BX135&gt;0),$BX135-$BW135,"")</f>
        <v/>
      </c>
      <c r="BZ135" s="336">
        <f>CE135-$CE$4</f>
        <v>46125</v>
      </c>
      <c r="CA135" s="345">
        <f>IF(_xlfn.XLOOKUP($E135,'[1]Import Eletra'!$B:$B,'[1]Import Eletra'!$BB:$BB,,0,1)=0,"",_xlfn.XLOOKUP($E135,'[1]Import Eletra'!$B:$B,'[1]Import Eletra'!$BB:$BB,,0,1))</f>
        <v>46114</v>
      </c>
      <c r="CB135" s="309">
        <f>$BZ$4</f>
        <v>0</v>
      </c>
      <c r="CC135" s="309">
        <f ca="1">IF(CA135="",TODAY()-BZ135,CA135-BZ135)</f>
        <v>-11</v>
      </c>
      <c r="CD135" s="310">
        <f ca="1">CC135-CB135</f>
        <v>-11</v>
      </c>
      <c r="CE135" s="363">
        <f>CJ135-$CJ$4</f>
        <v>46125</v>
      </c>
      <c r="CF135" s="345">
        <f>IF(_xlfn.XLOOKUP($E135,'[1]Import Eletra'!$B:$B,'[1]Import Eletra'!$BC:$BC,,0,1)=0,"",_xlfn.XLOOKUP($E135,'[1]Import Eletra'!$B:$B,'[1]Import Eletra'!$BC:$BC,,0,1))</f>
        <v>46114</v>
      </c>
      <c r="CG135" s="309">
        <f>$CE$4</f>
        <v>0</v>
      </c>
      <c r="CH135" s="309">
        <f ca="1">IF(CF135="",TODAY()-CE135,CF135-CE135)</f>
        <v>-11</v>
      </c>
      <c r="CI135" s="310">
        <f ca="1">CH135-CG135</f>
        <v>-11</v>
      </c>
      <c r="CJ135" s="336">
        <f>CO135-$CO$4</f>
        <v>46125</v>
      </c>
      <c r="CK135" s="345">
        <f>IF(_xlfn.XLOOKUP($E135,'[1]Import Eletra'!$B:$B,'[1]Import Eletra'!$BD:$BD,,0,1)=0,"",_xlfn.XLOOKUP($E135,'[1]Import Eletra'!$B:$B,'[1]Import Eletra'!$BD:$BD,,0,1))</f>
        <v>46118</v>
      </c>
      <c r="CL135" s="309"/>
      <c r="CM135" s="309">
        <f ca="1">IF(CK135="",TODAY()-CJ135,CK135-CJ135)</f>
        <v>-7</v>
      </c>
      <c r="CN135" s="310">
        <f ca="1">CM135-CL135</f>
        <v>-7</v>
      </c>
      <c r="CO135" s="363">
        <f>CT135-$CT$4</f>
        <v>46125</v>
      </c>
      <c r="CP135" s="345">
        <f>IF(_xlfn.XLOOKUP($E135,'[1]Import Eletra'!$B:$B,'[1]Import Eletra'!$BE:$BE,,0,1)=0,"",_xlfn.XLOOKUP($E135,'[1]Import Eletra'!$B:$B,'[1]Import Eletra'!$BE:$BE,,0,1))</f>
        <v>46118</v>
      </c>
      <c r="CQ135" s="309">
        <f>$CO$4</f>
        <v>0</v>
      </c>
      <c r="CR135" s="309">
        <f ca="1">IF(CP135="",TODAY()-CO135,CP135-CO135)</f>
        <v>-7</v>
      </c>
      <c r="CS135" s="310">
        <f ca="1">CR135-CQ135</f>
        <v>-7</v>
      </c>
      <c r="CT135" s="336">
        <f>CY135-$CY$4</f>
        <v>46125</v>
      </c>
      <c r="CU135" s="345">
        <f>IF(_xlfn.XLOOKUP($E135,'[1]Import Eletra'!$B:$B,'[1]Import Eletra'!$BF:$BF,,0,1)=0,"",_xlfn.XLOOKUP($E135,'[1]Import Eletra'!$B:$B,'[1]Import Eletra'!$BF:$BF,,0,1))</f>
        <v>46120</v>
      </c>
      <c r="CV135" s="309">
        <f>$CT$4</f>
        <v>0</v>
      </c>
      <c r="CW135" s="309">
        <f ca="1">IF(CU135="",TODAY()-CT135,CU135-CT135)</f>
        <v>-5</v>
      </c>
      <c r="CX135" s="310">
        <f ca="1">CW135-CV135</f>
        <v>-5</v>
      </c>
      <c r="CY135" s="85">
        <f>DD135-$DD$4</f>
        <v>46125</v>
      </c>
      <c r="CZ135" s="271">
        <f>IF(_xlfn.XLOOKUP($E135,'[1]Import Eletra'!$B:$B,'[1]Import Eletra'!$BF:$BF,,0,1)=0,"",_xlfn.XLOOKUP($E135,'[1]Import Eletra'!$B:$B,'[1]Import Eletra'!$BF:$BF,,0,1))</f>
        <v>46120</v>
      </c>
      <c r="DA135" s="311">
        <f>$CY$4</f>
        <v>0</v>
      </c>
      <c r="DB135" s="309">
        <f ca="1">IF(CZ135="",TODAY()-CY135,CZ135-CY135)</f>
        <v>-5</v>
      </c>
      <c r="DC135" s="310">
        <f ca="1">DB135-DA135</f>
        <v>-5</v>
      </c>
      <c r="DD135" s="85">
        <f>DI135-$DI$4</f>
        <v>46127</v>
      </c>
      <c r="DE135" s="271">
        <f>IF(_xlfn.XLOOKUP($E135,'[1]Import Eletra'!$B:$B,'[1]Import Eletra'!$BG:$BG,,0,1)=0,"",_xlfn.XLOOKUP($E135,'[1]Import Eletra'!$B:$B,'[1]Import Eletra'!$BG:$BG,0,1))</f>
        <v>46129</v>
      </c>
      <c r="DF135" s="309">
        <f>$DD$4</f>
        <v>2</v>
      </c>
      <c r="DG135" s="309">
        <f ca="1">IF(DE135="",TODAY()-DD135,DE135-DD135)</f>
        <v>2</v>
      </c>
      <c r="DH135" s="310">
        <f ca="1">DG135-DF135</f>
        <v>0</v>
      </c>
      <c r="DI135" s="85">
        <f>DO135-$DN$4</f>
        <v>46128</v>
      </c>
      <c r="DJ135" s="271">
        <f>IF(_xlfn.XLOOKUP($E135,'[1]Import Eletra'!$B:$B,'[1]Import Eletra'!$BH:$BH,,0,1)=0,"",_xlfn.XLOOKUP($E135,'[1]Import Eletra'!$B:$B,'[1]Import Eletra'!$BH:$BH,0,1))</f>
        <v>46129</v>
      </c>
      <c r="DK135" s="309">
        <f>$DI$4</f>
        <v>1</v>
      </c>
      <c r="DL135" s="309">
        <f ca="1">IF(DJ135="",TODAY()-DI135,DJ135-DI135)</f>
        <v>1</v>
      </c>
      <c r="DM135" s="310">
        <f ca="1">DL135-DK135</f>
        <v>0</v>
      </c>
      <c r="DN135" s="312"/>
      <c r="DO135" s="313">
        <f>IF(V135="",N135+DT135,V135+DT135)</f>
        <v>46129</v>
      </c>
      <c r="DP135" s="59">
        <f>IF(_xlfn.XLOOKUP($E135,'[1]Import Eletra'!$B:$B,'[1]Import Eletra'!$O:$O,,0,1)=0,"",_xlfn.XLOOKUP($E135,'[1]Import Eletra'!$B:$B,'[1]Import Eletra'!$O:$O,0,1))</f>
        <v>46129</v>
      </c>
      <c r="DQ135" s="309">
        <f>$DN$4</f>
        <v>1</v>
      </c>
      <c r="DR135" s="309">
        <f ca="1">IF(DP135="",TODAY()-DO135,DP135-DO135)</f>
        <v>0</v>
      </c>
      <c r="DS135" s="310">
        <f ca="1">DR135-DQ135</f>
        <v>-1</v>
      </c>
      <c r="DT135" s="314">
        <v>17</v>
      </c>
      <c r="DU135" s="140">
        <f ca="1">IF(DP135="",TODAY()-N135,DP135-N135)</f>
        <v>31</v>
      </c>
      <c r="DV135" s="184">
        <f ca="1">DU135-DT135</f>
        <v>14</v>
      </c>
      <c r="DX135" s="316"/>
      <c r="DY135" s="108" t="str">
        <f>IF(_xlfn.XLOOKUP($E135,'[1]Import Eletra'!$B:$B,'[1]Import Eletra'!$DW:$DW,,0,1)=0,"",_xlfn.XLOOKUP($E135,'[1]Import Eletra'!$B:$B,'[1]Import Eletra'!$DW:$DW,0,1))</f>
        <v/>
      </c>
      <c r="EB135" s="317"/>
      <c r="ED135" s="406" t="str">
        <f>IF(_xlfn.XLOOKUP($E135,'[1]Import Eletra'!$B:$B,'[1]Import Eletra'!$BQ:$BQ,,0,1)=0,"",_xlfn.XLOOKUP($E135,'[1]Import Eletra'!$B:$B,'[1]Import Eletra'!$BQ:$BQ,0,1))</f>
        <v/>
      </c>
      <c r="EE135" s="407" t="str">
        <f>IF(_xlfn.XLOOKUP($E135,'[1]Import Eletra'!$B:$B,'[1]Import Eletra'!$BR:$BR,,0,1)=0,"",_xlfn.XLOOKUP($E135,'[1]Import Eletra'!$B:$B,'[1]Import Eletra'!$BR:$BR,0,1))</f>
        <v/>
      </c>
      <c r="EF135" s="406" t="str">
        <f>IF(_xlfn.XLOOKUP($E135,'[1]Import Eletra'!$B:$B,'[1]Import Eletra'!$BS:$BS,,0,1)=0,"",_xlfn.XLOOKUP($E135,'[1]Import Eletra'!$B:$B,'[1]Import Eletra'!$BS:$BS,0,1))</f>
        <v/>
      </c>
      <c r="EG135" s="407" t="str">
        <f>IF(_xlfn.XLOOKUP($E135,'[1]Import Eletra'!$B:$B,'[1]Import Eletra'!$BT:$BT,,0,1)=0,"",_xlfn.XLOOKUP($E135,'[1]Import Eletra'!$B:$B,'[1]Import Eletra'!$BT:$BT,0,1))</f>
        <v/>
      </c>
      <c r="EH135" s="406" t="str">
        <f>IF(_xlfn.XLOOKUP($E135,'[1]Import Eletra'!$B:$B,'[1]Import Eletra'!$BU:$BU,,0,1)=0,"",_xlfn.XLOOKUP($E135,'[1]Import Eletra'!$B:$B,'[1]Import Eletra'!$BU:$BU,0,1))</f>
        <v/>
      </c>
      <c r="EI135" s="407" t="str">
        <f>IF(_xlfn.XLOOKUP($E135,'[1]Import Eletra'!$B:$B,'[1]Import Eletra'!$BV:$BV,,0,1)=0,"",_xlfn.XLOOKUP($E135,'[1]Import Eletra'!$B:$B,'[1]Import Eletra'!$BV:$BV,0,1))</f>
        <v/>
      </c>
      <c r="EJ135" s="407" t="str">
        <f>IF(_xlfn.XLOOKUP($E135,'[1]Import Eletra'!$B:$B,'[1]Import Eletra'!$CI:$CI,,0,1)=0,"",_xlfn.XLOOKUP($E135,'[1]Import Eletra'!$B:$B,'[1]Import Eletra'!$CI:$CI,0,1))</f>
        <v/>
      </c>
      <c r="EK135" s="407" t="str">
        <f>IF(_xlfn.XLOOKUP($E135,'[1]Import Eletra'!$B:$B,'[1]Import Eletra'!$CD:$CD,,0,1)=0,"",_xlfn.XLOOKUP($E135,'[1]Import Eletra'!$B:$B,'[1]Import Eletra'!$CD:$CD,0,1))</f>
        <v/>
      </c>
      <c r="EL135" s="407" t="str">
        <f>IF(_xlfn.XLOOKUP($E135,'[1]Import Eletra'!$B:$B,'[1]Import Eletra'!$CE:$CE,,0,1)=0,"",_xlfn.XLOOKUP($E135,'[1]Import Eletra'!$B:$B,'[1]Import Eletra'!$CE:$CE,0,1))</f>
        <v>NÃO</v>
      </c>
      <c r="EM135" s="408" t="str">
        <f>IF(_xlfn.XLOOKUP($E135,'[1]Import Eletra'!$B:$B,'[1]Import Eletra'!$E:$E,,0,1)=0,"",_xlfn.XLOOKUP($E135,'[1]Import Eletra'!$B:$B,'[1]Import Eletra'!$E:$E,0,1))</f>
        <v>LEISIANE</v>
      </c>
      <c r="EN135" s="408" t="str">
        <f>IF(_xlfn.XLOOKUP($E135,'[1]Import Eletra'!$B:$B,'[1]Import Eletra'!$E:$E,,0,1)=0,"",_xlfn.XLOOKUP($E135,'[1]Import Eletra'!$B:$B,'[1]Import Eletra'!$E:$E,0,1))</f>
        <v>LEISIANE</v>
      </c>
      <c r="EO135" s="408" t="str">
        <f>IF(_xlfn.XLOOKUP($E135,'[1]Import Eletra'!$B:$B,'[1]Import Eletra'!$E:$E,,0,1)=0,"",_xlfn.XLOOKUP($E135,'[1]Import Eletra'!$B:$B,'[1]Import Eletra'!$E:$E,0,1))</f>
        <v>LEISIANE</v>
      </c>
      <c r="EP135" s="408" t="str">
        <f>IF(_xlfn.XLOOKUP($E135,'[1]Import Eletra'!$B:$B,'[1]Import Eletra'!$E:$E,,0,1)=0,"",_xlfn.XLOOKUP($E135,'[1]Import Eletra'!$B:$B,'[1]Import Eletra'!$E:$E,0,1))</f>
        <v>LEISIANE</v>
      </c>
    </row>
    <row r="136" spans="1:146" s="315" customFormat="1" ht="30" hidden="1" customHeight="1" outlineLevel="1">
      <c r="A136" s="305"/>
      <c r="B136" s="306"/>
      <c r="C136" s="306"/>
      <c r="D136" s="306"/>
      <c r="E136" s="318" t="s">
        <v>432</v>
      </c>
      <c r="F136" s="307">
        <f>IF(_xlfn.XLOOKUP($E136,'[1]Import Eletra'!$B:$B,'[1]Import Eletra'!$U:$U,,0,1)=0,"",_xlfn.XLOOKUP($E136,'[1]Import Eletra'!$B:$B,'[1]Import Eletra'!$U:$U,,0,1))</f>
        <v>2</v>
      </c>
      <c r="G136" s="320" t="s">
        <v>244</v>
      </c>
      <c r="H136" s="59" t="str">
        <f>_xlfn.XLOOKUP($E136,'[1]Import Eletra'!$B:$B,'[1]Import Eletra'!$F:$F,,0,1)</f>
        <v>DELIVERED</v>
      </c>
      <c r="I136" s="4" t="str">
        <f>_xlfn.XLOOKUP($E136,'[1]Import Eletra'!$B:$B,'[1]Import Eletra'!$G:$G,,0,1)</f>
        <v>SEA</v>
      </c>
      <c r="J136" s="331"/>
      <c r="K136" s="308"/>
      <c r="L136" s="308"/>
      <c r="M136" s="331">
        <f>IF(_xlfn.XLOOKUP($E136,'[1]Import Eletra'!$B:$B,'[1]Import Eletra'!$J:$J,,0,1)=0,"",_xlfn.XLOOKUP($E136,'[1]Import Eletra'!$B:$B,'[1]Import Eletra'!$J:$J,,0,1))</f>
        <v>46054</v>
      </c>
      <c r="N136" s="334">
        <f>IF(_xlfn.XLOOKUP($E136,'[1]Import Eletra'!$B:$B,'[1]Import Eletra'!$L:$L,,0,1)=0,"",_xlfn.XLOOKUP($E136,'[1]Import Eletra'!$B:$B,'[1]Import Eletra'!$L:$L,,0,1))</f>
        <v>46112</v>
      </c>
      <c r="O136" s="336">
        <f>IF(_xlfn.XLOOKUP($E136,'[1]Import Eletra'!$B:$B,'[1]Import Eletra'!$AK:$AK,,0,1)=0,"",_xlfn.XLOOKUP($E136,'[1]Import Eletra'!$B:$B,'[1]Import Eletra'!$AK:$AK,,0,1))</f>
        <v>46069</v>
      </c>
      <c r="P136" s="331">
        <f>IF(_xlfn.XLOOKUP($E136,'[1]Import Eletra'!$B:$B,'[1]Import Eletra'!$AL:$AL,,0,1)=0,"",_xlfn.XLOOKUP($E136,'[1]Import Eletra'!$B:$B,'[1]Import Eletra'!$AL:$AL,,0,1))</f>
        <v>46070</v>
      </c>
      <c r="Q136" s="331">
        <f>IF(_xlfn.XLOOKUP($E136,'[1]Import Eletra'!$B:$B,'[1]Import Eletra'!$AM:$AM,,0,1)=0,"",_xlfn.XLOOKUP($E136,'[1]Import Eletra'!$B:$B,'[1]Import Eletra'!$AM:$AM,,0,1))</f>
        <v>46076</v>
      </c>
      <c r="R136" s="331">
        <f>IF(_xlfn.XLOOKUP($E136,'[1]Import Eletra'!$B:$B,'[1]Import Eletra'!$AN:$AN,,0,1)=0,"",_xlfn.XLOOKUP($E136,'[1]Import Eletra'!$B:$B,'[1]Import Eletra'!$AN:$AN,,0,1))</f>
        <v>46076</v>
      </c>
      <c r="S136" s="331">
        <f>IF(_xlfn.XLOOKUP($E136,'[1]Import Eletra'!$B:$B,'[1]Import Eletra'!$AO:$AO,,0,1)=0,"",_xlfn.XLOOKUP($E136,'[1]Import Eletra'!$B:$B,'[1]Import Eletra'!$AO:$AO,,0,1))</f>
        <v>46078</v>
      </c>
      <c r="T136" s="331">
        <f>IF(_xlfn.XLOOKUP($E136,'[1]Import Eletra'!$B:$B,'[1]Import Eletra'!$AP:$AP,,0,1)=0,"",_xlfn.XLOOKUP($E136,'[1]Import Eletra'!$B:$B,'[1]Import Eletra'!$AP:$AP,,0,1))</f>
        <v>46079</v>
      </c>
      <c r="U136" s="338">
        <f>IF(_xlfn.XLOOKUP($E136,'[1]Import Eletra'!$B:$B,'[1]Import Eletra'!$AQ:$AQ,,0,1)=0,"",_xlfn.XLOOKUP($E136,'[1]Import Eletra'!$B:$B,'[1]Import Eletra'!$AQ:$AQ,,0,1))</f>
        <v>46079</v>
      </c>
      <c r="V136" s="343">
        <f>IF(_xlfn.XLOOKUP($E136,'[1]Import Eletra'!$B:$B,'[1]Import Eletra'!$AQ:$AQ,,0,1)=0,"",_xlfn.XLOOKUP($E136,'[1]Import Eletra'!$B:$B,'[1]Import Eletra'!$AQ:$AQ,,0,1))</f>
        <v>46079</v>
      </c>
      <c r="W136" s="336">
        <f>AB136-$AB$4</f>
        <v>46089</v>
      </c>
      <c r="X136" s="345">
        <f>IF(_xlfn.XLOOKUP($E136,'[1]Import Eletra'!$B:$B,'[1]Import Eletra'!$AR:$AR,,0,1)=0,"",_xlfn.XLOOKUP($E136,'[1]Import Eletra'!$B:$B,'[1]Import Eletra'!$AR:$AR,,0,1))</f>
        <v>46118</v>
      </c>
      <c r="Y136" s="309">
        <f>$W$4</f>
        <v>0</v>
      </c>
      <c r="Z136" s="309">
        <f ca="1">IF(X136="",TODAY()-W136,X136-W136)</f>
        <v>29</v>
      </c>
      <c r="AA136" s="310">
        <f ca="1">IF(AND(ISNUMBER($Z136),$Z136&gt;0),$Z136-$Y136,"")</f>
        <v>29</v>
      </c>
      <c r="AB136" s="350">
        <f>AG136-$AB$4</f>
        <v>46089</v>
      </c>
      <c r="AC136" s="345">
        <f>IF(_xlfn.XLOOKUP($E136,'[1]Import Eletra'!$B:$B,'[1]Import Eletra'!$AD:$AD,,0,1)=0,"",_xlfn.XLOOKUP($E136,'[1]Import Eletra'!$B:$B,'[1]Import Eletra'!$AD:$AD,,0,1))</f>
        <v>46118</v>
      </c>
      <c r="AD136" s="309">
        <f>$AB$4</f>
        <v>0</v>
      </c>
      <c r="AE136" s="309">
        <f ca="1">IF(AC136="",TODAY()-AB136,AC136-AB136)</f>
        <v>29</v>
      </c>
      <c r="AF136" s="310">
        <f ca="1">AE136-AD136</f>
        <v>29</v>
      </c>
      <c r="AG136" s="356">
        <f>AL136-$AL$4</f>
        <v>46089</v>
      </c>
      <c r="AH136" s="345">
        <f>IF(_xlfn.XLOOKUP($E136,'[1]Import Eletra'!$B:$B,'[1]Import Eletra'!$AE:$AE,,0,1)=0,"",_xlfn.XLOOKUP($E136,'[1]Import Eletra'!$B:$B,'[1]Import Eletra'!$AE:$AE,,0,1))</f>
        <v>46118</v>
      </c>
      <c r="AI136" s="309">
        <f>$AG$4</f>
        <v>0</v>
      </c>
      <c r="AJ136" s="309">
        <f ca="1">IF(AH136="",TODAY()-AG136,AH136-AG136)</f>
        <v>29</v>
      </c>
      <c r="AK136" s="310">
        <f ca="1">IF(AND(ISNUMBER($AJ136),$AJ136&gt;0),$AJ136-$AI136,"")</f>
        <v>29</v>
      </c>
      <c r="AL136" s="356">
        <f>AQ136-$AQ$4</f>
        <v>46089</v>
      </c>
      <c r="AM136" s="345">
        <f>IF(_xlfn.XLOOKUP($E136,'[1]Import Eletra'!$B:$B,'[1]Import Eletra'!$AT:$AT,,0,1)=0,"",_xlfn.XLOOKUP($E136,'[1]Import Eletra'!$B:$B,'[1]Import Eletra'!$AT:$AT,,0,1))</f>
        <v>46118</v>
      </c>
      <c r="AN136" s="309">
        <f>$AL$4</f>
        <v>0</v>
      </c>
      <c r="AO136" s="309">
        <f ca="1">IF(AM136="",TODAY()-AL136,AM136-AL136)</f>
        <v>29</v>
      </c>
      <c r="AP136" s="310">
        <f ca="1">IF(AND(ISNUMBER($AO136),$AO136&gt;0),$AO136-$AN136,"")</f>
        <v>29</v>
      </c>
      <c r="AQ136" s="359">
        <f>AV136-$AV$4</f>
        <v>46090</v>
      </c>
      <c r="AR136" s="345">
        <f>IF(_xlfn.XLOOKUP($E136,'[1]Import Eletra'!$B:$B,'[1]Import Eletra'!$AU:$AU,,0,1)=0,"",_xlfn.XLOOKUP($E136,'[1]Import Eletra'!$B:$B,'[1]Import Eletra'!$AU:$AU,,0,1))</f>
        <v>46122</v>
      </c>
      <c r="AS136" s="309">
        <f>$AQ$4</f>
        <v>1</v>
      </c>
      <c r="AT136" s="309">
        <f ca="1">IF(AR136="",TODAY()-AQ136,AR136-AQ136)</f>
        <v>32</v>
      </c>
      <c r="AU136" s="310">
        <f ca="1">IF(AND(ISNUMBER($AT136),$AT136&gt;0),$AT136-$AS136,"")</f>
        <v>31</v>
      </c>
      <c r="AV136" s="356">
        <f>BA136-$BA$4</f>
        <v>46090</v>
      </c>
      <c r="AW136" s="345">
        <f>IF(_xlfn.XLOOKUP($E136,'[1]Import Eletra'!$B:$B,'[1]Import Eletra'!$AU:$AU,,0,1)=0,"",_xlfn.XLOOKUP($E136,'[1]Import Eletra'!$B:$B,'[1]Import Eletra'!$AU:$AU,,0,1))</f>
        <v>46122</v>
      </c>
      <c r="AX136" s="309">
        <f>$AV$4</f>
        <v>0</v>
      </c>
      <c r="AY136" s="309">
        <f ca="1">IF(AW136="",TODAY()-AV136,AW136-AV136)</f>
        <v>32</v>
      </c>
      <c r="AZ136" s="310">
        <f ca="1">IF(AND(ISNUMBER($AY136),$AY136&gt;0),$AY136-$AX136,"")</f>
        <v>32</v>
      </c>
      <c r="BA136" s="359">
        <f>BF136-$BF$4</f>
        <v>46090</v>
      </c>
      <c r="BB136" s="345" t="str">
        <f>IF(_xlfn.XLOOKUP($E136,'[1]Import Eletra'!$B:$B,'[1]Import Eletra'!$AW:$AW,,0,1)=0,"",_xlfn.XLOOKUP($E136,'[1]Import Eletra'!$B:$B,'[1]Import Eletra'!$AW:$AW,,0,1))</f>
        <v/>
      </c>
      <c r="BC136" s="309">
        <f>$BA$4</f>
        <v>0</v>
      </c>
      <c r="BD136" s="309">
        <f ca="1">IF(BB136="",TODAY()-BA136,BB136-BA136)</f>
        <v>121</v>
      </c>
      <c r="BE136" s="310">
        <f ca="1">BD136-BC136</f>
        <v>121</v>
      </c>
      <c r="BF136" s="336">
        <f>BK136-$BK$4</f>
        <v>46090</v>
      </c>
      <c r="BG136" s="345" t="str">
        <f>IF(_xlfn.XLOOKUP($E136,'[1]Import Eletra'!$B:$B,'[1]Import Eletra'!$AX:$AX,,0,1)=0,"",_xlfn.XLOOKUP($E136,'[1]Import Eletra'!$B:$B,'[1]Import Eletra'!$AX:$AX,,0,1))</f>
        <v/>
      </c>
      <c r="BH136" s="309">
        <f>$BF$4</f>
        <v>0</v>
      </c>
      <c r="BI136" s="309">
        <f ca="1">IF(BG136="",TODAY()-BF136,BG136-BF136)</f>
        <v>121</v>
      </c>
      <c r="BJ136" s="310">
        <f ca="1">IF(AND(ISNUMBER($BI136),$BI136&gt;0),$BI136-$BH136,"")</f>
        <v>121</v>
      </c>
      <c r="BK136" s="363">
        <f>BP136-$BP$4</f>
        <v>46090</v>
      </c>
      <c r="BL136" s="345">
        <f>IF(_xlfn.XLOOKUP($E136,'[1]Import Eletra'!$B:$B,'[1]Import Eletra'!$AY:$AY,,0,1)=0,"",_xlfn.XLOOKUP($E136,'[1]Import Eletra'!$B:$B,'[1]Import Eletra'!$AY:$AY,,0,1))</f>
        <v>46118</v>
      </c>
      <c r="BM136" s="309">
        <f>$BK$4</f>
        <v>0</v>
      </c>
      <c r="BN136" s="309">
        <f ca="1">IF(BL136="",TODAY()-BK136,BL136-BK136)</f>
        <v>28</v>
      </c>
      <c r="BO136" s="310">
        <f ca="1">BN136-BM136</f>
        <v>28</v>
      </c>
      <c r="BP136" s="336">
        <f>BU136-$BU$4</f>
        <v>46090</v>
      </c>
      <c r="BQ136" s="345">
        <f>IF(_xlfn.XLOOKUP($E136,'[1]Import Eletra'!$B:$B,'[1]Import Eletra'!$AZ:$AZ,,0,1)=0,"",_xlfn.XLOOKUP($E136,'[1]Import Eletra'!$B:$B,'[1]Import Eletra'!$AZ:$AZ,,0,1))</f>
        <v>46122</v>
      </c>
      <c r="BR136" s="309">
        <f>$BP$4</f>
        <v>0</v>
      </c>
      <c r="BS136" s="309">
        <f ca="1">IF(BQ136="",TODAY()-BP136,BQ136-BP136)</f>
        <v>32</v>
      </c>
      <c r="BT136" s="310">
        <f ca="1">BS136-BR136</f>
        <v>32</v>
      </c>
      <c r="BU136" s="363">
        <f>BZ136-$BZ$4</f>
        <v>46092</v>
      </c>
      <c r="BV136" s="345">
        <f>IF(_xlfn.XLOOKUP($E136,'[1]Import Eletra'!$B:$B,'[1]Import Eletra'!$BA:$BA,,0,1)=0,"",_xlfn.XLOOKUP($E136,'[1]Import Eletra'!$B:$B,'[1]Import Eletra'!$BA:$BA,,0,1))</f>
        <v>46126</v>
      </c>
      <c r="BW136" s="309">
        <f>$BU$4</f>
        <v>2</v>
      </c>
      <c r="BX136" s="309">
        <f ca="1">IF(BV136="",TODAY()-BU136,BV136-BU136)</f>
        <v>34</v>
      </c>
      <c r="BY136" s="310">
        <f ca="1">IF(AND(ISNUMBER($BX136),$BX136&gt;0),$BX136-$BW136,"")</f>
        <v>32</v>
      </c>
      <c r="BZ136" s="336">
        <f>CE136-$CE$4</f>
        <v>46092</v>
      </c>
      <c r="CA136" s="345">
        <f>IF(_xlfn.XLOOKUP($E136,'[1]Import Eletra'!$B:$B,'[1]Import Eletra'!$BB:$BB,,0,1)=0,"",_xlfn.XLOOKUP($E136,'[1]Import Eletra'!$B:$B,'[1]Import Eletra'!$BB:$BB,,0,1))</f>
        <v>46126</v>
      </c>
      <c r="CB136" s="309">
        <f>$BZ$4</f>
        <v>0</v>
      </c>
      <c r="CC136" s="309">
        <f ca="1">IF(CA136="",TODAY()-BZ136,CA136-BZ136)</f>
        <v>34</v>
      </c>
      <c r="CD136" s="310">
        <f ca="1">CC136-CB136</f>
        <v>34</v>
      </c>
      <c r="CE136" s="363">
        <f>CJ136-$CJ$4</f>
        <v>46092</v>
      </c>
      <c r="CF136" s="345">
        <f>IF(_xlfn.XLOOKUP($E136,'[1]Import Eletra'!$B:$B,'[1]Import Eletra'!$BC:$BC,,0,1)=0,"",_xlfn.XLOOKUP($E136,'[1]Import Eletra'!$B:$B,'[1]Import Eletra'!$BC:$BC,,0,1))</f>
        <v>46122</v>
      </c>
      <c r="CG136" s="309">
        <f>$CE$4</f>
        <v>0</v>
      </c>
      <c r="CH136" s="309">
        <f ca="1">IF(CF136="",TODAY()-CE136,CF136-CE136)</f>
        <v>30</v>
      </c>
      <c r="CI136" s="310">
        <f ca="1">CH136-CG136</f>
        <v>30</v>
      </c>
      <c r="CJ136" s="336">
        <f>CO136-$CO$4</f>
        <v>46092</v>
      </c>
      <c r="CK136" s="345">
        <f>IF(_xlfn.XLOOKUP($E136,'[1]Import Eletra'!$B:$B,'[1]Import Eletra'!$BD:$BD,,0,1)=0,"",_xlfn.XLOOKUP($E136,'[1]Import Eletra'!$B:$B,'[1]Import Eletra'!$BD:$BD,,0,1))</f>
        <v>46126</v>
      </c>
      <c r="CL136" s="309"/>
      <c r="CM136" s="309">
        <f ca="1">IF(CK136="",TODAY()-CJ136,CK136-CJ136)</f>
        <v>34</v>
      </c>
      <c r="CN136" s="310">
        <f ca="1">CM136-CL136</f>
        <v>34</v>
      </c>
      <c r="CO136" s="363">
        <f>CT136-$CT$4</f>
        <v>46092</v>
      </c>
      <c r="CP136" s="345">
        <f>IF(_xlfn.XLOOKUP($E136,'[1]Import Eletra'!$B:$B,'[1]Import Eletra'!$BE:$BE,,0,1)=0,"",_xlfn.XLOOKUP($E136,'[1]Import Eletra'!$B:$B,'[1]Import Eletra'!$BE:$BE,,0,1))</f>
        <v>46126</v>
      </c>
      <c r="CQ136" s="309">
        <f>$CO$4</f>
        <v>0</v>
      </c>
      <c r="CR136" s="309">
        <f ca="1">IF(CP136="",TODAY()-CO136,CP136-CO136)</f>
        <v>34</v>
      </c>
      <c r="CS136" s="310">
        <f ca="1">CR136-CQ136</f>
        <v>34</v>
      </c>
      <c r="CT136" s="336">
        <f>CY136-$CY$4</f>
        <v>46092</v>
      </c>
      <c r="CU136" s="345">
        <f>IF(_xlfn.XLOOKUP($E136,'[1]Import Eletra'!$B:$B,'[1]Import Eletra'!$BF:$BF,,0,1)=0,"",_xlfn.XLOOKUP($E136,'[1]Import Eletra'!$B:$B,'[1]Import Eletra'!$BF:$BF,,0,1))</f>
        <v>46126</v>
      </c>
      <c r="CV136" s="309">
        <f>$CT$4</f>
        <v>0</v>
      </c>
      <c r="CW136" s="309">
        <f ca="1">IF(CU136="",TODAY()-CT136,CU136-CT136)</f>
        <v>34</v>
      </c>
      <c r="CX136" s="310">
        <f ca="1">CW136-CV136</f>
        <v>34</v>
      </c>
      <c r="CY136" s="85">
        <f>DD136-$DD$4</f>
        <v>46092</v>
      </c>
      <c r="CZ136" s="271">
        <f>IF(_xlfn.XLOOKUP($E136,'[1]Import Eletra'!$B:$B,'[1]Import Eletra'!$BF:$BF,,0,1)=0,"",_xlfn.XLOOKUP($E136,'[1]Import Eletra'!$B:$B,'[1]Import Eletra'!$BF:$BF,,0,1))</f>
        <v>46126</v>
      </c>
      <c r="DA136" s="311">
        <f>$CY$4</f>
        <v>0</v>
      </c>
      <c r="DB136" s="309">
        <f ca="1">IF(CZ136="",TODAY()-CY136,CZ136-CY136)</f>
        <v>34</v>
      </c>
      <c r="DC136" s="310">
        <f ca="1">DB136-DA136</f>
        <v>34</v>
      </c>
      <c r="DD136" s="85">
        <f>DI136-$DI$4</f>
        <v>46094</v>
      </c>
      <c r="DE136" s="271">
        <f>IF(_xlfn.XLOOKUP($E136,'[1]Import Eletra'!$B:$B,'[1]Import Eletra'!$BG:$BG,,0,1)=0,"",_xlfn.XLOOKUP($E136,'[1]Import Eletra'!$B:$B,'[1]Import Eletra'!$BG:$BG,0,1))</f>
        <v>46128</v>
      </c>
      <c r="DF136" s="309">
        <f>$DD$4</f>
        <v>2</v>
      </c>
      <c r="DG136" s="309">
        <f ca="1">IF(DE136="",TODAY()-DD136,DE136-DD136)</f>
        <v>34</v>
      </c>
      <c r="DH136" s="310">
        <f ca="1">DG136-DF136</f>
        <v>32</v>
      </c>
      <c r="DI136" s="85">
        <f>DO136-$DN$4</f>
        <v>46095</v>
      </c>
      <c r="DJ136" s="271">
        <f>IF(_xlfn.XLOOKUP($E136,'[1]Import Eletra'!$B:$B,'[1]Import Eletra'!$BH:$BH,,0,1)=0,"",_xlfn.XLOOKUP($E136,'[1]Import Eletra'!$B:$B,'[1]Import Eletra'!$BH:$BH,0,1))</f>
        <v>46128</v>
      </c>
      <c r="DK136" s="309">
        <f>$DI$4</f>
        <v>1</v>
      </c>
      <c r="DL136" s="309">
        <f ca="1">IF(DJ136="",TODAY()-DI136,DJ136-DI136)</f>
        <v>33</v>
      </c>
      <c r="DM136" s="310">
        <f ca="1">DL136-DK136</f>
        <v>32</v>
      </c>
      <c r="DN136" s="312"/>
      <c r="DO136" s="313">
        <f>IF(V136="",N136+DT136,V136+DT136)</f>
        <v>46096</v>
      </c>
      <c r="DP136" s="59">
        <f>IF(_xlfn.XLOOKUP($E136,'[1]Import Eletra'!$B:$B,'[1]Import Eletra'!$O:$O,,0,1)=0,"",_xlfn.XLOOKUP($E136,'[1]Import Eletra'!$B:$B,'[1]Import Eletra'!$O:$O,0,1))</f>
        <v>46129</v>
      </c>
      <c r="DQ136" s="309">
        <f>$DN$4</f>
        <v>1</v>
      </c>
      <c r="DR136" s="309">
        <f ca="1">IF(DP136="",TODAY()-DO136,DP136-DO136)</f>
        <v>33</v>
      </c>
      <c r="DS136" s="310">
        <f ca="1">DR136-DQ136</f>
        <v>32</v>
      </c>
      <c r="DT136" s="314">
        <v>17</v>
      </c>
      <c r="DU136" s="140">
        <f ca="1">IF(DP136="",TODAY()-N136,DP136-N136)</f>
        <v>17</v>
      </c>
      <c r="DV136" s="184">
        <f ca="1">DU136-DT136</f>
        <v>0</v>
      </c>
      <c r="DX136" s="316"/>
      <c r="DY136" s="108" t="str">
        <f>IF(_xlfn.XLOOKUP($E136,'[1]Import Eletra'!$B:$B,'[1]Import Eletra'!$DW:$DW,,0,1)=0,"",_xlfn.XLOOKUP($E136,'[1]Import Eletra'!$B:$B,'[1]Import Eletra'!$DW:$DW,0,1))</f>
        <v/>
      </c>
      <c r="EB136" s="317"/>
      <c r="ED136" s="406">
        <f>IF(_xlfn.XLOOKUP($E136,'[1]Import Eletra'!$B:$B,'[1]Import Eletra'!$BQ:$BQ,,0,1)=0,"",_xlfn.XLOOKUP($E136,'[1]Import Eletra'!$B:$B,'[1]Import Eletra'!$BQ:$BQ,0,1))</f>
        <v>1636.58</v>
      </c>
      <c r="EE136" s="407">
        <f>IF(_xlfn.XLOOKUP($E136,'[1]Import Eletra'!$B:$B,'[1]Import Eletra'!$BR:$BR,,0,1)=0,"",_xlfn.XLOOKUP($E136,'[1]Import Eletra'!$B:$B,'[1]Import Eletra'!$BR:$BR,0,1))</f>
        <v>46128</v>
      </c>
      <c r="EF136" s="406">
        <f>IF(_xlfn.XLOOKUP($E136,'[1]Import Eletra'!$B:$B,'[1]Import Eletra'!$BS:$BS,,0,1)=0,"",_xlfn.XLOOKUP($E136,'[1]Import Eletra'!$B:$B,'[1]Import Eletra'!$BS:$BS,0,1))</f>
        <v>11361.83</v>
      </c>
      <c r="EG136" s="407">
        <f>IF(_xlfn.XLOOKUP($E136,'[1]Import Eletra'!$B:$B,'[1]Import Eletra'!$BT:$BT,,0,1)=0,"",_xlfn.XLOOKUP($E136,'[1]Import Eletra'!$B:$B,'[1]Import Eletra'!$BT:$BT,0,1))</f>
        <v>46167</v>
      </c>
      <c r="EH136" s="406" t="str">
        <f>IF(_xlfn.XLOOKUP($E136,'[1]Import Eletra'!$B:$B,'[1]Import Eletra'!$BU:$BU,,0,1)=0,"",_xlfn.XLOOKUP($E136,'[1]Import Eletra'!$B:$B,'[1]Import Eletra'!$BU:$BU,0,1))</f>
        <v/>
      </c>
      <c r="EI136" s="407" t="str">
        <f>IF(_xlfn.XLOOKUP($E136,'[1]Import Eletra'!$B:$B,'[1]Import Eletra'!$BV:$BV,,0,1)=0,"",_xlfn.XLOOKUP($E136,'[1]Import Eletra'!$B:$B,'[1]Import Eletra'!$BV:$BV,0,1))</f>
        <v/>
      </c>
      <c r="EJ136" s="407">
        <f>IF(_xlfn.XLOOKUP($E136,'[1]Import Eletra'!$B:$B,'[1]Import Eletra'!$CI:$CI,,0,1)=0,"",_xlfn.XLOOKUP($E136,'[1]Import Eletra'!$B:$B,'[1]Import Eletra'!$CI:$CI,0,1))</f>
        <v>46130</v>
      </c>
      <c r="EK136" s="407" t="str">
        <f>IF(_xlfn.XLOOKUP($E136,'[1]Import Eletra'!$B:$B,'[1]Import Eletra'!$CD:$CD,,0,1)=0,"",_xlfn.XLOOKUP($E136,'[1]Import Eletra'!$B:$B,'[1]Import Eletra'!$CD:$CD,0,1))</f>
        <v/>
      </c>
      <c r="EL136" s="407" t="str">
        <f>IF(_xlfn.XLOOKUP($E136,'[1]Import Eletra'!$B:$B,'[1]Import Eletra'!$CE:$CE,,0,1)=0,"",_xlfn.XLOOKUP($E136,'[1]Import Eletra'!$B:$B,'[1]Import Eletra'!$CE:$CE,0,1))</f>
        <v>NÃO</v>
      </c>
      <c r="EM136" s="408" t="str">
        <f>IF(_xlfn.XLOOKUP($E136,'[1]Import Eletra'!$B:$B,'[1]Import Eletra'!$E:$E,,0,1)=0,"",_xlfn.XLOOKUP($E136,'[1]Import Eletra'!$B:$B,'[1]Import Eletra'!$E:$E,0,1))</f>
        <v>LEISIANE</v>
      </c>
      <c r="EN136" s="408" t="str">
        <f>IF(_xlfn.XLOOKUP($E136,'[1]Import Eletra'!$B:$B,'[1]Import Eletra'!$E:$E,,0,1)=0,"",_xlfn.XLOOKUP($E136,'[1]Import Eletra'!$B:$B,'[1]Import Eletra'!$E:$E,0,1))</f>
        <v>LEISIANE</v>
      </c>
      <c r="EO136" s="408" t="str">
        <f>IF(_xlfn.XLOOKUP($E136,'[1]Import Eletra'!$B:$B,'[1]Import Eletra'!$E:$E,,0,1)=0,"",_xlfn.XLOOKUP($E136,'[1]Import Eletra'!$B:$B,'[1]Import Eletra'!$E:$E,0,1))</f>
        <v>LEISIANE</v>
      </c>
      <c r="EP136" s="408" t="str">
        <f>IF(_xlfn.XLOOKUP($E136,'[1]Import Eletra'!$B:$B,'[1]Import Eletra'!$E:$E,,0,1)=0,"",_xlfn.XLOOKUP($E136,'[1]Import Eletra'!$B:$B,'[1]Import Eletra'!$E:$E,0,1))</f>
        <v>LEISIANE</v>
      </c>
    </row>
    <row r="137" spans="1:146" s="315" customFormat="1" ht="30" hidden="1" customHeight="1" outlineLevel="1">
      <c r="A137" s="305"/>
      <c r="B137" s="306"/>
      <c r="C137" s="306"/>
      <c r="D137" s="306"/>
      <c r="E137" s="319" t="s">
        <v>433</v>
      </c>
      <c r="F137" s="307" t="str">
        <f>IF(_xlfn.XLOOKUP($E137,'[1]Import Eletra'!$B:$B,'[1]Import Eletra'!$U:$U,,0,1)=0,"",_xlfn.XLOOKUP($E137,'[1]Import Eletra'!$B:$B,'[1]Import Eletra'!$U:$U,,0,1))</f>
        <v/>
      </c>
      <c r="G137" s="320" t="s">
        <v>244</v>
      </c>
      <c r="H137" s="59" t="str">
        <f>_xlfn.XLOOKUP($E137,'[1]Import Eletra'!$B:$B,'[1]Import Eletra'!$F:$F,,0,1)</f>
        <v>DELIVERED</v>
      </c>
      <c r="I137" s="4" t="str">
        <f>_xlfn.XLOOKUP($E137,'[1]Import Eletra'!$B:$B,'[1]Import Eletra'!$G:$G,,0,1)</f>
        <v>AIR</v>
      </c>
      <c r="J137" s="331"/>
      <c r="K137" s="308"/>
      <c r="L137" s="308"/>
      <c r="M137" s="331">
        <f>IF(_xlfn.XLOOKUP($E137,'[1]Import Eletra'!$B:$B,'[1]Import Eletra'!$J:$J,,0,1)=0,"",_xlfn.XLOOKUP($E137,'[1]Import Eletra'!$B:$B,'[1]Import Eletra'!$J:$J,,0,1))</f>
        <v>46117</v>
      </c>
      <c r="N137" s="334">
        <f>IF(_xlfn.XLOOKUP($E137,'[1]Import Eletra'!$B:$B,'[1]Import Eletra'!$L:$L,,0,1)=0,"",_xlfn.XLOOKUP($E137,'[1]Import Eletra'!$B:$B,'[1]Import Eletra'!$L:$L,,0,1))</f>
        <v>46119</v>
      </c>
      <c r="O137" s="336">
        <f>IF(_xlfn.XLOOKUP($E137,'[1]Import Eletra'!$B:$B,'[1]Import Eletra'!$AK:$AK,,0,1)=0,"",_xlfn.XLOOKUP($E137,'[1]Import Eletra'!$B:$B,'[1]Import Eletra'!$AK:$AK,,0,1))</f>
        <v>46209</v>
      </c>
      <c r="P137" s="331">
        <f>IF(_xlfn.XLOOKUP($E137,'[1]Import Eletra'!$B:$B,'[1]Import Eletra'!$AL:$AL,,0,1)=0,"",_xlfn.XLOOKUP($E137,'[1]Import Eletra'!$B:$B,'[1]Import Eletra'!$AL:$AL,,0,1))</f>
        <v>46210</v>
      </c>
      <c r="Q137" s="331">
        <f>IF(_xlfn.XLOOKUP($E137,'[1]Import Eletra'!$B:$B,'[1]Import Eletra'!$AM:$AM,,0,1)=0,"",_xlfn.XLOOKUP($E137,'[1]Import Eletra'!$B:$B,'[1]Import Eletra'!$AM:$AM,,0,1))</f>
        <v>46120</v>
      </c>
      <c r="R137" s="331">
        <f>IF(_xlfn.XLOOKUP($E137,'[1]Import Eletra'!$B:$B,'[1]Import Eletra'!$AN:$AN,,0,1)=0,"",_xlfn.XLOOKUP($E137,'[1]Import Eletra'!$B:$B,'[1]Import Eletra'!$AN:$AN,,0,1))</f>
        <v>46120</v>
      </c>
      <c r="S137" s="331">
        <f>IF(_xlfn.XLOOKUP($E137,'[1]Import Eletra'!$B:$B,'[1]Import Eletra'!$AO:$AO,,0,1)=0,"",_xlfn.XLOOKUP($E137,'[1]Import Eletra'!$B:$B,'[1]Import Eletra'!$AO:$AO,,0,1))</f>
        <v>46121</v>
      </c>
      <c r="T137" s="331">
        <f>IF(_xlfn.XLOOKUP($E137,'[1]Import Eletra'!$B:$B,'[1]Import Eletra'!$AP:$AP,,0,1)=0,"",_xlfn.XLOOKUP($E137,'[1]Import Eletra'!$B:$B,'[1]Import Eletra'!$AP:$AP,,0,1))</f>
        <v>46121</v>
      </c>
      <c r="U137" s="338">
        <f>IF(_xlfn.XLOOKUP($E137,'[1]Import Eletra'!$B:$B,'[1]Import Eletra'!$AQ:$AQ,,0,1)=0,"",_xlfn.XLOOKUP($E137,'[1]Import Eletra'!$B:$B,'[1]Import Eletra'!$AQ:$AQ,,0,1))</f>
        <v>46122</v>
      </c>
      <c r="V137" s="343">
        <f>IF(_xlfn.XLOOKUP($E137,'[1]Import Eletra'!$B:$B,'[1]Import Eletra'!$AQ:$AQ,,0,1)=0,"",_xlfn.XLOOKUP($E137,'[1]Import Eletra'!$B:$B,'[1]Import Eletra'!$AQ:$AQ,,0,1))</f>
        <v>46122</v>
      </c>
      <c r="W137" s="336">
        <f>AB137-$AB$4</f>
        <v>46132</v>
      </c>
      <c r="X137" s="345">
        <f>IF(_xlfn.XLOOKUP($E137,'[1]Import Eletra'!$B:$B,'[1]Import Eletra'!$AR:$AR,,0,1)=0,"",_xlfn.XLOOKUP($E137,'[1]Import Eletra'!$B:$B,'[1]Import Eletra'!$AR:$AR,,0,1))</f>
        <v>46119</v>
      </c>
      <c r="Y137" s="309">
        <f>$W$4</f>
        <v>0</v>
      </c>
      <c r="Z137" s="309">
        <f ca="1">IF(X137="",TODAY()-W137,X137-W137)</f>
        <v>-13</v>
      </c>
      <c r="AA137" s="310" t="str">
        <f ca="1">IF(AND(ISNUMBER($Z137),$Z137&gt;0),$Z137-$Y137,"")</f>
        <v/>
      </c>
      <c r="AB137" s="350">
        <f>AG137-$AB$4</f>
        <v>46132</v>
      </c>
      <c r="AC137" s="345">
        <f>IF(_xlfn.XLOOKUP($E137,'[1]Import Eletra'!$B:$B,'[1]Import Eletra'!$AD:$AD,,0,1)=0,"",_xlfn.XLOOKUP($E137,'[1]Import Eletra'!$B:$B,'[1]Import Eletra'!$AD:$AD,,0,1))</f>
        <v>46126</v>
      </c>
      <c r="AD137" s="309">
        <f>$AB$4</f>
        <v>0</v>
      </c>
      <c r="AE137" s="309">
        <f ca="1">IF(AC137="",TODAY()-AB137,AC137-AB137)</f>
        <v>-6</v>
      </c>
      <c r="AF137" s="310">
        <f ca="1">AE137-AD137</f>
        <v>-6</v>
      </c>
      <c r="AG137" s="356">
        <f>AL137-$AL$4</f>
        <v>46132</v>
      </c>
      <c r="AH137" s="345" t="str">
        <f>IF(_xlfn.XLOOKUP($E137,'[1]Import Eletra'!$B:$B,'[1]Import Eletra'!$AE:$AE,,0,1)=0,"",_xlfn.XLOOKUP($E137,'[1]Import Eletra'!$B:$B,'[1]Import Eletra'!$AE:$AE,,0,1))</f>
        <v/>
      </c>
      <c r="AI137" s="309">
        <f>$AG$4</f>
        <v>0</v>
      </c>
      <c r="AJ137" s="309">
        <f ca="1">IF(AH137="",TODAY()-AG137,AH137-AG137)</f>
        <v>79</v>
      </c>
      <c r="AK137" s="310">
        <f ca="1">IF(AND(ISNUMBER($AJ137),$AJ137&gt;0),$AJ137-$AI137,"")</f>
        <v>79</v>
      </c>
      <c r="AL137" s="356">
        <f>AQ137-$AQ$4</f>
        <v>46132</v>
      </c>
      <c r="AM137" s="345">
        <f>IF(_xlfn.XLOOKUP($E137,'[1]Import Eletra'!$B:$B,'[1]Import Eletra'!$AT:$AT,,0,1)=0,"",_xlfn.XLOOKUP($E137,'[1]Import Eletra'!$B:$B,'[1]Import Eletra'!$AT:$AT,,0,1))</f>
        <v>46126</v>
      </c>
      <c r="AN137" s="309">
        <f>$AL$4</f>
        <v>0</v>
      </c>
      <c r="AO137" s="309">
        <f ca="1">IF(AM137="",TODAY()-AL137,AM137-AL137)</f>
        <v>-6</v>
      </c>
      <c r="AP137" s="310" t="str">
        <f ca="1">IF(AND(ISNUMBER($AO137),$AO137&gt;0),$AO137-$AN137,"")</f>
        <v/>
      </c>
      <c r="AQ137" s="359">
        <f>AV137-$AV$4</f>
        <v>46133</v>
      </c>
      <c r="AR137" s="345">
        <f>IF(_xlfn.XLOOKUP($E137,'[1]Import Eletra'!$B:$B,'[1]Import Eletra'!$AU:$AU,,0,1)=0,"",_xlfn.XLOOKUP($E137,'[1]Import Eletra'!$B:$B,'[1]Import Eletra'!$AU:$AU,,0,1))</f>
        <v>46126</v>
      </c>
      <c r="AS137" s="309">
        <f>$AQ$4</f>
        <v>1</v>
      </c>
      <c r="AT137" s="309">
        <f ca="1">IF(AR137="",TODAY()-AQ137,AR137-AQ137)</f>
        <v>-7</v>
      </c>
      <c r="AU137" s="310" t="str">
        <f ca="1">IF(AND(ISNUMBER($AT137),$AT137&gt;0),$AT137-$AS137,"")</f>
        <v/>
      </c>
      <c r="AV137" s="356">
        <f>BA137-$BA$4</f>
        <v>46133</v>
      </c>
      <c r="AW137" s="345">
        <f>IF(_xlfn.XLOOKUP($E137,'[1]Import Eletra'!$B:$B,'[1]Import Eletra'!$AU:$AU,,0,1)=0,"",_xlfn.XLOOKUP($E137,'[1]Import Eletra'!$B:$B,'[1]Import Eletra'!$AU:$AU,,0,1))</f>
        <v>46126</v>
      </c>
      <c r="AX137" s="309">
        <f>$AV$4</f>
        <v>0</v>
      </c>
      <c r="AY137" s="309">
        <f ca="1">IF(AW137="",TODAY()-AV137,AW137-AV137)</f>
        <v>-7</v>
      </c>
      <c r="AZ137" s="310" t="str">
        <f ca="1">IF(AND(ISNUMBER($AY137),$AY137&gt;0),$AY137-$AX137,"")</f>
        <v/>
      </c>
      <c r="BA137" s="359">
        <f>BF137-$BF$4</f>
        <v>46133</v>
      </c>
      <c r="BB137" s="345" t="str">
        <f>IF(_xlfn.XLOOKUP($E137,'[1]Import Eletra'!$B:$B,'[1]Import Eletra'!$AW:$AW,,0,1)=0,"",_xlfn.XLOOKUP($E137,'[1]Import Eletra'!$B:$B,'[1]Import Eletra'!$AW:$AW,,0,1))</f>
        <v/>
      </c>
      <c r="BC137" s="309">
        <f>$BA$4</f>
        <v>0</v>
      </c>
      <c r="BD137" s="309">
        <f ca="1">IF(BB137="",TODAY()-BA137,BB137-BA137)</f>
        <v>78</v>
      </c>
      <c r="BE137" s="310">
        <f ca="1">BD137-BC137</f>
        <v>78</v>
      </c>
      <c r="BF137" s="336">
        <f>BK137-$BK$4</f>
        <v>46133</v>
      </c>
      <c r="BG137" s="345" t="str">
        <f>IF(_xlfn.XLOOKUP($E137,'[1]Import Eletra'!$B:$B,'[1]Import Eletra'!$AX:$AX,,0,1)=0,"",_xlfn.XLOOKUP($E137,'[1]Import Eletra'!$B:$B,'[1]Import Eletra'!$AX:$AX,,0,1))</f>
        <v/>
      </c>
      <c r="BH137" s="309">
        <f>$BF$4</f>
        <v>0</v>
      </c>
      <c r="BI137" s="309">
        <f ca="1">IF(BG137="",TODAY()-BF137,BG137-BF137)</f>
        <v>78</v>
      </c>
      <c r="BJ137" s="310">
        <f ca="1">IF(AND(ISNUMBER($BI137),$BI137&gt;0),$BI137-$BH137,"")</f>
        <v>78</v>
      </c>
      <c r="BK137" s="363">
        <f>BP137-$BP$4</f>
        <v>46133</v>
      </c>
      <c r="BL137" s="345">
        <f>IF(_xlfn.XLOOKUP($E137,'[1]Import Eletra'!$B:$B,'[1]Import Eletra'!$AY:$AY,,0,1)=0,"",_xlfn.XLOOKUP($E137,'[1]Import Eletra'!$B:$B,'[1]Import Eletra'!$AY:$AY,,0,1))</f>
        <v>46126</v>
      </c>
      <c r="BM137" s="309">
        <f>$BK$4</f>
        <v>0</v>
      </c>
      <c r="BN137" s="309">
        <f ca="1">IF(BL137="",TODAY()-BK137,BL137-BK137)</f>
        <v>-7</v>
      </c>
      <c r="BO137" s="310">
        <f ca="1">BN137-BM137</f>
        <v>-7</v>
      </c>
      <c r="BP137" s="336">
        <f>BU137-$BU$4</f>
        <v>46133</v>
      </c>
      <c r="BQ137" s="345">
        <f>IF(_xlfn.XLOOKUP($E137,'[1]Import Eletra'!$B:$B,'[1]Import Eletra'!$AZ:$AZ,,0,1)=0,"",_xlfn.XLOOKUP($E137,'[1]Import Eletra'!$B:$B,'[1]Import Eletra'!$AZ:$AZ,,0,1))</f>
        <v>46126</v>
      </c>
      <c r="BR137" s="309">
        <f>$BP$4</f>
        <v>0</v>
      </c>
      <c r="BS137" s="309">
        <f ca="1">IF(BQ137="",TODAY()-BP137,BQ137-BP137)</f>
        <v>-7</v>
      </c>
      <c r="BT137" s="310">
        <f ca="1">BS137-BR137</f>
        <v>-7</v>
      </c>
      <c r="BU137" s="363">
        <f>BZ137-$BZ$4</f>
        <v>46135</v>
      </c>
      <c r="BV137" s="345">
        <f>IF(_xlfn.XLOOKUP($E137,'[1]Import Eletra'!$B:$B,'[1]Import Eletra'!$BA:$BA,,0,1)=0,"",_xlfn.XLOOKUP($E137,'[1]Import Eletra'!$B:$B,'[1]Import Eletra'!$BA:$BA,,0,1))</f>
        <v>46127</v>
      </c>
      <c r="BW137" s="309">
        <f>$BU$4</f>
        <v>2</v>
      </c>
      <c r="BX137" s="309">
        <f ca="1">IF(BV137="",TODAY()-BU137,BV137-BU137)</f>
        <v>-8</v>
      </c>
      <c r="BY137" s="310" t="str">
        <f ca="1">IF(AND(ISNUMBER($BX137),$BX137&gt;0),$BX137-$BW137,"")</f>
        <v/>
      </c>
      <c r="BZ137" s="336">
        <f>CE137-$CE$4</f>
        <v>46135</v>
      </c>
      <c r="CA137" s="345">
        <f>IF(_xlfn.XLOOKUP($E137,'[1]Import Eletra'!$B:$B,'[1]Import Eletra'!$BB:$BB,,0,1)=0,"",_xlfn.XLOOKUP($E137,'[1]Import Eletra'!$B:$B,'[1]Import Eletra'!$BB:$BB,,0,1))</f>
        <v>46127</v>
      </c>
      <c r="CB137" s="309">
        <f>$BZ$4</f>
        <v>0</v>
      </c>
      <c r="CC137" s="309">
        <f ca="1">IF(CA137="",TODAY()-BZ137,CA137-BZ137)</f>
        <v>-8</v>
      </c>
      <c r="CD137" s="310">
        <f ca="1">CC137-CB137</f>
        <v>-8</v>
      </c>
      <c r="CE137" s="363">
        <f>CJ137-$CJ$4</f>
        <v>46135</v>
      </c>
      <c r="CF137" s="345">
        <f>IF(_xlfn.XLOOKUP($E137,'[1]Import Eletra'!$B:$B,'[1]Import Eletra'!$BC:$BC,,0,1)=0,"",_xlfn.XLOOKUP($E137,'[1]Import Eletra'!$B:$B,'[1]Import Eletra'!$BC:$BC,,0,1))</f>
        <v>46126</v>
      </c>
      <c r="CG137" s="309">
        <f>$CE$4</f>
        <v>0</v>
      </c>
      <c r="CH137" s="309">
        <f ca="1">IF(CF137="",TODAY()-CE137,CF137-CE137)</f>
        <v>-9</v>
      </c>
      <c r="CI137" s="310">
        <f ca="1">CH137-CG137</f>
        <v>-9</v>
      </c>
      <c r="CJ137" s="336">
        <f>CO137-$CO$4</f>
        <v>46135</v>
      </c>
      <c r="CK137" s="345">
        <f>IF(_xlfn.XLOOKUP($E137,'[1]Import Eletra'!$B:$B,'[1]Import Eletra'!$BD:$BD,,0,1)=0,"",_xlfn.XLOOKUP($E137,'[1]Import Eletra'!$B:$B,'[1]Import Eletra'!$BD:$BD,,0,1))</f>
        <v>46128</v>
      </c>
      <c r="CL137" s="309"/>
      <c r="CM137" s="309">
        <f ca="1">IF(CK137="",TODAY()-CJ137,CK137-CJ137)</f>
        <v>-7</v>
      </c>
      <c r="CN137" s="310">
        <f ca="1">CM137-CL137</f>
        <v>-7</v>
      </c>
      <c r="CO137" s="363">
        <f>CT137-$CT$4</f>
        <v>46135</v>
      </c>
      <c r="CP137" s="345">
        <f>IF(_xlfn.XLOOKUP($E137,'[1]Import Eletra'!$B:$B,'[1]Import Eletra'!$BE:$BE,,0,1)=0,"",_xlfn.XLOOKUP($E137,'[1]Import Eletra'!$B:$B,'[1]Import Eletra'!$BE:$BE,,0,1))</f>
        <v>46128</v>
      </c>
      <c r="CQ137" s="309">
        <f>$CO$4</f>
        <v>0</v>
      </c>
      <c r="CR137" s="309">
        <f ca="1">IF(CP137="",TODAY()-CO137,CP137-CO137)</f>
        <v>-7</v>
      </c>
      <c r="CS137" s="310">
        <f ca="1">CR137-CQ137</f>
        <v>-7</v>
      </c>
      <c r="CT137" s="336">
        <f>CY137-$CY$4</f>
        <v>46135</v>
      </c>
      <c r="CU137" s="345">
        <f>IF(_xlfn.XLOOKUP($E137,'[1]Import Eletra'!$B:$B,'[1]Import Eletra'!$BF:$BF,,0,1)=0,"",_xlfn.XLOOKUP($E137,'[1]Import Eletra'!$B:$B,'[1]Import Eletra'!$BF:$BF,,0,1))</f>
        <v>46128</v>
      </c>
      <c r="CV137" s="309">
        <f>$CT$4</f>
        <v>0</v>
      </c>
      <c r="CW137" s="309">
        <f ca="1">IF(CU137="",TODAY()-CT137,CU137-CT137)</f>
        <v>-7</v>
      </c>
      <c r="CX137" s="310">
        <f ca="1">CW137-CV137</f>
        <v>-7</v>
      </c>
      <c r="CY137" s="85">
        <f>DD137-$DD$4</f>
        <v>46135</v>
      </c>
      <c r="CZ137" s="271">
        <f>IF(_xlfn.XLOOKUP($E137,'[1]Import Eletra'!$B:$B,'[1]Import Eletra'!$BF:$BF,,0,1)=0,"",_xlfn.XLOOKUP($E137,'[1]Import Eletra'!$B:$B,'[1]Import Eletra'!$BF:$BF,,0,1))</f>
        <v>46128</v>
      </c>
      <c r="DA137" s="311">
        <f>$CY$4</f>
        <v>0</v>
      </c>
      <c r="DB137" s="309">
        <f ca="1">IF(CZ137="",TODAY()-CY137,CZ137-CY137)</f>
        <v>-7</v>
      </c>
      <c r="DC137" s="310">
        <f ca="1">DB137-DA137</f>
        <v>-7</v>
      </c>
      <c r="DD137" s="85">
        <f>DI137-$DI$4</f>
        <v>46137</v>
      </c>
      <c r="DE137" s="271">
        <f>IF(_xlfn.XLOOKUP($E137,'[1]Import Eletra'!$B:$B,'[1]Import Eletra'!$BG:$BG,,0,1)=0,"",_xlfn.XLOOKUP($E137,'[1]Import Eletra'!$B:$B,'[1]Import Eletra'!$BG:$BG,0,1))</f>
        <v>46129</v>
      </c>
      <c r="DF137" s="309">
        <f>$DD$4</f>
        <v>2</v>
      </c>
      <c r="DG137" s="309">
        <f ca="1">IF(DE137="",TODAY()-DD137,DE137-DD137)</f>
        <v>-8</v>
      </c>
      <c r="DH137" s="310">
        <f ca="1">DG137-DF137</f>
        <v>-10</v>
      </c>
      <c r="DI137" s="85">
        <f>DO137-$DN$4</f>
        <v>46138</v>
      </c>
      <c r="DJ137" s="271">
        <f>IF(_xlfn.XLOOKUP($E137,'[1]Import Eletra'!$B:$B,'[1]Import Eletra'!$BH:$BH,,0,1)=0,"",_xlfn.XLOOKUP($E137,'[1]Import Eletra'!$B:$B,'[1]Import Eletra'!$BH:$BH,0,1))</f>
        <v>46129</v>
      </c>
      <c r="DK137" s="309">
        <f>$DI$4</f>
        <v>1</v>
      </c>
      <c r="DL137" s="309">
        <f ca="1">IF(DJ137="",TODAY()-DI137,DJ137-DI137)</f>
        <v>-9</v>
      </c>
      <c r="DM137" s="310">
        <f ca="1">DL137-DK137</f>
        <v>-10</v>
      </c>
      <c r="DN137" s="312"/>
      <c r="DO137" s="313">
        <f>IF(V137="",N137+DT137,V137+DT137)</f>
        <v>46139</v>
      </c>
      <c r="DP137" s="59">
        <f>IF(_xlfn.XLOOKUP($E137,'[1]Import Eletra'!$B:$B,'[1]Import Eletra'!$O:$O,,0,1)=0,"",_xlfn.XLOOKUP($E137,'[1]Import Eletra'!$B:$B,'[1]Import Eletra'!$O:$O,0,1))</f>
        <v>46129</v>
      </c>
      <c r="DQ137" s="309">
        <f>$DN$4</f>
        <v>1</v>
      </c>
      <c r="DR137" s="309">
        <f ca="1">IF(DP137="",TODAY()-DO137,DP137-DO137)</f>
        <v>-10</v>
      </c>
      <c r="DS137" s="310">
        <f ca="1">DR137-DQ137</f>
        <v>-11</v>
      </c>
      <c r="DT137" s="314">
        <v>17</v>
      </c>
      <c r="DU137" s="140">
        <f ca="1">IF(DP137="",TODAY()-N137,DP137-N137)</f>
        <v>10</v>
      </c>
      <c r="DV137" s="184">
        <f ca="1">DU137-DT137</f>
        <v>-7</v>
      </c>
      <c r="DX137" s="316"/>
      <c r="DY137" s="108" t="str">
        <f>IF(_xlfn.XLOOKUP($E137,'[1]Import Eletra'!$B:$B,'[1]Import Eletra'!$DW:$DW,,0,1)=0,"",_xlfn.XLOOKUP($E137,'[1]Import Eletra'!$B:$B,'[1]Import Eletra'!$DW:$DW,0,1))</f>
        <v/>
      </c>
      <c r="EB137" s="317"/>
      <c r="ED137" s="406" t="str">
        <f>IF(_xlfn.XLOOKUP($E137,'[1]Import Eletra'!$B:$B,'[1]Import Eletra'!$BQ:$BQ,,0,1)=0,"",_xlfn.XLOOKUP($E137,'[1]Import Eletra'!$B:$B,'[1]Import Eletra'!$BQ:$BQ,0,1))</f>
        <v/>
      </c>
      <c r="EE137" s="407" t="str">
        <f>IF(_xlfn.XLOOKUP($E137,'[1]Import Eletra'!$B:$B,'[1]Import Eletra'!$BR:$BR,,0,1)=0,"",_xlfn.XLOOKUP($E137,'[1]Import Eletra'!$B:$B,'[1]Import Eletra'!$BR:$BR,0,1))</f>
        <v/>
      </c>
      <c r="EF137" s="406" t="str">
        <f>IF(_xlfn.XLOOKUP($E137,'[1]Import Eletra'!$B:$B,'[1]Import Eletra'!$BS:$BS,,0,1)=0,"",_xlfn.XLOOKUP($E137,'[1]Import Eletra'!$B:$B,'[1]Import Eletra'!$BS:$BS,0,1))</f>
        <v/>
      </c>
      <c r="EG137" s="407" t="str">
        <f>IF(_xlfn.XLOOKUP($E137,'[1]Import Eletra'!$B:$B,'[1]Import Eletra'!$BT:$BT,,0,1)=0,"",_xlfn.XLOOKUP($E137,'[1]Import Eletra'!$B:$B,'[1]Import Eletra'!$BT:$BT,0,1))</f>
        <v/>
      </c>
      <c r="EH137" s="406" t="str">
        <f>IF(_xlfn.XLOOKUP($E137,'[1]Import Eletra'!$B:$B,'[1]Import Eletra'!$BU:$BU,,0,1)=0,"",_xlfn.XLOOKUP($E137,'[1]Import Eletra'!$B:$B,'[1]Import Eletra'!$BU:$BU,0,1))</f>
        <v/>
      </c>
      <c r="EI137" s="407" t="str">
        <f>IF(_xlfn.XLOOKUP($E137,'[1]Import Eletra'!$B:$B,'[1]Import Eletra'!$BV:$BV,,0,1)=0,"",_xlfn.XLOOKUP($E137,'[1]Import Eletra'!$B:$B,'[1]Import Eletra'!$BV:$BV,0,1))</f>
        <v/>
      </c>
      <c r="EJ137" s="407" t="str">
        <f>IF(_xlfn.XLOOKUP($E137,'[1]Import Eletra'!$B:$B,'[1]Import Eletra'!$CI:$CI,,0,1)=0,"",_xlfn.XLOOKUP($E137,'[1]Import Eletra'!$B:$B,'[1]Import Eletra'!$CI:$CI,0,1))</f>
        <v/>
      </c>
      <c r="EK137" s="407" t="str">
        <f>IF(_xlfn.XLOOKUP($E137,'[1]Import Eletra'!$B:$B,'[1]Import Eletra'!$CD:$CD,,0,1)=0,"",_xlfn.XLOOKUP($E137,'[1]Import Eletra'!$B:$B,'[1]Import Eletra'!$CD:$CD,0,1))</f>
        <v/>
      </c>
      <c r="EL137" s="407" t="str">
        <f>IF(_xlfn.XLOOKUP($E137,'[1]Import Eletra'!$B:$B,'[1]Import Eletra'!$CE:$CE,,0,1)=0,"",_xlfn.XLOOKUP($E137,'[1]Import Eletra'!$B:$B,'[1]Import Eletra'!$CE:$CE,0,1))</f>
        <v>NÃO</v>
      </c>
      <c r="EM137" s="408" t="str">
        <f>IF(_xlfn.XLOOKUP($E137,'[1]Import Eletra'!$B:$B,'[1]Import Eletra'!$E:$E,,0,1)=0,"",_xlfn.XLOOKUP($E137,'[1]Import Eletra'!$B:$B,'[1]Import Eletra'!$E:$E,0,1))</f>
        <v>RENATO</v>
      </c>
      <c r="EN137" s="408" t="str">
        <f>IF(_xlfn.XLOOKUP($E137,'[1]Import Eletra'!$B:$B,'[1]Import Eletra'!$E:$E,,0,1)=0,"",_xlfn.XLOOKUP($E137,'[1]Import Eletra'!$B:$B,'[1]Import Eletra'!$E:$E,0,1))</f>
        <v>RENATO</v>
      </c>
      <c r="EO137" s="408" t="str">
        <f>IF(_xlfn.XLOOKUP($E137,'[1]Import Eletra'!$B:$B,'[1]Import Eletra'!$E:$E,,0,1)=0,"",_xlfn.XLOOKUP($E137,'[1]Import Eletra'!$B:$B,'[1]Import Eletra'!$E:$E,0,1))</f>
        <v>RENATO</v>
      </c>
      <c r="EP137" s="408" t="str">
        <f>IF(_xlfn.XLOOKUP($E137,'[1]Import Eletra'!$B:$B,'[1]Import Eletra'!$E:$E,,0,1)=0,"",_xlfn.XLOOKUP($E137,'[1]Import Eletra'!$B:$B,'[1]Import Eletra'!$E:$E,0,1))</f>
        <v>RENATO</v>
      </c>
    </row>
    <row r="138" spans="1:146" s="315" customFormat="1" ht="30" hidden="1" customHeight="1" outlineLevel="1">
      <c r="A138" s="305"/>
      <c r="B138" s="306"/>
      <c r="C138" s="306"/>
      <c r="D138" s="306"/>
      <c r="E138" s="367" t="s">
        <v>434</v>
      </c>
      <c r="F138" s="307">
        <f>IF(_xlfn.XLOOKUP($E138,'[1]Import Eletra'!$B:$B,'[1]Import Eletra'!$U:$U,,0,1)=0,"",_xlfn.XLOOKUP($E138,'[1]Import Eletra'!$B:$B,'[1]Import Eletra'!$U:$U,,0,1))</f>
        <v>2</v>
      </c>
      <c r="G138" s="320" t="s">
        <v>244</v>
      </c>
      <c r="H138" s="59" t="str">
        <f>_xlfn.XLOOKUP($E138,'[1]Import Eletra'!$B:$B,'[1]Import Eletra'!$F:$F,,0,1)</f>
        <v>DELIVERED</v>
      </c>
      <c r="I138" s="4" t="str">
        <f>_xlfn.XLOOKUP($E138,'[1]Import Eletra'!$B:$B,'[1]Import Eletra'!$G:$G,,0,1)</f>
        <v>SEA</v>
      </c>
      <c r="J138" s="331"/>
      <c r="K138" s="308"/>
      <c r="L138" s="308"/>
      <c r="M138" s="331">
        <f>IF(_xlfn.XLOOKUP($E138,'[1]Import Eletra'!$B:$B,'[1]Import Eletra'!$J:$J,,0,1)=0,"",_xlfn.XLOOKUP($E138,'[1]Import Eletra'!$B:$B,'[1]Import Eletra'!$J:$J,,0,1))</f>
        <v>46054</v>
      </c>
      <c r="N138" s="334">
        <f>IF(_xlfn.XLOOKUP($E138,'[1]Import Eletra'!$B:$B,'[1]Import Eletra'!$L:$L,,0,1)=0,"",_xlfn.XLOOKUP($E138,'[1]Import Eletra'!$B:$B,'[1]Import Eletra'!$L:$L,,0,1))</f>
        <v>46112</v>
      </c>
      <c r="O138" s="336">
        <f>IF(_xlfn.XLOOKUP($E138,'[1]Import Eletra'!$B:$B,'[1]Import Eletra'!$AK:$AK,,0,1)=0,"",_xlfn.XLOOKUP($E138,'[1]Import Eletra'!$B:$B,'[1]Import Eletra'!$AK:$AK,,0,1))</f>
        <v>46073</v>
      </c>
      <c r="P138" s="331">
        <f>IF(_xlfn.XLOOKUP($E138,'[1]Import Eletra'!$B:$B,'[1]Import Eletra'!$AL:$AL,,0,1)=0,"",_xlfn.XLOOKUP($E138,'[1]Import Eletra'!$B:$B,'[1]Import Eletra'!$AL:$AL,,0,1))</f>
        <v>46080</v>
      </c>
      <c r="Q138" s="331">
        <f>IF(_xlfn.XLOOKUP($E138,'[1]Import Eletra'!$B:$B,'[1]Import Eletra'!$AM:$AM,,0,1)=0,"",_xlfn.XLOOKUP($E138,'[1]Import Eletra'!$B:$B,'[1]Import Eletra'!$AM:$AM,,0,1))</f>
        <v>46085</v>
      </c>
      <c r="R138" s="331">
        <f>IF(_xlfn.XLOOKUP($E138,'[1]Import Eletra'!$B:$B,'[1]Import Eletra'!$AN:$AN,,0,1)=0,"",_xlfn.XLOOKUP($E138,'[1]Import Eletra'!$B:$B,'[1]Import Eletra'!$AN:$AN,,0,1))</f>
        <v>46086</v>
      </c>
      <c r="S138" s="331">
        <f>IF(_xlfn.XLOOKUP($E138,'[1]Import Eletra'!$B:$B,'[1]Import Eletra'!$AO:$AO,,0,1)=0,"",_xlfn.XLOOKUP($E138,'[1]Import Eletra'!$B:$B,'[1]Import Eletra'!$AO:$AO,,0,1))</f>
        <v>46098</v>
      </c>
      <c r="T138" s="331">
        <f>IF(_xlfn.XLOOKUP($E138,'[1]Import Eletra'!$B:$B,'[1]Import Eletra'!$AP:$AP,,0,1)=0,"",_xlfn.XLOOKUP($E138,'[1]Import Eletra'!$B:$B,'[1]Import Eletra'!$AP:$AP,,0,1))</f>
        <v>46084</v>
      </c>
      <c r="U138" s="338">
        <f>IF(_xlfn.XLOOKUP($E138,'[1]Import Eletra'!$B:$B,'[1]Import Eletra'!$AQ:$AQ,,0,1)=0,"",_xlfn.XLOOKUP($E138,'[1]Import Eletra'!$B:$B,'[1]Import Eletra'!$AQ:$AQ,,0,1))</f>
        <v>46085</v>
      </c>
      <c r="V138" s="343">
        <f>IF(_xlfn.XLOOKUP($E138,'[1]Import Eletra'!$B:$B,'[1]Import Eletra'!$AQ:$AQ,,0,1)=0,"",_xlfn.XLOOKUP($E138,'[1]Import Eletra'!$B:$B,'[1]Import Eletra'!$AQ:$AQ,,0,1))</f>
        <v>46085</v>
      </c>
      <c r="W138" s="336">
        <f>AB138-$AB$4</f>
        <v>46095</v>
      </c>
      <c r="X138" s="345">
        <f>IF(_xlfn.XLOOKUP($E138,'[1]Import Eletra'!$B:$B,'[1]Import Eletra'!$AR:$AR,,0,1)=0,"",_xlfn.XLOOKUP($E138,'[1]Import Eletra'!$B:$B,'[1]Import Eletra'!$AR:$AR,,0,1))</f>
        <v>46113</v>
      </c>
      <c r="Y138" s="309">
        <f>$W$4</f>
        <v>0</v>
      </c>
      <c r="Z138" s="309">
        <f ca="1">IF(X138="",TODAY()-W138,X138-W138)</f>
        <v>18</v>
      </c>
      <c r="AA138" s="310">
        <f ca="1">IF(AND(ISNUMBER($Z138),$Z138&gt;0),$Z138-$Y138,"")</f>
        <v>18</v>
      </c>
      <c r="AB138" s="350">
        <f>AG138-$AB$4</f>
        <v>46095</v>
      </c>
      <c r="AC138" s="345">
        <f>IF(_xlfn.XLOOKUP($E138,'[1]Import Eletra'!$B:$B,'[1]Import Eletra'!$AD:$AD,,0,1)=0,"",_xlfn.XLOOKUP($E138,'[1]Import Eletra'!$B:$B,'[1]Import Eletra'!$AD:$AD,,0,1))</f>
        <v>46114</v>
      </c>
      <c r="AD138" s="309">
        <f>$AB$4</f>
        <v>0</v>
      </c>
      <c r="AE138" s="309">
        <f ca="1">IF(AC138="",TODAY()-AB138,AC138-AB138)</f>
        <v>19</v>
      </c>
      <c r="AF138" s="310">
        <f ca="1">AE138-AD138</f>
        <v>19</v>
      </c>
      <c r="AG138" s="356">
        <f>AL138-$AL$4</f>
        <v>46095</v>
      </c>
      <c r="AH138" s="345">
        <f>IF(_xlfn.XLOOKUP($E138,'[1]Import Eletra'!$B:$B,'[1]Import Eletra'!$AE:$AE,,0,1)=0,"",_xlfn.XLOOKUP($E138,'[1]Import Eletra'!$B:$B,'[1]Import Eletra'!$AE:$AE,,0,1))</f>
        <v>46114</v>
      </c>
      <c r="AI138" s="309">
        <f>$AG$4</f>
        <v>0</v>
      </c>
      <c r="AJ138" s="309">
        <f ca="1">IF(AH138="",TODAY()-AG138,AH138-AG138)</f>
        <v>19</v>
      </c>
      <c r="AK138" s="310">
        <f ca="1">IF(AND(ISNUMBER($AJ138),$AJ138&gt;0),$AJ138-$AI138,"")</f>
        <v>19</v>
      </c>
      <c r="AL138" s="356">
        <f>AQ138-$AQ$4</f>
        <v>46095</v>
      </c>
      <c r="AM138" s="345">
        <f>IF(_xlfn.XLOOKUP($E138,'[1]Import Eletra'!$B:$B,'[1]Import Eletra'!$AT:$AT,,0,1)=0,"",_xlfn.XLOOKUP($E138,'[1]Import Eletra'!$B:$B,'[1]Import Eletra'!$AT:$AT,,0,1))</f>
        <v>46114</v>
      </c>
      <c r="AN138" s="309">
        <f>$AL$4</f>
        <v>0</v>
      </c>
      <c r="AO138" s="309">
        <f ca="1">IF(AM138="",TODAY()-AL138,AM138-AL138)</f>
        <v>19</v>
      </c>
      <c r="AP138" s="310">
        <f ca="1">IF(AND(ISNUMBER($AO138),$AO138&gt;0),$AO138-$AN138,"")</f>
        <v>19</v>
      </c>
      <c r="AQ138" s="359">
        <f>AV138-$AV$4</f>
        <v>46096</v>
      </c>
      <c r="AR138" s="345">
        <f>IF(_xlfn.XLOOKUP($E138,'[1]Import Eletra'!$B:$B,'[1]Import Eletra'!$AU:$AU,,0,1)=0,"",_xlfn.XLOOKUP($E138,'[1]Import Eletra'!$B:$B,'[1]Import Eletra'!$AU:$AU,,0,1))</f>
        <v>46114</v>
      </c>
      <c r="AS138" s="309">
        <f>$AQ$4</f>
        <v>1</v>
      </c>
      <c r="AT138" s="309">
        <f ca="1">IF(AR138="",TODAY()-AQ138,AR138-AQ138)</f>
        <v>18</v>
      </c>
      <c r="AU138" s="310">
        <f ca="1">IF(AND(ISNUMBER($AT138),$AT138&gt;0),$AT138-$AS138,"")</f>
        <v>17</v>
      </c>
      <c r="AV138" s="356">
        <f>BA138-$BA$4</f>
        <v>46096</v>
      </c>
      <c r="AW138" s="345">
        <f>IF(_xlfn.XLOOKUP($E138,'[1]Import Eletra'!$B:$B,'[1]Import Eletra'!$AU:$AU,,0,1)=0,"",_xlfn.XLOOKUP($E138,'[1]Import Eletra'!$B:$B,'[1]Import Eletra'!$AU:$AU,,0,1))</f>
        <v>46114</v>
      </c>
      <c r="AX138" s="309">
        <f>$AV$4</f>
        <v>0</v>
      </c>
      <c r="AY138" s="309">
        <f ca="1">IF(AW138="",TODAY()-AV138,AW138-AV138)</f>
        <v>18</v>
      </c>
      <c r="AZ138" s="310">
        <f ca="1">IF(AND(ISNUMBER($AY138),$AY138&gt;0),$AY138-$AX138,"")</f>
        <v>18</v>
      </c>
      <c r="BA138" s="359">
        <f>BF138-$BF$4</f>
        <v>46096</v>
      </c>
      <c r="BB138" s="345">
        <f>IF(_xlfn.XLOOKUP($E138,'[1]Import Eletra'!$B:$B,'[1]Import Eletra'!$AW:$AW,,0,1)=0,"",_xlfn.XLOOKUP($E138,'[1]Import Eletra'!$B:$B,'[1]Import Eletra'!$AW:$AW,,0,1))</f>
        <v>46114</v>
      </c>
      <c r="BC138" s="309">
        <f>$BA$4</f>
        <v>0</v>
      </c>
      <c r="BD138" s="309">
        <f ca="1">IF(BB138="",TODAY()-BA138,BB138-BA138)</f>
        <v>18</v>
      </c>
      <c r="BE138" s="310">
        <f ca="1">BD138-BC138</f>
        <v>18</v>
      </c>
      <c r="BF138" s="336">
        <f>BK138-$BK$4</f>
        <v>46096</v>
      </c>
      <c r="BG138" s="345">
        <f>IF(_xlfn.XLOOKUP($E138,'[1]Import Eletra'!$B:$B,'[1]Import Eletra'!$AX:$AX,,0,1)=0,"",_xlfn.XLOOKUP($E138,'[1]Import Eletra'!$B:$B,'[1]Import Eletra'!$AX:$AX,,0,1))</f>
        <v>46118</v>
      </c>
      <c r="BH138" s="309">
        <f>$BF$4</f>
        <v>0</v>
      </c>
      <c r="BI138" s="309">
        <f ca="1">IF(BG138="",TODAY()-BF138,BG138-BF138)</f>
        <v>22</v>
      </c>
      <c r="BJ138" s="310">
        <f ca="1">IF(AND(ISNUMBER($BI138),$BI138&gt;0),$BI138-$BH138,"")</f>
        <v>22</v>
      </c>
      <c r="BK138" s="363">
        <f>BP138-$BP$4</f>
        <v>46096</v>
      </c>
      <c r="BL138" s="345">
        <f>IF(_xlfn.XLOOKUP($E138,'[1]Import Eletra'!$B:$B,'[1]Import Eletra'!$AY:$AY,,0,1)=0,"",_xlfn.XLOOKUP($E138,'[1]Import Eletra'!$B:$B,'[1]Import Eletra'!$AY:$AY,,0,1))</f>
        <v>46118</v>
      </c>
      <c r="BM138" s="309">
        <f>$BK$4</f>
        <v>0</v>
      </c>
      <c r="BN138" s="309">
        <f ca="1">IF(BL138="",TODAY()-BK138,BL138-BK138)</f>
        <v>22</v>
      </c>
      <c r="BO138" s="310">
        <f ca="1">BN138-BM138</f>
        <v>22</v>
      </c>
      <c r="BP138" s="336">
        <f>BU138-$BU$4</f>
        <v>46096</v>
      </c>
      <c r="BQ138" s="345">
        <f>IF(_xlfn.XLOOKUP($E138,'[1]Import Eletra'!$B:$B,'[1]Import Eletra'!$AZ:$AZ,,0,1)=0,"",_xlfn.XLOOKUP($E138,'[1]Import Eletra'!$B:$B,'[1]Import Eletra'!$AZ:$AZ,,0,1))</f>
        <v>46118</v>
      </c>
      <c r="BR138" s="309">
        <f>$BP$4</f>
        <v>0</v>
      </c>
      <c r="BS138" s="309">
        <f ca="1">IF(BQ138="",TODAY()-BP138,BQ138-BP138)</f>
        <v>22</v>
      </c>
      <c r="BT138" s="310">
        <f ca="1">BS138-BR138</f>
        <v>22</v>
      </c>
      <c r="BU138" s="363">
        <f>BZ138-$BZ$4</f>
        <v>46098</v>
      </c>
      <c r="BV138" s="345">
        <f>IF(_xlfn.XLOOKUP($E138,'[1]Import Eletra'!$B:$B,'[1]Import Eletra'!$BA:$BA,,0,1)=0,"",_xlfn.XLOOKUP($E138,'[1]Import Eletra'!$B:$B,'[1]Import Eletra'!$BA:$BA,,0,1))</f>
        <v>46120</v>
      </c>
      <c r="BW138" s="309">
        <f>$BU$4</f>
        <v>2</v>
      </c>
      <c r="BX138" s="309">
        <f ca="1">IF(BV138="",TODAY()-BU138,BV138-BU138)</f>
        <v>22</v>
      </c>
      <c r="BY138" s="310">
        <f ca="1">IF(AND(ISNUMBER($BX138),$BX138&gt;0),$BX138-$BW138,"")</f>
        <v>20</v>
      </c>
      <c r="BZ138" s="336">
        <f>CE138-$CE$4</f>
        <v>46098</v>
      </c>
      <c r="CA138" s="345">
        <f>IF(_xlfn.XLOOKUP($E138,'[1]Import Eletra'!$B:$B,'[1]Import Eletra'!$BB:$BB,,0,1)=0,"",_xlfn.XLOOKUP($E138,'[1]Import Eletra'!$B:$B,'[1]Import Eletra'!$BB:$BB,,0,1))</f>
        <v>46121</v>
      </c>
      <c r="CB138" s="309">
        <f>$BZ$4</f>
        <v>0</v>
      </c>
      <c r="CC138" s="309">
        <f ca="1">IF(CA138="",TODAY()-BZ138,CA138-BZ138)</f>
        <v>23</v>
      </c>
      <c r="CD138" s="310">
        <f ca="1">CC138-CB138</f>
        <v>23</v>
      </c>
      <c r="CE138" s="363">
        <f>CJ138-$CJ$4</f>
        <v>46098</v>
      </c>
      <c r="CF138" s="345">
        <f>IF(_xlfn.XLOOKUP($E138,'[1]Import Eletra'!$B:$B,'[1]Import Eletra'!$BC:$BC,,0,1)=0,"",_xlfn.XLOOKUP($E138,'[1]Import Eletra'!$B:$B,'[1]Import Eletra'!$BC:$BC,,0,1))</f>
        <v>46128</v>
      </c>
      <c r="CG138" s="309">
        <f>$CE$4</f>
        <v>0</v>
      </c>
      <c r="CH138" s="309">
        <f ca="1">IF(CF138="",TODAY()-CE138,CF138-CE138)</f>
        <v>30</v>
      </c>
      <c r="CI138" s="310">
        <f ca="1">CH138-CG138</f>
        <v>30</v>
      </c>
      <c r="CJ138" s="336">
        <f>CO138-$CO$4</f>
        <v>46098</v>
      </c>
      <c r="CK138" s="345">
        <f>IF(_xlfn.XLOOKUP($E138,'[1]Import Eletra'!$B:$B,'[1]Import Eletra'!$BD:$BD,,0,1)=0,"",_xlfn.XLOOKUP($E138,'[1]Import Eletra'!$B:$B,'[1]Import Eletra'!$BD:$BD,,0,1))</f>
        <v>46121</v>
      </c>
      <c r="CL138" s="309"/>
      <c r="CM138" s="309">
        <f ca="1">IF(CK138="",TODAY()-CJ138,CK138-CJ138)</f>
        <v>23</v>
      </c>
      <c r="CN138" s="310">
        <f ca="1">CM138-CL138</f>
        <v>23</v>
      </c>
      <c r="CO138" s="363">
        <f>CT138-$CT$4</f>
        <v>46098</v>
      </c>
      <c r="CP138" s="345">
        <f>IF(_xlfn.XLOOKUP($E138,'[1]Import Eletra'!$B:$B,'[1]Import Eletra'!$BE:$BE,,0,1)=0,"",_xlfn.XLOOKUP($E138,'[1]Import Eletra'!$B:$B,'[1]Import Eletra'!$BE:$BE,,0,1))</f>
        <v>46128</v>
      </c>
      <c r="CQ138" s="309">
        <f>$CO$4</f>
        <v>0</v>
      </c>
      <c r="CR138" s="309">
        <f ca="1">IF(CP138="",TODAY()-CO138,CP138-CO138)</f>
        <v>30</v>
      </c>
      <c r="CS138" s="310">
        <f ca="1">CR138-CQ138</f>
        <v>30</v>
      </c>
      <c r="CT138" s="336">
        <f>CY138-$CY$4</f>
        <v>46098</v>
      </c>
      <c r="CU138" s="345">
        <f>IF(_xlfn.XLOOKUP($E138,'[1]Import Eletra'!$B:$B,'[1]Import Eletra'!$BF:$BF,,0,1)=0,"",_xlfn.XLOOKUP($E138,'[1]Import Eletra'!$B:$B,'[1]Import Eletra'!$BF:$BF,,0,1))</f>
        <v>46128</v>
      </c>
      <c r="CV138" s="309">
        <f>$CT$4</f>
        <v>0</v>
      </c>
      <c r="CW138" s="309">
        <f ca="1">IF(CU138="",TODAY()-CT138,CU138-CT138)</f>
        <v>30</v>
      </c>
      <c r="CX138" s="310">
        <f ca="1">CW138-CV138</f>
        <v>30</v>
      </c>
      <c r="CY138" s="85">
        <f>DD138-$DD$4</f>
        <v>46098</v>
      </c>
      <c r="CZ138" s="271">
        <f>IF(_xlfn.XLOOKUP($E138,'[1]Import Eletra'!$B:$B,'[1]Import Eletra'!$BF:$BF,,0,1)=0,"",_xlfn.XLOOKUP($E138,'[1]Import Eletra'!$B:$B,'[1]Import Eletra'!$BF:$BF,,0,1))</f>
        <v>46128</v>
      </c>
      <c r="DA138" s="311">
        <f>$CY$4</f>
        <v>0</v>
      </c>
      <c r="DB138" s="309">
        <f ca="1">IF(CZ138="",TODAY()-CY138,CZ138-CY138)</f>
        <v>30</v>
      </c>
      <c r="DC138" s="310">
        <f ca="1">DB138-DA138</f>
        <v>30</v>
      </c>
      <c r="DD138" s="85">
        <f>DI138-$DI$4</f>
        <v>46100</v>
      </c>
      <c r="DE138" s="271" t="str">
        <f>IF(_xlfn.XLOOKUP($E138,'[1]Import Eletra'!$B:$B,'[1]Import Eletra'!$BG:$BG,,0,1)=0,"",_xlfn.XLOOKUP($E138,'[1]Import Eletra'!$B:$B,'[1]Import Eletra'!$BG:$BG,0,1))</f>
        <v/>
      </c>
      <c r="DF138" s="309">
        <f>$DD$4</f>
        <v>2</v>
      </c>
      <c r="DG138" s="309">
        <f ca="1">IF(DE138="",TODAY()-DD138,DE138-DD138)</f>
        <v>111</v>
      </c>
      <c r="DH138" s="310">
        <f ca="1">DG138-DF138</f>
        <v>109</v>
      </c>
      <c r="DI138" s="85">
        <f>DO138-$DN$4</f>
        <v>46101</v>
      </c>
      <c r="DJ138" s="271" t="str">
        <f>IF(_xlfn.XLOOKUP($E138,'[1]Import Eletra'!$B:$B,'[1]Import Eletra'!$BH:$BH,,0,1)=0,"",_xlfn.XLOOKUP($E138,'[1]Import Eletra'!$B:$B,'[1]Import Eletra'!$BH:$BH,0,1))</f>
        <v/>
      </c>
      <c r="DK138" s="309">
        <f>$DI$4</f>
        <v>1</v>
      </c>
      <c r="DL138" s="309">
        <f ca="1">IF(DJ138="",TODAY()-DI138,DJ138-DI138)</f>
        <v>110</v>
      </c>
      <c r="DM138" s="310">
        <f ca="1">DL138-DK138</f>
        <v>109</v>
      </c>
      <c r="DN138" s="312"/>
      <c r="DO138" s="313">
        <f>IF(V138="",N138+DT138,V138+DT138)</f>
        <v>46102</v>
      </c>
      <c r="DP138" s="59">
        <f>IF(_xlfn.XLOOKUP($E138,'[1]Import Eletra'!$B:$B,'[1]Import Eletra'!$O:$O,,0,1)=0,"",_xlfn.XLOOKUP($E138,'[1]Import Eletra'!$B:$B,'[1]Import Eletra'!$O:$O,0,1))</f>
        <v>46130</v>
      </c>
      <c r="DQ138" s="309">
        <f>$DN$4</f>
        <v>1</v>
      </c>
      <c r="DR138" s="309">
        <f ca="1">IF(DP138="",TODAY()-DO138,DP138-DO138)</f>
        <v>28</v>
      </c>
      <c r="DS138" s="310">
        <f ca="1">DR138-DQ138</f>
        <v>27</v>
      </c>
      <c r="DT138" s="314">
        <v>17</v>
      </c>
      <c r="DU138" s="140">
        <f ca="1">IF(DP138="",TODAY()-N138,DP138-N138)</f>
        <v>18</v>
      </c>
      <c r="DV138" s="184">
        <f ca="1">DU138-DT138</f>
        <v>1</v>
      </c>
      <c r="DX138" s="316"/>
      <c r="DY138" s="108" t="str">
        <f>IF(_xlfn.XLOOKUP($E138,'[1]Import Eletra'!$B:$B,'[1]Import Eletra'!$DW:$DW,,0,1)=0,"",_xlfn.XLOOKUP($E138,'[1]Import Eletra'!$B:$B,'[1]Import Eletra'!$DW:$DW,0,1))</f>
        <v/>
      </c>
      <c r="EB138" s="317"/>
      <c r="ED138" s="406">
        <f>IF(_xlfn.XLOOKUP($E138,'[1]Import Eletra'!$B:$B,'[1]Import Eletra'!$BQ:$BQ,,0,1)=0,"",_xlfn.XLOOKUP($E138,'[1]Import Eletra'!$B:$B,'[1]Import Eletra'!$BQ:$BQ,0,1))</f>
        <v>1636.58</v>
      </c>
      <c r="EE138" s="407">
        <f>IF(_xlfn.XLOOKUP($E138,'[1]Import Eletra'!$B:$B,'[1]Import Eletra'!$BR:$BR,,0,1)=0,"",_xlfn.XLOOKUP($E138,'[1]Import Eletra'!$B:$B,'[1]Import Eletra'!$BR:$BR,0,1))</f>
        <v>46129</v>
      </c>
      <c r="EF138" s="406">
        <f>IF(_xlfn.XLOOKUP($E138,'[1]Import Eletra'!$B:$B,'[1]Import Eletra'!$BS:$BS,,0,1)=0,"",_xlfn.XLOOKUP($E138,'[1]Import Eletra'!$B:$B,'[1]Import Eletra'!$BS:$BS,0,1))</f>
        <v>17076.47</v>
      </c>
      <c r="EG138" s="407">
        <f>IF(_xlfn.XLOOKUP($E138,'[1]Import Eletra'!$B:$B,'[1]Import Eletra'!$BT:$BT,,0,1)=0,"",_xlfn.XLOOKUP($E138,'[1]Import Eletra'!$B:$B,'[1]Import Eletra'!$BT:$BT,0,1))</f>
        <v>46167</v>
      </c>
      <c r="EH138" s="406" t="str">
        <f>IF(_xlfn.XLOOKUP($E138,'[1]Import Eletra'!$B:$B,'[1]Import Eletra'!$BU:$BU,,0,1)=0,"",_xlfn.XLOOKUP($E138,'[1]Import Eletra'!$B:$B,'[1]Import Eletra'!$BU:$BU,0,1))</f>
        <v/>
      </c>
      <c r="EI138" s="407" t="str">
        <f>IF(_xlfn.XLOOKUP($E138,'[1]Import Eletra'!$B:$B,'[1]Import Eletra'!$BV:$BV,,0,1)=0,"",_xlfn.XLOOKUP($E138,'[1]Import Eletra'!$B:$B,'[1]Import Eletra'!$BV:$BV,0,1))</f>
        <v/>
      </c>
      <c r="EJ138" s="407">
        <f>IF(_xlfn.XLOOKUP($E138,'[1]Import Eletra'!$B:$B,'[1]Import Eletra'!$CI:$CI,,0,1)=0,"",_xlfn.XLOOKUP($E138,'[1]Import Eletra'!$B:$B,'[1]Import Eletra'!$CI:$CI,0,1))</f>
        <v>46130</v>
      </c>
      <c r="EK138" s="407" t="str">
        <f>IF(_xlfn.XLOOKUP($E138,'[1]Import Eletra'!$B:$B,'[1]Import Eletra'!$CD:$CD,,0,1)=0,"",_xlfn.XLOOKUP($E138,'[1]Import Eletra'!$B:$B,'[1]Import Eletra'!$CD:$CD,0,1))</f>
        <v/>
      </c>
      <c r="EL138" s="407" t="str">
        <f>IF(_xlfn.XLOOKUP($E138,'[1]Import Eletra'!$B:$B,'[1]Import Eletra'!$CE:$CE,,0,1)=0,"",_xlfn.XLOOKUP($E138,'[1]Import Eletra'!$B:$B,'[1]Import Eletra'!$CE:$CE,0,1))</f>
        <v>NÃO</v>
      </c>
      <c r="EM138" s="408" t="str">
        <f>IF(_xlfn.XLOOKUP($E138,'[1]Import Eletra'!$B:$B,'[1]Import Eletra'!$E:$E,,0,1)=0,"",_xlfn.XLOOKUP($E138,'[1]Import Eletra'!$B:$B,'[1]Import Eletra'!$E:$E,0,1))</f>
        <v>LEISIANE</v>
      </c>
      <c r="EN138" s="408" t="str">
        <f>IF(_xlfn.XLOOKUP($E138,'[1]Import Eletra'!$B:$B,'[1]Import Eletra'!$E:$E,,0,1)=0,"",_xlfn.XLOOKUP($E138,'[1]Import Eletra'!$B:$B,'[1]Import Eletra'!$E:$E,0,1))</f>
        <v>LEISIANE</v>
      </c>
      <c r="EO138" s="408" t="str">
        <f>IF(_xlfn.XLOOKUP($E138,'[1]Import Eletra'!$B:$B,'[1]Import Eletra'!$E:$E,,0,1)=0,"",_xlfn.XLOOKUP($E138,'[1]Import Eletra'!$B:$B,'[1]Import Eletra'!$E:$E,0,1))</f>
        <v>LEISIANE</v>
      </c>
      <c r="EP138" s="408" t="str">
        <f>IF(_xlfn.XLOOKUP($E138,'[1]Import Eletra'!$B:$B,'[1]Import Eletra'!$E:$E,,0,1)=0,"",_xlfn.XLOOKUP($E138,'[1]Import Eletra'!$B:$B,'[1]Import Eletra'!$E:$E,0,1))</f>
        <v>LEISIANE</v>
      </c>
    </row>
    <row r="139" spans="1:146" s="315" customFormat="1" ht="30" hidden="1" customHeight="1" outlineLevel="1">
      <c r="A139" s="305"/>
      <c r="B139" s="306"/>
      <c r="C139" s="306"/>
      <c r="D139" s="306"/>
      <c r="E139" s="367" t="s">
        <v>435</v>
      </c>
      <c r="F139" s="307">
        <f>IF(_xlfn.XLOOKUP($E139,'[1]Import Eletra'!$B:$B,'[1]Import Eletra'!$U:$U,,0,1)=0,"",_xlfn.XLOOKUP($E139,'[1]Import Eletra'!$B:$B,'[1]Import Eletra'!$U:$U,,0,1))</f>
        <v>1</v>
      </c>
      <c r="G139" s="320" t="s">
        <v>244</v>
      </c>
      <c r="H139" s="59" t="str">
        <f>_xlfn.XLOOKUP($E139,'[1]Import Eletra'!$B:$B,'[1]Import Eletra'!$F:$F,,0,1)</f>
        <v>DELIVERED</v>
      </c>
      <c r="I139" s="4" t="str">
        <f>_xlfn.XLOOKUP($E139,'[1]Import Eletra'!$B:$B,'[1]Import Eletra'!$G:$G,,0,1)</f>
        <v>SEA</v>
      </c>
      <c r="J139" s="331"/>
      <c r="K139" s="308"/>
      <c r="L139" s="308"/>
      <c r="M139" s="331">
        <f>IF(_xlfn.XLOOKUP($E139,'[1]Import Eletra'!$B:$B,'[1]Import Eletra'!$J:$J,,0,1)=0,"",_xlfn.XLOOKUP($E139,'[1]Import Eletra'!$B:$B,'[1]Import Eletra'!$J:$J,,0,1))</f>
        <v>46041</v>
      </c>
      <c r="N139" s="334">
        <f>IF(_xlfn.XLOOKUP($E139,'[1]Import Eletra'!$B:$B,'[1]Import Eletra'!$L:$L,,0,1)=0,"",_xlfn.XLOOKUP($E139,'[1]Import Eletra'!$B:$B,'[1]Import Eletra'!$L:$L,,0,1))</f>
        <v>46091</v>
      </c>
      <c r="O139" s="336">
        <f>IF(_xlfn.XLOOKUP($E139,'[1]Import Eletra'!$B:$B,'[1]Import Eletra'!$AK:$AK,,0,1)=0,"",_xlfn.XLOOKUP($E139,'[1]Import Eletra'!$B:$B,'[1]Import Eletra'!$AK:$AK,,0,1))</f>
        <v>46078</v>
      </c>
      <c r="P139" s="331">
        <f>IF(_xlfn.XLOOKUP($E139,'[1]Import Eletra'!$B:$B,'[1]Import Eletra'!$AL:$AL,,0,1)=0,"",_xlfn.XLOOKUP($E139,'[1]Import Eletra'!$B:$B,'[1]Import Eletra'!$AL:$AL,,0,1))</f>
        <v>46080</v>
      </c>
      <c r="Q139" s="331">
        <f>IF(_xlfn.XLOOKUP($E139,'[1]Import Eletra'!$B:$B,'[1]Import Eletra'!$AM:$AM,,0,1)=0,"",_xlfn.XLOOKUP($E139,'[1]Import Eletra'!$B:$B,'[1]Import Eletra'!$AM:$AM,,0,1))</f>
        <v>46080</v>
      </c>
      <c r="R139" s="331">
        <f>IF(_xlfn.XLOOKUP($E139,'[1]Import Eletra'!$B:$B,'[1]Import Eletra'!$AN:$AN,,0,1)=0,"",_xlfn.XLOOKUP($E139,'[1]Import Eletra'!$B:$B,'[1]Import Eletra'!$AN:$AN,,0,1))</f>
        <v>46090</v>
      </c>
      <c r="S139" s="331">
        <f>IF(_xlfn.XLOOKUP($E139,'[1]Import Eletra'!$B:$B,'[1]Import Eletra'!$AO:$AO,,0,1)=0,"",_xlfn.XLOOKUP($E139,'[1]Import Eletra'!$B:$B,'[1]Import Eletra'!$AO:$AO,,0,1))</f>
        <v>46099</v>
      </c>
      <c r="T139" s="331">
        <f>IF(_xlfn.XLOOKUP($E139,'[1]Import Eletra'!$B:$B,'[1]Import Eletra'!$AP:$AP,,0,1)=0,"",_xlfn.XLOOKUP($E139,'[1]Import Eletra'!$B:$B,'[1]Import Eletra'!$AP:$AP,,0,1))</f>
        <v>46092</v>
      </c>
      <c r="U139" s="338">
        <f>IF(_xlfn.XLOOKUP($E139,'[1]Import Eletra'!$B:$B,'[1]Import Eletra'!$AQ:$AQ,,0,1)=0,"",_xlfn.XLOOKUP($E139,'[1]Import Eletra'!$B:$B,'[1]Import Eletra'!$AQ:$AQ,,0,1))</f>
        <v>46092</v>
      </c>
      <c r="V139" s="343">
        <f>IF(_xlfn.XLOOKUP($E139,'[1]Import Eletra'!$B:$B,'[1]Import Eletra'!$AQ:$AQ,,0,1)=0,"",_xlfn.XLOOKUP($E139,'[1]Import Eletra'!$B:$B,'[1]Import Eletra'!$AQ:$AQ,,0,1))</f>
        <v>46092</v>
      </c>
      <c r="W139" s="336">
        <f>AB139-$AB$4</f>
        <v>46102</v>
      </c>
      <c r="X139" s="345">
        <f>IF(_xlfn.XLOOKUP($E139,'[1]Import Eletra'!$B:$B,'[1]Import Eletra'!$AR:$AR,,0,1)=0,"",_xlfn.XLOOKUP($E139,'[1]Import Eletra'!$B:$B,'[1]Import Eletra'!$AR:$AR,,0,1))</f>
        <v>46078</v>
      </c>
      <c r="Y139" s="309">
        <f>$W$4</f>
        <v>0</v>
      </c>
      <c r="Z139" s="309">
        <f ca="1">IF(X139="",TODAY()-W139,X139-W139)</f>
        <v>-24</v>
      </c>
      <c r="AA139" s="310" t="str">
        <f ca="1">IF(AND(ISNUMBER($Z139),$Z139&gt;0),$Z139-$Y139,"")</f>
        <v/>
      </c>
      <c r="AB139" s="350">
        <f>AG139-$AB$4</f>
        <v>46102</v>
      </c>
      <c r="AC139" s="345">
        <f>IF(_xlfn.XLOOKUP($E139,'[1]Import Eletra'!$B:$B,'[1]Import Eletra'!$AD:$AD,,0,1)=0,"",_xlfn.XLOOKUP($E139,'[1]Import Eletra'!$B:$B,'[1]Import Eletra'!$AD:$AD,,0,1))</f>
        <v>46105</v>
      </c>
      <c r="AD139" s="309">
        <f>$AB$4</f>
        <v>0</v>
      </c>
      <c r="AE139" s="309">
        <f ca="1">IF(AC139="",TODAY()-AB139,AC139-AB139)</f>
        <v>3</v>
      </c>
      <c r="AF139" s="310">
        <f ca="1">AE139-AD139</f>
        <v>3</v>
      </c>
      <c r="AG139" s="356">
        <f>AL139-$AL$4</f>
        <v>46102</v>
      </c>
      <c r="AH139" s="345">
        <f>IF(_xlfn.XLOOKUP($E139,'[1]Import Eletra'!$B:$B,'[1]Import Eletra'!$AE:$AE,,0,1)=0,"",_xlfn.XLOOKUP($E139,'[1]Import Eletra'!$B:$B,'[1]Import Eletra'!$AE:$AE,,0,1))</f>
        <v>46107</v>
      </c>
      <c r="AI139" s="309">
        <f>$AG$4</f>
        <v>0</v>
      </c>
      <c r="AJ139" s="309">
        <f ca="1">IF(AH139="",TODAY()-AG139,AH139-AG139)</f>
        <v>5</v>
      </c>
      <c r="AK139" s="310">
        <f ca="1">IF(AND(ISNUMBER($AJ139),$AJ139&gt;0),$AJ139-$AI139,"")</f>
        <v>5</v>
      </c>
      <c r="AL139" s="356">
        <f>AQ139-$AQ$4</f>
        <v>46102</v>
      </c>
      <c r="AM139" s="345">
        <f>IF(_xlfn.XLOOKUP($E139,'[1]Import Eletra'!$B:$B,'[1]Import Eletra'!$AT:$AT,,0,1)=0,"",_xlfn.XLOOKUP($E139,'[1]Import Eletra'!$B:$B,'[1]Import Eletra'!$AT:$AT,,0,1))</f>
        <v>46113</v>
      </c>
      <c r="AN139" s="309">
        <f>$AL$4</f>
        <v>0</v>
      </c>
      <c r="AO139" s="309">
        <f ca="1">IF(AM139="",TODAY()-AL139,AM139-AL139)</f>
        <v>11</v>
      </c>
      <c r="AP139" s="310">
        <f ca="1">IF(AND(ISNUMBER($AO139),$AO139&gt;0),$AO139-$AN139,"")</f>
        <v>11</v>
      </c>
      <c r="AQ139" s="359">
        <f>AV139-$AV$4</f>
        <v>46103</v>
      </c>
      <c r="AR139" s="345">
        <f>IF(_xlfn.XLOOKUP($E139,'[1]Import Eletra'!$B:$B,'[1]Import Eletra'!$AU:$AU,,0,1)=0,"",_xlfn.XLOOKUP($E139,'[1]Import Eletra'!$B:$B,'[1]Import Eletra'!$AU:$AU,,0,1))</f>
        <v>46113</v>
      </c>
      <c r="AS139" s="309">
        <f>$AQ$4</f>
        <v>1</v>
      </c>
      <c r="AT139" s="309">
        <f ca="1">IF(AR139="",TODAY()-AQ139,AR139-AQ139)</f>
        <v>10</v>
      </c>
      <c r="AU139" s="310">
        <f ca="1">IF(AND(ISNUMBER($AT139),$AT139&gt;0),$AT139-$AS139,"")</f>
        <v>9</v>
      </c>
      <c r="AV139" s="356">
        <f>BA139-$BA$4</f>
        <v>46103</v>
      </c>
      <c r="AW139" s="345">
        <f>IF(_xlfn.XLOOKUP($E139,'[1]Import Eletra'!$B:$B,'[1]Import Eletra'!$AU:$AU,,0,1)=0,"",_xlfn.XLOOKUP($E139,'[1]Import Eletra'!$B:$B,'[1]Import Eletra'!$AU:$AU,,0,1))</f>
        <v>46113</v>
      </c>
      <c r="AX139" s="309">
        <f>$AV$4</f>
        <v>0</v>
      </c>
      <c r="AY139" s="309">
        <f ca="1">IF(AW139="",TODAY()-AV139,AW139-AV139)</f>
        <v>10</v>
      </c>
      <c r="AZ139" s="310">
        <f ca="1">IF(AND(ISNUMBER($AY139),$AY139&gt;0),$AY139-$AX139,"")</f>
        <v>10</v>
      </c>
      <c r="BA139" s="359">
        <f>BF139-$BF$4</f>
        <v>46103</v>
      </c>
      <c r="BB139" s="345" t="str">
        <f>IF(_xlfn.XLOOKUP($E139,'[1]Import Eletra'!$B:$B,'[1]Import Eletra'!$AW:$AW,,0,1)=0,"",_xlfn.XLOOKUP($E139,'[1]Import Eletra'!$B:$B,'[1]Import Eletra'!$AW:$AW,,0,1))</f>
        <v/>
      </c>
      <c r="BC139" s="309">
        <f>$BA$4</f>
        <v>0</v>
      </c>
      <c r="BD139" s="309">
        <f ca="1">IF(BB139="",TODAY()-BA139,BB139-BA139)</f>
        <v>108</v>
      </c>
      <c r="BE139" s="310">
        <f ca="1">BD139-BC139</f>
        <v>108</v>
      </c>
      <c r="BF139" s="336">
        <f>BK139-$BK$4</f>
        <v>46103</v>
      </c>
      <c r="BG139" s="345" t="str">
        <f>IF(_xlfn.XLOOKUP($E139,'[1]Import Eletra'!$B:$B,'[1]Import Eletra'!$AX:$AX,,0,1)=0,"",_xlfn.XLOOKUP($E139,'[1]Import Eletra'!$B:$B,'[1]Import Eletra'!$AX:$AX,,0,1))</f>
        <v/>
      </c>
      <c r="BH139" s="309">
        <f>$BF$4</f>
        <v>0</v>
      </c>
      <c r="BI139" s="309">
        <f ca="1">IF(BG139="",TODAY()-BF139,BG139-BF139)</f>
        <v>108</v>
      </c>
      <c r="BJ139" s="310">
        <f ca="1">IF(AND(ISNUMBER($BI139),$BI139&gt;0),$BI139-$BH139,"")</f>
        <v>108</v>
      </c>
      <c r="BK139" s="363">
        <f>BP139-$BP$4</f>
        <v>46103</v>
      </c>
      <c r="BL139" s="345">
        <f>IF(_xlfn.XLOOKUP($E139,'[1]Import Eletra'!$B:$B,'[1]Import Eletra'!$AY:$AY,,0,1)=0,"",_xlfn.XLOOKUP($E139,'[1]Import Eletra'!$B:$B,'[1]Import Eletra'!$AY:$AY,,0,1))</f>
        <v>46107</v>
      </c>
      <c r="BM139" s="309">
        <f>$BK$4</f>
        <v>0</v>
      </c>
      <c r="BN139" s="309">
        <f ca="1">IF(BL139="",TODAY()-BK139,BL139-BK139)</f>
        <v>4</v>
      </c>
      <c r="BO139" s="310">
        <f ca="1">BN139-BM139</f>
        <v>4</v>
      </c>
      <c r="BP139" s="336">
        <f>BU139-$BU$4</f>
        <v>46103</v>
      </c>
      <c r="BQ139" s="345">
        <f>IF(_xlfn.XLOOKUP($E139,'[1]Import Eletra'!$B:$B,'[1]Import Eletra'!$AZ:$AZ,,0,1)=0,"",_xlfn.XLOOKUP($E139,'[1]Import Eletra'!$B:$B,'[1]Import Eletra'!$AZ:$AZ,,0,1))</f>
        <v>46107</v>
      </c>
      <c r="BR139" s="309">
        <f>$BP$4</f>
        <v>0</v>
      </c>
      <c r="BS139" s="309">
        <f ca="1">IF(BQ139="",TODAY()-BP139,BQ139-BP139)</f>
        <v>4</v>
      </c>
      <c r="BT139" s="310">
        <f ca="1">BS139-BR139</f>
        <v>4</v>
      </c>
      <c r="BU139" s="363">
        <f>BZ139-$BZ$4</f>
        <v>46105</v>
      </c>
      <c r="BV139" s="345">
        <f>IF(_xlfn.XLOOKUP($E139,'[1]Import Eletra'!$B:$B,'[1]Import Eletra'!$BA:$BA,,0,1)=0,"",_xlfn.XLOOKUP($E139,'[1]Import Eletra'!$B:$B,'[1]Import Eletra'!$BA:$BA,,0,1))</f>
        <v>46112</v>
      </c>
      <c r="BW139" s="309">
        <f>$BU$4</f>
        <v>2</v>
      </c>
      <c r="BX139" s="309">
        <f ca="1">IF(BV139="",TODAY()-BU139,BV139-BU139)</f>
        <v>7</v>
      </c>
      <c r="BY139" s="310">
        <f ca="1">IF(AND(ISNUMBER($BX139),$BX139&gt;0),$BX139-$BW139,"")</f>
        <v>5</v>
      </c>
      <c r="BZ139" s="336">
        <f>CE139-$CE$4</f>
        <v>46105</v>
      </c>
      <c r="CA139" s="345">
        <f>IF(_xlfn.XLOOKUP($E139,'[1]Import Eletra'!$B:$B,'[1]Import Eletra'!$BB:$BB,,0,1)=0,"",_xlfn.XLOOKUP($E139,'[1]Import Eletra'!$B:$B,'[1]Import Eletra'!$BB:$BB,,0,1))</f>
        <v>46113</v>
      </c>
      <c r="CB139" s="309">
        <f>$BZ$4</f>
        <v>0</v>
      </c>
      <c r="CC139" s="309">
        <f ca="1">IF(CA139="",TODAY()-BZ139,CA139-BZ139)</f>
        <v>8</v>
      </c>
      <c r="CD139" s="310">
        <f ca="1">CC139-CB139</f>
        <v>8</v>
      </c>
      <c r="CE139" s="363">
        <f>CJ139-$CJ$4</f>
        <v>46105</v>
      </c>
      <c r="CF139" s="345">
        <f>IF(_xlfn.XLOOKUP($E139,'[1]Import Eletra'!$B:$B,'[1]Import Eletra'!$BC:$BC,,0,1)=0,"",_xlfn.XLOOKUP($E139,'[1]Import Eletra'!$B:$B,'[1]Import Eletra'!$BC:$BC,,0,1))</f>
        <v>46113</v>
      </c>
      <c r="CG139" s="309">
        <f>$CE$4</f>
        <v>0</v>
      </c>
      <c r="CH139" s="309">
        <f ca="1">IF(CF139="",TODAY()-CE139,CF139-CE139)</f>
        <v>8</v>
      </c>
      <c r="CI139" s="310">
        <f ca="1">CH139-CG139</f>
        <v>8</v>
      </c>
      <c r="CJ139" s="336">
        <f>CO139-$CO$4</f>
        <v>46105</v>
      </c>
      <c r="CK139" s="345">
        <f>IF(_xlfn.XLOOKUP($E139,'[1]Import Eletra'!$B:$B,'[1]Import Eletra'!$BD:$BD,,0,1)=0,"",_xlfn.XLOOKUP($E139,'[1]Import Eletra'!$B:$B,'[1]Import Eletra'!$BD:$BD,,0,1))</f>
        <v>46113</v>
      </c>
      <c r="CL139" s="309"/>
      <c r="CM139" s="309">
        <f ca="1">IF(CK139="",TODAY()-CJ139,CK139-CJ139)</f>
        <v>8</v>
      </c>
      <c r="CN139" s="310">
        <f ca="1">CM139-CL139</f>
        <v>8</v>
      </c>
      <c r="CO139" s="363">
        <f>CT139-$CT$4</f>
        <v>46105</v>
      </c>
      <c r="CP139" s="345">
        <f>IF(_xlfn.XLOOKUP($E139,'[1]Import Eletra'!$B:$B,'[1]Import Eletra'!$BE:$BE,,0,1)=0,"",_xlfn.XLOOKUP($E139,'[1]Import Eletra'!$B:$B,'[1]Import Eletra'!$BE:$BE,,0,1))</f>
        <v>46118</v>
      </c>
      <c r="CQ139" s="309">
        <f>$CO$4</f>
        <v>0</v>
      </c>
      <c r="CR139" s="309">
        <f ca="1">IF(CP139="",TODAY()-CO139,CP139-CO139)</f>
        <v>13</v>
      </c>
      <c r="CS139" s="310">
        <f ca="1">CR139-CQ139</f>
        <v>13</v>
      </c>
      <c r="CT139" s="336">
        <f>CY139-$CY$4</f>
        <v>46105</v>
      </c>
      <c r="CU139" s="345">
        <f>IF(_xlfn.XLOOKUP($E139,'[1]Import Eletra'!$B:$B,'[1]Import Eletra'!$BF:$BF,,0,1)=0,"",_xlfn.XLOOKUP($E139,'[1]Import Eletra'!$B:$B,'[1]Import Eletra'!$BF:$BF,,0,1))</f>
        <v>46118</v>
      </c>
      <c r="CV139" s="309">
        <f>$CT$4</f>
        <v>0</v>
      </c>
      <c r="CW139" s="309">
        <f ca="1">IF(CU139="",TODAY()-CT139,CU139-CT139)</f>
        <v>13</v>
      </c>
      <c r="CX139" s="310">
        <f ca="1">CW139-CV139</f>
        <v>13</v>
      </c>
      <c r="CY139" s="85">
        <f>DD139-$DD$4</f>
        <v>46105</v>
      </c>
      <c r="CZ139" s="271">
        <f>IF(_xlfn.XLOOKUP($E139,'[1]Import Eletra'!$B:$B,'[1]Import Eletra'!$BF:$BF,,0,1)=0,"",_xlfn.XLOOKUP($E139,'[1]Import Eletra'!$B:$B,'[1]Import Eletra'!$BF:$BF,,0,1))</f>
        <v>46118</v>
      </c>
      <c r="DA139" s="311">
        <f>$CY$4</f>
        <v>0</v>
      </c>
      <c r="DB139" s="309">
        <f ca="1">IF(CZ139="",TODAY()-CY139,CZ139-CY139)</f>
        <v>13</v>
      </c>
      <c r="DC139" s="310">
        <f ca="1">DB139-DA139</f>
        <v>13</v>
      </c>
      <c r="DD139" s="85">
        <f>DI139-$DI$4</f>
        <v>46107</v>
      </c>
      <c r="DE139" s="271">
        <f>IF(_xlfn.XLOOKUP($E139,'[1]Import Eletra'!$B:$B,'[1]Import Eletra'!$BG:$BG,,0,1)=0,"",_xlfn.XLOOKUP($E139,'[1]Import Eletra'!$B:$B,'[1]Import Eletra'!$BG:$BG,0,1))</f>
        <v>46119</v>
      </c>
      <c r="DF139" s="309">
        <f>$DD$4</f>
        <v>2</v>
      </c>
      <c r="DG139" s="309">
        <f ca="1">IF(DE139="",TODAY()-DD139,DE139-DD139)</f>
        <v>12</v>
      </c>
      <c r="DH139" s="310">
        <f ca="1">DG139-DF139</f>
        <v>10</v>
      </c>
      <c r="DI139" s="85">
        <f>DO139-$DN$4</f>
        <v>46108</v>
      </c>
      <c r="DJ139" s="271">
        <f>IF(_xlfn.XLOOKUP($E139,'[1]Import Eletra'!$B:$B,'[1]Import Eletra'!$BH:$BH,,0,1)=0,"",_xlfn.XLOOKUP($E139,'[1]Import Eletra'!$B:$B,'[1]Import Eletra'!$BH:$BH,0,1))</f>
        <v>46119</v>
      </c>
      <c r="DK139" s="309">
        <f>$DI$4</f>
        <v>1</v>
      </c>
      <c r="DL139" s="309">
        <f ca="1">IF(DJ139="",TODAY()-DI139,DJ139-DI139)</f>
        <v>11</v>
      </c>
      <c r="DM139" s="310">
        <f ca="1">DL139-DK139</f>
        <v>10</v>
      </c>
      <c r="DN139" s="312"/>
      <c r="DO139" s="313">
        <f>IF(V139="",N139+DT139,V139+DT139)</f>
        <v>46109</v>
      </c>
      <c r="DP139" s="59">
        <f>IF(_xlfn.XLOOKUP($E139,'[1]Import Eletra'!$B:$B,'[1]Import Eletra'!$O:$O,,0,1)=0,"",_xlfn.XLOOKUP($E139,'[1]Import Eletra'!$B:$B,'[1]Import Eletra'!$O:$O,0,1))</f>
        <v>46120</v>
      </c>
      <c r="DQ139" s="309">
        <f>$DN$4</f>
        <v>1</v>
      </c>
      <c r="DR139" s="309">
        <f ca="1">IF(DP139="",TODAY()-DO139,DP139-DO139)</f>
        <v>11</v>
      </c>
      <c r="DS139" s="310">
        <f ca="1">DR139-DQ139</f>
        <v>10</v>
      </c>
      <c r="DT139" s="314">
        <v>17</v>
      </c>
      <c r="DU139" s="140">
        <f ca="1">IF(DP139="",TODAY()-N139,DP139-N139)</f>
        <v>29</v>
      </c>
      <c r="DV139" s="184">
        <f ca="1">DU139-DT139</f>
        <v>12</v>
      </c>
      <c r="DX139" s="316"/>
      <c r="DY139" s="108" t="str">
        <f>IF(_xlfn.XLOOKUP($E139,'[1]Import Eletra'!$B:$B,'[1]Import Eletra'!$DW:$DW,,0,1)=0,"",_xlfn.XLOOKUP($E139,'[1]Import Eletra'!$B:$B,'[1]Import Eletra'!$DW:$DW,0,1))</f>
        <v/>
      </c>
      <c r="EB139" s="317"/>
      <c r="ED139" s="406">
        <f>IF(_xlfn.XLOOKUP($E139,'[1]Import Eletra'!$B:$B,'[1]Import Eletra'!$BQ:$BQ,,0,1)=0,"",_xlfn.XLOOKUP($E139,'[1]Import Eletra'!$B:$B,'[1]Import Eletra'!$BQ:$BQ,0,1))</f>
        <v>1813.2</v>
      </c>
      <c r="EE139" s="407">
        <f>IF(_xlfn.XLOOKUP($E139,'[1]Import Eletra'!$B:$B,'[1]Import Eletra'!$BR:$BR,,0,1)=0,"",_xlfn.XLOOKUP($E139,'[1]Import Eletra'!$B:$B,'[1]Import Eletra'!$BR:$BR,0,1))</f>
        <v>46112</v>
      </c>
      <c r="EF139" s="406">
        <f>IF(_xlfn.XLOOKUP($E139,'[1]Import Eletra'!$B:$B,'[1]Import Eletra'!$BS:$BS,,0,1)=0,"",_xlfn.XLOOKUP($E139,'[1]Import Eletra'!$B:$B,'[1]Import Eletra'!$BS:$BS,0,1))</f>
        <v>37379.46</v>
      </c>
      <c r="EG139" s="407">
        <f>IF(_xlfn.XLOOKUP($E139,'[1]Import Eletra'!$B:$B,'[1]Import Eletra'!$BT:$BT,,0,1)=0,"",_xlfn.XLOOKUP($E139,'[1]Import Eletra'!$B:$B,'[1]Import Eletra'!$BT:$BT,0,1))</f>
        <v>46156</v>
      </c>
      <c r="EH139" s="406" t="str">
        <f>IF(_xlfn.XLOOKUP($E139,'[1]Import Eletra'!$B:$B,'[1]Import Eletra'!$BU:$BU,,0,1)=0,"",_xlfn.XLOOKUP($E139,'[1]Import Eletra'!$B:$B,'[1]Import Eletra'!$BU:$BU,0,1))</f>
        <v/>
      </c>
      <c r="EI139" s="407" t="str">
        <f>IF(_xlfn.XLOOKUP($E139,'[1]Import Eletra'!$B:$B,'[1]Import Eletra'!$BV:$BV,,0,1)=0,"",_xlfn.XLOOKUP($E139,'[1]Import Eletra'!$B:$B,'[1]Import Eletra'!$BV:$BV,0,1))</f>
        <v/>
      </c>
      <c r="EJ139" s="407">
        <f>IF(_xlfn.XLOOKUP($E139,'[1]Import Eletra'!$B:$B,'[1]Import Eletra'!$CI:$CI,,0,1)=0,"",_xlfn.XLOOKUP($E139,'[1]Import Eletra'!$B:$B,'[1]Import Eletra'!$CI:$CI,0,1))</f>
        <v>46109</v>
      </c>
      <c r="EK139" s="407" t="str">
        <f>IF(_xlfn.XLOOKUP($E139,'[1]Import Eletra'!$B:$B,'[1]Import Eletra'!$CD:$CD,,0,1)=0,"",_xlfn.XLOOKUP($E139,'[1]Import Eletra'!$B:$B,'[1]Import Eletra'!$CD:$CD,0,1))</f>
        <v/>
      </c>
      <c r="EL139" s="407" t="str">
        <f>IF(_xlfn.XLOOKUP($E139,'[1]Import Eletra'!$B:$B,'[1]Import Eletra'!$CE:$CE,,0,1)=0,"",_xlfn.XLOOKUP($E139,'[1]Import Eletra'!$B:$B,'[1]Import Eletra'!$CE:$CE,0,1))</f>
        <v>NÃO</v>
      </c>
      <c r="EM139" s="408" t="str">
        <f>IF(_xlfn.XLOOKUP($E139,'[1]Import Eletra'!$B:$B,'[1]Import Eletra'!$E:$E,,0,1)=0,"",_xlfn.XLOOKUP($E139,'[1]Import Eletra'!$B:$B,'[1]Import Eletra'!$E:$E,0,1))</f>
        <v>LEISIANE</v>
      </c>
      <c r="EN139" s="408" t="str">
        <f>IF(_xlfn.XLOOKUP($E139,'[1]Import Eletra'!$B:$B,'[1]Import Eletra'!$E:$E,,0,1)=0,"",_xlfn.XLOOKUP($E139,'[1]Import Eletra'!$B:$B,'[1]Import Eletra'!$E:$E,0,1))</f>
        <v>LEISIANE</v>
      </c>
      <c r="EO139" s="408" t="str">
        <f>IF(_xlfn.XLOOKUP($E139,'[1]Import Eletra'!$B:$B,'[1]Import Eletra'!$E:$E,,0,1)=0,"",_xlfn.XLOOKUP($E139,'[1]Import Eletra'!$B:$B,'[1]Import Eletra'!$E:$E,0,1))</f>
        <v>LEISIANE</v>
      </c>
      <c r="EP139" s="408" t="str">
        <f>IF(_xlfn.XLOOKUP($E139,'[1]Import Eletra'!$B:$B,'[1]Import Eletra'!$E:$E,,0,1)=0,"",_xlfn.XLOOKUP($E139,'[1]Import Eletra'!$B:$B,'[1]Import Eletra'!$E:$E,0,1))</f>
        <v>LEISIANE</v>
      </c>
    </row>
    <row r="140" spans="1:146" s="315" customFormat="1" ht="30" hidden="1" customHeight="1" outlineLevel="1">
      <c r="A140" s="305"/>
      <c r="B140" s="306"/>
      <c r="C140" s="306"/>
      <c r="D140" s="306"/>
      <c r="E140" s="367" t="s">
        <v>436</v>
      </c>
      <c r="F140" s="307">
        <f>IF(_xlfn.XLOOKUP($E140,'[1]Import Eletra'!$B:$B,'[1]Import Eletra'!$U:$U,,0,1)=0,"",_xlfn.XLOOKUP($E140,'[1]Import Eletra'!$B:$B,'[1]Import Eletra'!$U:$U,,0,1))</f>
        <v>3</v>
      </c>
      <c r="G140" s="320" t="s">
        <v>244</v>
      </c>
      <c r="H140" s="59" t="str">
        <f>_xlfn.XLOOKUP($E140,'[1]Import Eletra'!$B:$B,'[1]Import Eletra'!$F:$F,,0,1)</f>
        <v>DELIVERED</v>
      </c>
      <c r="I140" s="4" t="str">
        <f>_xlfn.XLOOKUP($E140,'[1]Import Eletra'!$B:$B,'[1]Import Eletra'!$G:$G,,0,1)</f>
        <v>SEA</v>
      </c>
      <c r="J140" s="331"/>
      <c r="K140" s="308"/>
      <c r="L140" s="308"/>
      <c r="M140" s="331">
        <f>IF(_xlfn.XLOOKUP($E140,'[1]Import Eletra'!$B:$B,'[1]Import Eletra'!$J:$J,,0,1)=0,"",_xlfn.XLOOKUP($E140,'[1]Import Eletra'!$B:$B,'[1]Import Eletra'!$J:$J,,0,1))</f>
        <v>46041</v>
      </c>
      <c r="N140" s="334">
        <f>IF(_xlfn.XLOOKUP($E140,'[1]Import Eletra'!$B:$B,'[1]Import Eletra'!$L:$L,,0,1)=0,"",_xlfn.XLOOKUP($E140,'[1]Import Eletra'!$B:$B,'[1]Import Eletra'!$L:$L,,0,1))</f>
        <v>46091</v>
      </c>
      <c r="O140" s="336">
        <f>IF(_xlfn.XLOOKUP($E140,'[1]Import Eletra'!$B:$B,'[1]Import Eletra'!$AK:$AK,,0,1)=0,"",_xlfn.XLOOKUP($E140,'[1]Import Eletra'!$B:$B,'[1]Import Eletra'!$AK:$AK,,0,1))</f>
        <v>46073</v>
      </c>
      <c r="P140" s="331">
        <f>IF(_xlfn.XLOOKUP($E140,'[1]Import Eletra'!$B:$B,'[1]Import Eletra'!$AL:$AL,,0,1)=0,"",_xlfn.XLOOKUP($E140,'[1]Import Eletra'!$B:$B,'[1]Import Eletra'!$AL:$AL,,0,1))</f>
        <v>46076</v>
      </c>
      <c r="Q140" s="331">
        <f>IF(_xlfn.XLOOKUP($E140,'[1]Import Eletra'!$B:$B,'[1]Import Eletra'!$AM:$AM,,0,1)=0,"",_xlfn.XLOOKUP($E140,'[1]Import Eletra'!$B:$B,'[1]Import Eletra'!$AM:$AM,,0,1))</f>
        <v>46078</v>
      </c>
      <c r="R140" s="331">
        <f>IF(_xlfn.XLOOKUP($E140,'[1]Import Eletra'!$B:$B,'[1]Import Eletra'!$AN:$AN,,0,1)=0,"",_xlfn.XLOOKUP($E140,'[1]Import Eletra'!$B:$B,'[1]Import Eletra'!$AN:$AN,,0,1))</f>
        <v>46079</v>
      </c>
      <c r="S140" s="331">
        <f>IF(_xlfn.XLOOKUP($E140,'[1]Import Eletra'!$B:$B,'[1]Import Eletra'!$AO:$AO,,0,1)=0,"",_xlfn.XLOOKUP($E140,'[1]Import Eletra'!$B:$B,'[1]Import Eletra'!$AO:$AO,,0,1))</f>
        <v>46083</v>
      </c>
      <c r="T140" s="331">
        <f>IF(_xlfn.XLOOKUP($E140,'[1]Import Eletra'!$B:$B,'[1]Import Eletra'!$AP:$AP,,0,1)=0,"",_xlfn.XLOOKUP($E140,'[1]Import Eletra'!$B:$B,'[1]Import Eletra'!$AP:$AP,,0,1))</f>
        <v>46084</v>
      </c>
      <c r="U140" s="338">
        <f>IF(_xlfn.XLOOKUP($E140,'[1]Import Eletra'!$B:$B,'[1]Import Eletra'!$AQ:$AQ,,0,1)=0,"",_xlfn.XLOOKUP($E140,'[1]Import Eletra'!$B:$B,'[1]Import Eletra'!$AQ:$AQ,,0,1))</f>
        <v>46085</v>
      </c>
      <c r="V140" s="343">
        <f>IF(_xlfn.XLOOKUP($E140,'[1]Import Eletra'!$B:$B,'[1]Import Eletra'!$AQ:$AQ,,0,1)=0,"",_xlfn.XLOOKUP($E140,'[1]Import Eletra'!$B:$B,'[1]Import Eletra'!$AQ:$AQ,,0,1))</f>
        <v>46085</v>
      </c>
      <c r="W140" s="336">
        <f>AB140-$AB$4</f>
        <v>46095</v>
      </c>
      <c r="X140" s="345">
        <f>IF(_xlfn.XLOOKUP($E140,'[1]Import Eletra'!$B:$B,'[1]Import Eletra'!$AR:$AR,,0,1)=0,"",_xlfn.XLOOKUP($E140,'[1]Import Eletra'!$B:$B,'[1]Import Eletra'!$AR:$AR,,0,1))</f>
        <v>46094</v>
      </c>
      <c r="Y140" s="309">
        <f>$W$4</f>
        <v>0</v>
      </c>
      <c r="Z140" s="309">
        <f ca="1">IF(X140="",TODAY()-W140,X140-W140)</f>
        <v>-1</v>
      </c>
      <c r="AA140" s="310" t="str">
        <f ca="1">IF(AND(ISNUMBER($Z140),$Z140&gt;0),$Z140-$Y140,"")</f>
        <v/>
      </c>
      <c r="AB140" s="350">
        <f>AG140-$AB$4</f>
        <v>46095</v>
      </c>
      <c r="AC140" s="345">
        <f>IF(_xlfn.XLOOKUP($E140,'[1]Import Eletra'!$B:$B,'[1]Import Eletra'!$AD:$AD,,0,1)=0,"",_xlfn.XLOOKUP($E140,'[1]Import Eletra'!$B:$B,'[1]Import Eletra'!$AD:$AD,,0,1))</f>
        <v>46105</v>
      </c>
      <c r="AD140" s="309">
        <f>$AB$4</f>
        <v>0</v>
      </c>
      <c r="AE140" s="309">
        <f ca="1">IF(AC140="",TODAY()-AB140,AC140-AB140)</f>
        <v>10</v>
      </c>
      <c r="AF140" s="310">
        <f ca="1">AE140-AD140</f>
        <v>10</v>
      </c>
      <c r="AG140" s="356">
        <f>AL140-$AL$4</f>
        <v>46095</v>
      </c>
      <c r="AH140" s="345">
        <f>IF(_xlfn.XLOOKUP($E140,'[1]Import Eletra'!$B:$B,'[1]Import Eletra'!$AE:$AE,,0,1)=0,"",_xlfn.XLOOKUP($E140,'[1]Import Eletra'!$B:$B,'[1]Import Eletra'!$AE:$AE,,0,1))</f>
        <v>46105</v>
      </c>
      <c r="AI140" s="309">
        <f>$AG$4</f>
        <v>0</v>
      </c>
      <c r="AJ140" s="309">
        <f ca="1">IF(AH140="",TODAY()-AG140,AH140-AG140)</f>
        <v>10</v>
      </c>
      <c r="AK140" s="310">
        <f ca="1">IF(AND(ISNUMBER($AJ140),$AJ140&gt;0),$AJ140-$AI140,"")</f>
        <v>10</v>
      </c>
      <c r="AL140" s="356">
        <f>AQ140-$AQ$4</f>
        <v>46095</v>
      </c>
      <c r="AM140" s="345">
        <f>IF(_xlfn.XLOOKUP($E140,'[1]Import Eletra'!$B:$B,'[1]Import Eletra'!$AT:$AT,,0,1)=0,"",_xlfn.XLOOKUP($E140,'[1]Import Eletra'!$B:$B,'[1]Import Eletra'!$AT:$AT,,0,1))</f>
        <v>46107</v>
      </c>
      <c r="AN140" s="309">
        <f>$AL$4</f>
        <v>0</v>
      </c>
      <c r="AO140" s="309">
        <f ca="1">IF(AM140="",TODAY()-AL140,AM140-AL140)</f>
        <v>12</v>
      </c>
      <c r="AP140" s="310">
        <f ca="1">IF(AND(ISNUMBER($AO140),$AO140&gt;0),$AO140-$AN140,"")</f>
        <v>12</v>
      </c>
      <c r="AQ140" s="359">
        <f>AV140-$AV$4</f>
        <v>46096</v>
      </c>
      <c r="AR140" s="345">
        <f>IF(_xlfn.XLOOKUP($E140,'[1]Import Eletra'!$B:$B,'[1]Import Eletra'!$AU:$AU,,0,1)=0,"",_xlfn.XLOOKUP($E140,'[1]Import Eletra'!$B:$B,'[1]Import Eletra'!$AU:$AU,,0,1))</f>
        <v>46113</v>
      </c>
      <c r="AS140" s="309">
        <f>$AQ$4</f>
        <v>1</v>
      </c>
      <c r="AT140" s="309">
        <f ca="1">IF(AR140="",TODAY()-AQ140,AR140-AQ140)</f>
        <v>17</v>
      </c>
      <c r="AU140" s="310">
        <f ca="1">IF(AND(ISNUMBER($AT140),$AT140&gt;0),$AT140-$AS140,"")</f>
        <v>16</v>
      </c>
      <c r="AV140" s="356">
        <f>BA140-$BA$4</f>
        <v>46096</v>
      </c>
      <c r="AW140" s="345">
        <f>IF(_xlfn.XLOOKUP($E140,'[1]Import Eletra'!$B:$B,'[1]Import Eletra'!$AU:$AU,,0,1)=0,"",_xlfn.XLOOKUP($E140,'[1]Import Eletra'!$B:$B,'[1]Import Eletra'!$AU:$AU,,0,1))</f>
        <v>46113</v>
      </c>
      <c r="AX140" s="309">
        <f>$AV$4</f>
        <v>0</v>
      </c>
      <c r="AY140" s="309">
        <f ca="1">IF(AW140="",TODAY()-AV140,AW140-AV140)</f>
        <v>17</v>
      </c>
      <c r="AZ140" s="310">
        <f ca="1">IF(AND(ISNUMBER($AY140),$AY140&gt;0),$AY140-$AX140,"")</f>
        <v>17</v>
      </c>
      <c r="BA140" s="359">
        <f>BF140-$BF$4</f>
        <v>46096</v>
      </c>
      <c r="BB140" s="345" t="str">
        <f>IF(_xlfn.XLOOKUP($E140,'[1]Import Eletra'!$B:$B,'[1]Import Eletra'!$AW:$AW,,0,1)=0,"",_xlfn.XLOOKUP($E140,'[1]Import Eletra'!$B:$B,'[1]Import Eletra'!$AW:$AW,,0,1))</f>
        <v/>
      </c>
      <c r="BC140" s="309">
        <f>$BA$4</f>
        <v>0</v>
      </c>
      <c r="BD140" s="309">
        <f ca="1">IF(BB140="",TODAY()-BA140,BB140-BA140)</f>
        <v>115</v>
      </c>
      <c r="BE140" s="310">
        <f ca="1">BD140-BC140</f>
        <v>115</v>
      </c>
      <c r="BF140" s="336">
        <f>BK140-$BK$4</f>
        <v>46096</v>
      </c>
      <c r="BG140" s="345" t="str">
        <f>IF(_xlfn.XLOOKUP($E140,'[1]Import Eletra'!$B:$B,'[1]Import Eletra'!$AX:$AX,,0,1)=0,"",_xlfn.XLOOKUP($E140,'[1]Import Eletra'!$B:$B,'[1]Import Eletra'!$AX:$AX,,0,1))</f>
        <v/>
      </c>
      <c r="BH140" s="309">
        <f>$BF$4</f>
        <v>0</v>
      </c>
      <c r="BI140" s="309">
        <f ca="1">IF(BG140="",TODAY()-BF140,BG140-BF140)</f>
        <v>115</v>
      </c>
      <c r="BJ140" s="310">
        <f ca="1">IF(AND(ISNUMBER($BI140),$BI140&gt;0),$BI140-$BH140,"")</f>
        <v>115</v>
      </c>
      <c r="BK140" s="363">
        <f>BP140-$BP$4</f>
        <v>46096</v>
      </c>
      <c r="BL140" s="345">
        <f>IF(_xlfn.XLOOKUP($E140,'[1]Import Eletra'!$B:$B,'[1]Import Eletra'!$AY:$AY,,0,1)=0,"",_xlfn.XLOOKUP($E140,'[1]Import Eletra'!$B:$B,'[1]Import Eletra'!$AY:$AY,,0,1))</f>
        <v>46107</v>
      </c>
      <c r="BM140" s="309">
        <f>$BK$4</f>
        <v>0</v>
      </c>
      <c r="BN140" s="309">
        <f ca="1">IF(BL140="",TODAY()-BK140,BL140-BK140)</f>
        <v>11</v>
      </c>
      <c r="BO140" s="310">
        <f ca="1">BN140-BM140</f>
        <v>11</v>
      </c>
      <c r="BP140" s="336">
        <f>BU140-$BU$4</f>
        <v>46096</v>
      </c>
      <c r="BQ140" s="345">
        <f>IF(_xlfn.XLOOKUP($E140,'[1]Import Eletra'!$B:$B,'[1]Import Eletra'!$AZ:$AZ,,0,1)=0,"",_xlfn.XLOOKUP($E140,'[1]Import Eletra'!$B:$B,'[1]Import Eletra'!$AZ:$AZ,,0,1))</f>
        <v>46108</v>
      </c>
      <c r="BR140" s="309">
        <f>$BP$4</f>
        <v>0</v>
      </c>
      <c r="BS140" s="309">
        <f ca="1">IF(BQ140="",TODAY()-BP140,BQ140-BP140)</f>
        <v>12</v>
      </c>
      <c r="BT140" s="310">
        <f ca="1">BS140-BR140</f>
        <v>12</v>
      </c>
      <c r="BU140" s="363">
        <f>BZ140-$BZ$4</f>
        <v>46098</v>
      </c>
      <c r="BV140" s="345">
        <f>IF(_xlfn.XLOOKUP($E140,'[1]Import Eletra'!$B:$B,'[1]Import Eletra'!$BA:$BA,,0,1)=0,"",_xlfn.XLOOKUP($E140,'[1]Import Eletra'!$B:$B,'[1]Import Eletra'!$BA:$BA,,0,1))</f>
        <v>46113</v>
      </c>
      <c r="BW140" s="309">
        <f>$BU$4</f>
        <v>2</v>
      </c>
      <c r="BX140" s="309">
        <f ca="1">IF(BV140="",TODAY()-BU140,BV140-BU140)</f>
        <v>15</v>
      </c>
      <c r="BY140" s="310">
        <f ca="1">IF(AND(ISNUMBER($BX140),$BX140&gt;0),$BX140-$BW140,"")</f>
        <v>13</v>
      </c>
      <c r="BZ140" s="336">
        <f>CE140-$CE$4</f>
        <v>46098</v>
      </c>
      <c r="CA140" s="345">
        <f>IF(_xlfn.XLOOKUP($E140,'[1]Import Eletra'!$B:$B,'[1]Import Eletra'!$BB:$BB,,0,1)=0,"",_xlfn.XLOOKUP($E140,'[1]Import Eletra'!$B:$B,'[1]Import Eletra'!$BB:$BB,,0,1))</f>
        <v>46113</v>
      </c>
      <c r="CB140" s="309">
        <f>$BZ$4</f>
        <v>0</v>
      </c>
      <c r="CC140" s="309">
        <f ca="1">IF(CA140="",TODAY()-BZ140,CA140-BZ140)</f>
        <v>15</v>
      </c>
      <c r="CD140" s="310">
        <f ca="1">CC140-CB140</f>
        <v>15</v>
      </c>
      <c r="CE140" s="363">
        <f>CJ140-$CJ$4</f>
        <v>46098</v>
      </c>
      <c r="CF140" s="345">
        <f>IF(_xlfn.XLOOKUP($E140,'[1]Import Eletra'!$B:$B,'[1]Import Eletra'!$BC:$BC,,0,1)=0,"",_xlfn.XLOOKUP($E140,'[1]Import Eletra'!$B:$B,'[1]Import Eletra'!$BC:$BC,,0,1))</f>
        <v>46113</v>
      </c>
      <c r="CG140" s="309">
        <f>$CE$4</f>
        <v>0</v>
      </c>
      <c r="CH140" s="309">
        <f ca="1">IF(CF140="",TODAY()-CE140,CF140-CE140)</f>
        <v>15</v>
      </c>
      <c r="CI140" s="310">
        <f ca="1">CH140-CG140</f>
        <v>15</v>
      </c>
      <c r="CJ140" s="336">
        <f>CO140-$CO$4</f>
        <v>46098</v>
      </c>
      <c r="CK140" s="345">
        <f>IF(_xlfn.XLOOKUP($E140,'[1]Import Eletra'!$B:$B,'[1]Import Eletra'!$BD:$BD,,0,1)=0,"",_xlfn.XLOOKUP($E140,'[1]Import Eletra'!$B:$B,'[1]Import Eletra'!$BD:$BD,,0,1))</f>
        <v>46113</v>
      </c>
      <c r="CL140" s="309"/>
      <c r="CM140" s="309">
        <f ca="1">IF(CK140="",TODAY()-CJ140,CK140-CJ140)</f>
        <v>15</v>
      </c>
      <c r="CN140" s="310">
        <f ca="1">CM140-CL140</f>
        <v>15</v>
      </c>
      <c r="CO140" s="363">
        <f>CT140-$CT$4</f>
        <v>46098</v>
      </c>
      <c r="CP140" s="345">
        <f>IF(_xlfn.XLOOKUP($E140,'[1]Import Eletra'!$B:$B,'[1]Import Eletra'!$BE:$BE,,0,1)=0,"",_xlfn.XLOOKUP($E140,'[1]Import Eletra'!$B:$B,'[1]Import Eletra'!$BE:$BE,,0,1))</f>
        <v>46114</v>
      </c>
      <c r="CQ140" s="309">
        <f>$CO$4</f>
        <v>0</v>
      </c>
      <c r="CR140" s="309">
        <f ca="1">IF(CP140="",TODAY()-CO140,CP140-CO140)</f>
        <v>16</v>
      </c>
      <c r="CS140" s="310">
        <f ca="1">CR140-CQ140</f>
        <v>16</v>
      </c>
      <c r="CT140" s="336">
        <f>CY140-$CY$4</f>
        <v>46098</v>
      </c>
      <c r="CU140" s="345">
        <f>IF(_xlfn.XLOOKUP($E140,'[1]Import Eletra'!$B:$B,'[1]Import Eletra'!$BF:$BF,,0,1)=0,"",_xlfn.XLOOKUP($E140,'[1]Import Eletra'!$B:$B,'[1]Import Eletra'!$BF:$BF,,0,1))</f>
        <v>46114</v>
      </c>
      <c r="CV140" s="309">
        <f>$CT$4</f>
        <v>0</v>
      </c>
      <c r="CW140" s="309">
        <f ca="1">IF(CU140="",TODAY()-CT140,CU140-CT140)</f>
        <v>16</v>
      </c>
      <c r="CX140" s="310">
        <f ca="1">CW140-CV140</f>
        <v>16</v>
      </c>
      <c r="CY140" s="85">
        <f>DD140-$DD$4</f>
        <v>46098</v>
      </c>
      <c r="CZ140" s="271">
        <f>IF(_xlfn.XLOOKUP($E140,'[1]Import Eletra'!$B:$B,'[1]Import Eletra'!$BF:$BF,,0,1)=0,"",_xlfn.XLOOKUP($E140,'[1]Import Eletra'!$B:$B,'[1]Import Eletra'!$BF:$BF,,0,1))</f>
        <v>46114</v>
      </c>
      <c r="DA140" s="311">
        <f>$CY$4</f>
        <v>0</v>
      </c>
      <c r="DB140" s="309">
        <f ca="1">IF(CZ140="",TODAY()-CY140,CZ140-CY140)</f>
        <v>16</v>
      </c>
      <c r="DC140" s="310">
        <f ca="1">DB140-DA140</f>
        <v>16</v>
      </c>
      <c r="DD140" s="85">
        <f>DI140-$DI$4</f>
        <v>46100</v>
      </c>
      <c r="DE140" s="271">
        <f>IF(_xlfn.XLOOKUP($E140,'[1]Import Eletra'!$B:$B,'[1]Import Eletra'!$BG:$BG,,0,1)=0,"",_xlfn.XLOOKUP($E140,'[1]Import Eletra'!$B:$B,'[1]Import Eletra'!$BG:$BG,0,1))</f>
        <v>46118</v>
      </c>
      <c r="DF140" s="309">
        <f>$DD$4</f>
        <v>2</v>
      </c>
      <c r="DG140" s="309">
        <f ca="1">IF(DE140="",TODAY()-DD140,DE140-DD140)</f>
        <v>18</v>
      </c>
      <c r="DH140" s="310">
        <f ca="1">DG140-DF140</f>
        <v>16</v>
      </c>
      <c r="DI140" s="85">
        <f>DO140-$DN$4</f>
        <v>46101</v>
      </c>
      <c r="DJ140" s="271">
        <f>IF(_xlfn.XLOOKUP($E140,'[1]Import Eletra'!$B:$B,'[1]Import Eletra'!$BH:$BH,,0,1)=0,"",_xlfn.XLOOKUP($E140,'[1]Import Eletra'!$B:$B,'[1]Import Eletra'!$BH:$BH,0,1))</f>
        <v>46119</v>
      </c>
      <c r="DK140" s="309">
        <f>$DI$4</f>
        <v>1</v>
      </c>
      <c r="DL140" s="309">
        <f ca="1">IF(DJ140="",TODAY()-DI140,DJ140-DI140)</f>
        <v>18</v>
      </c>
      <c r="DM140" s="310">
        <f ca="1">DL140-DK140</f>
        <v>17</v>
      </c>
      <c r="DN140" s="312"/>
      <c r="DO140" s="313">
        <f>IF(V140="",N140+DT140,V140+DT140)</f>
        <v>46102</v>
      </c>
      <c r="DP140" s="59">
        <f>IF(_xlfn.XLOOKUP($E140,'[1]Import Eletra'!$B:$B,'[1]Import Eletra'!$O:$O,,0,1)=0,"",_xlfn.XLOOKUP($E140,'[1]Import Eletra'!$B:$B,'[1]Import Eletra'!$O:$O,0,1))</f>
        <v>46120</v>
      </c>
      <c r="DQ140" s="309">
        <f>$DN$4</f>
        <v>1</v>
      </c>
      <c r="DR140" s="309">
        <f ca="1">IF(DP140="",TODAY()-DO140,DP140-DO140)</f>
        <v>18</v>
      </c>
      <c r="DS140" s="310">
        <f ca="1">DR140-DQ140</f>
        <v>17</v>
      </c>
      <c r="DT140" s="314">
        <v>17</v>
      </c>
      <c r="DU140" s="140">
        <f ca="1">IF(DP140="",TODAY()-N140,DP140-N140)</f>
        <v>29</v>
      </c>
      <c r="DV140" s="184">
        <f ca="1">DU140-DT140</f>
        <v>12</v>
      </c>
      <c r="DX140" s="316"/>
      <c r="DY140" s="108" t="str">
        <f>IF(_xlfn.XLOOKUP($E140,'[1]Import Eletra'!$B:$B,'[1]Import Eletra'!$DW:$DW,,0,1)=0,"",_xlfn.XLOOKUP($E140,'[1]Import Eletra'!$B:$B,'[1]Import Eletra'!$DW:$DW,0,1))</f>
        <v/>
      </c>
      <c r="EB140" s="317"/>
      <c r="ED140" s="406">
        <f>IF(_xlfn.XLOOKUP($E140,'[1]Import Eletra'!$B:$B,'[1]Import Eletra'!$BQ:$BQ,,0,1)=0,"",_xlfn.XLOOKUP($E140,'[1]Import Eletra'!$B:$B,'[1]Import Eletra'!$BQ:$BQ,0,1))</f>
        <v>5439.6</v>
      </c>
      <c r="EE140" s="407">
        <f>IF(_xlfn.XLOOKUP($E140,'[1]Import Eletra'!$B:$B,'[1]Import Eletra'!$BR:$BR,,0,1)=0,"",_xlfn.XLOOKUP($E140,'[1]Import Eletra'!$B:$B,'[1]Import Eletra'!$BR:$BR,0,1))</f>
        <v>46112</v>
      </c>
      <c r="EF140" s="406">
        <f>IF(_xlfn.XLOOKUP($E140,'[1]Import Eletra'!$B:$B,'[1]Import Eletra'!$BS:$BS,,0,1)=0,"",_xlfn.XLOOKUP($E140,'[1]Import Eletra'!$B:$B,'[1]Import Eletra'!$BS:$BS,0,1))</f>
        <v>92399.23</v>
      </c>
      <c r="EG140" s="407">
        <f>IF(_xlfn.XLOOKUP($E140,'[1]Import Eletra'!$B:$B,'[1]Import Eletra'!$BT:$BT,,0,1)=0,"",_xlfn.XLOOKUP($E140,'[1]Import Eletra'!$B:$B,'[1]Import Eletra'!$BT:$BT,0,1))</f>
        <v>46156</v>
      </c>
      <c r="EH140" s="406" t="str">
        <f>IF(_xlfn.XLOOKUP($E140,'[1]Import Eletra'!$B:$B,'[1]Import Eletra'!$BU:$BU,,0,1)=0,"",_xlfn.XLOOKUP($E140,'[1]Import Eletra'!$B:$B,'[1]Import Eletra'!$BU:$BU,0,1))</f>
        <v/>
      </c>
      <c r="EI140" s="407" t="str">
        <f>IF(_xlfn.XLOOKUP($E140,'[1]Import Eletra'!$B:$B,'[1]Import Eletra'!$BV:$BV,,0,1)=0,"",_xlfn.XLOOKUP($E140,'[1]Import Eletra'!$B:$B,'[1]Import Eletra'!$BV:$BV,0,1))</f>
        <v/>
      </c>
      <c r="EJ140" s="407">
        <f>IF(_xlfn.XLOOKUP($E140,'[1]Import Eletra'!$B:$B,'[1]Import Eletra'!$CI:$CI,,0,1)=0,"",_xlfn.XLOOKUP($E140,'[1]Import Eletra'!$B:$B,'[1]Import Eletra'!$CI:$CI,0,1))</f>
        <v>46109</v>
      </c>
      <c r="EK140" s="407" t="str">
        <f>IF(_xlfn.XLOOKUP($E140,'[1]Import Eletra'!$B:$B,'[1]Import Eletra'!$CD:$CD,,0,1)=0,"",_xlfn.XLOOKUP($E140,'[1]Import Eletra'!$B:$B,'[1]Import Eletra'!$CD:$CD,0,1))</f>
        <v/>
      </c>
      <c r="EL140" s="407" t="str">
        <f>IF(_xlfn.XLOOKUP($E140,'[1]Import Eletra'!$B:$B,'[1]Import Eletra'!$CE:$CE,,0,1)=0,"",_xlfn.XLOOKUP($E140,'[1]Import Eletra'!$B:$B,'[1]Import Eletra'!$CE:$CE,0,1))</f>
        <v>NÃO</v>
      </c>
      <c r="EM140" s="408" t="str">
        <f>IF(_xlfn.XLOOKUP($E140,'[1]Import Eletra'!$B:$B,'[1]Import Eletra'!$E:$E,,0,1)=0,"",_xlfn.XLOOKUP($E140,'[1]Import Eletra'!$B:$B,'[1]Import Eletra'!$E:$E,0,1))</f>
        <v>LEISIANE</v>
      </c>
      <c r="EN140" s="408" t="str">
        <f>IF(_xlfn.XLOOKUP($E140,'[1]Import Eletra'!$B:$B,'[1]Import Eletra'!$E:$E,,0,1)=0,"",_xlfn.XLOOKUP($E140,'[1]Import Eletra'!$B:$B,'[1]Import Eletra'!$E:$E,0,1))</f>
        <v>LEISIANE</v>
      </c>
      <c r="EO140" s="408" t="str">
        <f>IF(_xlfn.XLOOKUP($E140,'[1]Import Eletra'!$B:$B,'[1]Import Eletra'!$E:$E,,0,1)=0,"",_xlfn.XLOOKUP($E140,'[1]Import Eletra'!$B:$B,'[1]Import Eletra'!$E:$E,0,1))</f>
        <v>LEISIANE</v>
      </c>
      <c r="EP140" s="408" t="str">
        <f>IF(_xlfn.XLOOKUP($E140,'[1]Import Eletra'!$B:$B,'[1]Import Eletra'!$E:$E,,0,1)=0,"",_xlfn.XLOOKUP($E140,'[1]Import Eletra'!$B:$B,'[1]Import Eletra'!$E:$E,0,1))</f>
        <v>LEISIANE</v>
      </c>
    </row>
    <row r="141" spans="1:146" s="315" customFormat="1" ht="30" hidden="1" customHeight="1" outlineLevel="1">
      <c r="A141" s="305"/>
      <c r="B141" s="306"/>
      <c r="C141" s="306"/>
      <c r="D141" s="306"/>
      <c r="E141" s="367" t="s">
        <v>437</v>
      </c>
      <c r="F141" s="307">
        <f>IF(_xlfn.XLOOKUP($E141,'[1]Import Eletra'!$B:$B,'[1]Import Eletra'!$U:$U,,0,1)=0,"",_xlfn.XLOOKUP($E141,'[1]Import Eletra'!$B:$B,'[1]Import Eletra'!$U:$U,,0,1))</f>
        <v>3</v>
      </c>
      <c r="G141" s="320" t="s">
        <v>244</v>
      </c>
      <c r="H141" s="59" t="str">
        <f>_xlfn.XLOOKUP($E141,'[1]Import Eletra'!$B:$B,'[1]Import Eletra'!$F:$F,,0,1)</f>
        <v>DELIVERED</v>
      </c>
      <c r="I141" s="4" t="str">
        <f>_xlfn.XLOOKUP($E141,'[1]Import Eletra'!$B:$B,'[1]Import Eletra'!$G:$G,,0,1)</f>
        <v>SEA</v>
      </c>
      <c r="J141" s="331"/>
      <c r="K141" s="308"/>
      <c r="L141" s="308"/>
      <c r="M141" s="331">
        <f>IF(_xlfn.XLOOKUP($E141,'[1]Import Eletra'!$B:$B,'[1]Import Eletra'!$J:$J,,0,1)=0,"",_xlfn.XLOOKUP($E141,'[1]Import Eletra'!$B:$B,'[1]Import Eletra'!$J:$J,,0,1))</f>
        <v>46041</v>
      </c>
      <c r="N141" s="334">
        <f>IF(_xlfn.XLOOKUP($E141,'[1]Import Eletra'!$B:$B,'[1]Import Eletra'!$L:$L,,0,1)=0,"",_xlfn.XLOOKUP($E141,'[1]Import Eletra'!$B:$B,'[1]Import Eletra'!$L:$L,,0,1))</f>
        <v>46091</v>
      </c>
      <c r="O141" s="336">
        <f>IF(_xlfn.XLOOKUP($E141,'[1]Import Eletra'!$B:$B,'[1]Import Eletra'!$AK:$AK,,0,1)=0,"",_xlfn.XLOOKUP($E141,'[1]Import Eletra'!$B:$B,'[1]Import Eletra'!$AK:$AK,,0,1))</f>
        <v>46072</v>
      </c>
      <c r="P141" s="331">
        <f>IF(_xlfn.XLOOKUP($E141,'[1]Import Eletra'!$B:$B,'[1]Import Eletra'!$AL:$AL,,0,1)=0,"",_xlfn.XLOOKUP($E141,'[1]Import Eletra'!$B:$B,'[1]Import Eletra'!$AL:$AL,,0,1))</f>
        <v>46076</v>
      </c>
      <c r="Q141" s="331">
        <f>IF(_xlfn.XLOOKUP($E141,'[1]Import Eletra'!$B:$B,'[1]Import Eletra'!$AM:$AM,,0,1)=0,"",_xlfn.XLOOKUP($E141,'[1]Import Eletra'!$B:$B,'[1]Import Eletra'!$AM:$AM,,0,1))</f>
        <v>46077</v>
      </c>
      <c r="R141" s="331">
        <f>IF(_xlfn.XLOOKUP($E141,'[1]Import Eletra'!$B:$B,'[1]Import Eletra'!$AN:$AN,,0,1)=0,"",_xlfn.XLOOKUP($E141,'[1]Import Eletra'!$B:$B,'[1]Import Eletra'!$AN:$AN,,0,1))</f>
        <v>46079</v>
      </c>
      <c r="S141" s="331">
        <f>IF(_xlfn.XLOOKUP($E141,'[1]Import Eletra'!$B:$B,'[1]Import Eletra'!$AO:$AO,,0,1)=0,"",_xlfn.XLOOKUP($E141,'[1]Import Eletra'!$B:$B,'[1]Import Eletra'!$AO:$AO,,0,1))</f>
        <v>46079</v>
      </c>
      <c r="T141" s="331">
        <f>IF(_xlfn.XLOOKUP($E141,'[1]Import Eletra'!$B:$B,'[1]Import Eletra'!$AP:$AP,,0,1)=0,"",_xlfn.XLOOKUP($E141,'[1]Import Eletra'!$B:$B,'[1]Import Eletra'!$AP:$AP,,0,1))</f>
        <v>46084</v>
      </c>
      <c r="U141" s="338">
        <f>IF(_xlfn.XLOOKUP($E141,'[1]Import Eletra'!$B:$B,'[1]Import Eletra'!$AQ:$AQ,,0,1)=0,"",_xlfn.XLOOKUP($E141,'[1]Import Eletra'!$B:$B,'[1]Import Eletra'!$AQ:$AQ,,0,1))</f>
        <v>46085</v>
      </c>
      <c r="V141" s="343">
        <f>IF(_xlfn.XLOOKUP($E141,'[1]Import Eletra'!$B:$B,'[1]Import Eletra'!$AQ:$AQ,,0,1)=0,"",_xlfn.XLOOKUP($E141,'[1]Import Eletra'!$B:$B,'[1]Import Eletra'!$AQ:$AQ,,0,1))</f>
        <v>46085</v>
      </c>
      <c r="W141" s="336">
        <f>AB141-$AB$4</f>
        <v>46095</v>
      </c>
      <c r="X141" s="345">
        <f>IF(_xlfn.XLOOKUP($E141,'[1]Import Eletra'!$B:$B,'[1]Import Eletra'!$AR:$AR,,0,1)=0,"",_xlfn.XLOOKUP($E141,'[1]Import Eletra'!$B:$B,'[1]Import Eletra'!$AR:$AR,,0,1))</f>
        <v>46093</v>
      </c>
      <c r="Y141" s="309">
        <f>$W$4</f>
        <v>0</v>
      </c>
      <c r="Z141" s="309">
        <f ca="1">IF(X141="",TODAY()-W141,X141-W141)</f>
        <v>-2</v>
      </c>
      <c r="AA141" s="310" t="str">
        <f ca="1">IF(AND(ISNUMBER($Z141),$Z141&gt;0),$Z141-$Y141,"")</f>
        <v/>
      </c>
      <c r="AB141" s="350">
        <f>AG141-$AB$4</f>
        <v>46095</v>
      </c>
      <c r="AC141" s="345">
        <f>IF(_xlfn.XLOOKUP($E141,'[1]Import Eletra'!$B:$B,'[1]Import Eletra'!$AD:$AD,,0,1)=0,"",_xlfn.XLOOKUP($E141,'[1]Import Eletra'!$B:$B,'[1]Import Eletra'!$AD:$AD,,0,1))</f>
        <v>46093</v>
      </c>
      <c r="AD141" s="309">
        <f>$AB$4</f>
        <v>0</v>
      </c>
      <c r="AE141" s="309">
        <f ca="1">IF(AC141="",TODAY()-AB141,AC141-AB141)</f>
        <v>-2</v>
      </c>
      <c r="AF141" s="310">
        <f ca="1">AE141-AD141</f>
        <v>-2</v>
      </c>
      <c r="AG141" s="356">
        <f>AL141-$AL$4</f>
        <v>46095</v>
      </c>
      <c r="AH141" s="345">
        <f>IF(_xlfn.XLOOKUP($E141,'[1]Import Eletra'!$B:$B,'[1]Import Eletra'!$AE:$AE,,0,1)=0,"",_xlfn.XLOOKUP($E141,'[1]Import Eletra'!$B:$B,'[1]Import Eletra'!$AE:$AE,,0,1))</f>
        <v>46093</v>
      </c>
      <c r="AI141" s="309">
        <f>$AG$4</f>
        <v>0</v>
      </c>
      <c r="AJ141" s="309">
        <f ca="1">IF(AH141="",TODAY()-AG141,AH141-AG141)</f>
        <v>-2</v>
      </c>
      <c r="AK141" s="310" t="str">
        <f ca="1">IF(AND(ISNUMBER($AJ141),$AJ141&gt;0),$AJ141-$AI141,"")</f>
        <v/>
      </c>
      <c r="AL141" s="356">
        <f>AQ141-$AQ$4</f>
        <v>46095</v>
      </c>
      <c r="AM141" s="345">
        <f>IF(_xlfn.XLOOKUP($E141,'[1]Import Eletra'!$B:$B,'[1]Import Eletra'!$AT:$AT,,0,1)=0,"",_xlfn.XLOOKUP($E141,'[1]Import Eletra'!$B:$B,'[1]Import Eletra'!$AT:$AT,,0,1))</f>
        <v>46097</v>
      </c>
      <c r="AN141" s="309">
        <f>$AL$4</f>
        <v>0</v>
      </c>
      <c r="AO141" s="309">
        <f ca="1">IF(AM141="",TODAY()-AL141,AM141-AL141)</f>
        <v>2</v>
      </c>
      <c r="AP141" s="310">
        <f ca="1">IF(AND(ISNUMBER($AO141),$AO141&gt;0),$AO141-$AN141,"")</f>
        <v>2</v>
      </c>
      <c r="AQ141" s="359">
        <f>AV141-$AV$4</f>
        <v>46096</v>
      </c>
      <c r="AR141" s="345">
        <f>IF(_xlfn.XLOOKUP($E141,'[1]Import Eletra'!$B:$B,'[1]Import Eletra'!$AU:$AU,,0,1)=0,"",_xlfn.XLOOKUP($E141,'[1]Import Eletra'!$B:$B,'[1]Import Eletra'!$AU:$AU,,0,1))</f>
        <v>46098</v>
      </c>
      <c r="AS141" s="309">
        <f>$AQ$4</f>
        <v>1</v>
      </c>
      <c r="AT141" s="309">
        <f ca="1">IF(AR141="",TODAY()-AQ141,AR141-AQ141)</f>
        <v>2</v>
      </c>
      <c r="AU141" s="310">
        <f ca="1">IF(AND(ISNUMBER($AT141),$AT141&gt;0),$AT141-$AS141,"")</f>
        <v>1</v>
      </c>
      <c r="AV141" s="356">
        <f>BA141-$BA$4</f>
        <v>46096</v>
      </c>
      <c r="AW141" s="345">
        <f>IF(_xlfn.XLOOKUP($E141,'[1]Import Eletra'!$B:$B,'[1]Import Eletra'!$AU:$AU,,0,1)=0,"",_xlfn.XLOOKUP($E141,'[1]Import Eletra'!$B:$B,'[1]Import Eletra'!$AU:$AU,,0,1))</f>
        <v>46098</v>
      </c>
      <c r="AX141" s="309">
        <f>$AV$4</f>
        <v>0</v>
      </c>
      <c r="AY141" s="309">
        <f ca="1">IF(AW141="",TODAY()-AV141,AW141-AV141)</f>
        <v>2</v>
      </c>
      <c r="AZ141" s="310">
        <f ca="1">IF(AND(ISNUMBER($AY141),$AY141&gt;0),$AY141-$AX141,"")</f>
        <v>2</v>
      </c>
      <c r="BA141" s="359">
        <f>BF141-$BF$4</f>
        <v>46096</v>
      </c>
      <c r="BB141" s="345" t="str">
        <f>IF(_xlfn.XLOOKUP($E141,'[1]Import Eletra'!$B:$B,'[1]Import Eletra'!$AW:$AW,,0,1)=0,"",_xlfn.XLOOKUP($E141,'[1]Import Eletra'!$B:$B,'[1]Import Eletra'!$AW:$AW,,0,1))</f>
        <v/>
      </c>
      <c r="BC141" s="309">
        <f>$BA$4</f>
        <v>0</v>
      </c>
      <c r="BD141" s="309">
        <f ca="1">IF(BB141="",TODAY()-BA141,BB141-BA141)</f>
        <v>115</v>
      </c>
      <c r="BE141" s="310">
        <f ca="1">BD141-BC141</f>
        <v>115</v>
      </c>
      <c r="BF141" s="336">
        <f>BK141-$BK$4</f>
        <v>46096</v>
      </c>
      <c r="BG141" s="345" t="str">
        <f>IF(_xlfn.XLOOKUP($E141,'[1]Import Eletra'!$B:$B,'[1]Import Eletra'!$AX:$AX,,0,1)=0,"",_xlfn.XLOOKUP($E141,'[1]Import Eletra'!$B:$B,'[1]Import Eletra'!$AX:$AX,,0,1))</f>
        <v/>
      </c>
      <c r="BH141" s="309">
        <f>$BF$4</f>
        <v>0</v>
      </c>
      <c r="BI141" s="309">
        <f ca="1">IF(BG141="",TODAY()-BF141,BG141-BF141)</f>
        <v>115</v>
      </c>
      <c r="BJ141" s="310">
        <f ca="1">IF(AND(ISNUMBER($BI141),$BI141&gt;0),$BI141-$BH141,"")</f>
        <v>115</v>
      </c>
      <c r="BK141" s="363">
        <f>BP141-$BP$4</f>
        <v>46096</v>
      </c>
      <c r="BL141" s="345">
        <f>IF(_xlfn.XLOOKUP($E141,'[1]Import Eletra'!$B:$B,'[1]Import Eletra'!$AY:$AY,,0,1)=0,"",_xlfn.XLOOKUP($E141,'[1]Import Eletra'!$B:$B,'[1]Import Eletra'!$AY:$AY,,0,1))</f>
        <v>46097</v>
      </c>
      <c r="BM141" s="309">
        <f>$BK$4</f>
        <v>0</v>
      </c>
      <c r="BN141" s="309">
        <f ca="1">IF(BL141="",TODAY()-BK141,BL141-BK141)</f>
        <v>1</v>
      </c>
      <c r="BO141" s="310">
        <f ca="1">BN141-BM141</f>
        <v>1</v>
      </c>
      <c r="BP141" s="336">
        <f>BU141-$BU$4</f>
        <v>46096</v>
      </c>
      <c r="BQ141" s="345">
        <f>IF(_xlfn.XLOOKUP($E141,'[1]Import Eletra'!$B:$B,'[1]Import Eletra'!$AZ:$AZ,,0,1)=0,"",_xlfn.XLOOKUP($E141,'[1]Import Eletra'!$B:$B,'[1]Import Eletra'!$AZ:$AZ,,0,1))</f>
        <v>46098</v>
      </c>
      <c r="BR141" s="309">
        <f>$BP$4</f>
        <v>0</v>
      </c>
      <c r="BS141" s="309">
        <f ca="1">IF(BQ141="",TODAY()-BP141,BQ141-BP141)</f>
        <v>2</v>
      </c>
      <c r="BT141" s="310">
        <f ca="1">BS141-BR141</f>
        <v>2</v>
      </c>
      <c r="BU141" s="363">
        <f>BZ141-$BZ$4</f>
        <v>46098</v>
      </c>
      <c r="BV141" s="345">
        <f>IF(_xlfn.XLOOKUP($E141,'[1]Import Eletra'!$B:$B,'[1]Import Eletra'!$BA:$BA,,0,1)=0,"",_xlfn.XLOOKUP($E141,'[1]Import Eletra'!$B:$B,'[1]Import Eletra'!$BA:$BA,,0,1))</f>
        <v>46098</v>
      </c>
      <c r="BW141" s="309">
        <f>$BU$4</f>
        <v>2</v>
      </c>
      <c r="BX141" s="309">
        <f ca="1">IF(BV141="",TODAY()-BU141,BV141-BU141)</f>
        <v>0</v>
      </c>
      <c r="BY141" s="310" t="str">
        <f ca="1">IF(AND(ISNUMBER($BX141),$BX141&gt;0),$BX141-$BW141,"")</f>
        <v/>
      </c>
      <c r="BZ141" s="336">
        <f>CE141-$CE$4</f>
        <v>46098</v>
      </c>
      <c r="CA141" s="345">
        <f>IF(_xlfn.XLOOKUP($E141,'[1]Import Eletra'!$B:$B,'[1]Import Eletra'!$BB:$BB,,0,1)=0,"",_xlfn.XLOOKUP($E141,'[1]Import Eletra'!$B:$B,'[1]Import Eletra'!$BB:$BB,,0,1))</f>
        <v>46098</v>
      </c>
      <c r="CB141" s="309">
        <f>$BZ$4</f>
        <v>0</v>
      </c>
      <c r="CC141" s="309">
        <f ca="1">IF(CA141="",TODAY()-BZ141,CA141-BZ141)</f>
        <v>0</v>
      </c>
      <c r="CD141" s="310">
        <f ca="1">CC141-CB141</f>
        <v>0</v>
      </c>
      <c r="CE141" s="363">
        <f>CJ141-$CJ$4</f>
        <v>46098</v>
      </c>
      <c r="CF141" s="345">
        <f>IF(_xlfn.XLOOKUP($E141,'[1]Import Eletra'!$B:$B,'[1]Import Eletra'!$BC:$BC,,0,1)=0,"",_xlfn.XLOOKUP($E141,'[1]Import Eletra'!$B:$B,'[1]Import Eletra'!$BC:$BC,,0,1))</f>
        <v>46099</v>
      </c>
      <c r="CG141" s="309">
        <f>$CE$4</f>
        <v>0</v>
      </c>
      <c r="CH141" s="309">
        <f ca="1">IF(CF141="",TODAY()-CE141,CF141-CE141)</f>
        <v>1</v>
      </c>
      <c r="CI141" s="310">
        <f ca="1">CH141-CG141</f>
        <v>1</v>
      </c>
      <c r="CJ141" s="336">
        <f>CO141-$CO$4</f>
        <v>46098</v>
      </c>
      <c r="CK141" s="345">
        <f>IF(_xlfn.XLOOKUP($E141,'[1]Import Eletra'!$B:$B,'[1]Import Eletra'!$BD:$BD,,0,1)=0,"",_xlfn.XLOOKUP($E141,'[1]Import Eletra'!$B:$B,'[1]Import Eletra'!$BD:$BD,,0,1))</f>
        <v>46098</v>
      </c>
      <c r="CL141" s="309"/>
      <c r="CM141" s="309">
        <f ca="1">IF(CK141="",TODAY()-CJ141,CK141-CJ141)</f>
        <v>0</v>
      </c>
      <c r="CN141" s="310">
        <f ca="1">CM141-CL141</f>
        <v>0</v>
      </c>
      <c r="CO141" s="363">
        <f>CT141-$CT$4</f>
        <v>46098</v>
      </c>
      <c r="CP141" s="345">
        <f>IF(_xlfn.XLOOKUP($E141,'[1]Import Eletra'!$B:$B,'[1]Import Eletra'!$BE:$BE,,0,1)=0,"",_xlfn.XLOOKUP($E141,'[1]Import Eletra'!$B:$B,'[1]Import Eletra'!$BE:$BE,,0,1))</f>
        <v>46114</v>
      </c>
      <c r="CQ141" s="309">
        <f>$CO$4</f>
        <v>0</v>
      </c>
      <c r="CR141" s="309">
        <f ca="1">IF(CP141="",TODAY()-CO141,CP141-CO141)</f>
        <v>16</v>
      </c>
      <c r="CS141" s="310">
        <f ca="1">CR141-CQ141</f>
        <v>16</v>
      </c>
      <c r="CT141" s="336">
        <f>CY141-$CY$4</f>
        <v>46098</v>
      </c>
      <c r="CU141" s="345">
        <f>IF(_xlfn.XLOOKUP($E141,'[1]Import Eletra'!$B:$B,'[1]Import Eletra'!$BF:$BF,,0,1)=0,"",_xlfn.XLOOKUP($E141,'[1]Import Eletra'!$B:$B,'[1]Import Eletra'!$BF:$BF,,0,1))</f>
        <v>46114</v>
      </c>
      <c r="CV141" s="309">
        <f>$CT$4</f>
        <v>0</v>
      </c>
      <c r="CW141" s="309">
        <f ca="1">IF(CU141="",TODAY()-CT141,CU141-CT141)</f>
        <v>16</v>
      </c>
      <c r="CX141" s="310">
        <f ca="1">CW141-CV141</f>
        <v>16</v>
      </c>
      <c r="CY141" s="85">
        <f>DD141-$DD$4</f>
        <v>46098</v>
      </c>
      <c r="CZ141" s="271">
        <f>IF(_xlfn.XLOOKUP($E141,'[1]Import Eletra'!$B:$B,'[1]Import Eletra'!$BF:$BF,,0,1)=0,"",_xlfn.XLOOKUP($E141,'[1]Import Eletra'!$B:$B,'[1]Import Eletra'!$BF:$BF,,0,1))</f>
        <v>46114</v>
      </c>
      <c r="DA141" s="311">
        <f>$CY$4</f>
        <v>0</v>
      </c>
      <c r="DB141" s="309">
        <f ca="1">IF(CZ141="",TODAY()-CY141,CZ141-CY141)</f>
        <v>16</v>
      </c>
      <c r="DC141" s="310">
        <f ca="1">DB141-DA141</f>
        <v>16</v>
      </c>
      <c r="DD141" s="85">
        <f>DI141-$DI$4</f>
        <v>46100</v>
      </c>
      <c r="DE141" s="271">
        <f>IF(_xlfn.XLOOKUP($E141,'[1]Import Eletra'!$B:$B,'[1]Import Eletra'!$BG:$BG,,0,1)=0,"",_xlfn.XLOOKUP($E141,'[1]Import Eletra'!$B:$B,'[1]Import Eletra'!$BG:$BG,0,1))</f>
        <v>46120</v>
      </c>
      <c r="DF141" s="309">
        <f>$DD$4</f>
        <v>2</v>
      </c>
      <c r="DG141" s="309">
        <f ca="1">IF(DE141="",TODAY()-DD141,DE141-DD141)</f>
        <v>20</v>
      </c>
      <c r="DH141" s="310">
        <f ca="1">DG141-DF141</f>
        <v>18</v>
      </c>
      <c r="DI141" s="85">
        <f>DO141-$DN$4</f>
        <v>46101</v>
      </c>
      <c r="DJ141" s="271">
        <f>IF(_xlfn.XLOOKUP($E141,'[1]Import Eletra'!$B:$B,'[1]Import Eletra'!$BH:$BH,,0,1)=0,"",_xlfn.XLOOKUP($E141,'[1]Import Eletra'!$B:$B,'[1]Import Eletra'!$BH:$BH,0,1))</f>
        <v>46120</v>
      </c>
      <c r="DK141" s="309">
        <f>$DI$4</f>
        <v>1</v>
      </c>
      <c r="DL141" s="309">
        <f ca="1">IF(DJ141="",TODAY()-DI141,DJ141-DI141)</f>
        <v>19</v>
      </c>
      <c r="DM141" s="310">
        <f ca="1">DL141-DK141</f>
        <v>18</v>
      </c>
      <c r="DN141" s="312"/>
      <c r="DO141" s="313">
        <f>IF(V141="",N141+DT141,V141+DT141)</f>
        <v>46102</v>
      </c>
      <c r="DP141" s="59">
        <f>IF(_xlfn.XLOOKUP($E141,'[1]Import Eletra'!$B:$B,'[1]Import Eletra'!$O:$O,,0,1)=0,"",_xlfn.XLOOKUP($E141,'[1]Import Eletra'!$B:$B,'[1]Import Eletra'!$O:$O,0,1))</f>
        <v>46121</v>
      </c>
      <c r="DQ141" s="309">
        <f>$DN$4</f>
        <v>1</v>
      </c>
      <c r="DR141" s="309">
        <f ca="1">IF(DP141="",TODAY()-DO141,DP141-DO141)</f>
        <v>19</v>
      </c>
      <c r="DS141" s="310">
        <f ca="1">DR141-DQ141</f>
        <v>18</v>
      </c>
      <c r="DT141" s="314">
        <v>17</v>
      </c>
      <c r="DU141" s="140">
        <f ca="1">IF(DP141="",TODAY()-N141,DP141-N141)</f>
        <v>30</v>
      </c>
      <c r="DV141" s="184">
        <f ca="1">DU141-DT141</f>
        <v>13</v>
      </c>
      <c r="DX141" s="316"/>
      <c r="DY141" s="108" t="str">
        <f>IF(_xlfn.XLOOKUP($E141,'[1]Import Eletra'!$B:$B,'[1]Import Eletra'!$DW:$DW,,0,1)=0,"",_xlfn.XLOOKUP($E141,'[1]Import Eletra'!$B:$B,'[1]Import Eletra'!$DW:$DW,0,1))</f>
        <v/>
      </c>
      <c r="EB141" s="317"/>
      <c r="ED141" s="406">
        <f>IF(_xlfn.XLOOKUP($E141,'[1]Import Eletra'!$B:$B,'[1]Import Eletra'!$BQ:$BQ,,0,1)=0,"",_xlfn.XLOOKUP($E141,'[1]Import Eletra'!$B:$B,'[1]Import Eletra'!$BQ:$BQ,0,1))</f>
        <v>5439.6</v>
      </c>
      <c r="EE141" s="407">
        <f>IF(_xlfn.XLOOKUP($E141,'[1]Import Eletra'!$B:$B,'[1]Import Eletra'!$BR:$BR,,0,1)=0,"",_xlfn.XLOOKUP($E141,'[1]Import Eletra'!$B:$B,'[1]Import Eletra'!$BR:$BR,0,1))</f>
        <v>46112</v>
      </c>
      <c r="EF141" s="406">
        <f>IF(_xlfn.XLOOKUP($E141,'[1]Import Eletra'!$B:$B,'[1]Import Eletra'!$BS:$BS,,0,1)=0,"",_xlfn.XLOOKUP($E141,'[1]Import Eletra'!$B:$B,'[1]Import Eletra'!$BS:$BS,0,1))</f>
        <v>111698.46</v>
      </c>
      <c r="EG141" s="407">
        <f>IF(_xlfn.XLOOKUP($E141,'[1]Import Eletra'!$B:$B,'[1]Import Eletra'!$BT:$BT,,0,1)=0,"",_xlfn.XLOOKUP($E141,'[1]Import Eletra'!$B:$B,'[1]Import Eletra'!$BT:$BT,0,1))</f>
        <v>46156</v>
      </c>
      <c r="EH141" s="406" t="str">
        <f>IF(_xlfn.XLOOKUP($E141,'[1]Import Eletra'!$B:$B,'[1]Import Eletra'!$BU:$BU,,0,1)=0,"",_xlfn.XLOOKUP($E141,'[1]Import Eletra'!$B:$B,'[1]Import Eletra'!$BU:$BU,0,1))</f>
        <v/>
      </c>
      <c r="EI141" s="407" t="str">
        <f>IF(_xlfn.XLOOKUP($E141,'[1]Import Eletra'!$B:$B,'[1]Import Eletra'!$BV:$BV,,0,1)=0,"",_xlfn.XLOOKUP($E141,'[1]Import Eletra'!$B:$B,'[1]Import Eletra'!$BV:$BV,0,1))</f>
        <v/>
      </c>
      <c r="EJ141" s="407">
        <f>IF(_xlfn.XLOOKUP($E141,'[1]Import Eletra'!$B:$B,'[1]Import Eletra'!$CI:$CI,,0,1)=0,"",_xlfn.XLOOKUP($E141,'[1]Import Eletra'!$B:$B,'[1]Import Eletra'!$CI:$CI,0,1))</f>
        <v>46109</v>
      </c>
      <c r="EK141" s="407" t="str">
        <f>IF(_xlfn.XLOOKUP($E141,'[1]Import Eletra'!$B:$B,'[1]Import Eletra'!$CD:$CD,,0,1)=0,"",_xlfn.XLOOKUP($E141,'[1]Import Eletra'!$B:$B,'[1]Import Eletra'!$CD:$CD,0,1))</f>
        <v/>
      </c>
      <c r="EL141" s="407" t="str">
        <f>IF(_xlfn.XLOOKUP($E141,'[1]Import Eletra'!$B:$B,'[1]Import Eletra'!$CE:$CE,,0,1)=0,"",_xlfn.XLOOKUP($E141,'[1]Import Eletra'!$B:$B,'[1]Import Eletra'!$CE:$CE,0,1))</f>
        <v>NÃO</v>
      </c>
      <c r="EM141" s="408" t="str">
        <f>IF(_xlfn.XLOOKUP($E141,'[1]Import Eletra'!$B:$B,'[1]Import Eletra'!$E:$E,,0,1)=0,"",_xlfn.XLOOKUP($E141,'[1]Import Eletra'!$B:$B,'[1]Import Eletra'!$E:$E,0,1))</f>
        <v>LEISIANE</v>
      </c>
      <c r="EN141" s="408" t="str">
        <f>IF(_xlfn.XLOOKUP($E141,'[1]Import Eletra'!$B:$B,'[1]Import Eletra'!$E:$E,,0,1)=0,"",_xlfn.XLOOKUP($E141,'[1]Import Eletra'!$B:$B,'[1]Import Eletra'!$E:$E,0,1))</f>
        <v>LEISIANE</v>
      </c>
      <c r="EO141" s="408" t="str">
        <f>IF(_xlfn.XLOOKUP($E141,'[1]Import Eletra'!$B:$B,'[1]Import Eletra'!$E:$E,,0,1)=0,"",_xlfn.XLOOKUP($E141,'[1]Import Eletra'!$B:$B,'[1]Import Eletra'!$E:$E,0,1))</f>
        <v>LEISIANE</v>
      </c>
      <c r="EP141" s="408" t="str">
        <f>IF(_xlfn.XLOOKUP($E141,'[1]Import Eletra'!$B:$B,'[1]Import Eletra'!$E:$E,,0,1)=0,"",_xlfn.XLOOKUP($E141,'[1]Import Eletra'!$B:$B,'[1]Import Eletra'!$E:$E,0,1))</f>
        <v>LEISIANE</v>
      </c>
    </row>
    <row r="142" spans="1:146" s="315" customFormat="1" ht="30" hidden="1" customHeight="1" outlineLevel="1">
      <c r="A142" s="305"/>
      <c r="B142" s="306"/>
      <c r="C142" s="306"/>
      <c r="D142" s="306"/>
      <c r="E142" s="367" t="s">
        <v>438</v>
      </c>
      <c r="F142" s="307">
        <f>IF(_xlfn.XLOOKUP($E142,'[1]Import Eletra'!$B:$B,'[1]Import Eletra'!$U:$U,,0,1)=0,"",_xlfn.XLOOKUP($E142,'[1]Import Eletra'!$B:$B,'[1]Import Eletra'!$U:$U,,0,1))</f>
        <v>2</v>
      </c>
      <c r="G142" s="320" t="s">
        <v>244</v>
      </c>
      <c r="H142" s="59" t="str">
        <f>_xlfn.XLOOKUP($E142,'[1]Import Eletra'!$B:$B,'[1]Import Eletra'!$F:$F,,0,1)</f>
        <v>DELIVERED</v>
      </c>
      <c r="I142" s="4" t="str">
        <f>_xlfn.XLOOKUP($E142,'[1]Import Eletra'!$B:$B,'[1]Import Eletra'!$G:$G,,0,1)</f>
        <v>SEA</v>
      </c>
      <c r="J142" s="331"/>
      <c r="K142" s="308"/>
      <c r="L142" s="308"/>
      <c r="M142" s="331">
        <f>IF(_xlfn.XLOOKUP($E142,'[1]Import Eletra'!$B:$B,'[1]Import Eletra'!$J:$J,,0,1)=0,"",_xlfn.XLOOKUP($E142,'[1]Import Eletra'!$B:$B,'[1]Import Eletra'!$J:$J,,0,1))</f>
        <v>46041</v>
      </c>
      <c r="N142" s="334">
        <f>IF(_xlfn.XLOOKUP($E142,'[1]Import Eletra'!$B:$B,'[1]Import Eletra'!$L:$L,,0,1)=0,"",_xlfn.XLOOKUP($E142,'[1]Import Eletra'!$B:$B,'[1]Import Eletra'!$L:$L,,0,1))</f>
        <v>46091</v>
      </c>
      <c r="O142" s="336">
        <f>IF(_xlfn.XLOOKUP($E142,'[1]Import Eletra'!$B:$B,'[1]Import Eletra'!$AK:$AK,,0,1)=0,"",_xlfn.XLOOKUP($E142,'[1]Import Eletra'!$B:$B,'[1]Import Eletra'!$AK:$AK,,0,1))</f>
        <v>46072</v>
      </c>
      <c r="P142" s="331">
        <f>IF(_xlfn.XLOOKUP($E142,'[1]Import Eletra'!$B:$B,'[1]Import Eletra'!$AL:$AL,,0,1)=0,"",_xlfn.XLOOKUP($E142,'[1]Import Eletra'!$B:$B,'[1]Import Eletra'!$AL:$AL,,0,1))</f>
        <v>46077</v>
      </c>
      <c r="Q142" s="331">
        <f>IF(_xlfn.XLOOKUP($E142,'[1]Import Eletra'!$B:$B,'[1]Import Eletra'!$AM:$AM,,0,1)=0,"",_xlfn.XLOOKUP($E142,'[1]Import Eletra'!$B:$B,'[1]Import Eletra'!$AM:$AM,,0,1))</f>
        <v>46079</v>
      </c>
      <c r="R142" s="331">
        <f>IF(_xlfn.XLOOKUP($E142,'[1]Import Eletra'!$B:$B,'[1]Import Eletra'!$AN:$AN,,0,1)=0,"",_xlfn.XLOOKUP($E142,'[1]Import Eletra'!$B:$B,'[1]Import Eletra'!$AN:$AN,,0,1))</f>
        <v>46080</v>
      </c>
      <c r="S142" s="331">
        <f>IF(_xlfn.XLOOKUP($E142,'[1]Import Eletra'!$B:$B,'[1]Import Eletra'!$AO:$AO,,0,1)=0,"",_xlfn.XLOOKUP($E142,'[1]Import Eletra'!$B:$B,'[1]Import Eletra'!$AO:$AO,,0,1))</f>
        <v>46084</v>
      </c>
      <c r="T142" s="331">
        <f>IF(_xlfn.XLOOKUP($E142,'[1]Import Eletra'!$B:$B,'[1]Import Eletra'!$AP:$AP,,0,1)=0,"",_xlfn.XLOOKUP($E142,'[1]Import Eletra'!$B:$B,'[1]Import Eletra'!$AP:$AP,,0,1))</f>
        <v>46084</v>
      </c>
      <c r="U142" s="338">
        <f>IF(_xlfn.XLOOKUP($E142,'[1]Import Eletra'!$B:$B,'[1]Import Eletra'!$AQ:$AQ,,0,1)=0,"",_xlfn.XLOOKUP($E142,'[1]Import Eletra'!$B:$B,'[1]Import Eletra'!$AQ:$AQ,,0,1))</f>
        <v>46085</v>
      </c>
      <c r="V142" s="343">
        <f>IF(_xlfn.XLOOKUP($E142,'[1]Import Eletra'!$B:$B,'[1]Import Eletra'!$AQ:$AQ,,0,1)=0,"",_xlfn.XLOOKUP($E142,'[1]Import Eletra'!$B:$B,'[1]Import Eletra'!$AQ:$AQ,,0,1))</f>
        <v>46085</v>
      </c>
      <c r="W142" s="336">
        <f t="shared" ref="W142:W147" si="354">AB142-$AB$4</f>
        <v>46095</v>
      </c>
      <c r="X142" s="345">
        <f>IF(_xlfn.XLOOKUP($E142,'[1]Import Eletra'!$B:$B,'[1]Import Eletra'!$AR:$AR,,0,1)=0,"",_xlfn.XLOOKUP($E142,'[1]Import Eletra'!$B:$B,'[1]Import Eletra'!$AR:$AR,,0,1))</f>
        <v>46094</v>
      </c>
      <c r="Y142" s="309">
        <f t="shared" ref="Y142:Y167" si="355">$W$4</f>
        <v>0</v>
      </c>
      <c r="Z142" s="309">
        <f t="shared" ref="Z142:Z147" ca="1" si="356">IF(X142="",TODAY()-W142,X142-W142)</f>
        <v>-1</v>
      </c>
      <c r="AA142" s="310" t="str">
        <f t="shared" ref="AA142:AA167" ca="1" si="357">IF(AND(ISNUMBER($Z142),$Z142&gt;0),$Z142-$Y142,"")</f>
        <v/>
      </c>
      <c r="AB142" s="350">
        <f t="shared" ref="AB142:AB147" si="358">AG142-$AB$4</f>
        <v>46095</v>
      </c>
      <c r="AC142" s="345">
        <f>IF(_xlfn.XLOOKUP($E142,'[1]Import Eletra'!$B:$B,'[1]Import Eletra'!$AD:$AD,,0,1)=0,"",_xlfn.XLOOKUP($E142,'[1]Import Eletra'!$B:$B,'[1]Import Eletra'!$AD:$AD,,0,1))</f>
        <v>46105</v>
      </c>
      <c r="AD142" s="309">
        <f t="shared" ref="AD142:AD167" si="359">$AB$4</f>
        <v>0</v>
      </c>
      <c r="AE142" s="309">
        <f t="shared" ref="AE142:AE147" ca="1" si="360">IF(AC142="",TODAY()-AB142,AC142-AB142)</f>
        <v>10</v>
      </c>
      <c r="AF142" s="310">
        <f t="shared" ref="AF142:AF147" ca="1" si="361">AE142-AD142</f>
        <v>10</v>
      </c>
      <c r="AG142" s="356">
        <f t="shared" ref="AG142:AG147" si="362">AL142-$AL$4</f>
        <v>46095</v>
      </c>
      <c r="AH142" s="345">
        <f>IF(_xlfn.XLOOKUP($E142,'[1]Import Eletra'!$B:$B,'[1]Import Eletra'!$AE:$AE,,0,1)=0,"",_xlfn.XLOOKUP($E142,'[1]Import Eletra'!$B:$B,'[1]Import Eletra'!$AE:$AE,,0,1))</f>
        <v>46107</v>
      </c>
      <c r="AI142" s="309">
        <f t="shared" ref="AI142:AI167" si="363">$AG$4</f>
        <v>0</v>
      </c>
      <c r="AJ142" s="309">
        <f t="shared" ref="AJ142:AJ147" ca="1" si="364">IF(AH142="",TODAY()-AG142,AH142-AG142)</f>
        <v>12</v>
      </c>
      <c r="AK142" s="310">
        <f t="shared" ref="AK142:AK167" ca="1" si="365">IF(AND(ISNUMBER($AJ142),$AJ142&gt;0),$AJ142-$AI142,"")</f>
        <v>12</v>
      </c>
      <c r="AL142" s="356">
        <f t="shared" ref="AL142:AL147" si="366">AQ142-$AQ$4</f>
        <v>46095</v>
      </c>
      <c r="AM142" s="345">
        <f>IF(_xlfn.XLOOKUP($E142,'[1]Import Eletra'!$B:$B,'[1]Import Eletra'!$AT:$AT,,0,1)=0,"",_xlfn.XLOOKUP($E142,'[1]Import Eletra'!$B:$B,'[1]Import Eletra'!$AT:$AT,,0,1))</f>
        <v>46105</v>
      </c>
      <c r="AN142" s="309">
        <f t="shared" ref="AN142:AN167" si="367">$AL$4</f>
        <v>0</v>
      </c>
      <c r="AO142" s="309">
        <f t="shared" ref="AO142:AO147" ca="1" si="368">IF(AM142="",TODAY()-AL142,AM142-AL142)</f>
        <v>10</v>
      </c>
      <c r="AP142" s="310">
        <f t="shared" ref="AP142:AP167" ca="1" si="369">IF(AND(ISNUMBER($AO142),$AO142&gt;0),$AO142-$AN142,"")</f>
        <v>10</v>
      </c>
      <c r="AQ142" s="359">
        <f t="shared" ref="AQ142:AQ147" si="370">AV142-$AV$4</f>
        <v>46096</v>
      </c>
      <c r="AR142" s="345">
        <f>IF(_xlfn.XLOOKUP($E142,'[1]Import Eletra'!$B:$B,'[1]Import Eletra'!$AU:$AU,,0,1)=0,"",_xlfn.XLOOKUP($E142,'[1]Import Eletra'!$B:$B,'[1]Import Eletra'!$AU:$AU,,0,1))</f>
        <v>46107</v>
      </c>
      <c r="AS142" s="309">
        <f t="shared" ref="AS142:AS167" si="371">$AQ$4</f>
        <v>1</v>
      </c>
      <c r="AT142" s="309">
        <f t="shared" ref="AT142:AT147" ca="1" si="372">IF(AR142="",TODAY()-AQ142,AR142-AQ142)</f>
        <v>11</v>
      </c>
      <c r="AU142" s="310">
        <f t="shared" ref="AU142:AU167" ca="1" si="373">IF(AND(ISNUMBER($AT142),$AT142&gt;0),$AT142-$AS142,"")</f>
        <v>10</v>
      </c>
      <c r="AV142" s="356">
        <f t="shared" ref="AV142:AV147" si="374">BA142-$BA$4</f>
        <v>46096</v>
      </c>
      <c r="AW142" s="345">
        <f>IF(_xlfn.XLOOKUP($E142,'[1]Import Eletra'!$B:$B,'[1]Import Eletra'!$AU:$AU,,0,1)=0,"",_xlfn.XLOOKUP($E142,'[1]Import Eletra'!$B:$B,'[1]Import Eletra'!$AU:$AU,,0,1))</f>
        <v>46107</v>
      </c>
      <c r="AX142" s="309">
        <f t="shared" ref="AX142:AX167" si="375">$AV$4</f>
        <v>0</v>
      </c>
      <c r="AY142" s="309">
        <f t="shared" ref="AY142:AY147" ca="1" si="376">IF(AW142="",TODAY()-AV142,AW142-AV142)</f>
        <v>11</v>
      </c>
      <c r="AZ142" s="310">
        <f t="shared" ref="AZ142:AZ167" ca="1" si="377">IF(AND(ISNUMBER($AY142),$AY142&gt;0),$AY142-$AX142,"")</f>
        <v>11</v>
      </c>
      <c r="BA142" s="359">
        <f t="shared" ref="BA142:BA147" si="378">BF142-$BF$4</f>
        <v>46096</v>
      </c>
      <c r="BB142" s="345" t="str">
        <f>IF(_xlfn.XLOOKUP($E142,'[1]Import Eletra'!$B:$B,'[1]Import Eletra'!$AW:$AW,,0,1)=0,"",_xlfn.XLOOKUP($E142,'[1]Import Eletra'!$B:$B,'[1]Import Eletra'!$AW:$AW,,0,1))</f>
        <v/>
      </c>
      <c r="BC142" s="309">
        <f t="shared" ref="BC142:BC167" si="379">$BA$4</f>
        <v>0</v>
      </c>
      <c r="BD142" s="309">
        <f t="shared" ref="BD142:BD147" ca="1" si="380">IF(BB142="",TODAY()-BA142,BB142-BA142)</f>
        <v>115</v>
      </c>
      <c r="BE142" s="310">
        <f t="shared" ref="BE142:BE147" ca="1" si="381">BD142-BC142</f>
        <v>115</v>
      </c>
      <c r="BF142" s="336">
        <f t="shared" ref="BF142:BF147" si="382">BK142-$BK$4</f>
        <v>46096</v>
      </c>
      <c r="BG142" s="345" t="str">
        <f>IF(_xlfn.XLOOKUP($E142,'[1]Import Eletra'!$B:$B,'[1]Import Eletra'!$AX:$AX,,0,1)=0,"",_xlfn.XLOOKUP($E142,'[1]Import Eletra'!$B:$B,'[1]Import Eletra'!$AX:$AX,,0,1))</f>
        <v/>
      </c>
      <c r="BH142" s="309">
        <f t="shared" ref="BH142:BH167" si="383">$BF$4</f>
        <v>0</v>
      </c>
      <c r="BI142" s="309">
        <f t="shared" ref="BI142:BI147" ca="1" si="384">IF(BG142="",TODAY()-BF142,BG142-BF142)</f>
        <v>115</v>
      </c>
      <c r="BJ142" s="310">
        <f t="shared" ref="BJ142:BJ167" ca="1" si="385">IF(AND(ISNUMBER($BI142),$BI142&gt;0),$BI142-$BH142,"")</f>
        <v>115</v>
      </c>
      <c r="BK142" s="363">
        <f t="shared" ref="BK142:BK147" si="386">BP142-$BP$4</f>
        <v>46096</v>
      </c>
      <c r="BL142" s="345" t="str">
        <f>IF(_xlfn.XLOOKUP($E142,'[1]Import Eletra'!$B:$B,'[1]Import Eletra'!$AY:$AY,,0,1)=0,"",_xlfn.XLOOKUP($E142,'[1]Import Eletra'!$B:$B,'[1]Import Eletra'!$AY:$AY,,0,1))</f>
        <v/>
      </c>
      <c r="BM142" s="309">
        <f t="shared" ref="BM142:BM167" si="387">$BK$4</f>
        <v>0</v>
      </c>
      <c r="BN142" s="309">
        <f t="shared" ref="BN142:BN147" ca="1" si="388">IF(BL142="",TODAY()-BK142,BL142-BK142)</f>
        <v>115</v>
      </c>
      <c r="BO142" s="310">
        <f t="shared" ref="BO142:BO147" ca="1" si="389">BN142-BM142</f>
        <v>115</v>
      </c>
      <c r="BP142" s="336">
        <f t="shared" ref="BP142:BP147" si="390">BU142-$BU$4</f>
        <v>46096</v>
      </c>
      <c r="BQ142" s="345" t="str">
        <f>IF(_xlfn.XLOOKUP($E142,'[1]Import Eletra'!$B:$B,'[1]Import Eletra'!$AZ:$AZ,,0,1)=0,"",_xlfn.XLOOKUP($E142,'[1]Import Eletra'!$B:$B,'[1]Import Eletra'!$AZ:$AZ,,0,1))</f>
        <v/>
      </c>
      <c r="BR142" s="309">
        <f t="shared" ref="BR142:BR167" si="391">$BP$4</f>
        <v>0</v>
      </c>
      <c r="BS142" s="309">
        <f t="shared" ref="BS142:BS147" ca="1" si="392">IF(BQ142="",TODAY()-BP142,BQ142-BP142)</f>
        <v>115</v>
      </c>
      <c r="BT142" s="310">
        <f t="shared" ref="BT142:BT147" ca="1" si="393">BS142-BR142</f>
        <v>115</v>
      </c>
      <c r="BU142" s="363">
        <f t="shared" ref="BU142:BU147" si="394">BZ142-$BZ$4</f>
        <v>46098</v>
      </c>
      <c r="BV142" s="345">
        <f>IF(_xlfn.XLOOKUP($E142,'[1]Import Eletra'!$B:$B,'[1]Import Eletra'!$BA:$BA,,0,1)=0,"",_xlfn.XLOOKUP($E142,'[1]Import Eletra'!$B:$B,'[1]Import Eletra'!$BA:$BA,,0,1))</f>
        <v>46108</v>
      </c>
      <c r="BW142" s="309">
        <f t="shared" ref="BW142:BW167" si="395">$BU$4</f>
        <v>2</v>
      </c>
      <c r="BX142" s="309">
        <f t="shared" ref="BX142:BX147" ca="1" si="396">IF(BV142="",TODAY()-BU142,BV142-BU142)</f>
        <v>10</v>
      </c>
      <c r="BY142" s="310">
        <f t="shared" ref="BY142:BY167" ca="1" si="397">IF(AND(ISNUMBER($BX142),$BX142&gt;0),$BX142-$BW142,"")</f>
        <v>8</v>
      </c>
      <c r="BZ142" s="336">
        <f t="shared" ref="BZ142:BZ147" si="398">CE142-$CE$4</f>
        <v>46098</v>
      </c>
      <c r="CA142" s="345">
        <f>IF(_xlfn.XLOOKUP($E142,'[1]Import Eletra'!$B:$B,'[1]Import Eletra'!$BB:$BB,,0,1)=0,"",_xlfn.XLOOKUP($E142,'[1]Import Eletra'!$B:$B,'[1]Import Eletra'!$BB:$BB,,0,1))</f>
        <v>46108</v>
      </c>
      <c r="CB142" s="309">
        <f t="shared" ref="CB142:CB167" si="399">$BZ$4</f>
        <v>0</v>
      </c>
      <c r="CC142" s="309">
        <f t="shared" ref="CC142:CC147" ca="1" si="400">IF(CA142="",TODAY()-BZ142,CA142-BZ142)</f>
        <v>10</v>
      </c>
      <c r="CD142" s="310">
        <f t="shared" ref="CD142:CD147" ca="1" si="401">CC142-CB142</f>
        <v>10</v>
      </c>
      <c r="CE142" s="363">
        <f t="shared" ref="CE142:CE147" si="402">CJ142-$CJ$4</f>
        <v>46098</v>
      </c>
      <c r="CF142" s="345">
        <f>IF(_xlfn.XLOOKUP($E142,'[1]Import Eletra'!$B:$B,'[1]Import Eletra'!$BC:$BC,,0,1)=0,"",_xlfn.XLOOKUP($E142,'[1]Import Eletra'!$B:$B,'[1]Import Eletra'!$BC:$BC,,0,1))</f>
        <v>46108</v>
      </c>
      <c r="CG142" s="309">
        <f t="shared" ref="CG142:CG167" si="403">$CE$4</f>
        <v>0</v>
      </c>
      <c r="CH142" s="309">
        <f t="shared" ref="CH142:CH147" ca="1" si="404">IF(CF142="",TODAY()-CE142,CF142-CE142)</f>
        <v>10</v>
      </c>
      <c r="CI142" s="310">
        <f t="shared" ref="CI142:CI147" ca="1" si="405">CH142-CG142</f>
        <v>10</v>
      </c>
      <c r="CJ142" s="336">
        <f t="shared" ref="CJ142:CJ147" si="406">CO142-$CO$4</f>
        <v>46098</v>
      </c>
      <c r="CK142" s="345">
        <f>IF(_xlfn.XLOOKUP($E142,'[1]Import Eletra'!$B:$B,'[1]Import Eletra'!$BD:$BD,,0,1)=0,"",_xlfn.XLOOKUP($E142,'[1]Import Eletra'!$B:$B,'[1]Import Eletra'!$BD:$BD,,0,1))</f>
        <v>46108</v>
      </c>
      <c r="CL142" s="309"/>
      <c r="CM142" s="309">
        <f t="shared" ref="CM142:CM147" ca="1" si="407">IF(CK142="",TODAY()-CJ142,CK142-CJ142)</f>
        <v>10</v>
      </c>
      <c r="CN142" s="310">
        <f t="shared" ref="CN142:CN147" ca="1" si="408">CM142-CL142</f>
        <v>10</v>
      </c>
      <c r="CO142" s="363">
        <f t="shared" ref="CO142:CO147" si="409">CT142-$CT$4</f>
        <v>46098</v>
      </c>
      <c r="CP142" s="345">
        <f>IF(_xlfn.XLOOKUP($E142,'[1]Import Eletra'!$B:$B,'[1]Import Eletra'!$BE:$BE,,0,1)=0,"",_xlfn.XLOOKUP($E142,'[1]Import Eletra'!$B:$B,'[1]Import Eletra'!$BE:$BE,,0,1))</f>
        <v>46108</v>
      </c>
      <c r="CQ142" s="309">
        <f t="shared" ref="CQ142:CQ167" si="410">$CO$4</f>
        <v>0</v>
      </c>
      <c r="CR142" s="309">
        <f t="shared" ref="CR142:CR147" ca="1" si="411">IF(CP142="",TODAY()-CO142,CP142-CO142)</f>
        <v>10</v>
      </c>
      <c r="CS142" s="310">
        <f t="shared" ref="CS142:CS147" ca="1" si="412">CR142-CQ142</f>
        <v>10</v>
      </c>
      <c r="CT142" s="336">
        <f t="shared" ref="CT142:CT147" si="413">CY142-$CY$4</f>
        <v>46098</v>
      </c>
      <c r="CU142" s="345">
        <f>IF(_xlfn.XLOOKUP($E142,'[1]Import Eletra'!$B:$B,'[1]Import Eletra'!$BF:$BF,,0,1)=0,"",_xlfn.XLOOKUP($E142,'[1]Import Eletra'!$B:$B,'[1]Import Eletra'!$BF:$BF,,0,1))</f>
        <v>46108</v>
      </c>
      <c r="CV142" s="309">
        <f t="shared" ref="CV142:CV167" si="414">$CT$4</f>
        <v>0</v>
      </c>
      <c r="CW142" s="309">
        <f t="shared" ref="CW142:CW147" ca="1" si="415">IF(CU142="",TODAY()-CT142,CU142-CT142)</f>
        <v>10</v>
      </c>
      <c r="CX142" s="310">
        <f t="shared" ref="CX142:CX147" ca="1" si="416">CW142-CV142</f>
        <v>10</v>
      </c>
      <c r="CY142" s="85">
        <f t="shared" ref="CY142:CY147" si="417">DD142-$DD$4</f>
        <v>46098</v>
      </c>
      <c r="CZ142" s="271">
        <f>IF(_xlfn.XLOOKUP($E142,'[1]Import Eletra'!$B:$B,'[1]Import Eletra'!$BF:$BF,,0,1)=0,"",_xlfn.XLOOKUP($E142,'[1]Import Eletra'!$B:$B,'[1]Import Eletra'!$BF:$BF,,0,1))</f>
        <v>46108</v>
      </c>
      <c r="DA142" s="311">
        <f t="shared" ref="DA142:DA167" si="418">$CY$4</f>
        <v>0</v>
      </c>
      <c r="DB142" s="309">
        <f t="shared" ref="DB142:DB147" ca="1" si="419">IF(CZ142="",TODAY()-CY142,CZ142-CY142)</f>
        <v>10</v>
      </c>
      <c r="DC142" s="310">
        <f t="shared" ref="DC142:DC147" ca="1" si="420">DB142-DA142</f>
        <v>10</v>
      </c>
      <c r="DD142" s="85">
        <f t="shared" ref="DD142:DD147" si="421">DI142-$DI$4</f>
        <v>46100</v>
      </c>
      <c r="DE142" s="271">
        <f>IF(_xlfn.XLOOKUP($E142,'[1]Import Eletra'!$B:$B,'[1]Import Eletra'!$BG:$BG,,0,1)=0,"",_xlfn.XLOOKUP($E142,'[1]Import Eletra'!$B:$B,'[1]Import Eletra'!$BG:$BG,0,1))</f>
        <v>46111</v>
      </c>
      <c r="DF142" s="309">
        <f t="shared" ref="DF142:DF167" si="422">$DD$4</f>
        <v>2</v>
      </c>
      <c r="DG142" s="309">
        <f t="shared" ref="DG142:DG147" ca="1" si="423">IF(DE142="",TODAY()-DD142,DE142-DD142)</f>
        <v>11</v>
      </c>
      <c r="DH142" s="310">
        <f t="shared" ref="DH142:DH147" ca="1" si="424">DG142-DF142</f>
        <v>9</v>
      </c>
      <c r="DI142" s="85">
        <f t="shared" ref="DI142:DI147" si="425">DO142-$DN$4</f>
        <v>46101</v>
      </c>
      <c r="DJ142" s="271">
        <f>IF(_xlfn.XLOOKUP($E142,'[1]Import Eletra'!$B:$B,'[1]Import Eletra'!$BH:$BH,,0,1)=0,"",_xlfn.XLOOKUP($E142,'[1]Import Eletra'!$B:$B,'[1]Import Eletra'!$BH:$BH,0,1))</f>
        <v>46113</v>
      </c>
      <c r="DK142" s="309">
        <f t="shared" ref="DK142:DK167" si="426">$DI$4</f>
        <v>1</v>
      </c>
      <c r="DL142" s="309">
        <f t="shared" ref="DL142:DL147" ca="1" si="427">IF(DJ142="",TODAY()-DI142,DJ142-DI142)</f>
        <v>12</v>
      </c>
      <c r="DM142" s="310">
        <f t="shared" ref="DM142:DM147" ca="1" si="428">DL142-DK142</f>
        <v>11</v>
      </c>
      <c r="DN142" s="312"/>
      <c r="DO142" s="313">
        <f t="shared" ref="DO142:DO147" si="429">IF(V142="",N142+DT142,V142+DT142)</f>
        <v>46102</v>
      </c>
      <c r="DP142" s="59">
        <f>IF(_xlfn.XLOOKUP($E142,'[1]Import Eletra'!$B:$B,'[1]Import Eletra'!$O:$O,,0,1)=0,"",_xlfn.XLOOKUP($E142,'[1]Import Eletra'!$B:$B,'[1]Import Eletra'!$O:$O,0,1))</f>
        <v>46114</v>
      </c>
      <c r="DQ142" s="309">
        <f t="shared" ref="DQ142:DQ167" si="430">$DN$4</f>
        <v>1</v>
      </c>
      <c r="DR142" s="309">
        <f t="shared" ref="DR142:DR147" ca="1" si="431">IF(DP142="",TODAY()-DO142,DP142-DO142)</f>
        <v>12</v>
      </c>
      <c r="DS142" s="310">
        <f t="shared" ref="DS142:DS147" ca="1" si="432">DR142-DQ142</f>
        <v>11</v>
      </c>
      <c r="DT142" s="314">
        <v>17</v>
      </c>
      <c r="DU142" s="140">
        <f t="shared" ref="DU142:DU147" ca="1" si="433">IF(DP142="",TODAY()-N142,DP142-N142)</f>
        <v>23</v>
      </c>
      <c r="DV142" s="184">
        <f t="shared" ref="DV142:DV147" ca="1" si="434">DU142-DT142</f>
        <v>6</v>
      </c>
      <c r="DX142" s="316"/>
      <c r="DY142" s="108" t="str">
        <f>IF(_xlfn.XLOOKUP($E142,'[1]Import Eletra'!$B:$B,'[1]Import Eletra'!$DW:$DW,,0,1)=0,"",_xlfn.XLOOKUP($E142,'[1]Import Eletra'!$B:$B,'[1]Import Eletra'!$DW:$DW,0,1))</f>
        <v/>
      </c>
      <c r="EB142" s="317"/>
      <c r="ED142" s="406">
        <f>IF(_xlfn.XLOOKUP($E142,'[1]Import Eletra'!$B:$B,'[1]Import Eletra'!$BQ:$BQ,,0,1)=0,"",_xlfn.XLOOKUP($E142,'[1]Import Eletra'!$B:$B,'[1]Import Eletra'!$BQ:$BQ,0,1))</f>
        <v>3626.4</v>
      </c>
      <c r="EE142" s="407">
        <f>IF(_xlfn.XLOOKUP($E142,'[1]Import Eletra'!$B:$B,'[1]Import Eletra'!$BR:$BR,,0,1)=0,"",_xlfn.XLOOKUP($E142,'[1]Import Eletra'!$B:$B,'[1]Import Eletra'!$BR:$BR,0,1))</f>
        <v>46112</v>
      </c>
      <c r="EF142" s="406">
        <f>IF(_xlfn.XLOOKUP($E142,'[1]Import Eletra'!$B:$B,'[1]Import Eletra'!$BS:$BS,,0,1)=0,"",_xlfn.XLOOKUP($E142,'[1]Import Eletra'!$B:$B,'[1]Import Eletra'!$BS:$BS,0,1))</f>
        <v>28153.11</v>
      </c>
      <c r="EG142" s="407">
        <f>IF(_xlfn.XLOOKUP($E142,'[1]Import Eletra'!$B:$B,'[1]Import Eletra'!$BT:$BT,,0,1)=0,"",_xlfn.XLOOKUP($E142,'[1]Import Eletra'!$B:$B,'[1]Import Eletra'!$BT:$BT,0,1))</f>
        <v>46156</v>
      </c>
      <c r="EH142" s="406" t="str">
        <f>IF(_xlfn.XLOOKUP($E142,'[1]Import Eletra'!$B:$B,'[1]Import Eletra'!$BU:$BU,,0,1)=0,"",_xlfn.XLOOKUP($E142,'[1]Import Eletra'!$B:$B,'[1]Import Eletra'!$BU:$BU,0,1))</f>
        <v/>
      </c>
      <c r="EI142" s="407" t="str">
        <f>IF(_xlfn.XLOOKUP($E142,'[1]Import Eletra'!$B:$B,'[1]Import Eletra'!$BV:$BV,,0,1)=0,"",_xlfn.XLOOKUP($E142,'[1]Import Eletra'!$B:$B,'[1]Import Eletra'!$BV:$BV,0,1))</f>
        <v/>
      </c>
      <c r="EJ142" s="407">
        <f>IF(_xlfn.XLOOKUP($E142,'[1]Import Eletra'!$B:$B,'[1]Import Eletra'!$CI:$CI,,0,1)=0,"",_xlfn.XLOOKUP($E142,'[1]Import Eletra'!$B:$B,'[1]Import Eletra'!$CI:$CI,0,1))</f>
        <v>46109</v>
      </c>
      <c r="EK142" s="407" t="str">
        <f>IF(_xlfn.XLOOKUP($E142,'[1]Import Eletra'!$B:$B,'[1]Import Eletra'!$CD:$CD,,0,1)=0,"",_xlfn.XLOOKUP($E142,'[1]Import Eletra'!$B:$B,'[1]Import Eletra'!$CD:$CD,0,1))</f>
        <v/>
      </c>
      <c r="EL142" s="407" t="str">
        <f>IF(_xlfn.XLOOKUP($E142,'[1]Import Eletra'!$B:$B,'[1]Import Eletra'!$CE:$CE,,0,1)=0,"",_xlfn.XLOOKUP($E142,'[1]Import Eletra'!$B:$B,'[1]Import Eletra'!$CE:$CE,0,1))</f>
        <v>NÃO</v>
      </c>
      <c r="EM142" s="408" t="str">
        <f>IF(_xlfn.XLOOKUP($E142,'[1]Import Eletra'!$B:$B,'[1]Import Eletra'!$E:$E,,0,1)=0,"",_xlfn.XLOOKUP($E142,'[1]Import Eletra'!$B:$B,'[1]Import Eletra'!$E:$E,0,1))</f>
        <v>RENATO</v>
      </c>
      <c r="EN142" s="408" t="str">
        <f>IF(_xlfn.XLOOKUP($E142,'[1]Import Eletra'!$B:$B,'[1]Import Eletra'!$E:$E,,0,1)=0,"",_xlfn.XLOOKUP($E142,'[1]Import Eletra'!$B:$B,'[1]Import Eletra'!$E:$E,0,1))</f>
        <v>RENATO</v>
      </c>
      <c r="EO142" s="408" t="str">
        <f>IF(_xlfn.XLOOKUP($E142,'[1]Import Eletra'!$B:$B,'[1]Import Eletra'!$E:$E,,0,1)=0,"",_xlfn.XLOOKUP($E142,'[1]Import Eletra'!$B:$B,'[1]Import Eletra'!$E:$E,0,1))</f>
        <v>RENATO</v>
      </c>
      <c r="EP142" s="408" t="str">
        <f>IF(_xlfn.XLOOKUP($E142,'[1]Import Eletra'!$B:$B,'[1]Import Eletra'!$E:$E,,0,1)=0,"",_xlfn.XLOOKUP($E142,'[1]Import Eletra'!$B:$B,'[1]Import Eletra'!$E:$E,0,1))</f>
        <v>RENATO</v>
      </c>
    </row>
    <row r="143" spans="1:146" s="315" customFormat="1" ht="30" hidden="1" customHeight="1" outlineLevel="1">
      <c r="A143" s="305"/>
      <c r="B143" s="306"/>
      <c r="C143" s="306"/>
      <c r="D143" s="306"/>
      <c r="E143" s="367" t="s">
        <v>439</v>
      </c>
      <c r="F143" s="307">
        <f>IF(_xlfn.XLOOKUP($E143,'[1]Import Eletra'!$B:$B,'[1]Import Eletra'!$U:$U,,0,1)=0,"",_xlfn.XLOOKUP($E143,'[1]Import Eletra'!$B:$B,'[1]Import Eletra'!$U:$U,,0,1))</f>
        <v>0.5</v>
      </c>
      <c r="G143" s="320" t="s">
        <v>244</v>
      </c>
      <c r="H143" s="59" t="str">
        <f>_xlfn.XLOOKUP($E143,'[1]Import Eletra'!$B:$B,'[1]Import Eletra'!$F:$F,,0,1)</f>
        <v>DELIVERED</v>
      </c>
      <c r="I143" s="4" t="str">
        <f>_xlfn.XLOOKUP($E143,'[1]Import Eletra'!$B:$B,'[1]Import Eletra'!$G:$G,,0,1)</f>
        <v>SEA</v>
      </c>
      <c r="J143" s="331"/>
      <c r="K143" s="308"/>
      <c r="L143" s="308"/>
      <c r="M143" s="331">
        <f>IF(_xlfn.XLOOKUP($E143,'[1]Import Eletra'!$B:$B,'[1]Import Eletra'!$J:$J,,0,1)=0,"",_xlfn.XLOOKUP($E143,'[1]Import Eletra'!$B:$B,'[1]Import Eletra'!$J:$J,,0,1))</f>
        <v>46041</v>
      </c>
      <c r="N143" s="334">
        <f>IF(_xlfn.XLOOKUP($E143,'[1]Import Eletra'!$B:$B,'[1]Import Eletra'!$L:$L,,0,1)=0,"",_xlfn.XLOOKUP($E143,'[1]Import Eletra'!$B:$B,'[1]Import Eletra'!$L:$L,,0,1))</f>
        <v>46091</v>
      </c>
      <c r="O143" s="336">
        <f>IF(_xlfn.XLOOKUP($E143,'[1]Import Eletra'!$B:$B,'[1]Import Eletra'!$AK:$AK,,0,1)=0,"",_xlfn.XLOOKUP($E143,'[1]Import Eletra'!$B:$B,'[1]Import Eletra'!$AK:$AK,,0,1))</f>
        <v>46055</v>
      </c>
      <c r="P143" s="331">
        <f>IF(_xlfn.XLOOKUP($E143,'[1]Import Eletra'!$B:$B,'[1]Import Eletra'!$AL:$AL,,0,1)=0,"",_xlfn.XLOOKUP($E143,'[1]Import Eletra'!$B:$B,'[1]Import Eletra'!$AL:$AL,,0,1))</f>
        <v>46084</v>
      </c>
      <c r="Q143" s="331">
        <f>IF(_xlfn.XLOOKUP($E143,'[1]Import Eletra'!$B:$B,'[1]Import Eletra'!$AM:$AM,,0,1)=0,"",_xlfn.XLOOKUP($E143,'[1]Import Eletra'!$B:$B,'[1]Import Eletra'!$AM:$AM,,0,1))</f>
        <v>46087</v>
      </c>
      <c r="R143" s="331">
        <f>IF(_xlfn.XLOOKUP($E143,'[1]Import Eletra'!$B:$B,'[1]Import Eletra'!$AN:$AN,,0,1)=0,"",_xlfn.XLOOKUP($E143,'[1]Import Eletra'!$B:$B,'[1]Import Eletra'!$AN:$AN,,0,1))</f>
        <v>46092</v>
      </c>
      <c r="S143" s="331">
        <f>IF(_xlfn.XLOOKUP($E143,'[1]Import Eletra'!$B:$B,'[1]Import Eletra'!$AO:$AO,,0,1)=0,"",_xlfn.XLOOKUP($E143,'[1]Import Eletra'!$B:$B,'[1]Import Eletra'!$AO:$AO,,0,1))</f>
        <v>46092</v>
      </c>
      <c r="T143" s="331">
        <f>IF(_xlfn.XLOOKUP($E143,'[1]Import Eletra'!$B:$B,'[1]Import Eletra'!$AP:$AP,,0,1)=0,"",_xlfn.XLOOKUP($E143,'[1]Import Eletra'!$B:$B,'[1]Import Eletra'!$AP:$AP,,0,1))</f>
        <v>46092</v>
      </c>
      <c r="U143" s="338">
        <f>IF(_xlfn.XLOOKUP($E143,'[1]Import Eletra'!$B:$B,'[1]Import Eletra'!$AQ:$AQ,,0,1)=0,"",_xlfn.XLOOKUP($E143,'[1]Import Eletra'!$B:$B,'[1]Import Eletra'!$AQ:$AQ,,0,1))</f>
        <v>46092</v>
      </c>
      <c r="V143" s="343">
        <f>IF(_xlfn.XLOOKUP($E143,'[1]Import Eletra'!$B:$B,'[1]Import Eletra'!$AQ:$AQ,,0,1)=0,"",_xlfn.XLOOKUP($E143,'[1]Import Eletra'!$B:$B,'[1]Import Eletra'!$AQ:$AQ,,0,1))</f>
        <v>46092</v>
      </c>
      <c r="W143" s="336">
        <f t="shared" si="354"/>
        <v>46102</v>
      </c>
      <c r="X143" s="345">
        <f>IF(_xlfn.XLOOKUP($E143,'[1]Import Eletra'!$B:$B,'[1]Import Eletra'!$AR:$AR,,0,1)=0,"",_xlfn.XLOOKUP($E143,'[1]Import Eletra'!$B:$B,'[1]Import Eletra'!$AR:$AR,,0,1))</f>
        <v>46093</v>
      </c>
      <c r="Y143" s="309">
        <f t="shared" si="355"/>
        <v>0</v>
      </c>
      <c r="Z143" s="309">
        <f t="shared" ca="1" si="356"/>
        <v>-9</v>
      </c>
      <c r="AA143" s="310" t="str">
        <f t="shared" ca="1" si="357"/>
        <v/>
      </c>
      <c r="AB143" s="350">
        <f t="shared" si="358"/>
        <v>46102</v>
      </c>
      <c r="AC143" s="345">
        <f>IF(_xlfn.XLOOKUP($E143,'[1]Import Eletra'!$B:$B,'[1]Import Eletra'!$AD:$AD,,0,1)=0,"",_xlfn.XLOOKUP($E143,'[1]Import Eletra'!$B:$B,'[1]Import Eletra'!$AD:$AD,,0,1))</f>
        <v>46094</v>
      </c>
      <c r="AD143" s="309">
        <f t="shared" si="359"/>
        <v>0</v>
      </c>
      <c r="AE143" s="309">
        <f t="shared" ca="1" si="360"/>
        <v>-8</v>
      </c>
      <c r="AF143" s="310">
        <f t="shared" ca="1" si="361"/>
        <v>-8</v>
      </c>
      <c r="AG143" s="356">
        <f t="shared" si="362"/>
        <v>46102</v>
      </c>
      <c r="AH143" s="345">
        <f>IF(_xlfn.XLOOKUP($E143,'[1]Import Eletra'!$B:$B,'[1]Import Eletra'!$AE:$AE,,0,1)=0,"",_xlfn.XLOOKUP($E143,'[1]Import Eletra'!$B:$B,'[1]Import Eletra'!$AE:$AE,,0,1))</f>
        <v>46094</v>
      </c>
      <c r="AI143" s="309">
        <f t="shared" si="363"/>
        <v>0</v>
      </c>
      <c r="AJ143" s="309">
        <f t="shared" ca="1" si="364"/>
        <v>-8</v>
      </c>
      <c r="AK143" s="310" t="str">
        <f t="shared" ca="1" si="365"/>
        <v/>
      </c>
      <c r="AL143" s="356">
        <f t="shared" si="366"/>
        <v>46102</v>
      </c>
      <c r="AM143" s="345">
        <f>IF(_xlfn.XLOOKUP($E143,'[1]Import Eletra'!$B:$B,'[1]Import Eletra'!$AT:$AT,,0,1)=0,"",_xlfn.XLOOKUP($E143,'[1]Import Eletra'!$B:$B,'[1]Import Eletra'!$AT:$AT,,0,1))</f>
        <v>46097</v>
      </c>
      <c r="AN143" s="309">
        <f t="shared" si="367"/>
        <v>0</v>
      </c>
      <c r="AO143" s="309">
        <f t="shared" ca="1" si="368"/>
        <v>-5</v>
      </c>
      <c r="AP143" s="310" t="str">
        <f t="shared" ca="1" si="369"/>
        <v/>
      </c>
      <c r="AQ143" s="359">
        <f t="shared" si="370"/>
        <v>46103</v>
      </c>
      <c r="AR143" s="345">
        <f>IF(_xlfn.XLOOKUP($E143,'[1]Import Eletra'!$B:$B,'[1]Import Eletra'!$AU:$AU,,0,1)=0,"",_xlfn.XLOOKUP($E143,'[1]Import Eletra'!$B:$B,'[1]Import Eletra'!$AU:$AU,,0,1))</f>
        <v>46098</v>
      </c>
      <c r="AS143" s="309">
        <f t="shared" si="371"/>
        <v>1</v>
      </c>
      <c r="AT143" s="309">
        <f t="shared" ca="1" si="372"/>
        <v>-5</v>
      </c>
      <c r="AU143" s="310" t="str">
        <f t="shared" ca="1" si="373"/>
        <v/>
      </c>
      <c r="AV143" s="356">
        <f t="shared" si="374"/>
        <v>46103</v>
      </c>
      <c r="AW143" s="345">
        <f>IF(_xlfn.XLOOKUP($E143,'[1]Import Eletra'!$B:$B,'[1]Import Eletra'!$AU:$AU,,0,1)=0,"",_xlfn.XLOOKUP($E143,'[1]Import Eletra'!$B:$B,'[1]Import Eletra'!$AU:$AU,,0,1))</f>
        <v>46098</v>
      </c>
      <c r="AX143" s="309">
        <f t="shared" si="375"/>
        <v>0</v>
      </c>
      <c r="AY143" s="309">
        <f t="shared" ca="1" si="376"/>
        <v>-5</v>
      </c>
      <c r="AZ143" s="310" t="str">
        <f t="shared" ca="1" si="377"/>
        <v/>
      </c>
      <c r="BA143" s="359">
        <f t="shared" si="378"/>
        <v>46103</v>
      </c>
      <c r="BB143" s="345" t="str">
        <f>IF(_xlfn.XLOOKUP($E143,'[1]Import Eletra'!$B:$B,'[1]Import Eletra'!$AW:$AW,,0,1)=0,"",_xlfn.XLOOKUP($E143,'[1]Import Eletra'!$B:$B,'[1]Import Eletra'!$AW:$AW,,0,1))</f>
        <v/>
      </c>
      <c r="BC143" s="309">
        <f t="shared" si="379"/>
        <v>0</v>
      </c>
      <c r="BD143" s="309">
        <f t="shared" ca="1" si="380"/>
        <v>108</v>
      </c>
      <c r="BE143" s="310">
        <f t="shared" ca="1" si="381"/>
        <v>108</v>
      </c>
      <c r="BF143" s="336">
        <f t="shared" si="382"/>
        <v>46103</v>
      </c>
      <c r="BG143" s="345" t="str">
        <f>IF(_xlfn.XLOOKUP($E143,'[1]Import Eletra'!$B:$B,'[1]Import Eletra'!$AX:$AX,,0,1)=0,"",_xlfn.XLOOKUP($E143,'[1]Import Eletra'!$B:$B,'[1]Import Eletra'!$AX:$AX,,0,1))</f>
        <v/>
      </c>
      <c r="BH143" s="309">
        <f t="shared" si="383"/>
        <v>0</v>
      </c>
      <c r="BI143" s="309">
        <f t="shared" ca="1" si="384"/>
        <v>108</v>
      </c>
      <c r="BJ143" s="310">
        <f t="shared" ca="1" si="385"/>
        <v>108</v>
      </c>
      <c r="BK143" s="363">
        <f t="shared" si="386"/>
        <v>46103</v>
      </c>
      <c r="BL143" s="345">
        <f>IF(_xlfn.XLOOKUP($E143,'[1]Import Eletra'!$B:$B,'[1]Import Eletra'!$AY:$AY,,0,1)=0,"",_xlfn.XLOOKUP($E143,'[1]Import Eletra'!$B:$B,'[1]Import Eletra'!$AY:$AY,,0,1))</f>
        <v>46097</v>
      </c>
      <c r="BM143" s="309">
        <f t="shared" si="387"/>
        <v>0</v>
      </c>
      <c r="BN143" s="309">
        <f t="shared" ca="1" si="388"/>
        <v>-6</v>
      </c>
      <c r="BO143" s="310">
        <f t="shared" ca="1" si="389"/>
        <v>-6</v>
      </c>
      <c r="BP143" s="336">
        <f t="shared" si="390"/>
        <v>46103</v>
      </c>
      <c r="BQ143" s="345">
        <f>IF(_xlfn.XLOOKUP($E143,'[1]Import Eletra'!$B:$B,'[1]Import Eletra'!$AZ:$AZ,,0,1)=0,"",_xlfn.XLOOKUP($E143,'[1]Import Eletra'!$B:$B,'[1]Import Eletra'!$AZ:$AZ,,0,1))</f>
        <v>46098</v>
      </c>
      <c r="BR143" s="309">
        <f t="shared" si="391"/>
        <v>0</v>
      </c>
      <c r="BS143" s="309">
        <f t="shared" ca="1" si="392"/>
        <v>-5</v>
      </c>
      <c r="BT143" s="310">
        <f t="shared" ca="1" si="393"/>
        <v>-5</v>
      </c>
      <c r="BU143" s="363">
        <f t="shared" si="394"/>
        <v>46105</v>
      </c>
      <c r="BV143" s="345">
        <f>IF(_xlfn.XLOOKUP($E143,'[1]Import Eletra'!$B:$B,'[1]Import Eletra'!$BA:$BA,,0,1)=0,"",_xlfn.XLOOKUP($E143,'[1]Import Eletra'!$B:$B,'[1]Import Eletra'!$BA:$BA,,0,1))</f>
        <v>46098</v>
      </c>
      <c r="BW143" s="309">
        <f t="shared" si="395"/>
        <v>2</v>
      </c>
      <c r="BX143" s="309">
        <f t="shared" ca="1" si="396"/>
        <v>-7</v>
      </c>
      <c r="BY143" s="310" t="str">
        <f t="shared" ca="1" si="397"/>
        <v/>
      </c>
      <c r="BZ143" s="336">
        <f t="shared" si="398"/>
        <v>46105</v>
      </c>
      <c r="CA143" s="345">
        <f>IF(_xlfn.XLOOKUP($E143,'[1]Import Eletra'!$B:$B,'[1]Import Eletra'!$BB:$BB,,0,1)=0,"",_xlfn.XLOOKUP($E143,'[1]Import Eletra'!$B:$B,'[1]Import Eletra'!$BB:$BB,,0,1))</f>
        <v>46104</v>
      </c>
      <c r="CB143" s="309">
        <f t="shared" si="399"/>
        <v>0</v>
      </c>
      <c r="CC143" s="309">
        <f t="shared" ca="1" si="400"/>
        <v>-1</v>
      </c>
      <c r="CD143" s="310">
        <f t="shared" ca="1" si="401"/>
        <v>-1</v>
      </c>
      <c r="CE143" s="363">
        <f t="shared" si="402"/>
        <v>46105</v>
      </c>
      <c r="CF143" s="345">
        <f>IF(_xlfn.XLOOKUP($E143,'[1]Import Eletra'!$B:$B,'[1]Import Eletra'!$BC:$BC,,0,1)=0,"",_xlfn.XLOOKUP($E143,'[1]Import Eletra'!$B:$B,'[1]Import Eletra'!$BC:$BC,,0,1))</f>
        <v>46104</v>
      </c>
      <c r="CG143" s="309">
        <f t="shared" si="403"/>
        <v>0</v>
      </c>
      <c r="CH143" s="309">
        <f t="shared" ca="1" si="404"/>
        <v>-1</v>
      </c>
      <c r="CI143" s="310">
        <f t="shared" ca="1" si="405"/>
        <v>-1</v>
      </c>
      <c r="CJ143" s="336">
        <f t="shared" si="406"/>
        <v>46105</v>
      </c>
      <c r="CK143" s="345">
        <f>IF(_xlfn.XLOOKUP($E143,'[1]Import Eletra'!$B:$B,'[1]Import Eletra'!$BD:$BD,,0,1)=0,"",_xlfn.XLOOKUP($E143,'[1]Import Eletra'!$B:$B,'[1]Import Eletra'!$BD:$BD,,0,1))</f>
        <v>46104</v>
      </c>
      <c r="CL143" s="309"/>
      <c r="CM143" s="309">
        <f t="shared" ca="1" si="407"/>
        <v>-1</v>
      </c>
      <c r="CN143" s="310">
        <f t="shared" ca="1" si="408"/>
        <v>-1</v>
      </c>
      <c r="CO143" s="363">
        <f t="shared" si="409"/>
        <v>46105</v>
      </c>
      <c r="CP143" s="345">
        <f>IF(_xlfn.XLOOKUP($E143,'[1]Import Eletra'!$B:$B,'[1]Import Eletra'!$BE:$BE,,0,1)=0,"",_xlfn.XLOOKUP($E143,'[1]Import Eletra'!$B:$B,'[1]Import Eletra'!$BE:$BE,,0,1))</f>
        <v>46104</v>
      </c>
      <c r="CQ143" s="309">
        <f t="shared" si="410"/>
        <v>0</v>
      </c>
      <c r="CR143" s="309">
        <f t="shared" ca="1" si="411"/>
        <v>-1</v>
      </c>
      <c r="CS143" s="310">
        <f t="shared" ca="1" si="412"/>
        <v>-1</v>
      </c>
      <c r="CT143" s="336">
        <f t="shared" si="413"/>
        <v>46105</v>
      </c>
      <c r="CU143" s="345">
        <f>IF(_xlfn.XLOOKUP($E143,'[1]Import Eletra'!$B:$B,'[1]Import Eletra'!$BF:$BF,,0,1)=0,"",_xlfn.XLOOKUP($E143,'[1]Import Eletra'!$B:$B,'[1]Import Eletra'!$BF:$BF,,0,1))</f>
        <v>46104</v>
      </c>
      <c r="CV143" s="309">
        <f t="shared" si="414"/>
        <v>0</v>
      </c>
      <c r="CW143" s="309">
        <f t="shared" ca="1" si="415"/>
        <v>-1</v>
      </c>
      <c r="CX143" s="310">
        <f t="shared" ca="1" si="416"/>
        <v>-1</v>
      </c>
      <c r="CY143" s="85">
        <f t="shared" si="417"/>
        <v>46105</v>
      </c>
      <c r="CZ143" s="271">
        <f>IF(_xlfn.XLOOKUP($E143,'[1]Import Eletra'!$B:$B,'[1]Import Eletra'!$BF:$BF,,0,1)=0,"",_xlfn.XLOOKUP($E143,'[1]Import Eletra'!$B:$B,'[1]Import Eletra'!$BF:$BF,,0,1))</f>
        <v>46104</v>
      </c>
      <c r="DA143" s="311">
        <f t="shared" si="418"/>
        <v>0</v>
      </c>
      <c r="DB143" s="309">
        <f t="shared" ca="1" si="419"/>
        <v>-1</v>
      </c>
      <c r="DC143" s="310">
        <f t="shared" ca="1" si="420"/>
        <v>-1</v>
      </c>
      <c r="DD143" s="85">
        <f t="shared" si="421"/>
        <v>46107</v>
      </c>
      <c r="DE143" s="271">
        <f>IF(_xlfn.XLOOKUP($E143,'[1]Import Eletra'!$B:$B,'[1]Import Eletra'!$BG:$BG,,0,1)=0,"",_xlfn.XLOOKUP($E143,'[1]Import Eletra'!$B:$B,'[1]Import Eletra'!$BG:$BG,0,1))</f>
        <v>46105</v>
      </c>
      <c r="DF143" s="309">
        <f t="shared" si="422"/>
        <v>2</v>
      </c>
      <c r="DG143" s="309">
        <f t="shared" ca="1" si="423"/>
        <v>-2</v>
      </c>
      <c r="DH143" s="310">
        <f t="shared" ca="1" si="424"/>
        <v>-4</v>
      </c>
      <c r="DI143" s="85">
        <f t="shared" si="425"/>
        <v>46108</v>
      </c>
      <c r="DJ143" s="271">
        <f>IF(_xlfn.XLOOKUP($E143,'[1]Import Eletra'!$B:$B,'[1]Import Eletra'!$BH:$BH,,0,1)=0,"",_xlfn.XLOOKUP($E143,'[1]Import Eletra'!$B:$B,'[1]Import Eletra'!$BH:$BH,0,1))</f>
        <v>46120</v>
      </c>
      <c r="DK143" s="309">
        <f t="shared" si="426"/>
        <v>1</v>
      </c>
      <c r="DL143" s="309">
        <f t="shared" ca="1" si="427"/>
        <v>12</v>
      </c>
      <c r="DM143" s="310">
        <f t="shared" ca="1" si="428"/>
        <v>11</v>
      </c>
      <c r="DN143" s="312"/>
      <c r="DO143" s="313">
        <f t="shared" si="429"/>
        <v>46109</v>
      </c>
      <c r="DP143" s="59">
        <f>IF(_xlfn.XLOOKUP($E143,'[1]Import Eletra'!$B:$B,'[1]Import Eletra'!$O:$O,,0,1)=0,"",_xlfn.XLOOKUP($E143,'[1]Import Eletra'!$B:$B,'[1]Import Eletra'!$O:$O,0,1))</f>
        <v>46122</v>
      </c>
      <c r="DQ143" s="309">
        <f t="shared" si="430"/>
        <v>1</v>
      </c>
      <c r="DR143" s="309">
        <f t="shared" ca="1" si="431"/>
        <v>13</v>
      </c>
      <c r="DS143" s="310">
        <f t="shared" ca="1" si="432"/>
        <v>12</v>
      </c>
      <c r="DT143" s="314">
        <v>17</v>
      </c>
      <c r="DU143" s="140">
        <f t="shared" ca="1" si="433"/>
        <v>31</v>
      </c>
      <c r="DV143" s="184">
        <f t="shared" ca="1" si="434"/>
        <v>14</v>
      </c>
      <c r="DX143" s="316"/>
      <c r="DY143" s="108" t="str">
        <f>IF(_xlfn.XLOOKUP($E143,'[1]Import Eletra'!$B:$B,'[1]Import Eletra'!$DW:$DW,,0,1)=0,"",_xlfn.XLOOKUP($E143,'[1]Import Eletra'!$B:$B,'[1]Import Eletra'!$DW:$DW,0,1))</f>
        <v/>
      </c>
      <c r="EB143" s="317"/>
      <c r="ED143" s="406">
        <f>IF(_xlfn.XLOOKUP($E143,'[1]Import Eletra'!$B:$B,'[1]Import Eletra'!$BQ:$BQ,,0,1)=0,"",_xlfn.XLOOKUP($E143,'[1]Import Eletra'!$B:$B,'[1]Import Eletra'!$BQ:$BQ,0,1))</f>
        <v>1813.2</v>
      </c>
      <c r="EE143" s="407">
        <f>IF(_xlfn.XLOOKUP($E143,'[1]Import Eletra'!$B:$B,'[1]Import Eletra'!$BR:$BR,,0,1)=0,"",_xlfn.XLOOKUP($E143,'[1]Import Eletra'!$B:$B,'[1]Import Eletra'!$BR:$BR,0,1))</f>
        <v>46114</v>
      </c>
      <c r="EF143" s="406">
        <f>IF(_xlfn.XLOOKUP($E143,'[1]Import Eletra'!$B:$B,'[1]Import Eletra'!$BS:$BS,,0,1)=0,"",_xlfn.XLOOKUP($E143,'[1]Import Eletra'!$B:$B,'[1]Import Eletra'!$BS:$BS,0,1))</f>
        <v>17561.169999999998</v>
      </c>
      <c r="EG143" s="407">
        <f>IF(_xlfn.XLOOKUP($E143,'[1]Import Eletra'!$B:$B,'[1]Import Eletra'!$BT:$BT,,0,1)=0,"",_xlfn.XLOOKUP($E143,'[1]Import Eletra'!$B:$B,'[1]Import Eletra'!$BT:$BT,0,1))</f>
        <v>46167</v>
      </c>
      <c r="EH143" s="406" t="str">
        <f>IF(_xlfn.XLOOKUP($E143,'[1]Import Eletra'!$B:$B,'[1]Import Eletra'!$BU:$BU,,0,1)=0,"",_xlfn.XLOOKUP($E143,'[1]Import Eletra'!$B:$B,'[1]Import Eletra'!$BU:$BU,0,1))</f>
        <v/>
      </c>
      <c r="EI143" s="407" t="str">
        <f>IF(_xlfn.XLOOKUP($E143,'[1]Import Eletra'!$B:$B,'[1]Import Eletra'!$BV:$BV,,0,1)=0,"",_xlfn.XLOOKUP($E143,'[1]Import Eletra'!$B:$B,'[1]Import Eletra'!$BV:$BV,0,1))</f>
        <v/>
      </c>
      <c r="EJ143" s="407">
        <f>IF(_xlfn.XLOOKUP($E143,'[1]Import Eletra'!$B:$B,'[1]Import Eletra'!$CI:$CI,,0,1)=0,"",_xlfn.XLOOKUP($E143,'[1]Import Eletra'!$B:$B,'[1]Import Eletra'!$CI:$CI,0,1))</f>
        <v>46109</v>
      </c>
      <c r="EK143" s="407" t="str">
        <f>IF(_xlfn.XLOOKUP($E143,'[1]Import Eletra'!$B:$B,'[1]Import Eletra'!$CD:$CD,,0,1)=0,"",_xlfn.XLOOKUP($E143,'[1]Import Eletra'!$B:$B,'[1]Import Eletra'!$CD:$CD,0,1))</f>
        <v/>
      </c>
      <c r="EL143" s="407" t="str">
        <f>IF(_xlfn.XLOOKUP($E143,'[1]Import Eletra'!$B:$B,'[1]Import Eletra'!$CE:$CE,,0,1)=0,"",_xlfn.XLOOKUP($E143,'[1]Import Eletra'!$B:$B,'[1]Import Eletra'!$CE:$CE,0,1))</f>
        <v>NÃO</v>
      </c>
      <c r="EM143" s="408" t="str">
        <f>IF(_xlfn.XLOOKUP($E143,'[1]Import Eletra'!$B:$B,'[1]Import Eletra'!$E:$E,,0,1)=0,"",_xlfn.XLOOKUP($E143,'[1]Import Eletra'!$B:$B,'[1]Import Eletra'!$E:$E,0,1))</f>
        <v>LEISIANE</v>
      </c>
      <c r="EN143" s="408" t="str">
        <f>IF(_xlfn.XLOOKUP($E143,'[1]Import Eletra'!$B:$B,'[1]Import Eletra'!$E:$E,,0,1)=0,"",_xlfn.XLOOKUP($E143,'[1]Import Eletra'!$B:$B,'[1]Import Eletra'!$E:$E,0,1))</f>
        <v>LEISIANE</v>
      </c>
      <c r="EO143" s="408" t="str">
        <f>IF(_xlfn.XLOOKUP($E143,'[1]Import Eletra'!$B:$B,'[1]Import Eletra'!$E:$E,,0,1)=0,"",_xlfn.XLOOKUP($E143,'[1]Import Eletra'!$B:$B,'[1]Import Eletra'!$E:$E,0,1))</f>
        <v>LEISIANE</v>
      </c>
      <c r="EP143" s="408" t="str">
        <f>IF(_xlfn.XLOOKUP($E143,'[1]Import Eletra'!$B:$B,'[1]Import Eletra'!$E:$E,,0,1)=0,"",_xlfn.XLOOKUP($E143,'[1]Import Eletra'!$B:$B,'[1]Import Eletra'!$E:$E,0,1))</f>
        <v>LEISIANE</v>
      </c>
    </row>
    <row r="144" spans="1:146" s="315" customFormat="1" ht="30" hidden="1" customHeight="1" outlineLevel="1">
      <c r="A144" s="305"/>
      <c r="B144" s="306"/>
      <c r="C144" s="306"/>
      <c r="D144" s="306"/>
      <c r="E144" s="367" t="s">
        <v>440</v>
      </c>
      <c r="F144" s="307">
        <f>IF(_xlfn.XLOOKUP($E144,'[1]Import Eletra'!$B:$B,'[1]Import Eletra'!$U:$U,,0,1)=0,"",_xlfn.XLOOKUP($E144,'[1]Import Eletra'!$B:$B,'[1]Import Eletra'!$U:$U,,0,1))</f>
        <v>0.5</v>
      </c>
      <c r="G144" s="320" t="s">
        <v>244</v>
      </c>
      <c r="H144" s="59" t="str">
        <f>_xlfn.XLOOKUP($E144,'[1]Import Eletra'!$B:$B,'[1]Import Eletra'!$F:$F,,0,1)</f>
        <v>DELIVERED</v>
      </c>
      <c r="I144" s="4" t="str">
        <f>_xlfn.XLOOKUP($E144,'[1]Import Eletra'!$B:$B,'[1]Import Eletra'!$G:$G,,0,1)</f>
        <v>SEA</v>
      </c>
      <c r="J144" s="331"/>
      <c r="K144" s="308"/>
      <c r="L144" s="308"/>
      <c r="M144" s="331">
        <f>IF(_xlfn.XLOOKUP($E144,'[1]Import Eletra'!$B:$B,'[1]Import Eletra'!$J:$J,,0,1)=0,"",_xlfn.XLOOKUP($E144,'[1]Import Eletra'!$B:$B,'[1]Import Eletra'!$J:$J,,0,1))</f>
        <v>46041</v>
      </c>
      <c r="N144" s="334">
        <f>IF(_xlfn.XLOOKUP($E144,'[1]Import Eletra'!$B:$B,'[1]Import Eletra'!$L:$L,,0,1)=0,"",_xlfn.XLOOKUP($E144,'[1]Import Eletra'!$B:$B,'[1]Import Eletra'!$L:$L,,0,1))</f>
        <v>46091</v>
      </c>
      <c r="O144" s="336">
        <f>IF(_xlfn.XLOOKUP($E144,'[1]Import Eletra'!$B:$B,'[1]Import Eletra'!$AK:$AK,,0,1)=0,"",_xlfn.XLOOKUP($E144,'[1]Import Eletra'!$B:$B,'[1]Import Eletra'!$AK:$AK,,0,1))</f>
        <v>46055</v>
      </c>
      <c r="P144" s="331">
        <f>IF(_xlfn.XLOOKUP($E144,'[1]Import Eletra'!$B:$B,'[1]Import Eletra'!$AL:$AL,,0,1)=0,"",_xlfn.XLOOKUP($E144,'[1]Import Eletra'!$B:$B,'[1]Import Eletra'!$AL:$AL,,0,1))</f>
        <v>46084</v>
      </c>
      <c r="Q144" s="331">
        <f>IF(_xlfn.XLOOKUP($E144,'[1]Import Eletra'!$B:$B,'[1]Import Eletra'!$AM:$AM,,0,1)=0,"",_xlfn.XLOOKUP($E144,'[1]Import Eletra'!$B:$B,'[1]Import Eletra'!$AM:$AM,,0,1))</f>
        <v>46087</v>
      </c>
      <c r="R144" s="331">
        <f>IF(_xlfn.XLOOKUP($E144,'[1]Import Eletra'!$B:$B,'[1]Import Eletra'!$AN:$AN,,0,1)=0,"",_xlfn.XLOOKUP($E144,'[1]Import Eletra'!$B:$B,'[1]Import Eletra'!$AN:$AN,,0,1))</f>
        <v>46092</v>
      </c>
      <c r="S144" s="331">
        <f>IF(_xlfn.XLOOKUP($E144,'[1]Import Eletra'!$B:$B,'[1]Import Eletra'!$AO:$AO,,0,1)=0,"",_xlfn.XLOOKUP($E144,'[1]Import Eletra'!$B:$B,'[1]Import Eletra'!$AO:$AO,,0,1))</f>
        <v>46093</v>
      </c>
      <c r="T144" s="331">
        <f>IF(_xlfn.XLOOKUP($E144,'[1]Import Eletra'!$B:$B,'[1]Import Eletra'!$AP:$AP,,0,1)=0,"",_xlfn.XLOOKUP($E144,'[1]Import Eletra'!$B:$B,'[1]Import Eletra'!$AP:$AP,,0,1))</f>
        <v>46092</v>
      </c>
      <c r="U144" s="338">
        <f>IF(_xlfn.XLOOKUP($E144,'[1]Import Eletra'!$B:$B,'[1]Import Eletra'!$AQ:$AQ,,0,1)=0,"",_xlfn.XLOOKUP($E144,'[1]Import Eletra'!$B:$B,'[1]Import Eletra'!$AQ:$AQ,,0,1))</f>
        <v>46092</v>
      </c>
      <c r="V144" s="343">
        <f>IF(_xlfn.XLOOKUP($E144,'[1]Import Eletra'!$B:$B,'[1]Import Eletra'!$AQ:$AQ,,0,1)=0,"",_xlfn.XLOOKUP($E144,'[1]Import Eletra'!$B:$B,'[1]Import Eletra'!$AQ:$AQ,,0,1))</f>
        <v>46092</v>
      </c>
      <c r="W144" s="336">
        <f t="shared" si="354"/>
        <v>46102</v>
      </c>
      <c r="X144" s="345">
        <f>IF(_xlfn.XLOOKUP($E144,'[1]Import Eletra'!$B:$B,'[1]Import Eletra'!$AR:$AR,,0,1)=0,"",_xlfn.XLOOKUP($E144,'[1]Import Eletra'!$B:$B,'[1]Import Eletra'!$AR:$AR,,0,1))</f>
        <v>46093</v>
      </c>
      <c r="Y144" s="309">
        <f t="shared" si="355"/>
        <v>0</v>
      </c>
      <c r="Z144" s="309">
        <f t="shared" ca="1" si="356"/>
        <v>-9</v>
      </c>
      <c r="AA144" s="310" t="str">
        <f t="shared" ca="1" si="357"/>
        <v/>
      </c>
      <c r="AB144" s="350">
        <f t="shared" si="358"/>
        <v>46102</v>
      </c>
      <c r="AC144" s="345">
        <f>IF(_xlfn.XLOOKUP($E144,'[1]Import Eletra'!$B:$B,'[1]Import Eletra'!$AD:$AD,,0,1)=0,"",_xlfn.XLOOKUP($E144,'[1]Import Eletra'!$B:$B,'[1]Import Eletra'!$AD:$AD,,0,1))</f>
        <v>46094</v>
      </c>
      <c r="AD144" s="309">
        <f t="shared" si="359"/>
        <v>0</v>
      </c>
      <c r="AE144" s="309">
        <f t="shared" ca="1" si="360"/>
        <v>-8</v>
      </c>
      <c r="AF144" s="310">
        <f t="shared" ca="1" si="361"/>
        <v>-8</v>
      </c>
      <c r="AG144" s="356">
        <f t="shared" si="362"/>
        <v>46102</v>
      </c>
      <c r="AH144" s="345">
        <f>IF(_xlfn.XLOOKUP($E144,'[1]Import Eletra'!$B:$B,'[1]Import Eletra'!$AE:$AE,,0,1)=0,"",_xlfn.XLOOKUP($E144,'[1]Import Eletra'!$B:$B,'[1]Import Eletra'!$AE:$AE,,0,1))</f>
        <v>46094</v>
      </c>
      <c r="AI144" s="309">
        <f t="shared" si="363"/>
        <v>0</v>
      </c>
      <c r="AJ144" s="309">
        <f t="shared" ca="1" si="364"/>
        <v>-8</v>
      </c>
      <c r="AK144" s="310" t="str">
        <f t="shared" ca="1" si="365"/>
        <v/>
      </c>
      <c r="AL144" s="356">
        <f t="shared" si="366"/>
        <v>46102</v>
      </c>
      <c r="AM144" s="345">
        <f>IF(_xlfn.XLOOKUP($E144,'[1]Import Eletra'!$B:$B,'[1]Import Eletra'!$AT:$AT,,0,1)=0,"",_xlfn.XLOOKUP($E144,'[1]Import Eletra'!$B:$B,'[1]Import Eletra'!$AT:$AT,,0,1))</f>
        <v>46097</v>
      </c>
      <c r="AN144" s="309">
        <f t="shared" si="367"/>
        <v>0</v>
      </c>
      <c r="AO144" s="309">
        <f t="shared" ca="1" si="368"/>
        <v>-5</v>
      </c>
      <c r="AP144" s="310" t="str">
        <f t="shared" ca="1" si="369"/>
        <v/>
      </c>
      <c r="AQ144" s="359">
        <f t="shared" si="370"/>
        <v>46103</v>
      </c>
      <c r="AR144" s="345">
        <f>IF(_xlfn.XLOOKUP($E144,'[1]Import Eletra'!$B:$B,'[1]Import Eletra'!$AU:$AU,,0,1)=0,"",_xlfn.XLOOKUP($E144,'[1]Import Eletra'!$B:$B,'[1]Import Eletra'!$AU:$AU,,0,1))</f>
        <v>46098</v>
      </c>
      <c r="AS144" s="309">
        <f t="shared" si="371"/>
        <v>1</v>
      </c>
      <c r="AT144" s="309">
        <f t="shared" ca="1" si="372"/>
        <v>-5</v>
      </c>
      <c r="AU144" s="310" t="str">
        <f t="shared" ca="1" si="373"/>
        <v/>
      </c>
      <c r="AV144" s="356">
        <f t="shared" si="374"/>
        <v>46103</v>
      </c>
      <c r="AW144" s="345">
        <f>IF(_xlfn.XLOOKUP($E144,'[1]Import Eletra'!$B:$B,'[1]Import Eletra'!$AU:$AU,,0,1)=0,"",_xlfn.XLOOKUP($E144,'[1]Import Eletra'!$B:$B,'[1]Import Eletra'!$AU:$AU,,0,1))</f>
        <v>46098</v>
      </c>
      <c r="AX144" s="309">
        <f t="shared" si="375"/>
        <v>0</v>
      </c>
      <c r="AY144" s="309">
        <f t="shared" ca="1" si="376"/>
        <v>-5</v>
      </c>
      <c r="AZ144" s="310" t="str">
        <f t="shared" ca="1" si="377"/>
        <v/>
      </c>
      <c r="BA144" s="359">
        <f t="shared" si="378"/>
        <v>46103</v>
      </c>
      <c r="BB144" s="345" t="str">
        <f>IF(_xlfn.XLOOKUP($E144,'[1]Import Eletra'!$B:$B,'[1]Import Eletra'!$AW:$AW,,0,1)=0,"",_xlfn.XLOOKUP($E144,'[1]Import Eletra'!$B:$B,'[1]Import Eletra'!$AW:$AW,,0,1))</f>
        <v/>
      </c>
      <c r="BC144" s="309">
        <f t="shared" si="379"/>
        <v>0</v>
      </c>
      <c r="BD144" s="309">
        <f t="shared" ca="1" si="380"/>
        <v>108</v>
      </c>
      <c r="BE144" s="310">
        <f t="shared" ca="1" si="381"/>
        <v>108</v>
      </c>
      <c r="BF144" s="336">
        <f t="shared" si="382"/>
        <v>46103</v>
      </c>
      <c r="BG144" s="345" t="str">
        <f>IF(_xlfn.XLOOKUP($E144,'[1]Import Eletra'!$B:$B,'[1]Import Eletra'!$AX:$AX,,0,1)=0,"",_xlfn.XLOOKUP($E144,'[1]Import Eletra'!$B:$B,'[1]Import Eletra'!$AX:$AX,,0,1))</f>
        <v/>
      </c>
      <c r="BH144" s="309">
        <f t="shared" si="383"/>
        <v>0</v>
      </c>
      <c r="BI144" s="309">
        <f t="shared" ca="1" si="384"/>
        <v>108</v>
      </c>
      <c r="BJ144" s="310">
        <f t="shared" ca="1" si="385"/>
        <v>108</v>
      </c>
      <c r="BK144" s="363">
        <f t="shared" si="386"/>
        <v>46103</v>
      </c>
      <c r="BL144" s="345">
        <f>IF(_xlfn.XLOOKUP($E144,'[1]Import Eletra'!$B:$B,'[1]Import Eletra'!$AY:$AY,,0,1)=0,"",_xlfn.XLOOKUP($E144,'[1]Import Eletra'!$B:$B,'[1]Import Eletra'!$AY:$AY,,0,1))</f>
        <v>46097</v>
      </c>
      <c r="BM144" s="309">
        <f t="shared" si="387"/>
        <v>0</v>
      </c>
      <c r="BN144" s="309">
        <f t="shared" ca="1" si="388"/>
        <v>-6</v>
      </c>
      <c r="BO144" s="310">
        <f t="shared" ca="1" si="389"/>
        <v>-6</v>
      </c>
      <c r="BP144" s="336">
        <f t="shared" si="390"/>
        <v>46103</v>
      </c>
      <c r="BQ144" s="345">
        <f>IF(_xlfn.XLOOKUP($E144,'[1]Import Eletra'!$B:$B,'[1]Import Eletra'!$AZ:$AZ,,0,1)=0,"",_xlfn.XLOOKUP($E144,'[1]Import Eletra'!$B:$B,'[1]Import Eletra'!$AZ:$AZ,,0,1))</f>
        <v>46098</v>
      </c>
      <c r="BR144" s="309">
        <f t="shared" si="391"/>
        <v>0</v>
      </c>
      <c r="BS144" s="309">
        <f t="shared" ca="1" si="392"/>
        <v>-5</v>
      </c>
      <c r="BT144" s="310">
        <f t="shared" ca="1" si="393"/>
        <v>-5</v>
      </c>
      <c r="BU144" s="363">
        <f t="shared" si="394"/>
        <v>46105</v>
      </c>
      <c r="BV144" s="345">
        <f>IF(_xlfn.XLOOKUP($E144,'[1]Import Eletra'!$B:$B,'[1]Import Eletra'!$BA:$BA,,0,1)=0,"",_xlfn.XLOOKUP($E144,'[1]Import Eletra'!$B:$B,'[1]Import Eletra'!$BA:$BA,,0,1))</f>
        <v>46098</v>
      </c>
      <c r="BW144" s="309">
        <f t="shared" si="395"/>
        <v>2</v>
      </c>
      <c r="BX144" s="309">
        <f t="shared" ca="1" si="396"/>
        <v>-7</v>
      </c>
      <c r="BY144" s="310" t="str">
        <f t="shared" ca="1" si="397"/>
        <v/>
      </c>
      <c r="BZ144" s="336">
        <f t="shared" si="398"/>
        <v>46105</v>
      </c>
      <c r="CA144" s="345">
        <f>IF(_xlfn.XLOOKUP($E144,'[1]Import Eletra'!$B:$B,'[1]Import Eletra'!$BB:$BB,,0,1)=0,"",_xlfn.XLOOKUP($E144,'[1]Import Eletra'!$B:$B,'[1]Import Eletra'!$BB:$BB,,0,1))</f>
        <v>46104</v>
      </c>
      <c r="CB144" s="309">
        <f t="shared" si="399"/>
        <v>0</v>
      </c>
      <c r="CC144" s="309">
        <f t="shared" ca="1" si="400"/>
        <v>-1</v>
      </c>
      <c r="CD144" s="310">
        <f t="shared" ca="1" si="401"/>
        <v>-1</v>
      </c>
      <c r="CE144" s="363">
        <f t="shared" si="402"/>
        <v>46105</v>
      </c>
      <c r="CF144" s="345">
        <f>IF(_xlfn.XLOOKUP($E144,'[1]Import Eletra'!$B:$B,'[1]Import Eletra'!$BC:$BC,,0,1)=0,"",_xlfn.XLOOKUP($E144,'[1]Import Eletra'!$B:$B,'[1]Import Eletra'!$BC:$BC,,0,1))</f>
        <v>46104</v>
      </c>
      <c r="CG144" s="309">
        <f t="shared" si="403"/>
        <v>0</v>
      </c>
      <c r="CH144" s="309">
        <f t="shared" ca="1" si="404"/>
        <v>-1</v>
      </c>
      <c r="CI144" s="310">
        <f t="shared" ca="1" si="405"/>
        <v>-1</v>
      </c>
      <c r="CJ144" s="336">
        <f t="shared" si="406"/>
        <v>46105</v>
      </c>
      <c r="CK144" s="345">
        <f>IF(_xlfn.XLOOKUP($E144,'[1]Import Eletra'!$B:$B,'[1]Import Eletra'!$BD:$BD,,0,1)=0,"",_xlfn.XLOOKUP($E144,'[1]Import Eletra'!$B:$B,'[1]Import Eletra'!$BD:$BD,,0,1))</f>
        <v>46104</v>
      </c>
      <c r="CL144" s="309"/>
      <c r="CM144" s="309">
        <f t="shared" ca="1" si="407"/>
        <v>-1</v>
      </c>
      <c r="CN144" s="310">
        <f t="shared" ca="1" si="408"/>
        <v>-1</v>
      </c>
      <c r="CO144" s="363">
        <f t="shared" si="409"/>
        <v>46105</v>
      </c>
      <c r="CP144" s="345">
        <f>IF(_xlfn.XLOOKUP($E144,'[1]Import Eletra'!$B:$B,'[1]Import Eletra'!$BE:$BE,,0,1)=0,"",_xlfn.XLOOKUP($E144,'[1]Import Eletra'!$B:$B,'[1]Import Eletra'!$BE:$BE,,0,1))</f>
        <v>46104</v>
      </c>
      <c r="CQ144" s="309">
        <f t="shared" si="410"/>
        <v>0</v>
      </c>
      <c r="CR144" s="309">
        <f t="shared" ca="1" si="411"/>
        <v>-1</v>
      </c>
      <c r="CS144" s="310">
        <f t="shared" ca="1" si="412"/>
        <v>-1</v>
      </c>
      <c r="CT144" s="336">
        <f t="shared" si="413"/>
        <v>46105</v>
      </c>
      <c r="CU144" s="345">
        <f>IF(_xlfn.XLOOKUP($E144,'[1]Import Eletra'!$B:$B,'[1]Import Eletra'!$BF:$BF,,0,1)=0,"",_xlfn.XLOOKUP($E144,'[1]Import Eletra'!$B:$B,'[1]Import Eletra'!$BF:$BF,,0,1))</f>
        <v>46104</v>
      </c>
      <c r="CV144" s="309">
        <f t="shared" si="414"/>
        <v>0</v>
      </c>
      <c r="CW144" s="309">
        <f t="shared" ca="1" si="415"/>
        <v>-1</v>
      </c>
      <c r="CX144" s="310">
        <f t="shared" ca="1" si="416"/>
        <v>-1</v>
      </c>
      <c r="CY144" s="85">
        <f t="shared" si="417"/>
        <v>46105</v>
      </c>
      <c r="CZ144" s="271">
        <f>IF(_xlfn.XLOOKUP($E144,'[1]Import Eletra'!$B:$B,'[1]Import Eletra'!$BF:$BF,,0,1)=0,"",_xlfn.XLOOKUP($E144,'[1]Import Eletra'!$B:$B,'[1]Import Eletra'!$BF:$BF,,0,1))</f>
        <v>46104</v>
      </c>
      <c r="DA144" s="311">
        <f t="shared" si="418"/>
        <v>0</v>
      </c>
      <c r="DB144" s="309">
        <f t="shared" ca="1" si="419"/>
        <v>-1</v>
      </c>
      <c r="DC144" s="310">
        <f t="shared" ca="1" si="420"/>
        <v>-1</v>
      </c>
      <c r="DD144" s="85">
        <f t="shared" si="421"/>
        <v>46107</v>
      </c>
      <c r="DE144" s="271" t="str">
        <f>IF(_xlfn.XLOOKUP($E144,'[1]Import Eletra'!$B:$B,'[1]Import Eletra'!$BG:$BG,,0,1)=0,"",_xlfn.XLOOKUP($E144,'[1]Import Eletra'!$B:$B,'[1]Import Eletra'!$BG:$BG,0,1))</f>
        <v xml:space="preserve"> </v>
      </c>
      <c r="DF144" s="309">
        <f t="shared" si="422"/>
        <v>2</v>
      </c>
      <c r="DG144" s="309" t="e">
        <f t="shared" ca="1" si="423"/>
        <v>#VALUE!</v>
      </c>
      <c r="DH144" s="310" t="e">
        <f t="shared" ca="1" si="424"/>
        <v>#VALUE!</v>
      </c>
      <c r="DI144" s="85">
        <f t="shared" si="425"/>
        <v>46108</v>
      </c>
      <c r="DJ144" s="271">
        <f>IF(_xlfn.XLOOKUP($E144,'[1]Import Eletra'!$B:$B,'[1]Import Eletra'!$BH:$BH,,0,1)=0,"",_xlfn.XLOOKUP($E144,'[1]Import Eletra'!$B:$B,'[1]Import Eletra'!$BH:$BH,0,1))</f>
        <v>46120</v>
      </c>
      <c r="DK144" s="309">
        <f t="shared" si="426"/>
        <v>1</v>
      </c>
      <c r="DL144" s="309">
        <f t="shared" ca="1" si="427"/>
        <v>12</v>
      </c>
      <c r="DM144" s="310">
        <f t="shared" ca="1" si="428"/>
        <v>11</v>
      </c>
      <c r="DN144" s="312"/>
      <c r="DO144" s="313">
        <f t="shared" si="429"/>
        <v>46109</v>
      </c>
      <c r="DP144" s="59">
        <f>IF(_xlfn.XLOOKUP($E144,'[1]Import Eletra'!$B:$B,'[1]Import Eletra'!$O:$O,,0,1)=0,"",_xlfn.XLOOKUP($E144,'[1]Import Eletra'!$B:$B,'[1]Import Eletra'!$O:$O,0,1))</f>
        <v>46122</v>
      </c>
      <c r="DQ144" s="309">
        <f t="shared" si="430"/>
        <v>1</v>
      </c>
      <c r="DR144" s="309">
        <f t="shared" ca="1" si="431"/>
        <v>13</v>
      </c>
      <c r="DS144" s="310">
        <f t="shared" ca="1" si="432"/>
        <v>12</v>
      </c>
      <c r="DT144" s="314">
        <v>17</v>
      </c>
      <c r="DU144" s="140">
        <f t="shared" ca="1" si="433"/>
        <v>31</v>
      </c>
      <c r="DV144" s="184">
        <f t="shared" ca="1" si="434"/>
        <v>14</v>
      </c>
      <c r="DX144" s="316"/>
      <c r="DY144" s="108" t="str">
        <f>IF(_xlfn.XLOOKUP($E144,'[1]Import Eletra'!$B:$B,'[1]Import Eletra'!$DW:$DW,,0,1)=0,"",_xlfn.XLOOKUP($E144,'[1]Import Eletra'!$B:$B,'[1]Import Eletra'!$DW:$DW,0,1))</f>
        <v/>
      </c>
      <c r="EB144" s="317"/>
      <c r="ED144" s="406">
        <f>IF(_xlfn.XLOOKUP($E144,'[1]Import Eletra'!$B:$B,'[1]Import Eletra'!$BQ:$BQ,,0,1)=0,"",_xlfn.XLOOKUP($E144,'[1]Import Eletra'!$B:$B,'[1]Import Eletra'!$BQ:$BQ,0,1))</f>
        <v>4109.17</v>
      </c>
      <c r="EE144" s="407">
        <f>IF(_xlfn.XLOOKUP($E144,'[1]Import Eletra'!$B:$B,'[1]Import Eletra'!$BR:$BR,,0,1)=0,"",_xlfn.XLOOKUP($E144,'[1]Import Eletra'!$B:$B,'[1]Import Eletra'!$BR:$BR,0,1))</f>
        <v>46114</v>
      </c>
      <c r="EF144" s="406">
        <f>IF(_xlfn.XLOOKUP($E144,'[1]Import Eletra'!$B:$B,'[1]Import Eletra'!$BS:$BS,,0,1)=0,"",_xlfn.XLOOKUP($E144,'[1]Import Eletra'!$B:$B,'[1]Import Eletra'!$BS:$BS,0,1))</f>
        <v>17561.169999999998</v>
      </c>
      <c r="EG144" s="407">
        <f>IF(_xlfn.XLOOKUP($E144,'[1]Import Eletra'!$B:$B,'[1]Import Eletra'!$BT:$BT,,0,1)=0,"",_xlfn.XLOOKUP($E144,'[1]Import Eletra'!$B:$B,'[1]Import Eletra'!$BT:$BT,0,1))</f>
        <v>46167</v>
      </c>
      <c r="EH144" s="406" t="str">
        <f>IF(_xlfn.XLOOKUP($E144,'[1]Import Eletra'!$B:$B,'[1]Import Eletra'!$BU:$BU,,0,1)=0,"",_xlfn.XLOOKUP($E144,'[1]Import Eletra'!$B:$B,'[1]Import Eletra'!$BU:$BU,0,1))</f>
        <v/>
      </c>
      <c r="EI144" s="407" t="str">
        <f>IF(_xlfn.XLOOKUP($E144,'[1]Import Eletra'!$B:$B,'[1]Import Eletra'!$BV:$BV,,0,1)=0,"",_xlfn.XLOOKUP($E144,'[1]Import Eletra'!$B:$B,'[1]Import Eletra'!$BV:$BV,0,1))</f>
        <v/>
      </c>
      <c r="EJ144" s="407">
        <f>IF(_xlfn.XLOOKUP($E144,'[1]Import Eletra'!$B:$B,'[1]Import Eletra'!$CI:$CI,,0,1)=0,"",_xlfn.XLOOKUP($E144,'[1]Import Eletra'!$B:$B,'[1]Import Eletra'!$CI:$CI,0,1))</f>
        <v>46109</v>
      </c>
      <c r="EK144" s="407" t="str">
        <f>IF(_xlfn.XLOOKUP($E144,'[1]Import Eletra'!$B:$B,'[1]Import Eletra'!$CD:$CD,,0,1)=0,"",_xlfn.XLOOKUP($E144,'[1]Import Eletra'!$B:$B,'[1]Import Eletra'!$CD:$CD,0,1))</f>
        <v/>
      </c>
      <c r="EL144" s="407" t="str">
        <f>IF(_xlfn.XLOOKUP($E144,'[1]Import Eletra'!$B:$B,'[1]Import Eletra'!$CE:$CE,,0,1)=0,"",_xlfn.XLOOKUP($E144,'[1]Import Eletra'!$B:$B,'[1]Import Eletra'!$CE:$CE,0,1))</f>
        <v>NÃO</v>
      </c>
      <c r="EM144" s="408" t="str">
        <f>IF(_xlfn.XLOOKUP($E144,'[1]Import Eletra'!$B:$B,'[1]Import Eletra'!$E:$E,,0,1)=0,"",_xlfn.XLOOKUP($E144,'[1]Import Eletra'!$B:$B,'[1]Import Eletra'!$E:$E,0,1))</f>
        <v>LEISIANE</v>
      </c>
      <c r="EN144" s="408" t="str">
        <f>IF(_xlfn.XLOOKUP($E144,'[1]Import Eletra'!$B:$B,'[1]Import Eletra'!$E:$E,,0,1)=0,"",_xlfn.XLOOKUP($E144,'[1]Import Eletra'!$B:$B,'[1]Import Eletra'!$E:$E,0,1))</f>
        <v>LEISIANE</v>
      </c>
      <c r="EO144" s="408" t="str">
        <f>IF(_xlfn.XLOOKUP($E144,'[1]Import Eletra'!$B:$B,'[1]Import Eletra'!$E:$E,,0,1)=0,"",_xlfn.XLOOKUP($E144,'[1]Import Eletra'!$B:$B,'[1]Import Eletra'!$E:$E,0,1))</f>
        <v>LEISIANE</v>
      </c>
      <c r="EP144" s="408" t="str">
        <f>IF(_xlfn.XLOOKUP($E144,'[1]Import Eletra'!$B:$B,'[1]Import Eletra'!$E:$E,,0,1)=0,"",_xlfn.XLOOKUP($E144,'[1]Import Eletra'!$B:$B,'[1]Import Eletra'!$E:$E,0,1))</f>
        <v>LEISIANE</v>
      </c>
    </row>
    <row r="145" spans="1:146" s="315" customFormat="1" ht="30" hidden="1" customHeight="1" outlineLevel="1">
      <c r="A145" s="305"/>
      <c r="B145" s="306"/>
      <c r="C145" s="306"/>
      <c r="D145" s="306"/>
      <c r="E145" s="367" t="s">
        <v>441</v>
      </c>
      <c r="F145" s="307">
        <f>IF(_xlfn.XLOOKUP($E145,'[1]Import Eletra'!$B:$B,'[1]Import Eletra'!$U:$U,,0,1)=0,"",_xlfn.XLOOKUP($E145,'[1]Import Eletra'!$B:$B,'[1]Import Eletra'!$U:$U,,0,1))</f>
        <v>0.5</v>
      </c>
      <c r="G145" s="320" t="s">
        <v>244</v>
      </c>
      <c r="H145" s="59" t="str">
        <f>_xlfn.XLOOKUP($E145,'[1]Import Eletra'!$B:$B,'[1]Import Eletra'!$F:$F,,0,1)</f>
        <v>DELIVERED</v>
      </c>
      <c r="I145" s="4" t="str">
        <f>_xlfn.XLOOKUP($E145,'[1]Import Eletra'!$B:$B,'[1]Import Eletra'!$G:$G,,0,1)</f>
        <v>SEA</v>
      </c>
      <c r="J145" s="331"/>
      <c r="K145" s="308"/>
      <c r="L145" s="308"/>
      <c r="M145" s="331">
        <f>IF(_xlfn.XLOOKUP($E145,'[1]Import Eletra'!$B:$B,'[1]Import Eletra'!$J:$J,,0,1)=0,"",_xlfn.XLOOKUP($E145,'[1]Import Eletra'!$B:$B,'[1]Import Eletra'!$J:$J,,0,1))</f>
        <v>46041</v>
      </c>
      <c r="N145" s="334">
        <f>IF(_xlfn.XLOOKUP($E145,'[1]Import Eletra'!$B:$B,'[1]Import Eletra'!$L:$L,,0,1)=0,"",_xlfn.XLOOKUP($E145,'[1]Import Eletra'!$B:$B,'[1]Import Eletra'!$L:$L,,0,1))</f>
        <v>46091</v>
      </c>
      <c r="O145" s="336">
        <f>IF(_xlfn.XLOOKUP($E145,'[1]Import Eletra'!$B:$B,'[1]Import Eletra'!$AK:$AK,,0,1)=0,"",_xlfn.XLOOKUP($E145,'[1]Import Eletra'!$B:$B,'[1]Import Eletra'!$AK:$AK,,0,1))</f>
        <v>46056</v>
      </c>
      <c r="P145" s="331">
        <f>IF(_xlfn.XLOOKUP($E145,'[1]Import Eletra'!$B:$B,'[1]Import Eletra'!$AL:$AL,,0,1)=0,"",_xlfn.XLOOKUP($E145,'[1]Import Eletra'!$B:$B,'[1]Import Eletra'!$AL:$AL,,0,1))</f>
        <v>46092</v>
      </c>
      <c r="Q145" s="331">
        <f>IF(_xlfn.XLOOKUP($E145,'[1]Import Eletra'!$B:$B,'[1]Import Eletra'!$AM:$AM,,0,1)=0,"",_xlfn.XLOOKUP($E145,'[1]Import Eletra'!$B:$B,'[1]Import Eletra'!$AM:$AM,,0,1))</f>
        <v>46101</v>
      </c>
      <c r="R145" s="331">
        <f>IF(_xlfn.XLOOKUP($E145,'[1]Import Eletra'!$B:$B,'[1]Import Eletra'!$AN:$AN,,0,1)=0,"",_xlfn.XLOOKUP($E145,'[1]Import Eletra'!$B:$B,'[1]Import Eletra'!$AN:$AN,,0,1))</f>
        <v>46105</v>
      </c>
      <c r="S145" s="331">
        <f>IF(_xlfn.XLOOKUP($E145,'[1]Import Eletra'!$B:$B,'[1]Import Eletra'!$AO:$AO,,0,1)=0,"",_xlfn.XLOOKUP($E145,'[1]Import Eletra'!$B:$B,'[1]Import Eletra'!$AO:$AO,,0,1))</f>
        <v>46105</v>
      </c>
      <c r="T145" s="331">
        <f>IF(_xlfn.XLOOKUP($E145,'[1]Import Eletra'!$B:$B,'[1]Import Eletra'!$AP:$AP,,0,1)=0,"",_xlfn.XLOOKUP($E145,'[1]Import Eletra'!$B:$B,'[1]Import Eletra'!$AP:$AP,,0,1))</f>
        <v>46105</v>
      </c>
      <c r="U145" s="338">
        <f>IF(_xlfn.XLOOKUP($E145,'[1]Import Eletra'!$B:$B,'[1]Import Eletra'!$AQ:$AQ,,0,1)=0,"",_xlfn.XLOOKUP($E145,'[1]Import Eletra'!$B:$B,'[1]Import Eletra'!$AQ:$AQ,,0,1))</f>
        <v>46105</v>
      </c>
      <c r="V145" s="343">
        <f>IF(_xlfn.XLOOKUP($E145,'[1]Import Eletra'!$B:$B,'[1]Import Eletra'!$AQ:$AQ,,0,1)=0,"",_xlfn.XLOOKUP($E145,'[1]Import Eletra'!$B:$B,'[1]Import Eletra'!$AQ:$AQ,,0,1))</f>
        <v>46105</v>
      </c>
      <c r="W145" s="336">
        <f t="shared" si="354"/>
        <v>46115</v>
      </c>
      <c r="X145" s="345">
        <f>IF(_xlfn.XLOOKUP($E145,'[1]Import Eletra'!$B:$B,'[1]Import Eletra'!$AR:$AR,,0,1)=0,"",_xlfn.XLOOKUP($E145,'[1]Import Eletra'!$B:$B,'[1]Import Eletra'!$AR:$AR,,0,1))</f>
        <v>46093</v>
      </c>
      <c r="Y145" s="309">
        <f t="shared" si="355"/>
        <v>0</v>
      </c>
      <c r="Z145" s="309">
        <f t="shared" ca="1" si="356"/>
        <v>-22</v>
      </c>
      <c r="AA145" s="310" t="str">
        <f t="shared" ca="1" si="357"/>
        <v/>
      </c>
      <c r="AB145" s="350">
        <f t="shared" si="358"/>
        <v>46115</v>
      </c>
      <c r="AC145" s="345">
        <f>IF(_xlfn.XLOOKUP($E145,'[1]Import Eletra'!$B:$B,'[1]Import Eletra'!$AD:$AD,,0,1)=0,"",_xlfn.XLOOKUP($E145,'[1]Import Eletra'!$B:$B,'[1]Import Eletra'!$AD:$AD,,0,1))</f>
        <v>46105</v>
      </c>
      <c r="AD145" s="309">
        <f t="shared" si="359"/>
        <v>0</v>
      </c>
      <c r="AE145" s="309">
        <f t="shared" ca="1" si="360"/>
        <v>-10</v>
      </c>
      <c r="AF145" s="310">
        <f t="shared" ca="1" si="361"/>
        <v>-10</v>
      </c>
      <c r="AG145" s="356">
        <f t="shared" si="362"/>
        <v>46115</v>
      </c>
      <c r="AH145" s="345" t="str">
        <f>IF(_xlfn.XLOOKUP($E145,'[1]Import Eletra'!$B:$B,'[1]Import Eletra'!$AE:$AE,,0,1)=0,"",_xlfn.XLOOKUP($E145,'[1]Import Eletra'!$B:$B,'[1]Import Eletra'!$AE:$AE,,0,1))</f>
        <v/>
      </c>
      <c r="AI145" s="309">
        <f t="shared" si="363"/>
        <v>0</v>
      </c>
      <c r="AJ145" s="309">
        <f t="shared" ca="1" si="364"/>
        <v>96</v>
      </c>
      <c r="AK145" s="310">
        <f t="shared" ca="1" si="365"/>
        <v>96</v>
      </c>
      <c r="AL145" s="356">
        <f t="shared" si="366"/>
        <v>46115</v>
      </c>
      <c r="AM145" s="345">
        <f>IF(_xlfn.XLOOKUP($E145,'[1]Import Eletra'!$B:$B,'[1]Import Eletra'!$AT:$AT,,0,1)=0,"",_xlfn.XLOOKUP($E145,'[1]Import Eletra'!$B:$B,'[1]Import Eletra'!$AT:$AT,,0,1))</f>
        <v>46107</v>
      </c>
      <c r="AN145" s="309">
        <f t="shared" si="367"/>
        <v>0</v>
      </c>
      <c r="AO145" s="309">
        <f t="shared" ca="1" si="368"/>
        <v>-8</v>
      </c>
      <c r="AP145" s="310" t="str">
        <f t="shared" ca="1" si="369"/>
        <v/>
      </c>
      <c r="AQ145" s="359">
        <f t="shared" si="370"/>
        <v>46116</v>
      </c>
      <c r="AR145" s="345">
        <f>IF(_xlfn.XLOOKUP($E145,'[1]Import Eletra'!$B:$B,'[1]Import Eletra'!$AU:$AU,,0,1)=0,"",_xlfn.XLOOKUP($E145,'[1]Import Eletra'!$B:$B,'[1]Import Eletra'!$AU:$AU,,0,1))</f>
        <v>46107</v>
      </c>
      <c r="AS145" s="309">
        <f t="shared" si="371"/>
        <v>1</v>
      </c>
      <c r="AT145" s="309">
        <f t="shared" ca="1" si="372"/>
        <v>-9</v>
      </c>
      <c r="AU145" s="310" t="str">
        <f t="shared" ca="1" si="373"/>
        <v/>
      </c>
      <c r="AV145" s="356">
        <f t="shared" si="374"/>
        <v>46116</v>
      </c>
      <c r="AW145" s="345">
        <f>IF(_xlfn.XLOOKUP($E145,'[1]Import Eletra'!$B:$B,'[1]Import Eletra'!$AU:$AU,,0,1)=0,"",_xlfn.XLOOKUP($E145,'[1]Import Eletra'!$B:$B,'[1]Import Eletra'!$AU:$AU,,0,1))</f>
        <v>46107</v>
      </c>
      <c r="AX145" s="309">
        <f t="shared" si="375"/>
        <v>0</v>
      </c>
      <c r="AY145" s="309">
        <f t="shared" ca="1" si="376"/>
        <v>-9</v>
      </c>
      <c r="AZ145" s="310" t="str">
        <f t="shared" ca="1" si="377"/>
        <v/>
      </c>
      <c r="BA145" s="359">
        <f t="shared" si="378"/>
        <v>46116</v>
      </c>
      <c r="BB145" s="345" t="str">
        <f>IF(_xlfn.XLOOKUP($E145,'[1]Import Eletra'!$B:$B,'[1]Import Eletra'!$AW:$AW,,0,1)=0,"",_xlfn.XLOOKUP($E145,'[1]Import Eletra'!$B:$B,'[1]Import Eletra'!$AW:$AW,,0,1))</f>
        <v/>
      </c>
      <c r="BC145" s="309">
        <f t="shared" si="379"/>
        <v>0</v>
      </c>
      <c r="BD145" s="309">
        <f t="shared" ca="1" si="380"/>
        <v>95</v>
      </c>
      <c r="BE145" s="310">
        <f t="shared" ca="1" si="381"/>
        <v>95</v>
      </c>
      <c r="BF145" s="336">
        <f t="shared" si="382"/>
        <v>46116</v>
      </c>
      <c r="BG145" s="345" t="str">
        <f>IF(_xlfn.XLOOKUP($E145,'[1]Import Eletra'!$B:$B,'[1]Import Eletra'!$AX:$AX,,0,1)=0,"",_xlfn.XLOOKUP($E145,'[1]Import Eletra'!$B:$B,'[1]Import Eletra'!$AX:$AX,,0,1))</f>
        <v/>
      </c>
      <c r="BH145" s="309">
        <f t="shared" si="383"/>
        <v>0</v>
      </c>
      <c r="BI145" s="309">
        <f t="shared" ca="1" si="384"/>
        <v>95</v>
      </c>
      <c r="BJ145" s="310">
        <f t="shared" ca="1" si="385"/>
        <v>95</v>
      </c>
      <c r="BK145" s="363">
        <f t="shared" si="386"/>
        <v>46116</v>
      </c>
      <c r="BL145" s="345">
        <f>IF(_xlfn.XLOOKUP($E145,'[1]Import Eletra'!$B:$B,'[1]Import Eletra'!$AY:$AY,,0,1)=0,"",_xlfn.XLOOKUP($E145,'[1]Import Eletra'!$B:$B,'[1]Import Eletra'!$AY:$AY,,0,1))</f>
        <v>46107</v>
      </c>
      <c r="BM145" s="309">
        <f t="shared" si="387"/>
        <v>0</v>
      </c>
      <c r="BN145" s="309">
        <f t="shared" ca="1" si="388"/>
        <v>-9</v>
      </c>
      <c r="BO145" s="310">
        <f t="shared" ca="1" si="389"/>
        <v>-9</v>
      </c>
      <c r="BP145" s="336">
        <f t="shared" si="390"/>
        <v>46116</v>
      </c>
      <c r="BQ145" s="345">
        <f>IF(_xlfn.XLOOKUP($E145,'[1]Import Eletra'!$B:$B,'[1]Import Eletra'!$AZ:$AZ,,0,1)=0,"",_xlfn.XLOOKUP($E145,'[1]Import Eletra'!$B:$B,'[1]Import Eletra'!$AZ:$AZ,,0,1))</f>
        <v>46107</v>
      </c>
      <c r="BR145" s="309">
        <f t="shared" si="391"/>
        <v>0</v>
      </c>
      <c r="BS145" s="309">
        <f t="shared" ca="1" si="392"/>
        <v>-9</v>
      </c>
      <c r="BT145" s="310">
        <f t="shared" ca="1" si="393"/>
        <v>-9</v>
      </c>
      <c r="BU145" s="363">
        <f t="shared" si="394"/>
        <v>46118</v>
      </c>
      <c r="BV145" s="345">
        <f>IF(_xlfn.XLOOKUP($E145,'[1]Import Eletra'!$B:$B,'[1]Import Eletra'!$BA:$BA,,0,1)=0,"",_xlfn.XLOOKUP($E145,'[1]Import Eletra'!$B:$B,'[1]Import Eletra'!$BA:$BA,,0,1))</f>
        <v>46112</v>
      </c>
      <c r="BW145" s="309">
        <f t="shared" si="395"/>
        <v>2</v>
      </c>
      <c r="BX145" s="309">
        <f t="shared" ca="1" si="396"/>
        <v>-6</v>
      </c>
      <c r="BY145" s="310" t="str">
        <f t="shared" ca="1" si="397"/>
        <v/>
      </c>
      <c r="BZ145" s="336">
        <f t="shared" si="398"/>
        <v>46118</v>
      </c>
      <c r="CA145" s="345">
        <f>IF(_xlfn.XLOOKUP($E145,'[1]Import Eletra'!$B:$B,'[1]Import Eletra'!$BB:$BB,,0,1)=0,"",_xlfn.XLOOKUP($E145,'[1]Import Eletra'!$B:$B,'[1]Import Eletra'!$BB:$BB,,0,1))</f>
        <v>46112</v>
      </c>
      <c r="CB145" s="309">
        <f t="shared" si="399"/>
        <v>0</v>
      </c>
      <c r="CC145" s="309">
        <f t="shared" ca="1" si="400"/>
        <v>-6</v>
      </c>
      <c r="CD145" s="310">
        <f t="shared" ca="1" si="401"/>
        <v>-6</v>
      </c>
      <c r="CE145" s="363">
        <f t="shared" si="402"/>
        <v>46118</v>
      </c>
      <c r="CF145" s="345" t="str">
        <f>IF(_xlfn.XLOOKUP($E145,'[1]Import Eletra'!$B:$B,'[1]Import Eletra'!$BC:$BC,,0,1)=0,"",_xlfn.XLOOKUP($E145,'[1]Import Eletra'!$B:$B,'[1]Import Eletra'!$BC:$BC,,0,1))</f>
        <v/>
      </c>
      <c r="CG145" s="309">
        <f t="shared" si="403"/>
        <v>0</v>
      </c>
      <c r="CH145" s="309">
        <f t="shared" ca="1" si="404"/>
        <v>93</v>
      </c>
      <c r="CI145" s="310">
        <f t="shared" ca="1" si="405"/>
        <v>93</v>
      </c>
      <c r="CJ145" s="336">
        <f t="shared" si="406"/>
        <v>46118</v>
      </c>
      <c r="CK145" s="345" t="str">
        <f>IF(_xlfn.XLOOKUP($E145,'[1]Import Eletra'!$B:$B,'[1]Import Eletra'!$BD:$BD,,0,1)=0,"",_xlfn.XLOOKUP($E145,'[1]Import Eletra'!$B:$B,'[1]Import Eletra'!$BD:$BD,,0,1))</f>
        <v/>
      </c>
      <c r="CL145" s="309"/>
      <c r="CM145" s="309">
        <f t="shared" ca="1" si="407"/>
        <v>93</v>
      </c>
      <c r="CN145" s="310">
        <f t="shared" ca="1" si="408"/>
        <v>93</v>
      </c>
      <c r="CO145" s="363">
        <f t="shared" si="409"/>
        <v>46118</v>
      </c>
      <c r="CP145" s="345">
        <f>IF(_xlfn.XLOOKUP($E145,'[1]Import Eletra'!$B:$B,'[1]Import Eletra'!$BE:$BE,,0,1)=0,"",_xlfn.XLOOKUP($E145,'[1]Import Eletra'!$B:$B,'[1]Import Eletra'!$BE:$BE,,0,1))</f>
        <v>46118</v>
      </c>
      <c r="CQ145" s="309">
        <f t="shared" si="410"/>
        <v>0</v>
      </c>
      <c r="CR145" s="309">
        <f t="shared" ca="1" si="411"/>
        <v>0</v>
      </c>
      <c r="CS145" s="310">
        <f t="shared" ca="1" si="412"/>
        <v>0</v>
      </c>
      <c r="CT145" s="336">
        <f t="shared" si="413"/>
        <v>46118</v>
      </c>
      <c r="CU145" s="345">
        <f>IF(_xlfn.XLOOKUP($E145,'[1]Import Eletra'!$B:$B,'[1]Import Eletra'!$BF:$BF,,0,1)=0,"",_xlfn.XLOOKUP($E145,'[1]Import Eletra'!$B:$B,'[1]Import Eletra'!$BF:$BF,,0,1))</f>
        <v>46118</v>
      </c>
      <c r="CV145" s="309">
        <f t="shared" si="414"/>
        <v>0</v>
      </c>
      <c r="CW145" s="309">
        <f t="shared" ca="1" si="415"/>
        <v>0</v>
      </c>
      <c r="CX145" s="310">
        <f t="shared" ca="1" si="416"/>
        <v>0</v>
      </c>
      <c r="CY145" s="85">
        <f t="shared" si="417"/>
        <v>46118</v>
      </c>
      <c r="CZ145" s="271">
        <f>IF(_xlfn.XLOOKUP($E145,'[1]Import Eletra'!$B:$B,'[1]Import Eletra'!$BF:$BF,,0,1)=0,"",_xlfn.XLOOKUP($E145,'[1]Import Eletra'!$B:$B,'[1]Import Eletra'!$BF:$BF,,0,1))</f>
        <v>46118</v>
      </c>
      <c r="DA145" s="311">
        <f t="shared" si="418"/>
        <v>0</v>
      </c>
      <c r="DB145" s="309">
        <f t="shared" ca="1" si="419"/>
        <v>0</v>
      </c>
      <c r="DC145" s="310">
        <f t="shared" ca="1" si="420"/>
        <v>0</v>
      </c>
      <c r="DD145" s="85">
        <f t="shared" si="421"/>
        <v>46120</v>
      </c>
      <c r="DE145" s="271" t="str">
        <f>IF(_xlfn.XLOOKUP($E145,'[1]Import Eletra'!$B:$B,'[1]Import Eletra'!$BG:$BG,,0,1)=0,"",_xlfn.XLOOKUP($E145,'[1]Import Eletra'!$B:$B,'[1]Import Eletra'!$BG:$BG,0,1))</f>
        <v/>
      </c>
      <c r="DF145" s="309">
        <f t="shared" si="422"/>
        <v>2</v>
      </c>
      <c r="DG145" s="309">
        <f t="shared" ca="1" si="423"/>
        <v>91</v>
      </c>
      <c r="DH145" s="310">
        <f t="shared" ca="1" si="424"/>
        <v>89</v>
      </c>
      <c r="DI145" s="85">
        <f t="shared" si="425"/>
        <v>46121</v>
      </c>
      <c r="DJ145" s="271" t="str">
        <f>IF(_xlfn.XLOOKUP($E145,'[1]Import Eletra'!$B:$B,'[1]Import Eletra'!$BH:$BH,,0,1)=0,"",_xlfn.XLOOKUP($E145,'[1]Import Eletra'!$B:$B,'[1]Import Eletra'!$BH:$BH,0,1))</f>
        <v/>
      </c>
      <c r="DK145" s="309">
        <f t="shared" si="426"/>
        <v>1</v>
      </c>
      <c r="DL145" s="309">
        <f t="shared" ca="1" si="427"/>
        <v>90</v>
      </c>
      <c r="DM145" s="310">
        <f t="shared" ca="1" si="428"/>
        <v>89</v>
      </c>
      <c r="DN145" s="312"/>
      <c r="DO145" s="313">
        <f t="shared" si="429"/>
        <v>46122</v>
      </c>
      <c r="DP145" s="59">
        <f>IF(_xlfn.XLOOKUP($E145,'[1]Import Eletra'!$B:$B,'[1]Import Eletra'!$O:$O,,0,1)=0,"",_xlfn.XLOOKUP($E145,'[1]Import Eletra'!$B:$B,'[1]Import Eletra'!$O:$O,0,1))</f>
        <v>46122</v>
      </c>
      <c r="DQ145" s="309">
        <f t="shared" si="430"/>
        <v>1</v>
      </c>
      <c r="DR145" s="309">
        <f t="shared" ca="1" si="431"/>
        <v>0</v>
      </c>
      <c r="DS145" s="310">
        <f t="shared" ca="1" si="432"/>
        <v>-1</v>
      </c>
      <c r="DT145" s="314">
        <v>17</v>
      </c>
      <c r="DU145" s="140">
        <f t="shared" ca="1" si="433"/>
        <v>31</v>
      </c>
      <c r="DV145" s="184">
        <f t="shared" ca="1" si="434"/>
        <v>14</v>
      </c>
      <c r="DX145" s="316"/>
      <c r="DY145" s="108" t="str">
        <f>IF(_xlfn.XLOOKUP($E145,'[1]Import Eletra'!$B:$B,'[1]Import Eletra'!$DW:$DW,,0,1)=0,"",_xlfn.XLOOKUP($E145,'[1]Import Eletra'!$B:$B,'[1]Import Eletra'!$DW:$DW,0,1))</f>
        <v/>
      </c>
      <c r="EB145" s="317"/>
      <c r="ED145" s="406">
        <f>IF(_xlfn.XLOOKUP($E145,'[1]Import Eletra'!$B:$B,'[1]Import Eletra'!$BQ:$BQ,,0,1)=0,"",_xlfn.XLOOKUP($E145,'[1]Import Eletra'!$B:$B,'[1]Import Eletra'!$BQ:$BQ,0,1))</f>
        <v>7318</v>
      </c>
      <c r="EE145" s="407">
        <f>IF(_xlfn.XLOOKUP($E145,'[1]Import Eletra'!$B:$B,'[1]Import Eletra'!$BR:$BR,,0,1)=0,"",_xlfn.XLOOKUP($E145,'[1]Import Eletra'!$B:$B,'[1]Import Eletra'!$BR:$BR,0,1))</f>
        <v>46130</v>
      </c>
      <c r="EF145" s="406">
        <f>IF(_xlfn.XLOOKUP($E145,'[1]Import Eletra'!$B:$B,'[1]Import Eletra'!$BS:$BS,,0,1)=0,"",_xlfn.XLOOKUP($E145,'[1]Import Eletra'!$B:$B,'[1]Import Eletra'!$BS:$BS,0,1))</f>
        <v>17561.169999999998</v>
      </c>
      <c r="EG145" s="407">
        <f>IF(_xlfn.XLOOKUP($E145,'[1]Import Eletra'!$B:$B,'[1]Import Eletra'!$BT:$BT,,0,1)=0,"",_xlfn.XLOOKUP($E145,'[1]Import Eletra'!$B:$B,'[1]Import Eletra'!$BT:$BT,0,1))</f>
        <v>46167</v>
      </c>
      <c r="EH145" s="406" t="str">
        <f>IF(_xlfn.XLOOKUP($E145,'[1]Import Eletra'!$B:$B,'[1]Import Eletra'!$BU:$BU,,0,1)=0,"",_xlfn.XLOOKUP($E145,'[1]Import Eletra'!$B:$B,'[1]Import Eletra'!$BU:$BU,0,1))</f>
        <v/>
      </c>
      <c r="EI145" s="407" t="str">
        <f>IF(_xlfn.XLOOKUP($E145,'[1]Import Eletra'!$B:$B,'[1]Import Eletra'!$BV:$BV,,0,1)=0,"",_xlfn.XLOOKUP($E145,'[1]Import Eletra'!$B:$B,'[1]Import Eletra'!$BV:$BV,0,1))</f>
        <v/>
      </c>
      <c r="EJ145" s="407">
        <f>IF(_xlfn.XLOOKUP($E145,'[1]Import Eletra'!$B:$B,'[1]Import Eletra'!$CI:$CI,,0,1)=0,"",_xlfn.XLOOKUP($E145,'[1]Import Eletra'!$B:$B,'[1]Import Eletra'!$CI:$CI,0,1))</f>
        <v>46109</v>
      </c>
      <c r="EK145" s="407" t="str">
        <f>IF(_xlfn.XLOOKUP($E145,'[1]Import Eletra'!$B:$B,'[1]Import Eletra'!$CD:$CD,,0,1)=0,"",_xlfn.XLOOKUP($E145,'[1]Import Eletra'!$B:$B,'[1]Import Eletra'!$CD:$CD,0,1))</f>
        <v/>
      </c>
      <c r="EL145" s="407" t="str">
        <f>IF(_xlfn.XLOOKUP($E145,'[1]Import Eletra'!$B:$B,'[1]Import Eletra'!$CE:$CE,,0,1)=0,"",_xlfn.XLOOKUP($E145,'[1]Import Eletra'!$B:$B,'[1]Import Eletra'!$CE:$CE,0,1))</f>
        <v>NÃO</v>
      </c>
      <c r="EM145" s="408" t="str">
        <f>IF(_xlfn.XLOOKUP($E145,'[1]Import Eletra'!$B:$B,'[1]Import Eletra'!$E:$E,,0,1)=0,"",_xlfn.XLOOKUP($E145,'[1]Import Eletra'!$B:$B,'[1]Import Eletra'!$E:$E,0,1))</f>
        <v>LEISIANE</v>
      </c>
      <c r="EN145" s="408" t="str">
        <f>IF(_xlfn.XLOOKUP($E145,'[1]Import Eletra'!$B:$B,'[1]Import Eletra'!$E:$E,,0,1)=0,"",_xlfn.XLOOKUP($E145,'[1]Import Eletra'!$B:$B,'[1]Import Eletra'!$E:$E,0,1))</f>
        <v>LEISIANE</v>
      </c>
      <c r="EO145" s="408" t="str">
        <f>IF(_xlfn.XLOOKUP($E145,'[1]Import Eletra'!$B:$B,'[1]Import Eletra'!$E:$E,,0,1)=0,"",_xlfn.XLOOKUP($E145,'[1]Import Eletra'!$B:$B,'[1]Import Eletra'!$E:$E,0,1))</f>
        <v>LEISIANE</v>
      </c>
      <c r="EP145" s="408" t="str">
        <f>IF(_xlfn.XLOOKUP($E145,'[1]Import Eletra'!$B:$B,'[1]Import Eletra'!$E:$E,,0,1)=0,"",_xlfn.XLOOKUP($E145,'[1]Import Eletra'!$B:$B,'[1]Import Eletra'!$E:$E,0,1))</f>
        <v>LEISIANE</v>
      </c>
    </row>
    <row r="146" spans="1:146" s="315" customFormat="1" ht="30" hidden="1" customHeight="1" outlineLevel="1">
      <c r="A146" s="305"/>
      <c r="B146" s="306"/>
      <c r="C146" s="306"/>
      <c r="D146" s="306"/>
      <c r="E146" s="367" t="s">
        <v>442</v>
      </c>
      <c r="F146" s="307">
        <f>IF(_xlfn.XLOOKUP($E146,'[1]Import Eletra'!$B:$B,'[1]Import Eletra'!$U:$U,,0,1)=0,"",_xlfn.XLOOKUP($E146,'[1]Import Eletra'!$B:$B,'[1]Import Eletra'!$U:$U,,0,1))</f>
        <v>0.5</v>
      </c>
      <c r="G146" s="320" t="s">
        <v>244</v>
      </c>
      <c r="H146" s="59" t="str">
        <f>_xlfn.XLOOKUP($E146,'[1]Import Eletra'!$B:$B,'[1]Import Eletra'!$F:$F,,0,1)</f>
        <v>DELIVERED</v>
      </c>
      <c r="I146" s="4" t="str">
        <f>_xlfn.XLOOKUP($E146,'[1]Import Eletra'!$B:$B,'[1]Import Eletra'!$G:$G,,0,1)</f>
        <v>SEA</v>
      </c>
      <c r="J146" s="331"/>
      <c r="K146" s="308"/>
      <c r="L146" s="308"/>
      <c r="M146" s="331">
        <f>IF(_xlfn.XLOOKUP($E146,'[1]Import Eletra'!$B:$B,'[1]Import Eletra'!$J:$J,,0,1)=0,"",_xlfn.XLOOKUP($E146,'[1]Import Eletra'!$B:$B,'[1]Import Eletra'!$J:$J,,0,1))</f>
        <v>46041</v>
      </c>
      <c r="N146" s="334">
        <f>IF(_xlfn.XLOOKUP($E146,'[1]Import Eletra'!$B:$B,'[1]Import Eletra'!$L:$L,,0,1)=0,"",_xlfn.XLOOKUP($E146,'[1]Import Eletra'!$B:$B,'[1]Import Eletra'!$L:$L,,0,1))</f>
        <v>46091</v>
      </c>
      <c r="O146" s="336">
        <f>IF(_xlfn.XLOOKUP($E146,'[1]Import Eletra'!$B:$B,'[1]Import Eletra'!$AK:$AK,,0,1)=0,"",_xlfn.XLOOKUP($E146,'[1]Import Eletra'!$B:$B,'[1]Import Eletra'!$AK:$AK,,0,1))</f>
        <v>46056</v>
      </c>
      <c r="P146" s="331">
        <f>IF(_xlfn.XLOOKUP($E146,'[1]Import Eletra'!$B:$B,'[1]Import Eletra'!$AL:$AL,,0,1)=0,"",_xlfn.XLOOKUP($E146,'[1]Import Eletra'!$B:$B,'[1]Import Eletra'!$AL:$AL,,0,1))</f>
        <v>46092</v>
      </c>
      <c r="Q146" s="331">
        <f>IF(_xlfn.XLOOKUP($E146,'[1]Import Eletra'!$B:$B,'[1]Import Eletra'!$AM:$AM,,0,1)=0,"",_xlfn.XLOOKUP($E146,'[1]Import Eletra'!$B:$B,'[1]Import Eletra'!$AM:$AM,,0,1))</f>
        <v>46101</v>
      </c>
      <c r="R146" s="331">
        <f>IF(_xlfn.XLOOKUP($E146,'[1]Import Eletra'!$B:$B,'[1]Import Eletra'!$AN:$AN,,0,1)=0,"",_xlfn.XLOOKUP($E146,'[1]Import Eletra'!$B:$B,'[1]Import Eletra'!$AN:$AN,,0,1))</f>
        <v>46104</v>
      </c>
      <c r="S146" s="331">
        <f>IF(_xlfn.XLOOKUP($E146,'[1]Import Eletra'!$B:$B,'[1]Import Eletra'!$AO:$AO,,0,1)=0,"",_xlfn.XLOOKUP($E146,'[1]Import Eletra'!$B:$B,'[1]Import Eletra'!$AO:$AO,,0,1))</f>
        <v>46104</v>
      </c>
      <c r="T146" s="331">
        <f>IF(_xlfn.XLOOKUP($E146,'[1]Import Eletra'!$B:$B,'[1]Import Eletra'!$AP:$AP,,0,1)=0,"",_xlfn.XLOOKUP($E146,'[1]Import Eletra'!$B:$B,'[1]Import Eletra'!$AP:$AP,,0,1))</f>
        <v>46104</v>
      </c>
      <c r="U146" s="338">
        <f>IF(_xlfn.XLOOKUP($E146,'[1]Import Eletra'!$B:$B,'[1]Import Eletra'!$AQ:$AQ,,0,1)=0,"",_xlfn.XLOOKUP($E146,'[1]Import Eletra'!$B:$B,'[1]Import Eletra'!$AQ:$AQ,,0,1))</f>
        <v>46104</v>
      </c>
      <c r="V146" s="343">
        <f>IF(_xlfn.XLOOKUP($E146,'[1]Import Eletra'!$B:$B,'[1]Import Eletra'!$AQ:$AQ,,0,1)=0,"",_xlfn.XLOOKUP($E146,'[1]Import Eletra'!$B:$B,'[1]Import Eletra'!$AQ:$AQ,,0,1))</f>
        <v>46104</v>
      </c>
      <c r="W146" s="336">
        <f t="shared" si="354"/>
        <v>46114</v>
      </c>
      <c r="X146" s="345">
        <f>IF(_xlfn.XLOOKUP($E146,'[1]Import Eletra'!$B:$B,'[1]Import Eletra'!$AR:$AR,,0,1)=0,"",_xlfn.XLOOKUP($E146,'[1]Import Eletra'!$B:$B,'[1]Import Eletra'!$AR:$AR,,0,1))</f>
        <v>46093</v>
      </c>
      <c r="Y146" s="309">
        <f t="shared" si="355"/>
        <v>0</v>
      </c>
      <c r="Z146" s="309">
        <f t="shared" ca="1" si="356"/>
        <v>-21</v>
      </c>
      <c r="AA146" s="310" t="str">
        <f t="shared" ca="1" si="357"/>
        <v/>
      </c>
      <c r="AB146" s="350">
        <f t="shared" si="358"/>
        <v>46114</v>
      </c>
      <c r="AC146" s="345">
        <f>IF(_xlfn.XLOOKUP($E146,'[1]Import Eletra'!$B:$B,'[1]Import Eletra'!$AD:$AD,,0,1)=0,"",_xlfn.XLOOKUP($E146,'[1]Import Eletra'!$B:$B,'[1]Import Eletra'!$AD:$AD,,0,1))</f>
        <v>46104</v>
      </c>
      <c r="AD146" s="309">
        <f t="shared" si="359"/>
        <v>0</v>
      </c>
      <c r="AE146" s="309">
        <f t="shared" ca="1" si="360"/>
        <v>-10</v>
      </c>
      <c r="AF146" s="310">
        <f t="shared" ca="1" si="361"/>
        <v>-10</v>
      </c>
      <c r="AG146" s="356">
        <f t="shared" si="362"/>
        <v>46114</v>
      </c>
      <c r="AH146" s="345">
        <f>IF(_xlfn.XLOOKUP($E146,'[1]Import Eletra'!$B:$B,'[1]Import Eletra'!$AE:$AE,,0,1)=0,"",_xlfn.XLOOKUP($E146,'[1]Import Eletra'!$B:$B,'[1]Import Eletra'!$AE:$AE,,0,1))</f>
        <v>46104</v>
      </c>
      <c r="AI146" s="309">
        <f t="shared" si="363"/>
        <v>0</v>
      </c>
      <c r="AJ146" s="309">
        <f t="shared" ca="1" si="364"/>
        <v>-10</v>
      </c>
      <c r="AK146" s="310" t="str">
        <f t="shared" ca="1" si="365"/>
        <v/>
      </c>
      <c r="AL146" s="356">
        <f t="shared" si="366"/>
        <v>46114</v>
      </c>
      <c r="AM146" s="345">
        <f>IF(_xlfn.XLOOKUP($E146,'[1]Import Eletra'!$B:$B,'[1]Import Eletra'!$AT:$AT,,0,1)=0,"",_xlfn.XLOOKUP($E146,'[1]Import Eletra'!$B:$B,'[1]Import Eletra'!$AT:$AT,,0,1))</f>
        <v>46105</v>
      </c>
      <c r="AN146" s="309">
        <f t="shared" si="367"/>
        <v>0</v>
      </c>
      <c r="AO146" s="309">
        <f t="shared" ca="1" si="368"/>
        <v>-9</v>
      </c>
      <c r="AP146" s="310" t="str">
        <f t="shared" ca="1" si="369"/>
        <v/>
      </c>
      <c r="AQ146" s="359">
        <f t="shared" si="370"/>
        <v>46115</v>
      </c>
      <c r="AR146" s="345">
        <f>IF(_xlfn.XLOOKUP($E146,'[1]Import Eletra'!$B:$B,'[1]Import Eletra'!$AU:$AU,,0,1)=0,"",_xlfn.XLOOKUP($E146,'[1]Import Eletra'!$B:$B,'[1]Import Eletra'!$AU:$AU,,0,1))</f>
        <v>46105</v>
      </c>
      <c r="AS146" s="309">
        <f t="shared" si="371"/>
        <v>1</v>
      </c>
      <c r="AT146" s="309">
        <f t="shared" ca="1" si="372"/>
        <v>-10</v>
      </c>
      <c r="AU146" s="310" t="str">
        <f t="shared" ca="1" si="373"/>
        <v/>
      </c>
      <c r="AV146" s="356">
        <f t="shared" si="374"/>
        <v>46115</v>
      </c>
      <c r="AW146" s="345">
        <f>IF(_xlfn.XLOOKUP($E146,'[1]Import Eletra'!$B:$B,'[1]Import Eletra'!$AU:$AU,,0,1)=0,"",_xlfn.XLOOKUP($E146,'[1]Import Eletra'!$B:$B,'[1]Import Eletra'!$AU:$AU,,0,1))</f>
        <v>46105</v>
      </c>
      <c r="AX146" s="309">
        <f t="shared" si="375"/>
        <v>0</v>
      </c>
      <c r="AY146" s="309">
        <f t="shared" ca="1" si="376"/>
        <v>-10</v>
      </c>
      <c r="AZ146" s="310" t="str">
        <f t="shared" ca="1" si="377"/>
        <v/>
      </c>
      <c r="BA146" s="359">
        <f t="shared" si="378"/>
        <v>46115</v>
      </c>
      <c r="BB146" s="345" t="str">
        <f>IF(_xlfn.XLOOKUP($E146,'[1]Import Eletra'!$B:$B,'[1]Import Eletra'!$AW:$AW,,0,1)=0,"",_xlfn.XLOOKUP($E146,'[1]Import Eletra'!$B:$B,'[1]Import Eletra'!$AW:$AW,,0,1))</f>
        <v/>
      </c>
      <c r="BC146" s="309">
        <f t="shared" si="379"/>
        <v>0</v>
      </c>
      <c r="BD146" s="309">
        <f t="shared" ca="1" si="380"/>
        <v>96</v>
      </c>
      <c r="BE146" s="310">
        <f t="shared" ca="1" si="381"/>
        <v>96</v>
      </c>
      <c r="BF146" s="336">
        <f t="shared" si="382"/>
        <v>46115</v>
      </c>
      <c r="BG146" s="345" t="str">
        <f>IF(_xlfn.XLOOKUP($E146,'[1]Import Eletra'!$B:$B,'[1]Import Eletra'!$AX:$AX,,0,1)=0,"",_xlfn.XLOOKUP($E146,'[1]Import Eletra'!$B:$B,'[1]Import Eletra'!$AX:$AX,,0,1))</f>
        <v/>
      </c>
      <c r="BH146" s="309">
        <f t="shared" si="383"/>
        <v>0</v>
      </c>
      <c r="BI146" s="309">
        <f t="shared" ca="1" si="384"/>
        <v>96</v>
      </c>
      <c r="BJ146" s="310">
        <f t="shared" ca="1" si="385"/>
        <v>96</v>
      </c>
      <c r="BK146" s="363">
        <f t="shared" si="386"/>
        <v>46115</v>
      </c>
      <c r="BL146" s="345">
        <f>IF(_xlfn.XLOOKUP($E146,'[1]Import Eletra'!$B:$B,'[1]Import Eletra'!$AY:$AY,,0,1)=0,"",_xlfn.XLOOKUP($E146,'[1]Import Eletra'!$B:$B,'[1]Import Eletra'!$AY:$AY,,0,1))</f>
        <v>46105</v>
      </c>
      <c r="BM146" s="309">
        <f t="shared" si="387"/>
        <v>0</v>
      </c>
      <c r="BN146" s="309">
        <f t="shared" ca="1" si="388"/>
        <v>-10</v>
      </c>
      <c r="BO146" s="310">
        <f t="shared" ca="1" si="389"/>
        <v>-10</v>
      </c>
      <c r="BP146" s="336">
        <f t="shared" si="390"/>
        <v>46115</v>
      </c>
      <c r="BQ146" s="345">
        <f>IF(_xlfn.XLOOKUP($E146,'[1]Import Eletra'!$B:$B,'[1]Import Eletra'!$AZ:$AZ,,0,1)=0,"",_xlfn.XLOOKUP($E146,'[1]Import Eletra'!$B:$B,'[1]Import Eletra'!$AZ:$AZ,,0,1))</f>
        <v>46105</v>
      </c>
      <c r="BR146" s="309">
        <f t="shared" si="391"/>
        <v>0</v>
      </c>
      <c r="BS146" s="309">
        <f t="shared" ca="1" si="392"/>
        <v>-10</v>
      </c>
      <c r="BT146" s="310">
        <f t="shared" ca="1" si="393"/>
        <v>-10</v>
      </c>
      <c r="BU146" s="363">
        <f t="shared" si="394"/>
        <v>46117</v>
      </c>
      <c r="BV146" s="345">
        <f>IF(_xlfn.XLOOKUP($E146,'[1]Import Eletra'!$B:$B,'[1]Import Eletra'!$BA:$BA,,0,1)=0,"",_xlfn.XLOOKUP($E146,'[1]Import Eletra'!$B:$B,'[1]Import Eletra'!$BA:$BA,,0,1))</f>
        <v>46108</v>
      </c>
      <c r="BW146" s="309">
        <f t="shared" si="395"/>
        <v>2</v>
      </c>
      <c r="BX146" s="309">
        <f t="shared" ca="1" si="396"/>
        <v>-9</v>
      </c>
      <c r="BY146" s="310" t="str">
        <f t="shared" ca="1" si="397"/>
        <v/>
      </c>
      <c r="BZ146" s="336">
        <f t="shared" si="398"/>
        <v>46117</v>
      </c>
      <c r="CA146" s="345">
        <f>IF(_xlfn.XLOOKUP($E146,'[1]Import Eletra'!$B:$B,'[1]Import Eletra'!$BB:$BB,,0,1)=0,"",_xlfn.XLOOKUP($E146,'[1]Import Eletra'!$B:$B,'[1]Import Eletra'!$BB:$BB,,0,1))</f>
        <v>46105</v>
      </c>
      <c r="CB146" s="309">
        <f t="shared" si="399"/>
        <v>0</v>
      </c>
      <c r="CC146" s="309">
        <f t="shared" ca="1" si="400"/>
        <v>-12</v>
      </c>
      <c r="CD146" s="310">
        <f t="shared" ca="1" si="401"/>
        <v>-12</v>
      </c>
      <c r="CE146" s="363">
        <f t="shared" si="402"/>
        <v>46117</v>
      </c>
      <c r="CF146" s="345">
        <f>IF(_xlfn.XLOOKUP($E146,'[1]Import Eletra'!$B:$B,'[1]Import Eletra'!$BC:$BC,,0,1)=0,"",_xlfn.XLOOKUP($E146,'[1]Import Eletra'!$B:$B,'[1]Import Eletra'!$BC:$BC,,0,1))</f>
        <v>46105</v>
      </c>
      <c r="CG146" s="309">
        <f t="shared" si="403"/>
        <v>0</v>
      </c>
      <c r="CH146" s="309">
        <f t="shared" ca="1" si="404"/>
        <v>-12</v>
      </c>
      <c r="CI146" s="310">
        <f t="shared" ca="1" si="405"/>
        <v>-12</v>
      </c>
      <c r="CJ146" s="336">
        <f t="shared" si="406"/>
        <v>46117</v>
      </c>
      <c r="CK146" s="345">
        <f>IF(_xlfn.XLOOKUP($E146,'[1]Import Eletra'!$B:$B,'[1]Import Eletra'!$BD:$BD,,0,1)=0,"",_xlfn.XLOOKUP($E146,'[1]Import Eletra'!$B:$B,'[1]Import Eletra'!$BD:$BD,,0,1))</f>
        <v>46120</v>
      </c>
      <c r="CL146" s="309"/>
      <c r="CM146" s="309">
        <f t="shared" ca="1" si="407"/>
        <v>3</v>
      </c>
      <c r="CN146" s="310">
        <f t="shared" ca="1" si="408"/>
        <v>3</v>
      </c>
      <c r="CO146" s="363">
        <f t="shared" si="409"/>
        <v>46117</v>
      </c>
      <c r="CP146" s="345">
        <f>IF(_xlfn.XLOOKUP($E146,'[1]Import Eletra'!$B:$B,'[1]Import Eletra'!$BE:$BE,,0,1)=0,"",_xlfn.XLOOKUP($E146,'[1]Import Eletra'!$B:$B,'[1]Import Eletra'!$BE:$BE,,0,1))</f>
        <v>46120</v>
      </c>
      <c r="CQ146" s="309">
        <f t="shared" si="410"/>
        <v>0</v>
      </c>
      <c r="CR146" s="309">
        <f t="shared" ca="1" si="411"/>
        <v>3</v>
      </c>
      <c r="CS146" s="310">
        <f t="shared" ca="1" si="412"/>
        <v>3</v>
      </c>
      <c r="CT146" s="336">
        <f t="shared" si="413"/>
        <v>46117</v>
      </c>
      <c r="CU146" s="345">
        <f>IF(_xlfn.XLOOKUP($E146,'[1]Import Eletra'!$B:$B,'[1]Import Eletra'!$BF:$BF,,0,1)=0,"",_xlfn.XLOOKUP($E146,'[1]Import Eletra'!$B:$B,'[1]Import Eletra'!$BF:$BF,,0,1))</f>
        <v>46120</v>
      </c>
      <c r="CV146" s="309">
        <f t="shared" si="414"/>
        <v>0</v>
      </c>
      <c r="CW146" s="309">
        <f t="shared" ca="1" si="415"/>
        <v>3</v>
      </c>
      <c r="CX146" s="310">
        <f t="shared" ca="1" si="416"/>
        <v>3</v>
      </c>
      <c r="CY146" s="85">
        <f t="shared" si="417"/>
        <v>46117</v>
      </c>
      <c r="CZ146" s="271">
        <f>IF(_xlfn.XLOOKUP($E146,'[1]Import Eletra'!$B:$B,'[1]Import Eletra'!$BF:$BF,,0,1)=0,"",_xlfn.XLOOKUP($E146,'[1]Import Eletra'!$B:$B,'[1]Import Eletra'!$BF:$BF,,0,1))</f>
        <v>46120</v>
      </c>
      <c r="DA146" s="311">
        <f t="shared" si="418"/>
        <v>0</v>
      </c>
      <c r="DB146" s="309">
        <f t="shared" ca="1" si="419"/>
        <v>3</v>
      </c>
      <c r="DC146" s="310">
        <f t="shared" ca="1" si="420"/>
        <v>3</v>
      </c>
      <c r="DD146" s="85">
        <f t="shared" si="421"/>
        <v>46119</v>
      </c>
      <c r="DE146" s="271" t="str">
        <f>IF(_xlfn.XLOOKUP($E146,'[1]Import Eletra'!$B:$B,'[1]Import Eletra'!$BG:$BG,,0,1)=0,"",_xlfn.XLOOKUP($E146,'[1]Import Eletra'!$B:$B,'[1]Import Eletra'!$BG:$BG,0,1))</f>
        <v/>
      </c>
      <c r="DF146" s="309">
        <f t="shared" si="422"/>
        <v>2</v>
      </c>
      <c r="DG146" s="309">
        <f t="shared" ca="1" si="423"/>
        <v>92</v>
      </c>
      <c r="DH146" s="310">
        <f t="shared" ca="1" si="424"/>
        <v>90</v>
      </c>
      <c r="DI146" s="85">
        <f t="shared" si="425"/>
        <v>46120</v>
      </c>
      <c r="DJ146" s="271" t="str">
        <f>IF(_xlfn.XLOOKUP($E146,'[1]Import Eletra'!$B:$B,'[1]Import Eletra'!$BH:$BH,,0,1)=0,"",_xlfn.XLOOKUP($E146,'[1]Import Eletra'!$B:$B,'[1]Import Eletra'!$BH:$BH,0,1))</f>
        <v/>
      </c>
      <c r="DK146" s="309">
        <f t="shared" si="426"/>
        <v>1</v>
      </c>
      <c r="DL146" s="309">
        <f t="shared" ca="1" si="427"/>
        <v>91</v>
      </c>
      <c r="DM146" s="310">
        <f t="shared" ca="1" si="428"/>
        <v>90</v>
      </c>
      <c r="DN146" s="312"/>
      <c r="DO146" s="313">
        <f t="shared" si="429"/>
        <v>46121</v>
      </c>
      <c r="DP146" s="59">
        <f>IF(_xlfn.XLOOKUP($E146,'[1]Import Eletra'!$B:$B,'[1]Import Eletra'!$O:$O,,0,1)=0,"",_xlfn.XLOOKUP($E146,'[1]Import Eletra'!$B:$B,'[1]Import Eletra'!$O:$O,0,1))</f>
        <v>46122</v>
      </c>
      <c r="DQ146" s="309">
        <f t="shared" si="430"/>
        <v>1</v>
      </c>
      <c r="DR146" s="309">
        <f t="shared" ca="1" si="431"/>
        <v>1</v>
      </c>
      <c r="DS146" s="310">
        <f t="shared" ca="1" si="432"/>
        <v>0</v>
      </c>
      <c r="DT146" s="314">
        <v>17</v>
      </c>
      <c r="DU146" s="140">
        <f t="shared" ca="1" si="433"/>
        <v>31</v>
      </c>
      <c r="DV146" s="184">
        <f t="shared" ca="1" si="434"/>
        <v>14</v>
      </c>
      <c r="DX146" s="316"/>
      <c r="DY146" s="108" t="str">
        <f>IF(_xlfn.XLOOKUP($E146,'[1]Import Eletra'!$B:$B,'[1]Import Eletra'!$DW:$DW,,0,1)=0,"",_xlfn.XLOOKUP($E146,'[1]Import Eletra'!$B:$B,'[1]Import Eletra'!$DW:$DW,0,1))</f>
        <v/>
      </c>
      <c r="EB146" s="317"/>
      <c r="ED146" s="406">
        <f>IF(_xlfn.XLOOKUP($E146,'[1]Import Eletra'!$B:$B,'[1]Import Eletra'!$BQ:$BQ,,0,1)=0,"",_xlfn.XLOOKUP($E146,'[1]Import Eletra'!$B:$B,'[1]Import Eletra'!$BQ:$BQ,0,1))</f>
        <v>3264.54</v>
      </c>
      <c r="EE146" s="407">
        <f>IF(_xlfn.XLOOKUP($E146,'[1]Import Eletra'!$B:$B,'[1]Import Eletra'!$BR:$BR,,0,1)=0,"",_xlfn.XLOOKUP($E146,'[1]Import Eletra'!$B:$B,'[1]Import Eletra'!$BR:$BR,0,1))</f>
        <v>46130</v>
      </c>
      <c r="EF146" s="406">
        <f>IF(_xlfn.XLOOKUP($E146,'[1]Import Eletra'!$B:$B,'[1]Import Eletra'!$BS:$BS,,0,1)=0,"",_xlfn.XLOOKUP($E146,'[1]Import Eletra'!$B:$B,'[1]Import Eletra'!$BS:$BS,0,1))</f>
        <v>17561.169999999998</v>
      </c>
      <c r="EG146" s="407">
        <f>IF(_xlfn.XLOOKUP($E146,'[1]Import Eletra'!$B:$B,'[1]Import Eletra'!$BT:$BT,,0,1)=0,"",_xlfn.XLOOKUP($E146,'[1]Import Eletra'!$B:$B,'[1]Import Eletra'!$BT:$BT,0,1))</f>
        <v>46167</v>
      </c>
      <c r="EH146" s="406" t="str">
        <f>IF(_xlfn.XLOOKUP($E146,'[1]Import Eletra'!$B:$B,'[1]Import Eletra'!$BU:$BU,,0,1)=0,"",_xlfn.XLOOKUP($E146,'[1]Import Eletra'!$B:$B,'[1]Import Eletra'!$BU:$BU,0,1))</f>
        <v/>
      </c>
      <c r="EI146" s="407" t="str">
        <f>IF(_xlfn.XLOOKUP($E146,'[1]Import Eletra'!$B:$B,'[1]Import Eletra'!$BV:$BV,,0,1)=0,"",_xlfn.XLOOKUP($E146,'[1]Import Eletra'!$B:$B,'[1]Import Eletra'!$BV:$BV,0,1))</f>
        <v/>
      </c>
      <c r="EJ146" s="407">
        <f>IF(_xlfn.XLOOKUP($E146,'[1]Import Eletra'!$B:$B,'[1]Import Eletra'!$CI:$CI,,0,1)=0,"",_xlfn.XLOOKUP($E146,'[1]Import Eletra'!$B:$B,'[1]Import Eletra'!$CI:$CI,0,1))</f>
        <v>46109</v>
      </c>
      <c r="EK146" s="407" t="str">
        <f>IF(_xlfn.XLOOKUP($E146,'[1]Import Eletra'!$B:$B,'[1]Import Eletra'!$CD:$CD,,0,1)=0,"",_xlfn.XLOOKUP($E146,'[1]Import Eletra'!$B:$B,'[1]Import Eletra'!$CD:$CD,0,1))</f>
        <v/>
      </c>
      <c r="EL146" s="407" t="str">
        <f>IF(_xlfn.XLOOKUP($E146,'[1]Import Eletra'!$B:$B,'[1]Import Eletra'!$CE:$CE,,0,1)=0,"",_xlfn.XLOOKUP($E146,'[1]Import Eletra'!$B:$B,'[1]Import Eletra'!$CE:$CE,0,1))</f>
        <v>NÃO</v>
      </c>
      <c r="EM146" s="408" t="str">
        <f>IF(_xlfn.XLOOKUP($E146,'[1]Import Eletra'!$B:$B,'[1]Import Eletra'!$E:$E,,0,1)=0,"",_xlfn.XLOOKUP($E146,'[1]Import Eletra'!$B:$B,'[1]Import Eletra'!$E:$E,0,1))</f>
        <v>LEISIANE</v>
      </c>
      <c r="EN146" s="408" t="str">
        <f>IF(_xlfn.XLOOKUP($E146,'[1]Import Eletra'!$B:$B,'[1]Import Eletra'!$E:$E,,0,1)=0,"",_xlfn.XLOOKUP($E146,'[1]Import Eletra'!$B:$B,'[1]Import Eletra'!$E:$E,0,1))</f>
        <v>LEISIANE</v>
      </c>
      <c r="EO146" s="408" t="str">
        <f>IF(_xlfn.XLOOKUP($E146,'[1]Import Eletra'!$B:$B,'[1]Import Eletra'!$E:$E,,0,1)=0,"",_xlfn.XLOOKUP($E146,'[1]Import Eletra'!$B:$B,'[1]Import Eletra'!$E:$E,0,1))</f>
        <v>LEISIANE</v>
      </c>
      <c r="EP146" s="408" t="str">
        <f>IF(_xlfn.XLOOKUP($E146,'[1]Import Eletra'!$B:$B,'[1]Import Eletra'!$E:$E,,0,1)=0,"",_xlfn.XLOOKUP($E146,'[1]Import Eletra'!$B:$B,'[1]Import Eletra'!$E:$E,0,1))</f>
        <v>LEISIANE</v>
      </c>
    </row>
    <row r="147" spans="1:146" s="315" customFormat="1" ht="30" hidden="1" customHeight="1" outlineLevel="1">
      <c r="A147" s="305"/>
      <c r="B147" s="306"/>
      <c r="C147" s="306"/>
      <c r="D147" s="306"/>
      <c r="E147" s="367" t="s">
        <v>443</v>
      </c>
      <c r="F147" s="307">
        <f>IF(_xlfn.XLOOKUP($E147,'[1]Import Eletra'!$B:$B,'[1]Import Eletra'!$U:$U,,0,1)=0,"",_xlfn.XLOOKUP($E147,'[1]Import Eletra'!$B:$B,'[1]Import Eletra'!$U:$U,,0,1))</f>
        <v>1</v>
      </c>
      <c r="G147" s="320" t="s">
        <v>244</v>
      </c>
      <c r="H147" s="59" t="str">
        <f>_xlfn.XLOOKUP($E147,'[1]Import Eletra'!$B:$B,'[1]Import Eletra'!$F:$F,,0,1)</f>
        <v>DELIVERED</v>
      </c>
      <c r="I147" s="4" t="str">
        <f>_xlfn.XLOOKUP($E147,'[1]Import Eletra'!$B:$B,'[1]Import Eletra'!$G:$G,,0,1)</f>
        <v>SEA</v>
      </c>
      <c r="J147" s="331"/>
      <c r="K147" s="308"/>
      <c r="L147" s="308"/>
      <c r="M147" s="331">
        <f>IF(_xlfn.XLOOKUP($E147,'[1]Import Eletra'!$B:$B,'[1]Import Eletra'!$J:$J,,0,1)=0,"",_xlfn.XLOOKUP($E147,'[1]Import Eletra'!$B:$B,'[1]Import Eletra'!$J:$J,,0,1))</f>
        <v>46030</v>
      </c>
      <c r="N147" s="334">
        <f>IF(_xlfn.XLOOKUP($E147,'[1]Import Eletra'!$B:$B,'[1]Import Eletra'!$L:$L,,0,1)=0,"",_xlfn.XLOOKUP($E147,'[1]Import Eletra'!$B:$B,'[1]Import Eletra'!$L:$L,,0,1))</f>
        <v>46083</v>
      </c>
      <c r="O147" s="336">
        <f>IF(_xlfn.XLOOKUP($E147,'[1]Import Eletra'!$B:$B,'[1]Import Eletra'!$AK:$AK,,0,1)=0,"",_xlfn.XLOOKUP($E147,'[1]Import Eletra'!$B:$B,'[1]Import Eletra'!$AK:$AK,,0,1))</f>
        <v>46051</v>
      </c>
      <c r="P147" s="331">
        <f>IF(_xlfn.XLOOKUP($E147,'[1]Import Eletra'!$B:$B,'[1]Import Eletra'!$AL:$AL,,0,1)=0,"",_xlfn.XLOOKUP($E147,'[1]Import Eletra'!$B:$B,'[1]Import Eletra'!$AL:$AL,,0,1))</f>
        <v>46062</v>
      </c>
      <c r="Q147" s="331">
        <f>IF(_xlfn.XLOOKUP($E147,'[1]Import Eletra'!$B:$B,'[1]Import Eletra'!$AM:$AM,,0,1)=0,"",_xlfn.XLOOKUP($E147,'[1]Import Eletra'!$B:$B,'[1]Import Eletra'!$AM:$AM,,0,1))</f>
        <v>46063</v>
      </c>
      <c r="R147" s="331">
        <f>IF(_xlfn.XLOOKUP($E147,'[1]Import Eletra'!$B:$B,'[1]Import Eletra'!$AN:$AN,,0,1)=0,"",_xlfn.XLOOKUP($E147,'[1]Import Eletra'!$B:$B,'[1]Import Eletra'!$AN:$AN,,0,1))</f>
        <v>46080</v>
      </c>
      <c r="S147" s="331">
        <f>IF(_xlfn.XLOOKUP($E147,'[1]Import Eletra'!$B:$B,'[1]Import Eletra'!$AO:$AO,,0,1)=0,"",_xlfn.XLOOKUP($E147,'[1]Import Eletra'!$B:$B,'[1]Import Eletra'!$AO:$AO,,0,1))</f>
        <v>46083</v>
      </c>
      <c r="T147" s="331">
        <f>IF(_xlfn.XLOOKUP($E147,'[1]Import Eletra'!$B:$B,'[1]Import Eletra'!$AP:$AP,,0,1)=0,"",_xlfn.XLOOKUP($E147,'[1]Import Eletra'!$B:$B,'[1]Import Eletra'!$AP:$AP,,0,1))</f>
        <v>46083</v>
      </c>
      <c r="U147" s="338">
        <f>IF(_xlfn.XLOOKUP($E147,'[1]Import Eletra'!$B:$B,'[1]Import Eletra'!$AQ:$AQ,,0,1)=0,"",_xlfn.XLOOKUP($E147,'[1]Import Eletra'!$B:$B,'[1]Import Eletra'!$AQ:$AQ,,0,1))</f>
        <v>46083</v>
      </c>
      <c r="V147" s="343">
        <f>IF(_xlfn.XLOOKUP($E147,'[1]Import Eletra'!$B:$B,'[1]Import Eletra'!$AQ:$AQ,,0,1)=0,"",_xlfn.XLOOKUP($E147,'[1]Import Eletra'!$B:$B,'[1]Import Eletra'!$AQ:$AQ,,0,1))</f>
        <v>46083</v>
      </c>
      <c r="W147" s="336">
        <f t="shared" si="354"/>
        <v>46093</v>
      </c>
      <c r="X147" s="345">
        <f>IF(_xlfn.XLOOKUP($E147,'[1]Import Eletra'!$B:$B,'[1]Import Eletra'!$AR:$AR,,0,1)=0,"",_xlfn.XLOOKUP($E147,'[1]Import Eletra'!$B:$B,'[1]Import Eletra'!$AR:$AR,,0,1))</f>
        <v>46084</v>
      </c>
      <c r="Y147" s="309">
        <f t="shared" si="355"/>
        <v>0</v>
      </c>
      <c r="Z147" s="309">
        <f t="shared" ca="1" si="356"/>
        <v>-9</v>
      </c>
      <c r="AA147" s="310" t="str">
        <f t="shared" ca="1" si="357"/>
        <v/>
      </c>
      <c r="AB147" s="350">
        <f t="shared" si="358"/>
        <v>46093</v>
      </c>
      <c r="AC147" s="345">
        <f>IF(_xlfn.XLOOKUP($E147,'[1]Import Eletra'!$B:$B,'[1]Import Eletra'!$AD:$AD,,0,1)=0,"",_xlfn.XLOOKUP($E147,'[1]Import Eletra'!$B:$B,'[1]Import Eletra'!$AD:$AD,,0,1))</f>
        <v>46084</v>
      </c>
      <c r="AD147" s="309">
        <f t="shared" si="359"/>
        <v>0</v>
      </c>
      <c r="AE147" s="309">
        <f t="shared" ca="1" si="360"/>
        <v>-9</v>
      </c>
      <c r="AF147" s="310">
        <f t="shared" ca="1" si="361"/>
        <v>-9</v>
      </c>
      <c r="AG147" s="356">
        <f t="shared" si="362"/>
        <v>46093</v>
      </c>
      <c r="AH147" s="345">
        <f>IF(_xlfn.XLOOKUP($E147,'[1]Import Eletra'!$B:$B,'[1]Import Eletra'!$AE:$AE,,0,1)=0,"",_xlfn.XLOOKUP($E147,'[1]Import Eletra'!$B:$B,'[1]Import Eletra'!$AE:$AE,,0,1))</f>
        <v>46084</v>
      </c>
      <c r="AI147" s="309">
        <f t="shared" si="363"/>
        <v>0</v>
      </c>
      <c r="AJ147" s="309">
        <f t="shared" ca="1" si="364"/>
        <v>-9</v>
      </c>
      <c r="AK147" s="310" t="str">
        <f t="shared" ca="1" si="365"/>
        <v/>
      </c>
      <c r="AL147" s="356">
        <f t="shared" si="366"/>
        <v>46093</v>
      </c>
      <c r="AM147" s="345">
        <f>IF(_xlfn.XLOOKUP($E147,'[1]Import Eletra'!$B:$B,'[1]Import Eletra'!$AT:$AT,,0,1)=0,"",_xlfn.XLOOKUP($E147,'[1]Import Eletra'!$B:$B,'[1]Import Eletra'!$AT:$AT,,0,1))</f>
        <v>46084</v>
      </c>
      <c r="AN147" s="309">
        <f t="shared" si="367"/>
        <v>0</v>
      </c>
      <c r="AO147" s="309">
        <f t="shared" ca="1" si="368"/>
        <v>-9</v>
      </c>
      <c r="AP147" s="310" t="str">
        <f t="shared" ca="1" si="369"/>
        <v/>
      </c>
      <c r="AQ147" s="359">
        <f t="shared" si="370"/>
        <v>46094</v>
      </c>
      <c r="AR147" s="345">
        <f>IF(_xlfn.XLOOKUP($E147,'[1]Import Eletra'!$B:$B,'[1]Import Eletra'!$AU:$AU,,0,1)=0,"",_xlfn.XLOOKUP($E147,'[1]Import Eletra'!$B:$B,'[1]Import Eletra'!$AU:$AU,,0,1))</f>
        <v>46084</v>
      </c>
      <c r="AS147" s="309">
        <f t="shared" si="371"/>
        <v>1</v>
      </c>
      <c r="AT147" s="309">
        <f t="shared" ca="1" si="372"/>
        <v>-10</v>
      </c>
      <c r="AU147" s="310" t="str">
        <f t="shared" ca="1" si="373"/>
        <v/>
      </c>
      <c r="AV147" s="356">
        <f t="shared" si="374"/>
        <v>46094</v>
      </c>
      <c r="AW147" s="345">
        <f>IF(_xlfn.XLOOKUP($E147,'[1]Import Eletra'!$B:$B,'[1]Import Eletra'!$AU:$AU,,0,1)=0,"",_xlfn.XLOOKUP($E147,'[1]Import Eletra'!$B:$B,'[1]Import Eletra'!$AU:$AU,,0,1))</f>
        <v>46084</v>
      </c>
      <c r="AX147" s="309">
        <f t="shared" si="375"/>
        <v>0</v>
      </c>
      <c r="AY147" s="309">
        <f t="shared" ca="1" si="376"/>
        <v>-10</v>
      </c>
      <c r="AZ147" s="310" t="str">
        <f t="shared" ca="1" si="377"/>
        <v/>
      </c>
      <c r="BA147" s="359">
        <f t="shared" si="378"/>
        <v>46094</v>
      </c>
      <c r="BB147" s="345" t="str">
        <f>IF(_xlfn.XLOOKUP($E147,'[1]Import Eletra'!$B:$B,'[1]Import Eletra'!$AW:$AW,,0,1)=0,"",_xlfn.XLOOKUP($E147,'[1]Import Eletra'!$B:$B,'[1]Import Eletra'!$AW:$AW,,0,1))</f>
        <v/>
      </c>
      <c r="BC147" s="309">
        <f t="shared" si="379"/>
        <v>0</v>
      </c>
      <c r="BD147" s="309">
        <f t="shared" ca="1" si="380"/>
        <v>117</v>
      </c>
      <c r="BE147" s="310">
        <f t="shared" ca="1" si="381"/>
        <v>117</v>
      </c>
      <c r="BF147" s="336">
        <f t="shared" si="382"/>
        <v>46094</v>
      </c>
      <c r="BG147" s="345">
        <f>IF(_xlfn.XLOOKUP($E147,'[1]Import Eletra'!$B:$B,'[1]Import Eletra'!$AX:$AX,,0,1)=0,"",_xlfn.XLOOKUP($E147,'[1]Import Eletra'!$B:$B,'[1]Import Eletra'!$AX:$AX,,0,1))</f>
        <v>46084</v>
      </c>
      <c r="BH147" s="309">
        <f t="shared" si="383"/>
        <v>0</v>
      </c>
      <c r="BI147" s="309">
        <f t="shared" ca="1" si="384"/>
        <v>-10</v>
      </c>
      <c r="BJ147" s="310" t="str">
        <f t="shared" ca="1" si="385"/>
        <v/>
      </c>
      <c r="BK147" s="363">
        <f t="shared" si="386"/>
        <v>46094</v>
      </c>
      <c r="BL147" s="345">
        <f>IF(_xlfn.XLOOKUP($E147,'[1]Import Eletra'!$B:$B,'[1]Import Eletra'!$AY:$AY,,0,1)=0,"",_xlfn.XLOOKUP($E147,'[1]Import Eletra'!$B:$B,'[1]Import Eletra'!$AY:$AY,,0,1))</f>
        <v>46084</v>
      </c>
      <c r="BM147" s="309">
        <f t="shared" si="387"/>
        <v>0</v>
      </c>
      <c r="BN147" s="309">
        <f t="shared" ca="1" si="388"/>
        <v>-10</v>
      </c>
      <c r="BO147" s="310">
        <f t="shared" ca="1" si="389"/>
        <v>-10</v>
      </c>
      <c r="BP147" s="336">
        <f t="shared" si="390"/>
        <v>46094</v>
      </c>
      <c r="BQ147" s="345">
        <f>IF(_xlfn.XLOOKUP($E147,'[1]Import Eletra'!$B:$B,'[1]Import Eletra'!$AZ:$AZ,,0,1)=0,"",_xlfn.XLOOKUP($E147,'[1]Import Eletra'!$B:$B,'[1]Import Eletra'!$AZ:$AZ,,0,1))</f>
        <v>46084</v>
      </c>
      <c r="BR147" s="309">
        <f t="shared" si="391"/>
        <v>0</v>
      </c>
      <c r="BS147" s="309">
        <f t="shared" ca="1" si="392"/>
        <v>-10</v>
      </c>
      <c r="BT147" s="310">
        <f t="shared" ca="1" si="393"/>
        <v>-10</v>
      </c>
      <c r="BU147" s="363">
        <f t="shared" si="394"/>
        <v>46096</v>
      </c>
      <c r="BV147" s="345">
        <f>IF(_xlfn.XLOOKUP($E147,'[1]Import Eletra'!$B:$B,'[1]Import Eletra'!$BA:$BA,,0,1)=0,"",_xlfn.XLOOKUP($E147,'[1]Import Eletra'!$B:$B,'[1]Import Eletra'!$BA:$BA,,0,1))</f>
        <v>46086</v>
      </c>
      <c r="BW147" s="309">
        <f t="shared" si="395"/>
        <v>2</v>
      </c>
      <c r="BX147" s="309">
        <f t="shared" ca="1" si="396"/>
        <v>-10</v>
      </c>
      <c r="BY147" s="310" t="str">
        <f t="shared" ca="1" si="397"/>
        <v/>
      </c>
      <c r="BZ147" s="336">
        <f t="shared" si="398"/>
        <v>46096</v>
      </c>
      <c r="CA147" s="345">
        <f>IF(_xlfn.XLOOKUP($E147,'[1]Import Eletra'!$B:$B,'[1]Import Eletra'!$BB:$BB,,0,1)=0,"",_xlfn.XLOOKUP($E147,'[1]Import Eletra'!$B:$B,'[1]Import Eletra'!$BB:$BB,,0,1))</f>
        <v>46086</v>
      </c>
      <c r="CB147" s="309">
        <f t="shared" si="399"/>
        <v>0</v>
      </c>
      <c r="CC147" s="309">
        <f t="shared" ca="1" si="400"/>
        <v>-10</v>
      </c>
      <c r="CD147" s="310">
        <f t="shared" ca="1" si="401"/>
        <v>-10</v>
      </c>
      <c r="CE147" s="363">
        <f t="shared" si="402"/>
        <v>46096</v>
      </c>
      <c r="CF147" s="345" t="str">
        <f>IF(_xlfn.XLOOKUP($E147,'[1]Import Eletra'!$B:$B,'[1]Import Eletra'!$BC:$BC,,0,1)=0,"",_xlfn.XLOOKUP($E147,'[1]Import Eletra'!$B:$B,'[1]Import Eletra'!$BC:$BC,,0,1))</f>
        <v/>
      </c>
      <c r="CG147" s="309">
        <f t="shared" si="403"/>
        <v>0</v>
      </c>
      <c r="CH147" s="309">
        <f t="shared" ca="1" si="404"/>
        <v>115</v>
      </c>
      <c r="CI147" s="310">
        <f t="shared" ca="1" si="405"/>
        <v>115</v>
      </c>
      <c r="CJ147" s="336">
        <f t="shared" si="406"/>
        <v>46096</v>
      </c>
      <c r="CK147" s="345">
        <f>IF(_xlfn.XLOOKUP($E147,'[1]Import Eletra'!$B:$B,'[1]Import Eletra'!$BD:$BD,,0,1)=0,"",_xlfn.XLOOKUP($E147,'[1]Import Eletra'!$B:$B,'[1]Import Eletra'!$BD:$BD,,0,1))</f>
        <v>46086</v>
      </c>
      <c r="CL147" s="309"/>
      <c r="CM147" s="309">
        <f t="shared" ca="1" si="407"/>
        <v>-10</v>
      </c>
      <c r="CN147" s="310">
        <f t="shared" ca="1" si="408"/>
        <v>-10</v>
      </c>
      <c r="CO147" s="363">
        <f t="shared" si="409"/>
        <v>46096</v>
      </c>
      <c r="CP147" s="345" t="str">
        <f>IF(_xlfn.XLOOKUP($E147,'[1]Import Eletra'!$B:$B,'[1]Import Eletra'!$BE:$BE,,0,1)=0,"",_xlfn.XLOOKUP($E147,'[1]Import Eletra'!$B:$B,'[1]Import Eletra'!$BE:$BE,,0,1))</f>
        <v/>
      </c>
      <c r="CQ147" s="309">
        <f t="shared" si="410"/>
        <v>0</v>
      </c>
      <c r="CR147" s="309">
        <f t="shared" ca="1" si="411"/>
        <v>115</v>
      </c>
      <c r="CS147" s="310">
        <f t="shared" ca="1" si="412"/>
        <v>115</v>
      </c>
      <c r="CT147" s="336">
        <f t="shared" si="413"/>
        <v>46096</v>
      </c>
      <c r="CU147" s="345" t="str">
        <f>IF(_xlfn.XLOOKUP($E147,'[1]Import Eletra'!$B:$B,'[1]Import Eletra'!$BF:$BF,,0,1)=0,"",_xlfn.XLOOKUP($E147,'[1]Import Eletra'!$B:$B,'[1]Import Eletra'!$BF:$BF,,0,1))</f>
        <v/>
      </c>
      <c r="CV147" s="309">
        <f t="shared" si="414"/>
        <v>0</v>
      </c>
      <c r="CW147" s="309">
        <f t="shared" ca="1" si="415"/>
        <v>115</v>
      </c>
      <c r="CX147" s="310">
        <f t="shared" ca="1" si="416"/>
        <v>115</v>
      </c>
      <c r="CY147" s="85">
        <f t="shared" si="417"/>
        <v>46096</v>
      </c>
      <c r="CZ147" s="271" t="str">
        <f>IF(_xlfn.XLOOKUP($E147,'[1]Import Eletra'!$B:$B,'[1]Import Eletra'!$BF:$BF,,0,1)=0,"",_xlfn.XLOOKUP($E147,'[1]Import Eletra'!$B:$B,'[1]Import Eletra'!$BF:$BF,,0,1))</f>
        <v/>
      </c>
      <c r="DA147" s="311">
        <f t="shared" si="418"/>
        <v>0</v>
      </c>
      <c r="DB147" s="309">
        <f t="shared" ca="1" si="419"/>
        <v>115</v>
      </c>
      <c r="DC147" s="310">
        <f t="shared" ca="1" si="420"/>
        <v>115</v>
      </c>
      <c r="DD147" s="85">
        <f t="shared" si="421"/>
        <v>46098</v>
      </c>
      <c r="DE147" s="271" t="str">
        <f>IF(_xlfn.XLOOKUP($E147,'[1]Import Eletra'!$B:$B,'[1]Import Eletra'!$BG:$BG,,0,1)=0,"",_xlfn.XLOOKUP($E147,'[1]Import Eletra'!$B:$B,'[1]Import Eletra'!$BG:$BG,0,1))</f>
        <v/>
      </c>
      <c r="DF147" s="309">
        <f t="shared" si="422"/>
        <v>2</v>
      </c>
      <c r="DG147" s="309">
        <f t="shared" ca="1" si="423"/>
        <v>113</v>
      </c>
      <c r="DH147" s="310">
        <f t="shared" ca="1" si="424"/>
        <v>111</v>
      </c>
      <c r="DI147" s="85">
        <f t="shared" si="425"/>
        <v>46099</v>
      </c>
      <c r="DJ147" s="271" t="str">
        <f>IF(_xlfn.XLOOKUP($E147,'[1]Import Eletra'!$B:$B,'[1]Import Eletra'!$BH:$BH,,0,1)=0,"",_xlfn.XLOOKUP($E147,'[1]Import Eletra'!$B:$B,'[1]Import Eletra'!$BH:$BH,0,1))</f>
        <v/>
      </c>
      <c r="DK147" s="309">
        <f t="shared" si="426"/>
        <v>1</v>
      </c>
      <c r="DL147" s="309">
        <f t="shared" ca="1" si="427"/>
        <v>112</v>
      </c>
      <c r="DM147" s="310">
        <f t="shared" ca="1" si="428"/>
        <v>111</v>
      </c>
      <c r="DN147" s="312"/>
      <c r="DO147" s="313">
        <f t="shared" si="429"/>
        <v>46100</v>
      </c>
      <c r="DP147" s="59">
        <f>IF(_xlfn.XLOOKUP($E147,'[1]Import Eletra'!$B:$B,'[1]Import Eletra'!$O:$O,,0,1)=0,"",_xlfn.XLOOKUP($E147,'[1]Import Eletra'!$B:$B,'[1]Import Eletra'!$O:$O,0,1))</f>
        <v>46088</v>
      </c>
      <c r="DQ147" s="309">
        <f t="shared" si="430"/>
        <v>1</v>
      </c>
      <c r="DR147" s="309">
        <f t="shared" ca="1" si="431"/>
        <v>-12</v>
      </c>
      <c r="DS147" s="310">
        <f t="shared" ca="1" si="432"/>
        <v>-13</v>
      </c>
      <c r="DT147" s="314">
        <v>17</v>
      </c>
      <c r="DU147" s="140">
        <f t="shared" ca="1" si="433"/>
        <v>5</v>
      </c>
      <c r="DV147" s="184">
        <f t="shared" ca="1" si="434"/>
        <v>-12</v>
      </c>
      <c r="DX147" s="316"/>
      <c r="DY147" s="108" t="str">
        <f>IF(_xlfn.XLOOKUP($E147,'[1]Import Eletra'!$B:$B,'[1]Import Eletra'!$DW:$DW,,0,1)=0,"",_xlfn.XLOOKUP($E147,'[1]Import Eletra'!$B:$B,'[1]Import Eletra'!$DW:$DW,0,1))</f>
        <v/>
      </c>
      <c r="EB147" s="317"/>
      <c r="ED147" s="406" t="str">
        <f>IF(_xlfn.XLOOKUP($E147,'[1]Import Eletra'!$B:$B,'[1]Import Eletra'!$BQ:$BQ,,0,1)=0,"",_xlfn.XLOOKUP($E147,'[1]Import Eletra'!$B:$B,'[1]Import Eletra'!$BQ:$BQ,0,1))</f>
        <v/>
      </c>
      <c r="EE147" s="407" t="str">
        <f>IF(_xlfn.XLOOKUP($E147,'[1]Import Eletra'!$B:$B,'[1]Import Eletra'!$BR:$BR,,0,1)=0,"",_xlfn.XLOOKUP($E147,'[1]Import Eletra'!$B:$B,'[1]Import Eletra'!$BR:$BR,0,1))</f>
        <v/>
      </c>
      <c r="EF147" s="406" t="str">
        <f>IF(_xlfn.XLOOKUP($E147,'[1]Import Eletra'!$B:$B,'[1]Import Eletra'!$BS:$BS,,0,1)=0,"",_xlfn.XLOOKUP($E147,'[1]Import Eletra'!$B:$B,'[1]Import Eletra'!$BS:$BS,0,1))</f>
        <v/>
      </c>
      <c r="EG147" s="407" t="str">
        <f>IF(_xlfn.XLOOKUP($E147,'[1]Import Eletra'!$B:$B,'[1]Import Eletra'!$BT:$BT,,0,1)=0,"",_xlfn.XLOOKUP($E147,'[1]Import Eletra'!$B:$B,'[1]Import Eletra'!$BT:$BT,0,1))</f>
        <v/>
      </c>
      <c r="EH147" s="406" t="str">
        <f>IF(_xlfn.XLOOKUP($E147,'[1]Import Eletra'!$B:$B,'[1]Import Eletra'!$BU:$BU,,0,1)=0,"",_xlfn.XLOOKUP($E147,'[1]Import Eletra'!$B:$B,'[1]Import Eletra'!$BU:$BU,0,1))</f>
        <v/>
      </c>
      <c r="EI147" s="407" t="str">
        <f>IF(_xlfn.XLOOKUP($E147,'[1]Import Eletra'!$B:$B,'[1]Import Eletra'!$BV:$BV,,0,1)=0,"",_xlfn.XLOOKUP($E147,'[1]Import Eletra'!$B:$B,'[1]Import Eletra'!$BV:$BV,0,1))</f>
        <v/>
      </c>
      <c r="EJ147" s="407">
        <f>IF(_xlfn.XLOOKUP($E147,'[1]Import Eletra'!$B:$B,'[1]Import Eletra'!$CI:$CI,,0,1)=0,"",_xlfn.XLOOKUP($E147,'[1]Import Eletra'!$B:$B,'[1]Import Eletra'!$CI:$CI,0,1))</f>
        <v>46101</v>
      </c>
      <c r="EK147" s="407" t="str">
        <f>IF(_xlfn.XLOOKUP($E147,'[1]Import Eletra'!$B:$B,'[1]Import Eletra'!$CD:$CD,,0,1)=0,"",_xlfn.XLOOKUP($E147,'[1]Import Eletra'!$B:$B,'[1]Import Eletra'!$CD:$CD,0,1))</f>
        <v/>
      </c>
      <c r="EL147" s="407" t="str">
        <f>IF(_xlfn.XLOOKUP($E147,'[1]Import Eletra'!$B:$B,'[1]Import Eletra'!$CE:$CE,,0,1)=0,"",_xlfn.XLOOKUP($E147,'[1]Import Eletra'!$B:$B,'[1]Import Eletra'!$CE:$CE,0,1))</f>
        <v>NÃO</v>
      </c>
      <c r="EM147" s="408" t="str">
        <f>IF(_xlfn.XLOOKUP($E147,'[1]Import Eletra'!$B:$B,'[1]Import Eletra'!$E:$E,,0,1)=0,"",_xlfn.XLOOKUP($E147,'[1]Import Eletra'!$B:$B,'[1]Import Eletra'!$E:$E,0,1))</f>
        <v>LEISIANE</v>
      </c>
      <c r="EN147" s="408" t="str">
        <f>IF(_xlfn.XLOOKUP($E147,'[1]Import Eletra'!$B:$B,'[1]Import Eletra'!$E:$E,,0,1)=0,"",_xlfn.XLOOKUP($E147,'[1]Import Eletra'!$B:$B,'[1]Import Eletra'!$E:$E,0,1))</f>
        <v>LEISIANE</v>
      </c>
      <c r="EO147" s="408" t="str">
        <f>IF(_xlfn.XLOOKUP($E147,'[1]Import Eletra'!$B:$B,'[1]Import Eletra'!$E:$E,,0,1)=0,"",_xlfn.XLOOKUP($E147,'[1]Import Eletra'!$B:$B,'[1]Import Eletra'!$E:$E,0,1))</f>
        <v>LEISIANE</v>
      </c>
      <c r="EP147" s="408" t="str">
        <f>IF(_xlfn.XLOOKUP($E147,'[1]Import Eletra'!$B:$B,'[1]Import Eletra'!$E:$E,,0,1)=0,"",_xlfn.XLOOKUP($E147,'[1]Import Eletra'!$B:$B,'[1]Import Eletra'!$E:$E,0,1))</f>
        <v>LEISIANE</v>
      </c>
    </row>
    <row r="148" spans="1:146" s="315" customFormat="1" ht="30" hidden="1" customHeight="1" outlineLevel="1">
      <c r="A148" s="305"/>
      <c r="B148" s="306"/>
      <c r="C148" s="306"/>
      <c r="D148" s="306"/>
      <c r="E148" s="367" t="s">
        <v>444</v>
      </c>
      <c r="F148" s="307">
        <f>IF(_xlfn.XLOOKUP($E148,'[1]Import Eletra'!$B:$B,'[1]Import Eletra'!$U:$U,,0,1)=0,"",_xlfn.XLOOKUP($E148,'[1]Import Eletra'!$B:$B,'[1]Import Eletra'!$U:$U,,0,1))</f>
        <v>2</v>
      </c>
      <c r="G148" s="320" t="s">
        <v>244</v>
      </c>
      <c r="H148" s="59" t="str">
        <f>_xlfn.XLOOKUP($E148,'[1]Import Eletra'!$B:$B,'[1]Import Eletra'!$F:$F,,0,1)</f>
        <v>DELIVERED</v>
      </c>
      <c r="I148" s="4" t="str">
        <f>_xlfn.XLOOKUP($E148,'[1]Import Eletra'!$B:$B,'[1]Import Eletra'!$G:$G,,0,1)</f>
        <v>SEA</v>
      </c>
      <c r="J148" s="331"/>
      <c r="K148" s="308"/>
      <c r="L148" s="308"/>
      <c r="M148" s="331">
        <f>IF(_xlfn.XLOOKUP($E148,'[1]Import Eletra'!$B:$B,'[1]Import Eletra'!$J:$J,,0,1)=0,"",_xlfn.XLOOKUP($E148,'[1]Import Eletra'!$B:$B,'[1]Import Eletra'!$J:$J,,0,1))</f>
        <v>46026</v>
      </c>
      <c r="N148" s="334">
        <f>IF(_xlfn.XLOOKUP($E148,'[1]Import Eletra'!$B:$B,'[1]Import Eletra'!$L:$L,,0,1)=0,"",_xlfn.XLOOKUP($E148,'[1]Import Eletra'!$B:$B,'[1]Import Eletra'!$L:$L,,0,1))</f>
        <v>46083</v>
      </c>
      <c r="O148" s="336">
        <f>IF(_xlfn.XLOOKUP($E148,'[1]Import Eletra'!$B:$B,'[1]Import Eletra'!$AK:$AK,,0,1)=0,"",_xlfn.XLOOKUP($E148,'[1]Import Eletra'!$B:$B,'[1]Import Eletra'!$AK:$AK,,0,1))</f>
        <v>46059</v>
      </c>
      <c r="P148" s="331">
        <f>IF(_xlfn.XLOOKUP($E148,'[1]Import Eletra'!$B:$B,'[1]Import Eletra'!$AL:$AL,,0,1)=0,"",_xlfn.XLOOKUP($E148,'[1]Import Eletra'!$B:$B,'[1]Import Eletra'!$AL:$AL,,0,1))</f>
        <v>46064</v>
      </c>
      <c r="Q148" s="331">
        <f>IF(_xlfn.XLOOKUP($E148,'[1]Import Eletra'!$B:$B,'[1]Import Eletra'!$AM:$AM,,0,1)=0,"",_xlfn.XLOOKUP($E148,'[1]Import Eletra'!$B:$B,'[1]Import Eletra'!$AM:$AM,,0,1))</f>
        <v>46064</v>
      </c>
      <c r="R148" s="331">
        <f>IF(_xlfn.XLOOKUP($E148,'[1]Import Eletra'!$B:$B,'[1]Import Eletra'!$AN:$AN,,0,1)=0,"",_xlfn.XLOOKUP($E148,'[1]Import Eletra'!$B:$B,'[1]Import Eletra'!$AN:$AN,,0,1))</f>
        <v>46065</v>
      </c>
      <c r="S148" s="331">
        <f>IF(_xlfn.XLOOKUP($E148,'[1]Import Eletra'!$B:$B,'[1]Import Eletra'!$AO:$AO,,0,1)=0,"",_xlfn.XLOOKUP($E148,'[1]Import Eletra'!$B:$B,'[1]Import Eletra'!$AO:$AO,,0,1))</f>
        <v>46065</v>
      </c>
      <c r="T148" s="331">
        <f>IF(_xlfn.XLOOKUP($E148,'[1]Import Eletra'!$B:$B,'[1]Import Eletra'!$AP:$AP,,0,1)=0,"",_xlfn.XLOOKUP($E148,'[1]Import Eletra'!$B:$B,'[1]Import Eletra'!$AP:$AP,,0,1))</f>
        <v>46076</v>
      </c>
      <c r="U148" s="338">
        <f>IF(_xlfn.XLOOKUP($E148,'[1]Import Eletra'!$B:$B,'[1]Import Eletra'!$AQ:$AQ,,0,1)=0,"",_xlfn.XLOOKUP($E148,'[1]Import Eletra'!$B:$B,'[1]Import Eletra'!$AQ:$AQ,,0,1))</f>
        <v>46084</v>
      </c>
      <c r="V148" s="343">
        <f>IF(_xlfn.XLOOKUP($E148,'[1]Import Eletra'!$B:$B,'[1]Import Eletra'!$AQ:$AQ,,0,1)=0,"",_xlfn.XLOOKUP($E148,'[1]Import Eletra'!$B:$B,'[1]Import Eletra'!$AQ:$AQ,,0,1))</f>
        <v>46084</v>
      </c>
      <c r="W148" s="336">
        <f t="shared" ref="W148:W157" si="435">AB148-$AB$4</f>
        <v>46094</v>
      </c>
      <c r="X148" s="345">
        <f>IF(_xlfn.XLOOKUP($E148,'[1]Import Eletra'!$B:$B,'[1]Import Eletra'!$AR:$AR,,0,1)=0,"",_xlfn.XLOOKUP($E148,'[1]Import Eletra'!$B:$B,'[1]Import Eletra'!$AR:$AR,,0,1))</f>
        <v>46084</v>
      </c>
      <c r="Y148" s="309">
        <f t="shared" si="355"/>
        <v>0</v>
      </c>
      <c r="Z148" s="309">
        <f t="shared" ref="Z148:Z157" ca="1" si="436">IF(X148="",TODAY()-W148,X148-W148)</f>
        <v>-10</v>
      </c>
      <c r="AA148" s="310" t="str">
        <f t="shared" ca="1" si="357"/>
        <v/>
      </c>
      <c r="AB148" s="350">
        <f t="shared" ref="AB148:AB157" si="437">AG148-$AB$4</f>
        <v>46094</v>
      </c>
      <c r="AC148" s="345">
        <f>IF(_xlfn.XLOOKUP($E148,'[1]Import Eletra'!$B:$B,'[1]Import Eletra'!$AD:$AD,,0,1)=0,"",_xlfn.XLOOKUP($E148,'[1]Import Eletra'!$B:$B,'[1]Import Eletra'!$AD:$AD,,0,1))</f>
        <v>46084</v>
      </c>
      <c r="AD148" s="309">
        <f t="shared" si="359"/>
        <v>0</v>
      </c>
      <c r="AE148" s="309">
        <f t="shared" ref="AE148:AE157" ca="1" si="438">IF(AC148="",TODAY()-AB148,AC148-AB148)</f>
        <v>-10</v>
      </c>
      <c r="AF148" s="310">
        <f t="shared" ref="AF148:AF157" ca="1" si="439">AE148-AD148</f>
        <v>-10</v>
      </c>
      <c r="AG148" s="356">
        <f t="shared" ref="AG148:AG157" si="440">AL148-$AL$4</f>
        <v>46094</v>
      </c>
      <c r="AH148" s="345">
        <f>IF(_xlfn.XLOOKUP($E148,'[1]Import Eletra'!$B:$B,'[1]Import Eletra'!$AE:$AE,,0,1)=0,"",_xlfn.XLOOKUP($E148,'[1]Import Eletra'!$B:$B,'[1]Import Eletra'!$AE:$AE,,0,1))</f>
        <v>46084</v>
      </c>
      <c r="AI148" s="309">
        <f t="shared" si="363"/>
        <v>0</v>
      </c>
      <c r="AJ148" s="309">
        <f t="shared" ref="AJ148:AJ157" ca="1" si="441">IF(AH148="",TODAY()-AG148,AH148-AG148)</f>
        <v>-10</v>
      </c>
      <c r="AK148" s="310" t="str">
        <f t="shared" ca="1" si="365"/>
        <v/>
      </c>
      <c r="AL148" s="356">
        <f t="shared" ref="AL148:AL157" si="442">AQ148-$AQ$4</f>
        <v>46094</v>
      </c>
      <c r="AM148" s="345">
        <f>IF(_xlfn.XLOOKUP($E148,'[1]Import Eletra'!$B:$B,'[1]Import Eletra'!$AT:$AT,,0,1)=0,"",_xlfn.XLOOKUP($E148,'[1]Import Eletra'!$B:$B,'[1]Import Eletra'!$AT:$AT,,0,1))</f>
        <v>46084</v>
      </c>
      <c r="AN148" s="309">
        <f t="shared" si="367"/>
        <v>0</v>
      </c>
      <c r="AO148" s="309">
        <f t="shared" ref="AO148:AO157" ca="1" si="443">IF(AM148="",TODAY()-AL148,AM148-AL148)</f>
        <v>-10</v>
      </c>
      <c r="AP148" s="310" t="str">
        <f t="shared" ca="1" si="369"/>
        <v/>
      </c>
      <c r="AQ148" s="359">
        <f t="shared" ref="AQ148:AQ157" si="444">AV148-$AV$4</f>
        <v>46095</v>
      </c>
      <c r="AR148" s="345">
        <f>IF(_xlfn.XLOOKUP($E148,'[1]Import Eletra'!$B:$B,'[1]Import Eletra'!$AU:$AU,,0,1)=0,"",_xlfn.XLOOKUP($E148,'[1]Import Eletra'!$B:$B,'[1]Import Eletra'!$AU:$AU,,0,1))</f>
        <v>46084</v>
      </c>
      <c r="AS148" s="309">
        <f t="shared" si="371"/>
        <v>1</v>
      </c>
      <c r="AT148" s="309">
        <f t="shared" ref="AT148:AT157" ca="1" si="445">IF(AR148="",TODAY()-AQ148,AR148-AQ148)</f>
        <v>-11</v>
      </c>
      <c r="AU148" s="310" t="str">
        <f t="shared" ca="1" si="373"/>
        <v/>
      </c>
      <c r="AV148" s="356">
        <f t="shared" ref="AV148:AV157" si="446">BA148-$BA$4</f>
        <v>46095</v>
      </c>
      <c r="AW148" s="345">
        <f>IF(_xlfn.XLOOKUP($E148,'[1]Import Eletra'!$B:$B,'[1]Import Eletra'!$AU:$AU,,0,1)=0,"",_xlfn.XLOOKUP($E148,'[1]Import Eletra'!$B:$B,'[1]Import Eletra'!$AU:$AU,,0,1))</f>
        <v>46084</v>
      </c>
      <c r="AX148" s="309">
        <f t="shared" si="375"/>
        <v>0</v>
      </c>
      <c r="AY148" s="309">
        <f t="shared" ref="AY148:AY157" ca="1" si="447">IF(AW148="",TODAY()-AV148,AW148-AV148)</f>
        <v>-11</v>
      </c>
      <c r="AZ148" s="310" t="str">
        <f t="shared" ca="1" si="377"/>
        <v/>
      </c>
      <c r="BA148" s="359">
        <f t="shared" ref="BA148:BA157" si="448">BF148-$BF$4</f>
        <v>46095</v>
      </c>
      <c r="BB148" s="345" t="str">
        <f>IF(_xlfn.XLOOKUP($E148,'[1]Import Eletra'!$B:$B,'[1]Import Eletra'!$AW:$AW,,0,1)=0,"",_xlfn.XLOOKUP($E148,'[1]Import Eletra'!$B:$B,'[1]Import Eletra'!$AW:$AW,,0,1))</f>
        <v/>
      </c>
      <c r="BC148" s="309">
        <f t="shared" si="379"/>
        <v>0</v>
      </c>
      <c r="BD148" s="309">
        <f t="shared" ref="BD148:BD157" ca="1" si="449">IF(BB148="",TODAY()-BA148,BB148-BA148)</f>
        <v>116</v>
      </c>
      <c r="BE148" s="310">
        <f t="shared" ref="BE148:BE157" ca="1" si="450">BD148-BC148</f>
        <v>116</v>
      </c>
      <c r="BF148" s="336">
        <f t="shared" ref="BF148:BF157" si="451">BK148-$BK$4</f>
        <v>46095</v>
      </c>
      <c r="BG148" s="345" t="str">
        <f>IF(_xlfn.XLOOKUP($E148,'[1]Import Eletra'!$B:$B,'[1]Import Eletra'!$AX:$AX,,0,1)=0,"",_xlfn.XLOOKUP($E148,'[1]Import Eletra'!$B:$B,'[1]Import Eletra'!$AX:$AX,,0,1))</f>
        <v/>
      </c>
      <c r="BH148" s="309">
        <f t="shared" si="383"/>
        <v>0</v>
      </c>
      <c r="BI148" s="309">
        <f t="shared" ref="BI148:BI157" ca="1" si="452">IF(BG148="",TODAY()-BF148,BG148-BF148)</f>
        <v>116</v>
      </c>
      <c r="BJ148" s="310">
        <f t="shared" ca="1" si="385"/>
        <v>116</v>
      </c>
      <c r="BK148" s="363">
        <f t="shared" ref="BK148:BK157" si="453">BP148-$BP$4</f>
        <v>46095</v>
      </c>
      <c r="BL148" s="345">
        <f>IF(_xlfn.XLOOKUP($E148,'[1]Import Eletra'!$B:$B,'[1]Import Eletra'!$AY:$AY,,0,1)=0,"",_xlfn.XLOOKUP($E148,'[1]Import Eletra'!$B:$B,'[1]Import Eletra'!$AY:$AY,,0,1))</f>
        <v>46084</v>
      </c>
      <c r="BM148" s="309">
        <f t="shared" si="387"/>
        <v>0</v>
      </c>
      <c r="BN148" s="309">
        <f t="shared" ref="BN148:BN157" ca="1" si="454">IF(BL148="",TODAY()-BK148,BL148-BK148)</f>
        <v>-11</v>
      </c>
      <c r="BO148" s="310">
        <f t="shared" ref="BO148:BO157" ca="1" si="455">BN148-BM148</f>
        <v>-11</v>
      </c>
      <c r="BP148" s="336">
        <f t="shared" ref="BP148:BP157" si="456">BU148-$BU$4</f>
        <v>46095</v>
      </c>
      <c r="BQ148" s="345">
        <f>IF(_xlfn.XLOOKUP($E148,'[1]Import Eletra'!$B:$B,'[1]Import Eletra'!$AZ:$AZ,,0,1)=0,"",_xlfn.XLOOKUP($E148,'[1]Import Eletra'!$B:$B,'[1]Import Eletra'!$AZ:$AZ,,0,1))</f>
        <v>46084</v>
      </c>
      <c r="BR148" s="309">
        <f t="shared" si="391"/>
        <v>0</v>
      </c>
      <c r="BS148" s="309">
        <f t="shared" ref="BS148:BS157" ca="1" si="457">IF(BQ148="",TODAY()-BP148,BQ148-BP148)</f>
        <v>-11</v>
      </c>
      <c r="BT148" s="310">
        <f t="shared" ref="BT148:BT157" ca="1" si="458">BS148-BR148</f>
        <v>-11</v>
      </c>
      <c r="BU148" s="363">
        <f t="shared" ref="BU148:BU157" si="459">BZ148-$BZ$4</f>
        <v>46097</v>
      </c>
      <c r="BV148" s="345">
        <f>IF(_xlfn.XLOOKUP($E148,'[1]Import Eletra'!$B:$B,'[1]Import Eletra'!$BA:$BA,,0,1)=0,"",_xlfn.XLOOKUP($E148,'[1]Import Eletra'!$B:$B,'[1]Import Eletra'!$BA:$BA,,0,1))</f>
        <v>46086</v>
      </c>
      <c r="BW148" s="309">
        <f t="shared" si="395"/>
        <v>2</v>
      </c>
      <c r="BX148" s="309">
        <f t="shared" ref="BX148:BX157" ca="1" si="460">IF(BV148="",TODAY()-BU148,BV148-BU148)</f>
        <v>-11</v>
      </c>
      <c r="BY148" s="310" t="str">
        <f t="shared" ca="1" si="397"/>
        <v/>
      </c>
      <c r="BZ148" s="336">
        <f t="shared" ref="BZ148:BZ157" si="461">CE148-$CE$4</f>
        <v>46097</v>
      </c>
      <c r="CA148" s="345">
        <f>IF(_xlfn.XLOOKUP($E148,'[1]Import Eletra'!$B:$B,'[1]Import Eletra'!$BB:$BB,,0,1)=0,"",_xlfn.XLOOKUP($E148,'[1]Import Eletra'!$B:$B,'[1]Import Eletra'!$BB:$BB,,0,1))</f>
        <v>46086</v>
      </c>
      <c r="CB148" s="309">
        <f t="shared" si="399"/>
        <v>0</v>
      </c>
      <c r="CC148" s="309">
        <f t="shared" ref="CC148:CC157" ca="1" si="462">IF(CA148="",TODAY()-BZ148,CA148-BZ148)</f>
        <v>-11</v>
      </c>
      <c r="CD148" s="310">
        <f t="shared" ref="CD148:CD157" ca="1" si="463">CC148-CB148</f>
        <v>-11</v>
      </c>
      <c r="CE148" s="363">
        <f t="shared" ref="CE148:CE157" si="464">CJ148-$CJ$4</f>
        <v>46097</v>
      </c>
      <c r="CF148" s="345">
        <f>IF(_xlfn.XLOOKUP($E148,'[1]Import Eletra'!$B:$B,'[1]Import Eletra'!$BC:$BC,,0,1)=0,"",_xlfn.XLOOKUP($E148,'[1]Import Eletra'!$B:$B,'[1]Import Eletra'!$BC:$BC,,0,1))</f>
        <v>46087</v>
      </c>
      <c r="CG148" s="309">
        <f t="shared" si="403"/>
        <v>0</v>
      </c>
      <c r="CH148" s="309">
        <f t="shared" ref="CH148:CH157" ca="1" si="465">IF(CF148="",TODAY()-CE148,CF148-CE148)</f>
        <v>-10</v>
      </c>
      <c r="CI148" s="310">
        <f t="shared" ref="CI148:CI157" ca="1" si="466">CH148-CG148</f>
        <v>-10</v>
      </c>
      <c r="CJ148" s="336">
        <f t="shared" ref="CJ148:CJ157" si="467">CO148-$CO$4</f>
        <v>46097</v>
      </c>
      <c r="CK148" s="345">
        <f>IF(_xlfn.XLOOKUP($E148,'[1]Import Eletra'!$B:$B,'[1]Import Eletra'!$BD:$BD,,0,1)=0,"",_xlfn.XLOOKUP($E148,'[1]Import Eletra'!$B:$B,'[1]Import Eletra'!$BD:$BD,,0,1))</f>
        <v>46086</v>
      </c>
      <c r="CL148" s="309"/>
      <c r="CM148" s="309">
        <f t="shared" ref="CM148:CM157" ca="1" si="468">IF(CK148="",TODAY()-CJ148,CK148-CJ148)</f>
        <v>-11</v>
      </c>
      <c r="CN148" s="310">
        <f t="shared" ref="CN148:CN157" ca="1" si="469">CM148-CL148</f>
        <v>-11</v>
      </c>
      <c r="CO148" s="363">
        <f t="shared" ref="CO148:CO157" si="470">CT148-$CT$4</f>
        <v>46097</v>
      </c>
      <c r="CP148" s="345">
        <f>IF(_xlfn.XLOOKUP($E148,'[1]Import Eletra'!$B:$B,'[1]Import Eletra'!$BE:$BE,,0,1)=0,"",_xlfn.XLOOKUP($E148,'[1]Import Eletra'!$B:$B,'[1]Import Eletra'!$BE:$BE,,0,1))</f>
        <v>46087</v>
      </c>
      <c r="CQ148" s="309">
        <f t="shared" si="410"/>
        <v>0</v>
      </c>
      <c r="CR148" s="309">
        <f t="shared" ref="CR148:CR157" ca="1" si="471">IF(CP148="",TODAY()-CO148,CP148-CO148)</f>
        <v>-10</v>
      </c>
      <c r="CS148" s="310">
        <f t="shared" ref="CS148:CS157" ca="1" si="472">CR148-CQ148</f>
        <v>-10</v>
      </c>
      <c r="CT148" s="336">
        <f t="shared" ref="CT148:CT157" si="473">CY148-$CY$4</f>
        <v>46097</v>
      </c>
      <c r="CU148" s="345">
        <f>IF(_xlfn.XLOOKUP($E148,'[1]Import Eletra'!$B:$B,'[1]Import Eletra'!$BF:$BF,,0,1)=0,"",_xlfn.XLOOKUP($E148,'[1]Import Eletra'!$B:$B,'[1]Import Eletra'!$BF:$BF,,0,1))</f>
        <v>46087</v>
      </c>
      <c r="CV148" s="309">
        <f t="shared" si="414"/>
        <v>0</v>
      </c>
      <c r="CW148" s="309">
        <f t="shared" ref="CW148:CW157" ca="1" si="474">IF(CU148="",TODAY()-CT148,CU148-CT148)</f>
        <v>-10</v>
      </c>
      <c r="CX148" s="310">
        <f t="shared" ref="CX148:CX157" ca="1" si="475">CW148-CV148</f>
        <v>-10</v>
      </c>
      <c r="CY148" s="85">
        <f t="shared" ref="CY148:CY157" si="476">DD148-$DD$4</f>
        <v>46097</v>
      </c>
      <c r="CZ148" s="271">
        <f>IF(_xlfn.XLOOKUP($E148,'[1]Import Eletra'!$B:$B,'[1]Import Eletra'!$BF:$BF,,0,1)=0,"",_xlfn.XLOOKUP($E148,'[1]Import Eletra'!$B:$B,'[1]Import Eletra'!$BF:$BF,,0,1))</f>
        <v>46087</v>
      </c>
      <c r="DA148" s="311">
        <f t="shared" si="418"/>
        <v>0</v>
      </c>
      <c r="DB148" s="309">
        <f t="shared" ref="DB148:DB157" ca="1" si="477">IF(CZ148="",TODAY()-CY148,CZ148-CY148)</f>
        <v>-10</v>
      </c>
      <c r="DC148" s="310">
        <f t="shared" ref="DC148:DC157" ca="1" si="478">DB148-DA148</f>
        <v>-10</v>
      </c>
      <c r="DD148" s="85">
        <f t="shared" ref="DD148:DD157" si="479">DI148-$DI$4</f>
        <v>46099</v>
      </c>
      <c r="DE148" s="271">
        <f>IF(_xlfn.XLOOKUP($E148,'[1]Import Eletra'!$B:$B,'[1]Import Eletra'!$BG:$BG,,0,1)=0,"",_xlfn.XLOOKUP($E148,'[1]Import Eletra'!$B:$B,'[1]Import Eletra'!$BG:$BG,0,1))</f>
        <v>46090</v>
      </c>
      <c r="DF148" s="309">
        <f t="shared" si="422"/>
        <v>2</v>
      </c>
      <c r="DG148" s="309">
        <f t="shared" ref="DG148:DG157" ca="1" si="480">IF(DE148="",TODAY()-DD148,DE148-DD148)</f>
        <v>-9</v>
      </c>
      <c r="DH148" s="310">
        <f t="shared" ref="DH148:DH157" ca="1" si="481">DG148-DF148</f>
        <v>-11</v>
      </c>
      <c r="DI148" s="85">
        <f t="shared" ref="DI148:DI157" si="482">DO148-$DN$4</f>
        <v>46100</v>
      </c>
      <c r="DJ148" s="271" t="str">
        <f>IF(_xlfn.XLOOKUP($E148,'[1]Import Eletra'!$B:$B,'[1]Import Eletra'!$BH:$BH,,0,1)=0,"",_xlfn.XLOOKUP($E148,'[1]Import Eletra'!$B:$B,'[1]Import Eletra'!$BH:$BH,0,1))</f>
        <v/>
      </c>
      <c r="DK148" s="309">
        <f t="shared" si="426"/>
        <v>1</v>
      </c>
      <c r="DL148" s="309">
        <f t="shared" ref="DL148:DL157" ca="1" si="483">IF(DJ148="",TODAY()-DI148,DJ148-DI148)</f>
        <v>111</v>
      </c>
      <c r="DM148" s="310">
        <f t="shared" ref="DM148:DM157" ca="1" si="484">DL148-DK148</f>
        <v>110</v>
      </c>
      <c r="DN148" s="312"/>
      <c r="DO148" s="313">
        <f t="shared" ref="DO148:DO157" si="485">IF(V148="",N148+DT148,V148+DT148)</f>
        <v>46101</v>
      </c>
      <c r="DP148" s="59">
        <f>IF(_xlfn.XLOOKUP($E148,'[1]Import Eletra'!$B:$B,'[1]Import Eletra'!$O:$O,,0,1)=0,"",_xlfn.XLOOKUP($E148,'[1]Import Eletra'!$B:$B,'[1]Import Eletra'!$O:$O,0,1))</f>
        <v>46091</v>
      </c>
      <c r="DQ148" s="309">
        <f t="shared" si="430"/>
        <v>1</v>
      </c>
      <c r="DR148" s="309">
        <f t="shared" ref="DR148:DR157" ca="1" si="486">IF(DP148="",TODAY()-DO148,DP148-DO148)</f>
        <v>-10</v>
      </c>
      <c r="DS148" s="310">
        <f t="shared" ref="DS148:DS157" ca="1" si="487">DR148-DQ148</f>
        <v>-11</v>
      </c>
      <c r="DT148" s="314">
        <v>17</v>
      </c>
      <c r="DU148" s="140">
        <f t="shared" ref="DU148:DU157" ca="1" si="488">IF(DP148="",TODAY()-N148,DP148-N148)</f>
        <v>8</v>
      </c>
      <c r="DV148" s="184">
        <f t="shared" ref="DV148:DV157" ca="1" si="489">DU148-DT148</f>
        <v>-9</v>
      </c>
      <c r="DX148" s="316"/>
      <c r="DY148" s="108" t="str">
        <f>IF(_xlfn.XLOOKUP($E148,'[1]Import Eletra'!$B:$B,'[1]Import Eletra'!$DW:$DW,,0,1)=0,"",_xlfn.XLOOKUP($E148,'[1]Import Eletra'!$B:$B,'[1]Import Eletra'!$DW:$DW,0,1))</f>
        <v/>
      </c>
      <c r="EB148" s="317"/>
      <c r="ED148" s="406" t="str">
        <f>IF(_xlfn.XLOOKUP($E148,'[1]Import Eletra'!$B:$B,'[1]Import Eletra'!$BQ:$BQ,,0,1)=0,"",_xlfn.XLOOKUP($E148,'[1]Import Eletra'!$B:$B,'[1]Import Eletra'!$BQ:$BQ,0,1))</f>
        <v/>
      </c>
      <c r="EE148" s="407" t="str">
        <f>IF(_xlfn.XLOOKUP($E148,'[1]Import Eletra'!$B:$B,'[1]Import Eletra'!$BR:$BR,,0,1)=0,"",_xlfn.XLOOKUP($E148,'[1]Import Eletra'!$B:$B,'[1]Import Eletra'!$BR:$BR,0,1))</f>
        <v/>
      </c>
      <c r="EF148" s="406" t="str">
        <f>IF(_xlfn.XLOOKUP($E148,'[1]Import Eletra'!$B:$B,'[1]Import Eletra'!$BS:$BS,,0,1)=0,"",_xlfn.XLOOKUP($E148,'[1]Import Eletra'!$B:$B,'[1]Import Eletra'!$BS:$BS,0,1))</f>
        <v/>
      </c>
      <c r="EG148" s="407" t="str">
        <f>IF(_xlfn.XLOOKUP($E148,'[1]Import Eletra'!$B:$B,'[1]Import Eletra'!$BT:$BT,,0,1)=0,"",_xlfn.XLOOKUP($E148,'[1]Import Eletra'!$B:$B,'[1]Import Eletra'!$BT:$BT,0,1))</f>
        <v/>
      </c>
      <c r="EH148" s="406" t="str">
        <f>IF(_xlfn.XLOOKUP($E148,'[1]Import Eletra'!$B:$B,'[1]Import Eletra'!$BU:$BU,,0,1)=0,"",_xlfn.XLOOKUP($E148,'[1]Import Eletra'!$B:$B,'[1]Import Eletra'!$BU:$BU,0,1))</f>
        <v/>
      </c>
      <c r="EI148" s="407" t="str">
        <f>IF(_xlfn.XLOOKUP($E148,'[1]Import Eletra'!$B:$B,'[1]Import Eletra'!$BV:$BV,,0,1)=0,"",_xlfn.XLOOKUP($E148,'[1]Import Eletra'!$B:$B,'[1]Import Eletra'!$BV:$BV,0,1))</f>
        <v/>
      </c>
      <c r="EJ148" s="407">
        <f>IF(_xlfn.XLOOKUP($E148,'[1]Import Eletra'!$B:$B,'[1]Import Eletra'!$CI:$CI,,0,1)=0,"",_xlfn.XLOOKUP($E148,'[1]Import Eletra'!$B:$B,'[1]Import Eletra'!$CI:$CI,0,1))</f>
        <v>46101</v>
      </c>
      <c r="EK148" s="407" t="str">
        <f>IF(_xlfn.XLOOKUP($E148,'[1]Import Eletra'!$B:$B,'[1]Import Eletra'!$CD:$CD,,0,1)=0,"",_xlfn.XLOOKUP($E148,'[1]Import Eletra'!$B:$B,'[1]Import Eletra'!$CD:$CD,0,1))</f>
        <v/>
      </c>
      <c r="EL148" s="407" t="str">
        <f>IF(_xlfn.XLOOKUP($E148,'[1]Import Eletra'!$B:$B,'[1]Import Eletra'!$CE:$CE,,0,1)=0,"",_xlfn.XLOOKUP($E148,'[1]Import Eletra'!$B:$B,'[1]Import Eletra'!$CE:$CE,0,1))</f>
        <v>NÃO</v>
      </c>
      <c r="EM148" s="408" t="str">
        <f>IF(_xlfn.XLOOKUP($E148,'[1]Import Eletra'!$B:$B,'[1]Import Eletra'!$E:$E,,0,1)=0,"",_xlfn.XLOOKUP($E148,'[1]Import Eletra'!$B:$B,'[1]Import Eletra'!$E:$E,0,1))</f>
        <v>STELLA</v>
      </c>
      <c r="EN148" s="408" t="str">
        <f>IF(_xlfn.XLOOKUP($E148,'[1]Import Eletra'!$B:$B,'[1]Import Eletra'!$E:$E,,0,1)=0,"",_xlfn.XLOOKUP($E148,'[1]Import Eletra'!$B:$B,'[1]Import Eletra'!$E:$E,0,1))</f>
        <v>STELLA</v>
      </c>
      <c r="EO148" s="408" t="str">
        <f>IF(_xlfn.XLOOKUP($E148,'[1]Import Eletra'!$B:$B,'[1]Import Eletra'!$E:$E,,0,1)=0,"",_xlfn.XLOOKUP($E148,'[1]Import Eletra'!$B:$B,'[1]Import Eletra'!$E:$E,0,1))</f>
        <v>STELLA</v>
      </c>
      <c r="EP148" s="408" t="str">
        <f>IF(_xlfn.XLOOKUP($E148,'[1]Import Eletra'!$B:$B,'[1]Import Eletra'!$E:$E,,0,1)=0,"",_xlfn.XLOOKUP($E148,'[1]Import Eletra'!$B:$B,'[1]Import Eletra'!$E:$E,0,1))</f>
        <v>STELLA</v>
      </c>
    </row>
    <row r="149" spans="1:146" s="315" customFormat="1" ht="30" hidden="1" customHeight="1" outlineLevel="1">
      <c r="A149" s="305"/>
      <c r="B149" s="306"/>
      <c r="C149" s="306"/>
      <c r="D149" s="306"/>
      <c r="E149" s="367" t="s">
        <v>445</v>
      </c>
      <c r="F149" s="307">
        <f>IF(_xlfn.XLOOKUP($E149,'[1]Import Eletra'!$B:$B,'[1]Import Eletra'!$U:$U,,0,1)=0,"",_xlfn.XLOOKUP($E149,'[1]Import Eletra'!$B:$B,'[1]Import Eletra'!$U:$U,,0,1))</f>
        <v>0.5</v>
      </c>
      <c r="G149" s="320" t="s">
        <v>244</v>
      </c>
      <c r="H149" s="59" t="str">
        <f>_xlfn.XLOOKUP($E149,'[1]Import Eletra'!$B:$B,'[1]Import Eletra'!$F:$F,,0,1)</f>
        <v>DELIVERED</v>
      </c>
      <c r="I149" s="4" t="str">
        <f>_xlfn.XLOOKUP($E149,'[1]Import Eletra'!$B:$B,'[1]Import Eletra'!$G:$G,,0,1)</f>
        <v>SEA</v>
      </c>
      <c r="J149" s="331"/>
      <c r="K149" s="308"/>
      <c r="L149" s="308"/>
      <c r="M149" s="331">
        <f>IF(_xlfn.XLOOKUP($E149,'[1]Import Eletra'!$B:$B,'[1]Import Eletra'!$J:$J,,0,1)=0,"",_xlfn.XLOOKUP($E149,'[1]Import Eletra'!$B:$B,'[1]Import Eletra'!$J:$J,,0,1))</f>
        <v>46016</v>
      </c>
      <c r="N149" s="334">
        <f>IF(_xlfn.XLOOKUP($E149,'[1]Import Eletra'!$B:$B,'[1]Import Eletra'!$L:$L,,0,1)=0,"",_xlfn.XLOOKUP($E149,'[1]Import Eletra'!$B:$B,'[1]Import Eletra'!$L:$L,,0,1))</f>
        <v>46084</v>
      </c>
      <c r="O149" s="336">
        <f>IF(_xlfn.XLOOKUP($E149,'[1]Import Eletra'!$B:$B,'[1]Import Eletra'!$AK:$AK,,0,1)=0,"",_xlfn.XLOOKUP($E149,'[1]Import Eletra'!$B:$B,'[1]Import Eletra'!$AK:$AK,,0,1))</f>
        <v>46031</v>
      </c>
      <c r="P149" s="331">
        <f>IF(_xlfn.XLOOKUP($E149,'[1]Import Eletra'!$B:$B,'[1]Import Eletra'!$AL:$AL,,0,1)=0,"",_xlfn.XLOOKUP($E149,'[1]Import Eletra'!$B:$B,'[1]Import Eletra'!$AL:$AL,,0,1))</f>
        <v>46052</v>
      </c>
      <c r="Q149" s="331">
        <f>IF(_xlfn.XLOOKUP($E149,'[1]Import Eletra'!$B:$B,'[1]Import Eletra'!$AM:$AM,,0,1)=0,"",_xlfn.XLOOKUP($E149,'[1]Import Eletra'!$B:$B,'[1]Import Eletra'!$AM:$AM,,0,1))</f>
        <v>46059</v>
      </c>
      <c r="R149" s="331">
        <f>IF(_xlfn.XLOOKUP($E149,'[1]Import Eletra'!$B:$B,'[1]Import Eletra'!$AN:$AN,,0,1)=0,"",_xlfn.XLOOKUP($E149,'[1]Import Eletra'!$B:$B,'[1]Import Eletra'!$AN:$AN,,0,1))</f>
        <v>46062</v>
      </c>
      <c r="S149" s="331">
        <f>IF(_xlfn.XLOOKUP($E149,'[1]Import Eletra'!$B:$B,'[1]Import Eletra'!$AO:$AO,,0,1)=0,"",_xlfn.XLOOKUP($E149,'[1]Import Eletra'!$B:$B,'[1]Import Eletra'!$AO:$AO,,0,1))</f>
        <v>46079</v>
      </c>
      <c r="T149" s="331">
        <f>IF(_xlfn.XLOOKUP($E149,'[1]Import Eletra'!$B:$B,'[1]Import Eletra'!$AP:$AP,,0,1)=0,"",_xlfn.XLOOKUP($E149,'[1]Import Eletra'!$B:$B,'[1]Import Eletra'!$AP:$AP,,0,1))</f>
        <v>46079</v>
      </c>
      <c r="U149" s="338">
        <f>IF(_xlfn.XLOOKUP($E149,'[1]Import Eletra'!$B:$B,'[1]Import Eletra'!$AQ:$AQ,,0,1)=0,"",_xlfn.XLOOKUP($E149,'[1]Import Eletra'!$B:$B,'[1]Import Eletra'!$AQ:$AQ,,0,1))</f>
        <v>46080</v>
      </c>
      <c r="V149" s="343">
        <f>IF(_xlfn.XLOOKUP($E149,'[1]Import Eletra'!$B:$B,'[1]Import Eletra'!$AQ:$AQ,,0,1)=0,"",_xlfn.XLOOKUP($E149,'[1]Import Eletra'!$B:$B,'[1]Import Eletra'!$AQ:$AQ,,0,1))</f>
        <v>46080</v>
      </c>
      <c r="W149" s="336">
        <f t="shared" si="435"/>
        <v>46090</v>
      </c>
      <c r="X149" s="345">
        <f>IF(_xlfn.XLOOKUP($E149,'[1]Import Eletra'!$B:$B,'[1]Import Eletra'!$AR:$AR,,0,1)=0,"",_xlfn.XLOOKUP($E149,'[1]Import Eletra'!$B:$B,'[1]Import Eletra'!$AR:$AR,,0,1))</f>
        <v>46086</v>
      </c>
      <c r="Y149" s="309">
        <f t="shared" si="355"/>
        <v>0</v>
      </c>
      <c r="Z149" s="309">
        <f t="shared" ca="1" si="436"/>
        <v>-4</v>
      </c>
      <c r="AA149" s="310" t="str">
        <f t="shared" ca="1" si="357"/>
        <v/>
      </c>
      <c r="AB149" s="350">
        <f t="shared" si="437"/>
        <v>46090</v>
      </c>
      <c r="AC149" s="345">
        <f>IF(_xlfn.XLOOKUP($E149,'[1]Import Eletra'!$B:$B,'[1]Import Eletra'!$AD:$AD,,0,1)=0,"",_xlfn.XLOOKUP($E149,'[1]Import Eletra'!$B:$B,'[1]Import Eletra'!$AD:$AD,,0,1))</f>
        <v>46087</v>
      </c>
      <c r="AD149" s="309">
        <f t="shared" si="359"/>
        <v>0</v>
      </c>
      <c r="AE149" s="309">
        <f t="shared" ca="1" si="438"/>
        <v>-3</v>
      </c>
      <c r="AF149" s="310">
        <f t="shared" ca="1" si="439"/>
        <v>-3</v>
      </c>
      <c r="AG149" s="356">
        <f t="shared" si="440"/>
        <v>46090</v>
      </c>
      <c r="AH149" s="345">
        <f>IF(_xlfn.XLOOKUP($E149,'[1]Import Eletra'!$B:$B,'[1]Import Eletra'!$AE:$AE,,0,1)=0,"",_xlfn.XLOOKUP($E149,'[1]Import Eletra'!$B:$B,'[1]Import Eletra'!$AE:$AE,,0,1))</f>
        <v>46087</v>
      </c>
      <c r="AI149" s="309">
        <f t="shared" si="363"/>
        <v>0</v>
      </c>
      <c r="AJ149" s="309">
        <f t="shared" ca="1" si="441"/>
        <v>-3</v>
      </c>
      <c r="AK149" s="310" t="str">
        <f t="shared" ca="1" si="365"/>
        <v/>
      </c>
      <c r="AL149" s="356">
        <f t="shared" si="442"/>
        <v>46090</v>
      </c>
      <c r="AM149" s="345">
        <f>IF(_xlfn.XLOOKUP($E149,'[1]Import Eletra'!$B:$B,'[1]Import Eletra'!$AT:$AT,,0,1)=0,"",_xlfn.XLOOKUP($E149,'[1]Import Eletra'!$B:$B,'[1]Import Eletra'!$AT:$AT,,0,1))</f>
        <v>46087</v>
      </c>
      <c r="AN149" s="309">
        <f t="shared" si="367"/>
        <v>0</v>
      </c>
      <c r="AO149" s="309">
        <f t="shared" ca="1" si="443"/>
        <v>-3</v>
      </c>
      <c r="AP149" s="310" t="str">
        <f t="shared" ca="1" si="369"/>
        <v/>
      </c>
      <c r="AQ149" s="359">
        <f t="shared" si="444"/>
        <v>46091</v>
      </c>
      <c r="AR149" s="345">
        <f>IF(_xlfn.XLOOKUP($E149,'[1]Import Eletra'!$B:$B,'[1]Import Eletra'!$AU:$AU,,0,1)=0,"",_xlfn.XLOOKUP($E149,'[1]Import Eletra'!$B:$B,'[1]Import Eletra'!$AU:$AU,,0,1))</f>
        <v>46087</v>
      </c>
      <c r="AS149" s="309">
        <f t="shared" si="371"/>
        <v>1</v>
      </c>
      <c r="AT149" s="309">
        <f t="shared" ca="1" si="445"/>
        <v>-4</v>
      </c>
      <c r="AU149" s="310" t="str">
        <f t="shared" ca="1" si="373"/>
        <v/>
      </c>
      <c r="AV149" s="356">
        <f t="shared" si="446"/>
        <v>46091</v>
      </c>
      <c r="AW149" s="345">
        <f>IF(_xlfn.XLOOKUP($E149,'[1]Import Eletra'!$B:$B,'[1]Import Eletra'!$AU:$AU,,0,1)=0,"",_xlfn.XLOOKUP($E149,'[1]Import Eletra'!$B:$B,'[1]Import Eletra'!$AU:$AU,,0,1))</f>
        <v>46087</v>
      </c>
      <c r="AX149" s="309">
        <f t="shared" si="375"/>
        <v>0</v>
      </c>
      <c r="AY149" s="309">
        <f t="shared" ca="1" si="447"/>
        <v>-4</v>
      </c>
      <c r="AZ149" s="310" t="str">
        <f t="shared" ca="1" si="377"/>
        <v/>
      </c>
      <c r="BA149" s="359">
        <f t="shared" si="448"/>
        <v>46091</v>
      </c>
      <c r="BB149" s="345" t="str">
        <f>IF(_xlfn.XLOOKUP($E149,'[1]Import Eletra'!$B:$B,'[1]Import Eletra'!$AW:$AW,,0,1)=0,"",_xlfn.XLOOKUP($E149,'[1]Import Eletra'!$B:$B,'[1]Import Eletra'!$AW:$AW,,0,1))</f>
        <v/>
      </c>
      <c r="BC149" s="309">
        <f t="shared" si="379"/>
        <v>0</v>
      </c>
      <c r="BD149" s="309">
        <f t="shared" ca="1" si="449"/>
        <v>120</v>
      </c>
      <c r="BE149" s="310">
        <f t="shared" ca="1" si="450"/>
        <v>120</v>
      </c>
      <c r="BF149" s="336">
        <f t="shared" si="451"/>
        <v>46091</v>
      </c>
      <c r="BG149" s="345" t="str">
        <f>IF(_xlfn.XLOOKUP($E149,'[1]Import Eletra'!$B:$B,'[1]Import Eletra'!$AX:$AX,,0,1)=0,"",_xlfn.XLOOKUP($E149,'[1]Import Eletra'!$B:$B,'[1]Import Eletra'!$AX:$AX,,0,1))</f>
        <v/>
      </c>
      <c r="BH149" s="309">
        <f t="shared" si="383"/>
        <v>0</v>
      </c>
      <c r="BI149" s="309">
        <f t="shared" ca="1" si="452"/>
        <v>120</v>
      </c>
      <c r="BJ149" s="310">
        <f t="shared" ca="1" si="385"/>
        <v>120</v>
      </c>
      <c r="BK149" s="363">
        <f t="shared" si="453"/>
        <v>46091</v>
      </c>
      <c r="BL149" s="345">
        <f>IF(_xlfn.XLOOKUP($E149,'[1]Import Eletra'!$B:$B,'[1]Import Eletra'!$AY:$AY,,0,1)=0,"",_xlfn.XLOOKUP($E149,'[1]Import Eletra'!$B:$B,'[1]Import Eletra'!$AY:$AY,,0,1))</f>
        <v>46087</v>
      </c>
      <c r="BM149" s="309">
        <f t="shared" si="387"/>
        <v>0</v>
      </c>
      <c r="BN149" s="309">
        <f t="shared" ca="1" si="454"/>
        <v>-4</v>
      </c>
      <c r="BO149" s="310">
        <f t="shared" ca="1" si="455"/>
        <v>-4</v>
      </c>
      <c r="BP149" s="336">
        <f t="shared" si="456"/>
        <v>46091</v>
      </c>
      <c r="BQ149" s="345">
        <f>IF(_xlfn.XLOOKUP($E149,'[1]Import Eletra'!$B:$B,'[1]Import Eletra'!$AZ:$AZ,,0,1)=0,"",_xlfn.XLOOKUP($E149,'[1]Import Eletra'!$B:$B,'[1]Import Eletra'!$AZ:$AZ,,0,1))</f>
        <v>46087</v>
      </c>
      <c r="BR149" s="309">
        <f t="shared" si="391"/>
        <v>0</v>
      </c>
      <c r="BS149" s="309">
        <f t="shared" ca="1" si="457"/>
        <v>-4</v>
      </c>
      <c r="BT149" s="310">
        <f t="shared" ca="1" si="458"/>
        <v>-4</v>
      </c>
      <c r="BU149" s="363">
        <f t="shared" si="459"/>
        <v>46093</v>
      </c>
      <c r="BV149" s="345">
        <f>IF(_xlfn.XLOOKUP($E149,'[1]Import Eletra'!$B:$B,'[1]Import Eletra'!$BA:$BA,,0,1)=0,"",_xlfn.XLOOKUP($E149,'[1]Import Eletra'!$B:$B,'[1]Import Eletra'!$BA:$BA,,0,1))</f>
        <v>46090</v>
      </c>
      <c r="BW149" s="309">
        <f t="shared" si="395"/>
        <v>2</v>
      </c>
      <c r="BX149" s="309">
        <f t="shared" ca="1" si="460"/>
        <v>-3</v>
      </c>
      <c r="BY149" s="310" t="str">
        <f t="shared" ca="1" si="397"/>
        <v/>
      </c>
      <c r="BZ149" s="336">
        <f t="shared" si="461"/>
        <v>46093</v>
      </c>
      <c r="CA149" s="345">
        <f>IF(_xlfn.XLOOKUP($E149,'[1]Import Eletra'!$B:$B,'[1]Import Eletra'!$BB:$BB,,0,1)=0,"",_xlfn.XLOOKUP($E149,'[1]Import Eletra'!$B:$B,'[1]Import Eletra'!$BB:$BB,,0,1))</f>
        <v>46091</v>
      </c>
      <c r="CB149" s="309">
        <f t="shared" si="399"/>
        <v>0</v>
      </c>
      <c r="CC149" s="309">
        <f t="shared" ca="1" si="462"/>
        <v>-2</v>
      </c>
      <c r="CD149" s="310">
        <f t="shared" ca="1" si="463"/>
        <v>-2</v>
      </c>
      <c r="CE149" s="363">
        <f t="shared" si="464"/>
        <v>46093</v>
      </c>
      <c r="CF149" s="345">
        <f>IF(_xlfn.XLOOKUP($E149,'[1]Import Eletra'!$B:$B,'[1]Import Eletra'!$BC:$BC,,0,1)=0,"",_xlfn.XLOOKUP($E149,'[1]Import Eletra'!$B:$B,'[1]Import Eletra'!$BC:$BC,,0,1))</f>
        <v>46091</v>
      </c>
      <c r="CG149" s="309">
        <f t="shared" si="403"/>
        <v>0</v>
      </c>
      <c r="CH149" s="309">
        <f t="shared" ca="1" si="465"/>
        <v>-2</v>
      </c>
      <c r="CI149" s="310">
        <f t="shared" ca="1" si="466"/>
        <v>-2</v>
      </c>
      <c r="CJ149" s="336">
        <f t="shared" si="467"/>
        <v>46093</v>
      </c>
      <c r="CK149" s="345">
        <f>IF(_xlfn.XLOOKUP($E149,'[1]Import Eletra'!$B:$B,'[1]Import Eletra'!$BD:$BD,,0,1)=0,"",_xlfn.XLOOKUP($E149,'[1]Import Eletra'!$B:$B,'[1]Import Eletra'!$BD:$BD,,0,1))</f>
        <v>46091</v>
      </c>
      <c r="CL149" s="309"/>
      <c r="CM149" s="309">
        <f t="shared" ca="1" si="468"/>
        <v>-2</v>
      </c>
      <c r="CN149" s="310">
        <f t="shared" ca="1" si="469"/>
        <v>-2</v>
      </c>
      <c r="CO149" s="363">
        <f t="shared" si="470"/>
        <v>46093</v>
      </c>
      <c r="CP149" s="345">
        <f>IF(_xlfn.XLOOKUP($E149,'[1]Import Eletra'!$B:$B,'[1]Import Eletra'!$BE:$BE,,0,1)=0,"",_xlfn.XLOOKUP($E149,'[1]Import Eletra'!$B:$B,'[1]Import Eletra'!$BE:$BE,,0,1))</f>
        <v>46092</v>
      </c>
      <c r="CQ149" s="309">
        <f t="shared" si="410"/>
        <v>0</v>
      </c>
      <c r="CR149" s="309">
        <f t="shared" ca="1" si="471"/>
        <v>-1</v>
      </c>
      <c r="CS149" s="310">
        <f t="shared" ca="1" si="472"/>
        <v>-1</v>
      </c>
      <c r="CT149" s="336">
        <f t="shared" si="473"/>
        <v>46093</v>
      </c>
      <c r="CU149" s="345">
        <f>IF(_xlfn.XLOOKUP($E149,'[1]Import Eletra'!$B:$B,'[1]Import Eletra'!$BF:$BF,,0,1)=0,"",_xlfn.XLOOKUP($E149,'[1]Import Eletra'!$B:$B,'[1]Import Eletra'!$BF:$BF,,0,1))</f>
        <v>46092</v>
      </c>
      <c r="CV149" s="309">
        <f t="shared" si="414"/>
        <v>0</v>
      </c>
      <c r="CW149" s="309">
        <f t="shared" ca="1" si="474"/>
        <v>-1</v>
      </c>
      <c r="CX149" s="310">
        <f t="shared" ca="1" si="475"/>
        <v>-1</v>
      </c>
      <c r="CY149" s="85">
        <f t="shared" si="476"/>
        <v>46093</v>
      </c>
      <c r="CZ149" s="271">
        <f>IF(_xlfn.XLOOKUP($E149,'[1]Import Eletra'!$B:$B,'[1]Import Eletra'!$BF:$BF,,0,1)=0,"",_xlfn.XLOOKUP($E149,'[1]Import Eletra'!$B:$B,'[1]Import Eletra'!$BF:$BF,,0,1))</f>
        <v>46092</v>
      </c>
      <c r="DA149" s="311">
        <f t="shared" si="418"/>
        <v>0</v>
      </c>
      <c r="DB149" s="309">
        <f t="shared" ca="1" si="477"/>
        <v>-1</v>
      </c>
      <c r="DC149" s="310">
        <f t="shared" ca="1" si="478"/>
        <v>-1</v>
      </c>
      <c r="DD149" s="85">
        <f t="shared" si="479"/>
        <v>46095</v>
      </c>
      <c r="DE149" s="271">
        <f>IF(_xlfn.XLOOKUP($E149,'[1]Import Eletra'!$B:$B,'[1]Import Eletra'!$BG:$BG,,0,1)=0,"",_xlfn.XLOOKUP($E149,'[1]Import Eletra'!$B:$B,'[1]Import Eletra'!$BG:$BG,0,1))</f>
        <v>46093</v>
      </c>
      <c r="DF149" s="309">
        <f t="shared" si="422"/>
        <v>2</v>
      </c>
      <c r="DG149" s="309">
        <f t="shared" ca="1" si="480"/>
        <v>-2</v>
      </c>
      <c r="DH149" s="310">
        <f t="shared" ca="1" si="481"/>
        <v>-4</v>
      </c>
      <c r="DI149" s="85">
        <f t="shared" si="482"/>
        <v>46096</v>
      </c>
      <c r="DJ149" s="271" t="str">
        <f>IF(_xlfn.XLOOKUP($E149,'[1]Import Eletra'!$B:$B,'[1]Import Eletra'!$BH:$BH,,0,1)=0,"",_xlfn.XLOOKUP($E149,'[1]Import Eletra'!$B:$B,'[1]Import Eletra'!$BH:$BH,0,1))</f>
        <v/>
      </c>
      <c r="DK149" s="309">
        <f t="shared" si="426"/>
        <v>1</v>
      </c>
      <c r="DL149" s="309">
        <f t="shared" ca="1" si="483"/>
        <v>115</v>
      </c>
      <c r="DM149" s="310">
        <f t="shared" ca="1" si="484"/>
        <v>114</v>
      </c>
      <c r="DN149" s="312"/>
      <c r="DO149" s="313">
        <f t="shared" si="485"/>
        <v>46097</v>
      </c>
      <c r="DP149" s="59">
        <f>IF(_xlfn.XLOOKUP($E149,'[1]Import Eletra'!$B:$B,'[1]Import Eletra'!$O:$O,,0,1)=0,"",_xlfn.XLOOKUP($E149,'[1]Import Eletra'!$B:$B,'[1]Import Eletra'!$O:$O,0,1))</f>
        <v>46093</v>
      </c>
      <c r="DQ149" s="309">
        <f t="shared" si="430"/>
        <v>1</v>
      </c>
      <c r="DR149" s="309">
        <f t="shared" ca="1" si="486"/>
        <v>-4</v>
      </c>
      <c r="DS149" s="310">
        <f t="shared" ca="1" si="487"/>
        <v>-5</v>
      </c>
      <c r="DT149" s="314">
        <v>17</v>
      </c>
      <c r="DU149" s="140">
        <f t="shared" ca="1" si="488"/>
        <v>9</v>
      </c>
      <c r="DV149" s="184">
        <f t="shared" ca="1" si="489"/>
        <v>-8</v>
      </c>
      <c r="DX149" s="316"/>
      <c r="DY149" s="108" t="str">
        <f>IF(_xlfn.XLOOKUP($E149,'[1]Import Eletra'!$B:$B,'[1]Import Eletra'!$DW:$DW,,0,1)=0,"",_xlfn.XLOOKUP($E149,'[1]Import Eletra'!$B:$B,'[1]Import Eletra'!$DW:$DW,0,1))</f>
        <v/>
      </c>
      <c r="EB149" s="317"/>
      <c r="ED149" s="406" t="str">
        <f>IF(_xlfn.XLOOKUP($E149,'[1]Import Eletra'!$B:$B,'[1]Import Eletra'!$BQ:$BQ,,0,1)=0,"",_xlfn.XLOOKUP($E149,'[1]Import Eletra'!$B:$B,'[1]Import Eletra'!$BQ:$BQ,0,1))</f>
        <v/>
      </c>
      <c r="EE149" s="407" t="str">
        <f>IF(_xlfn.XLOOKUP($E149,'[1]Import Eletra'!$B:$B,'[1]Import Eletra'!$BR:$BR,,0,1)=0,"",_xlfn.XLOOKUP($E149,'[1]Import Eletra'!$B:$B,'[1]Import Eletra'!$BR:$BR,0,1))</f>
        <v/>
      </c>
      <c r="EF149" s="406" t="str">
        <f>IF(_xlfn.XLOOKUP($E149,'[1]Import Eletra'!$B:$B,'[1]Import Eletra'!$BS:$BS,,0,1)=0,"",_xlfn.XLOOKUP($E149,'[1]Import Eletra'!$B:$B,'[1]Import Eletra'!$BS:$BS,0,1))</f>
        <v/>
      </c>
      <c r="EG149" s="407" t="str">
        <f>IF(_xlfn.XLOOKUP($E149,'[1]Import Eletra'!$B:$B,'[1]Import Eletra'!$BT:$BT,,0,1)=0,"",_xlfn.XLOOKUP($E149,'[1]Import Eletra'!$B:$B,'[1]Import Eletra'!$BT:$BT,0,1))</f>
        <v/>
      </c>
      <c r="EH149" s="406" t="str">
        <f>IF(_xlfn.XLOOKUP($E149,'[1]Import Eletra'!$B:$B,'[1]Import Eletra'!$BU:$BU,,0,1)=0,"",_xlfn.XLOOKUP($E149,'[1]Import Eletra'!$B:$B,'[1]Import Eletra'!$BU:$BU,0,1))</f>
        <v/>
      </c>
      <c r="EI149" s="407" t="str">
        <f>IF(_xlfn.XLOOKUP($E149,'[1]Import Eletra'!$B:$B,'[1]Import Eletra'!$BV:$BV,,0,1)=0,"",_xlfn.XLOOKUP($E149,'[1]Import Eletra'!$B:$B,'[1]Import Eletra'!$BV:$BV,0,1))</f>
        <v/>
      </c>
      <c r="EJ149" s="407">
        <f>IF(_xlfn.XLOOKUP($E149,'[1]Import Eletra'!$B:$B,'[1]Import Eletra'!$CI:$CI,,0,1)=0,"",_xlfn.XLOOKUP($E149,'[1]Import Eletra'!$B:$B,'[1]Import Eletra'!$CI:$CI,0,1))</f>
        <v>46102</v>
      </c>
      <c r="EK149" s="407" t="str">
        <f>IF(_xlfn.XLOOKUP($E149,'[1]Import Eletra'!$B:$B,'[1]Import Eletra'!$CD:$CD,,0,1)=0,"",_xlfn.XLOOKUP($E149,'[1]Import Eletra'!$B:$B,'[1]Import Eletra'!$CD:$CD,0,1))</f>
        <v/>
      </c>
      <c r="EL149" s="407" t="str">
        <f>IF(_xlfn.XLOOKUP($E149,'[1]Import Eletra'!$B:$B,'[1]Import Eletra'!$CE:$CE,,0,1)=0,"",_xlfn.XLOOKUP($E149,'[1]Import Eletra'!$B:$B,'[1]Import Eletra'!$CE:$CE,0,1))</f>
        <v>NÃO</v>
      </c>
      <c r="EM149" s="408" t="str">
        <f>IF(_xlfn.XLOOKUP($E149,'[1]Import Eletra'!$B:$B,'[1]Import Eletra'!$E:$E,,0,1)=0,"",_xlfn.XLOOKUP($E149,'[1]Import Eletra'!$B:$B,'[1]Import Eletra'!$E:$E,0,1))</f>
        <v>LEISIANE</v>
      </c>
      <c r="EN149" s="408" t="str">
        <f>IF(_xlfn.XLOOKUP($E149,'[1]Import Eletra'!$B:$B,'[1]Import Eletra'!$E:$E,,0,1)=0,"",_xlfn.XLOOKUP($E149,'[1]Import Eletra'!$B:$B,'[1]Import Eletra'!$E:$E,0,1))</f>
        <v>LEISIANE</v>
      </c>
      <c r="EO149" s="408" t="str">
        <f>IF(_xlfn.XLOOKUP($E149,'[1]Import Eletra'!$B:$B,'[1]Import Eletra'!$E:$E,,0,1)=0,"",_xlfn.XLOOKUP($E149,'[1]Import Eletra'!$B:$B,'[1]Import Eletra'!$E:$E,0,1))</f>
        <v>LEISIANE</v>
      </c>
      <c r="EP149" s="408" t="str">
        <f>IF(_xlfn.XLOOKUP($E149,'[1]Import Eletra'!$B:$B,'[1]Import Eletra'!$E:$E,,0,1)=0,"",_xlfn.XLOOKUP($E149,'[1]Import Eletra'!$B:$B,'[1]Import Eletra'!$E:$E,0,1))</f>
        <v>LEISIANE</v>
      </c>
    </row>
    <row r="150" spans="1:146" s="315" customFormat="1" ht="30" hidden="1" customHeight="1" outlineLevel="1">
      <c r="A150" s="305"/>
      <c r="B150" s="306"/>
      <c r="C150" s="306"/>
      <c r="D150" s="306"/>
      <c r="E150" s="367" t="s">
        <v>446</v>
      </c>
      <c r="F150" s="307">
        <f>IF(_xlfn.XLOOKUP($E150,'[1]Import Eletra'!$B:$B,'[1]Import Eletra'!$U:$U,,0,1)=0,"",_xlfn.XLOOKUP($E150,'[1]Import Eletra'!$B:$B,'[1]Import Eletra'!$U:$U,,0,1))</f>
        <v>1</v>
      </c>
      <c r="G150" s="320" t="s">
        <v>244</v>
      </c>
      <c r="H150" s="59" t="str">
        <f>_xlfn.XLOOKUP($E150,'[1]Import Eletra'!$B:$B,'[1]Import Eletra'!$F:$F,,0,1)</f>
        <v>DELIVERED</v>
      </c>
      <c r="I150" s="4" t="str">
        <f>_xlfn.XLOOKUP($E150,'[1]Import Eletra'!$B:$B,'[1]Import Eletra'!$G:$G,,0,1)</f>
        <v>SEA</v>
      </c>
      <c r="J150" s="331"/>
      <c r="K150" s="308"/>
      <c r="L150" s="308"/>
      <c r="M150" s="331">
        <f>IF(_xlfn.XLOOKUP($E150,'[1]Import Eletra'!$B:$B,'[1]Import Eletra'!$J:$J,,0,1)=0,"",_xlfn.XLOOKUP($E150,'[1]Import Eletra'!$B:$B,'[1]Import Eletra'!$J:$J,,0,1))</f>
        <v>46016</v>
      </c>
      <c r="N150" s="334">
        <f>IF(_xlfn.XLOOKUP($E150,'[1]Import Eletra'!$B:$B,'[1]Import Eletra'!$L:$L,,0,1)=0,"",_xlfn.XLOOKUP($E150,'[1]Import Eletra'!$B:$B,'[1]Import Eletra'!$L:$L,,0,1))</f>
        <v>46084</v>
      </c>
      <c r="O150" s="336">
        <f>IF(_xlfn.XLOOKUP($E150,'[1]Import Eletra'!$B:$B,'[1]Import Eletra'!$AK:$AK,,0,1)=0,"",_xlfn.XLOOKUP($E150,'[1]Import Eletra'!$B:$B,'[1]Import Eletra'!$AK:$AK,,0,1))</f>
        <v>46055</v>
      </c>
      <c r="P150" s="331">
        <f>IF(_xlfn.XLOOKUP($E150,'[1]Import Eletra'!$B:$B,'[1]Import Eletra'!$AL:$AL,,0,1)=0,"",_xlfn.XLOOKUP($E150,'[1]Import Eletra'!$B:$B,'[1]Import Eletra'!$AL:$AL,,0,1))</f>
        <v>46058</v>
      </c>
      <c r="Q150" s="331">
        <f>IF(_xlfn.XLOOKUP($E150,'[1]Import Eletra'!$B:$B,'[1]Import Eletra'!$AM:$AM,,0,1)=0,"",_xlfn.XLOOKUP($E150,'[1]Import Eletra'!$B:$B,'[1]Import Eletra'!$AM:$AM,,0,1))</f>
        <v>46059</v>
      </c>
      <c r="R150" s="331">
        <f>IF(_xlfn.XLOOKUP($E150,'[1]Import Eletra'!$B:$B,'[1]Import Eletra'!$AN:$AN,,0,1)=0,"",_xlfn.XLOOKUP($E150,'[1]Import Eletra'!$B:$B,'[1]Import Eletra'!$AN:$AN,,0,1))</f>
        <v>46062</v>
      </c>
      <c r="S150" s="331">
        <f>IF(_xlfn.XLOOKUP($E150,'[1]Import Eletra'!$B:$B,'[1]Import Eletra'!$AO:$AO,,0,1)=0,"",_xlfn.XLOOKUP($E150,'[1]Import Eletra'!$B:$B,'[1]Import Eletra'!$AO:$AO,,0,1))</f>
        <v>46063</v>
      </c>
      <c r="T150" s="331">
        <f>IF(_xlfn.XLOOKUP($E150,'[1]Import Eletra'!$B:$B,'[1]Import Eletra'!$AP:$AP,,0,1)=0,"",_xlfn.XLOOKUP($E150,'[1]Import Eletra'!$B:$B,'[1]Import Eletra'!$AP:$AP,,0,1))</f>
        <v>46065</v>
      </c>
      <c r="U150" s="338">
        <f>IF(_xlfn.XLOOKUP($E150,'[1]Import Eletra'!$B:$B,'[1]Import Eletra'!$AQ:$AQ,,0,1)=0,"",_xlfn.XLOOKUP($E150,'[1]Import Eletra'!$B:$B,'[1]Import Eletra'!$AQ:$AQ,,0,1))</f>
        <v>46080</v>
      </c>
      <c r="V150" s="343">
        <f>IF(_xlfn.XLOOKUP($E150,'[1]Import Eletra'!$B:$B,'[1]Import Eletra'!$AQ:$AQ,,0,1)=0,"",_xlfn.XLOOKUP($E150,'[1]Import Eletra'!$B:$B,'[1]Import Eletra'!$AQ:$AQ,,0,1))</f>
        <v>46080</v>
      </c>
      <c r="W150" s="336">
        <f t="shared" si="435"/>
        <v>46090</v>
      </c>
      <c r="X150" s="345">
        <f>IF(_xlfn.XLOOKUP($E150,'[1]Import Eletra'!$B:$B,'[1]Import Eletra'!$AR:$AR,,0,1)=0,"",_xlfn.XLOOKUP($E150,'[1]Import Eletra'!$B:$B,'[1]Import Eletra'!$AR:$AR,,0,1))</f>
        <v>46086</v>
      </c>
      <c r="Y150" s="309">
        <f t="shared" si="355"/>
        <v>0</v>
      </c>
      <c r="Z150" s="309">
        <f t="shared" ca="1" si="436"/>
        <v>-4</v>
      </c>
      <c r="AA150" s="310" t="str">
        <f t="shared" ca="1" si="357"/>
        <v/>
      </c>
      <c r="AB150" s="350">
        <f t="shared" si="437"/>
        <v>46090</v>
      </c>
      <c r="AC150" s="345">
        <f>IF(_xlfn.XLOOKUP($E150,'[1]Import Eletra'!$B:$B,'[1]Import Eletra'!$AD:$AD,,0,1)=0,"",_xlfn.XLOOKUP($E150,'[1]Import Eletra'!$B:$B,'[1]Import Eletra'!$AD:$AD,,0,1))</f>
        <v>46087</v>
      </c>
      <c r="AD150" s="309">
        <f t="shared" si="359"/>
        <v>0</v>
      </c>
      <c r="AE150" s="309">
        <f t="shared" ca="1" si="438"/>
        <v>-3</v>
      </c>
      <c r="AF150" s="310">
        <f t="shared" ca="1" si="439"/>
        <v>-3</v>
      </c>
      <c r="AG150" s="356">
        <f t="shared" si="440"/>
        <v>46090</v>
      </c>
      <c r="AH150" s="345">
        <f>IF(_xlfn.XLOOKUP($E150,'[1]Import Eletra'!$B:$B,'[1]Import Eletra'!$AE:$AE,,0,1)=0,"",_xlfn.XLOOKUP($E150,'[1]Import Eletra'!$B:$B,'[1]Import Eletra'!$AE:$AE,,0,1))</f>
        <v>46087</v>
      </c>
      <c r="AI150" s="309">
        <f t="shared" si="363"/>
        <v>0</v>
      </c>
      <c r="AJ150" s="309">
        <f t="shared" ca="1" si="441"/>
        <v>-3</v>
      </c>
      <c r="AK150" s="310" t="str">
        <f t="shared" ca="1" si="365"/>
        <v/>
      </c>
      <c r="AL150" s="356">
        <f t="shared" si="442"/>
        <v>46090</v>
      </c>
      <c r="AM150" s="345">
        <f>IF(_xlfn.XLOOKUP($E150,'[1]Import Eletra'!$B:$B,'[1]Import Eletra'!$AT:$AT,,0,1)=0,"",_xlfn.XLOOKUP($E150,'[1]Import Eletra'!$B:$B,'[1]Import Eletra'!$AT:$AT,,0,1))</f>
        <v>46087</v>
      </c>
      <c r="AN150" s="309">
        <f t="shared" si="367"/>
        <v>0</v>
      </c>
      <c r="AO150" s="309">
        <f t="shared" ca="1" si="443"/>
        <v>-3</v>
      </c>
      <c r="AP150" s="310" t="str">
        <f t="shared" ca="1" si="369"/>
        <v/>
      </c>
      <c r="AQ150" s="359">
        <f t="shared" si="444"/>
        <v>46091</v>
      </c>
      <c r="AR150" s="345">
        <f>IF(_xlfn.XLOOKUP($E150,'[1]Import Eletra'!$B:$B,'[1]Import Eletra'!$AU:$AU,,0,1)=0,"",_xlfn.XLOOKUP($E150,'[1]Import Eletra'!$B:$B,'[1]Import Eletra'!$AU:$AU,,0,1))</f>
        <v>46087</v>
      </c>
      <c r="AS150" s="309">
        <f t="shared" si="371"/>
        <v>1</v>
      </c>
      <c r="AT150" s="309">
        <f t="shared" ca="1" si="445"/>
        <v>-4</v>
      </c>
      <c r="AU150" s="310" t="str">
        <f t="shared" ca="1" si="373"/>
        <v/>
      </c>
      <c r="AV150" s="356">
        <f t="shared" si="446"/>
        <v>46091</v>
      </c>
      <c r="AW150" s="345">
        <f>IF(_xlfn.XLOOKUP($E150,'[1]Import Eletra'!$B:$B,'[1]Import Eletra'!$AU:$AU,,0,1)=0,"",_xlfn.XLOOKUP($E150,'[1]Import Eletra'!$B:$B,'[1]Import Eletra'!$AU:$AU,,0,1))</f>
        <v>46087</v>
      </c>
      <c r="AX150" s="309">
        <f t="shared" si="375"/>
        <v>0</v>
      </c>
      <c r="AY150" s="309">
        <f t="shared" ca="1" si="447"/>
        <v>-4</v>
      </c>
      <c r="AZ150" s="310" t="str">
        <f t="shared" ca="1" si="377"/>
        <v/>
      </c>
      <c r="BA150" s="359">
        <f t="shared" si="448"/>
        <v>46091</v>
      </c>
      <c r="BB150" s="345" t="str">
        <f>IF(_xlfn.XLOOKUP($E150,'[1]Import Eletra'!$B:$B,'[1]Import Eletra'!$AW:$AW,,0,1)=0,"",_xlfn.XLOOKUP($E150,'[1]Import Eletra'!$B:$B,'[1]Import Eletra'!$AW:$AW,,0,1))</f>
        <v/>
      </c>
      <c r="BC150" s="309">
        <f t="shared" si="379"/>
        <v>0</v>
      </c>
      <c r="BD150" s="309">
        <f t="shared" ca="1" si="449"/>
        <v>120</v>
      </c>
      <c r="BE150" s="310">
        <f t="shared" ca="1" si="450"/>
        <v>120</v>
      </c>
      <c r="BF150" s="336">
        <f t="shared" si="451"/>
        <v>46091</v>
      </c>
      <c r="BG150" s="345" t="str">
        <f>IF(_xlfn.XLOOKUP($E150,'[1]Import Eletra'!$B:$B,'[1]Import Eletra'!$AX:$AX,,0,1)=0,"",_xlfn.XLOOKUP($E150,'[1]Import Eletra'!$B:$B,'[1]Import Eletra'!$AX:$AX,,0,1))</f>
        <v/>
      </c>
      <c r="BH150" s="309">
        <f t="shared" si="383"/>
        <v>0</v>
      </c>
      <c r="BI150" s="309">
        <f t="shared" ca="1" si="452"/>
        <v>120</v>
      </c>
      <c r="BJ150" s="310">
        <f t="shared" ca="1" si="385"/>
        <v>120</v>
      </c>
      <c r="BK150" s="363">
        <f t="shared" si="453"/>
        <v>46091</v>
      </c>
      <c r="BL150" s="345">
        <f>IF(_xlfn.XLOOKUP($E150,'[1]Import Eletra'!$B:$B,'[1]Import Eletra'!$AY:$AY,,0,1)=0,"",_xlfn.XLOOKUP($E150,'[1]Import Eletra'!$B:$B,'[1]Import Eletra'!$AY:$AY,,0,1))</f>
        <v>46087</v>
      </c>
      <c r="BM150" s="309">
        <f t="shared" si="387"/>
        <v>0</v>
      </c>
      <c r="BN150" s="309">
        <f t="shared" ca="1" si="454"/>
        <v>-4</v>
      </c>
      <c r="BO150" s="310">
        <f t="shared" ca="1" si="455"/>
        <v>-4</v>
      </c>
      <c r="BP150" s="336">
        <f t="shared" si="456"/>
        <v>46091</v>
      </c>
      <c r="BQ150" s="345">
        <f>IF(_xlfn.XLOOKUP($E150,'[1]Import Eletra'!$B:$B,'[1]Import Eletra'!$AZ:$AZ,,0,1)=0,"",_xlfn.XLOOKUP($E150,'[1]Import Eletra'!$B:$B,'[1]Import Eletra'!$AZ:$AZ,,0,1))</f>
        <v>46087</v>
      </c>
      <c r="BR150" s="309">
        <f t="shared" si="391"/>
        <v>0</v>
      </c>
      <c r="BS150" s="309">
        <f t="shared" ca="1" si="457"/>
        <v>-4</v>
      </c>
      <c r="BT150" s="310">
        <f t="shared" ca="1" si="458"/>
        <v>-4</v>
      </c>
      <c r="BU150" s="363">
        <f t="shared" si="459"/>
        <v>46093</v>
      </c>
      <c r="BV150" s="345">
        <f>IF(_xlfn.XLOOKUP($E150,'[1]Import Eletra'!$B:$B,'[1]Import Eletra'!$BA:$BA,,0,1)=0,"",_xlfn.XLOOKUP($E150,'[1]Import Eletra'!$B:$B,'[1]Import Eletra'!$BA:$BA,,0,1))</f>
        <v>46091</v>
      </c>
      <c r="BW150" s="309">
        <f t="shared" si="395"/>
        <v>2</v>
      </c>
      <c r="BX150" s="309">
        <f t="shared" ca="1" si="460"/>
        <v>-2</v>
      </c>
      <c r="BY150" s="310" t="str">
        <f t="shared" ca="1" si="397"/>
        <v/>
      </c>
      <c r="BZ150" s="336">
        <f t="shared" si="461"/>
        <v>46093</v>
      </c>
      <c r="CA150" s="345">
        <f>IF(_xlfn.XLOOKUP($E150,'[1]Import Eletra'!$B:$B,'[1]Import Eletra'!$BB:$BB,,0,1)=0,"",_xlfn.XLOOKUP($E150,'[1]Import Eletra'!$B:$B,'[1]Import Eletra'!$BB:$BB,,0,1))</f>
        <v>46091</v>
      </c>
      <c r="CB150" s="309">
        <f t="shared" si="399"/>
        <v>0</v>
      </c>
      <c r="CC150" s="309">
        <f t="shared" ca="1" si="462"/>
        <v>-2</v>
      </c>
      <c r="CD150" s="310">
        <f t="shared" ca="1" si="463"/>
        <v>-2</v>
      </c>
      <c r="CE150" s="363">
        <f t="shared" si="464"/>
        <v>46093</v>
      </c>
      <c r="CF150" s="345">
        <f>IF(_xlfn.XLOOKUP($E150,'[1]Import Eletra'!$B:$B,'[1]Import Eletra'!$BC:$BC,,0,1)=0,"",_xlfn.XLOOKUP($E150,'[1]Import Eletra'!$B:$B,'[1]Import Eletra'!$BC:$BC,,0,1))</f>
        <v>46094</v>
      </c>
      <c r="CG150" s="309">
        <f t="shared" si="403"/>
        <v>0</v>
      </c>
      <c r="CH150" s="309">
        <f t="shared" ca="1" si="465"/>
        <v>1</v>
      </c>
      <c r="CI150" s="310">
        <f t="shared" ca="1" si="466"/>
        <v>1</v>
      </c>
      <c r="CJ150" s="336">
        <f t="shared" si="467"/>
        <v>46093</v>
      </c>
      <c r="CK150" s="345">
        <f>IF(_xlfn.XLOOKUP($E150,'[1]Import Eletra'!$B:$B,'[1]Import Eletra'!$BD:$BD,,0,1)=0,"",_xlfn.XLOOKUP($E150,'[1]Import Eletra'!$B:$B,'[1]Import Eletra'!$BD:$BD,,0,1))</f>
        <v>46091</v>
      </c>
      <c r="CL150" s="309"/>
      <c r="CM150" s="309">
        <f t="shared" ca="1" si="468"/>
        <v>-2</v>
      </c>
      <c r="CN150" s="310">
        <f t="shared" ca="1" si="469"/>
        <v>-2</v>
      </c>
      <c r="CO150" s="363">
        <f t="shared" si="470"/>
        <v>46093</v>
      </c>
      <c r="CP150" s="345">
        <f>IF(_xlfn.XLOOKUP($E150,'[1]Import Eletra'!$B:$B,'[1]Import Eletra'!$BE:$BE,,0,1)=0,"",_xlfn.XLOOKUP($E150,'[1]Import Eletra'!$B:$B,'[1]Import Eletra'!$BE:$BE,,0,1))</f>
        <v>46094</v>
      </c>
      <c r="CQ150" s="309">
        <f t="shared" si="410"/>
        <v>0</v>
      </c>
      <c r="CR150" s="309">
        <f t="shared" ca="1" si="471"/>
        <v>1</v>
      </c>
      <c r="CS150" s="310">
        <f t="shared" ca="1" si="472"/>
        <v>1</v>
      </c>
      <c r="CT150" s="336">
        <f t="shared" si="473"/>
        <v>46093</v>
      </c>
      <c r="CU150" s="345">
        <f>IF(_xlfn.XLOOKUP($E150,'[1]Import Eletra'!$B:$B,'[1]Import Eletra'!$BF:$BF,,0,1)=0,"",_xlfn.XLOOKUP($E150,'[1]Import Eletra'!$B:$B,'[1]Import Eletra'!$BF:$BF,,0,1))</f>
        <v>46094</v>
      </c>
      <c r="CV150" s="309">
        <f t="shared" si="414"/>
        <v>0</v>
      </c>
      <c r="CW150" s="309">
        <f t="shared" ca="1" si="474"/>
        <v>1</v>
      </c>
      <c r="CX150" s="310">
        <f t="shared" ca="1" si="475"/>
        <v>1</v>
      </c>
      <c r="CY150" s="85">
        <f t="shared" si="476"/>
        <v>46093</v>
      </c>
      <c r="CZ150" s="271">
        <f>IF(_xlfn.XLOOKUP($E150,'[1]Import Eletra'!$B:$B,'[1]Import Eletra'!$BF:$BF,,0,1)=0,"",_xlfn.XLOOKUP($E150,'[1]Import Eletra'!$B:$B,'[1]Import Eletra'!$BF:$BF,,0,1))</f>
        <v>46094</v>
      </c>
      <c r="DA150" s="311">
        <f t="shared" si="418"/>
        <v>0</v>
      </c>
      <c r="DB150" s="309">
        <f t="shared" ca="1" si="477"/>
        <v>1</v>
      </c>
      <c r="DC150" s="310">
        <f t="shared" ca="1" si="478"/>
        <v>1</v>
      </c>
      <c r="DD150" s="85">
        <f t="shared" si="479"/>
        <v>46095</v>
      </c>
      <c r="DE150" s="271">
        <f>IF(_xlfn.XLOOKUP($E150,'[1]Import Eletra'!$B:$B,'[1]Import Eletra'!$BG:$BG,,0,1)=0,"",_xlfn.XLOOKUP($E150,'[1]Import Eletra'!$B:$B,'[1]Import Eletra'!$BG:$BG,0,1))</f>
        <v>46097</v>
      </c>
      <c r="DF150" s="309">
        <f t="shared" si="422"/>
        <v>2</v>
      </c>
      <c r="DG150" s="309">
        <f t="shared" ca="1" si="480"/>
        <v>2</v>
      </c>
      <c r="DH150" s="310">
        <f t="shared" ca="1" si="481"/>
        <v>0</v>
      </c>
      <c r="DI150" s="85">
        <f t="shared" si="482"/>
        <v>46096</v>
      </c>
      <c r="DJ150" s="271">
        <f>IF(_xlfn.XLOOKUP($E150,'[1]Import Eletra'!$B:$B,'[1]Import Eletra'!$BH:$BH,,0,1)=0,"",_xlfn.XLOOKUP($E150,'[1]Import Eletra'!$B:$B,'[1]Import Eletra'!$BH:$BH,0,1))</f>
        <v>46101</v>
      </c>
      <c r="DK150" s="309">
        <f t="shared" si="426"/>
        <v>1</v>
      </c>
      <c r="DL150" s="309">
        <f t="shared" ca="1" si="483"/>
        <v>5</v>
      </c>
      <c r="DM150" s="310">
        <f t="shared" ca="1" si="484"/>
        <v>4</v>
      </c>
      <c r="DN150" s="312"/>
      <c r="DO150" s="313">
        <f t="shared" si="485"/>
        <v>46097</v>
      </c>
      <c r="DP150" s="59">
        <f>IF(_xlfn.XLOOKUP($E150,'[1]Import Eletra'!$B:$B,'[1]Import Eletra'!$O:$O,,0,1)=0,"",_xlfn.XLOOKUP($E150,'[1]Import Eletra'!$B:$B,'[1]Import Eletra'!$O:$O,0,1))</f>
        <v>46101</v>
      </c>
      <c r="DQ150" s="309">
        <f t="shared" si="430"/>
        <v>1</v>
      </c>
      <c r="DR150" s="309">
        <f t="shared" ca="1" si="486"/>
        <v>4</v>
      </c>
      <c r="DS150" s="310">
        <f t="shared" ca="1" si="487"/>
        <v>3</v>
      </c>
      <c r="DT150" s="314">
        <v>17</v>
      </c>
      <c r="DU150" s="140">
        <f t="shared" ca="1" si="488"/>
        <v>17</v>
      </c>
      <c r="DV150" s="184">
        <f t="shared" ca="1" si="489"/>
        <v>0</v>
      </c>
      <c r="DX150" s="316"/>
      <c r="DY150" s="108" t="str">
        <f>IF(_xlfn.XLOOKUP($E150,'[1]Import Eletra'!$B:$B,'[1]Import Eletra'!$DW:$DW,,0,1)=0,"",_xlfn.XLOOKUP($E150,'[1]Import Eletra'!$B:$B,'[1]Import Eletra'!$DW:$DW,0,1))</f>
        <v/>
      </c>
      <c r="EB150" s="317"/>
      <c r="ED150" s="406">
        <f>IF(_xlfn.XLOOKUP($E150,'[1]Import Eletra'!$B:$B,'[1]Import Eletra'!$BQ:$BQ,,0,1)=0,"",_xlfn.XLOOKUP($E150,'[1]Import Eletra'!$B:$B,'[1]Import Eletra'!$BQ:$BQ,0,1))</f>
        <v>818.29</v>
      </c>
      <c r="EE150" s="407">
        <f>IF(_xlfn.XLOOKUP($E150,'[1]Import Eletra'!$B:$B,'[1]Import Eletra'!$BR:$BR,,0,1)=0,"",_xlfn.XLOOKUP($E150,'[1]Import Eletra'!$B:$B,'[1]Import Eletra'!$BR:$BR,0,1))</f>
        <v>46103</v>
      </c>
      <c r="EF150" s="406">
        <f>IF(_xlfn.XLOOKUP($E150,'[1]Import Eletra'!$B:$B,'[1]Import Eletra'!$BS:$BS,,0,1)=0,"",_xlfn.XLOOKUP($E150,'[1]Import Eletra'!$B:$B,'[1]Import Eletra'!$BS:$BS,0,1))</f>
        <v>5857.71</v>
      </c>
      <c r="EG150" s="407">
        <f>IF(_xlfn.XLOOKUP($E150,'[1]Import Eletra'!$B:$B,'[1]Import Eletra'!$BT:$BT,,0,1)=0,"",_xlfn.XLOOKUP($E150,'[1]Import Eletra'!$B:$B,'[1]Import Eletra'!$BT:$BT,0,1))</f>
        <v>46167</v>
      </c>
      <c r="EH150" s="406" t="str">
        <f>IF(_xlfn.XLOOKUP($E150,'[1]Import Eletra'!$B:$B,'[1]Import Eletra'!$BU:$BU,,0,1)=0,"",_xlfn.XLOOKUP($E150,'[1]Import Eletra'!$B:$B,'[1]Import Eletra'!$BU:$BU,0,1))</f>
        <v/>
      </c>
      <c r="EI150" s="407" t="str">
        <f>IF(_xlfn.XLOOKUP($E150,'[1]Import Eletra'!$B:$B,'[1]Import Eletra'!$BV:$BV,,0,1)=0,"",_xlfn.XLOOKUP($E150,'[1]Import Eletra'!$B:$B,'[1]Import Eletra'!$BV:$BV,0,1))</f>
        <v/>
      </c>
      <c r="EJ150" s="407">
        <f>IF(_xlfn.XLOOKUP($E150,'[1]Import Eletra'!$B:$B,'[1]Import Eletra'!$CI:$CI,,0,1)=0,"",_xlfn.XLOOKUP($E150,'[1]Import Eletra'!$B:$B,'[1]Import Eletra'!$CI:$CI,0,1))</f>
        <v>46102</v>
      </c>
      <c r="EK150" s="407" t="str">
        <f>IF(_xlfn.XLOOKUP($E150,'[1]Import Eletra'!$B:$B,'[1]Import Eletra'!$CD:$CD,,0,1)=0,"",_xlfn.XLOOKUP($E150,'[1]Import Eletra'!$B:$B,'[1]Import Eletra'!$CD:$CD,0,1))</f>
        <v/>
      </c>
      <c r="EL150" s="407" t="str">
        <f>IF(_xlfn.XLOOKUP($E150,'[1]Import Eletra'!$B:$B,'[1]Import Eletra'!$CE:$CE,,0,1)=0,"",_xlfn.XLOOKUP($E150,'[1]Import Eletra'!$B:$B,'[1]Import Eletra'!$CE:$CE,0,1))</f>
        <v>NÃO</v>
      </c>
      <c r="EM150" s="408" t="str">
        <f>IF(_xlfn.XLOOKUP($E150,'[1]Import Eletra'!$B:$B,'[1]Import Eletra'!$E:$E,,0,1)=0,"",_xlfn.XLOOKUP($E150,'[1]Import Eletra'!$B:$B,'[1]Import Eletra'!$E:$E,0,1))</f>
        <v>CATARINA</v>
      </c>
      <c r="EN150" s="408" t="str">
        <f>IF(_xlfn.XLOOKUP($E150,'[1]Import Eletra'!$B:$B,'[1]Import Eletra'!$E:$E,,0,1)=0,"",_xlfn.XLOOKUP($E150,'[1]Import Eletra'!$B:$B,'[1]Import Eletra'!$E:$E,0,1))</f>
        <v>CATARINA</v>
      </c>
      <c r="EO150" s="408" t="str">
        <f>IF(_xlfn.XLOOKUP($E150,'[1]Import Eletra'!$B:$B,'[1]Import Eletra'!$E:$E,,0,1)=0,"",_xlfn.XLOOKUP($E150,'[1]Import Eletra'!$B:$B,'[1]Import Eletra'!$E:$E,0,1))</f>
        <v>CATARINA</v>
      </c>
      <c r="EP150" s="408" t="str">
        <f>IF(_xlfn.XLOOKUP($E150,'[1]Import Eletra'!$B:$B,'[1]Import Eletra'!$E:$E,,0,1)=0,"",_xlfn.XLOOKUP($E150,'[1]Import Eletra'!$B:$B,'[1]Import Eletra'!$E:$E,0,1))</f>
        <v>CATARINA</v>
      </c>
    </row>
    <row r="151" spans="1:146" s="315" customFormat="1" ht="30" hidden="1" customHeight="1" outlineLevel="1">
      <c r="A151" s="305"/>
      <c r="B151" s="306"/>
      <c r="C151" s="306"/>
      <c r="D151" s="306"/>
      <c r="E151" s="367" t="s">
        <v>447</v>
      </c>
      <c r="F151" s="307">
        <f>IF(_xlfn.XLOOKUP($E151,'[1]Import Eletra'!$B:$B,'[1]Import Eletra'!$U:$U,,0,1)=0,"",_xlfn.XLOOKUP($E151,'[1]Import Eletra'!$B:$B,'[1]Import Eletra'!$U:$U,,0,1))</f>
        <v>1</v>
      </c>
      <c r="G151" s="320" t="s">
        <v>244</v>
      </c>
      <c r="H151" s="59" t="str">
        <f>_xlfn.XLOOKUP($E151,'[1]Import Eletra'!$B:$B,'[1]Import Eletra'!$F:$F,,0,1)</f>
        <v>DELIVERED</v>
      </c>
      <c r="I151" s="4" t="str">
        <f>_xlfn.XLOOKUP($E151,'[1]Import Eletra'!$B:$B,'[1]Import Eletra'!$G:$G,,0,1)</f>
        <v>SEA</v>
      </c>
      <c r="J151" s="331"/>
      <c r="K151" s="308"/>
      <c r="L151" s="308"/>
      <c r="M151" s="331">
        <f>IF(_xlfn.XLOOKUP($E151,'[1]Import Eletra'!$B:$B,'[1]Import Eletra'!$J:$J,,0,1)=0,"",_xlfn.XLOOKUP($E151,'[1]Import Eletra'!$B:$B,'[1]Import Eletra'!$J:$J,,0,1))</f>
        <v>46016</v>
      </c>
      <c r="N151" s="334">
        <f>IF(_xlfn.XLOOKUP($E151,'[1]Import Eletra'!$B:$B,'[1]Import Eletra'!$L:$L,,0,1)=0,"",_xlfn.XLOOKUP($E151,'[1]Import Eletra'!$B:$B,'[1]Import Eletra'!$L:$L,,0,1))</f>
        <v>46084</v>
      </c>
      <c r="O151" s="336">
        <f>IF(_xlfn.XLOOKUP($E151,'[1]Import Eletra'!$B:$B,'[1]Import Eletra'!$AK:$AK,,0,1)=0,"",_xlfn.XLOOKUP($E151,'[1]Import Eletra'!$B:$B,'[1]Import Eletra'!$AK:$AK,,0,1))</f>
        <v>46059</v>
      </c>
      <c r="P151" s="331">
        <f>IF(_xlfn.XLOOKUP($E151,'[1]Import Eletra'!$B:$B,'[1]Import Eletra'!$AL:$AL,,0,1)=0,"",_xlfn.XLOOKUP($E151,'[1]Import Eletra'!$B:$B,'[1]Import Eletra'!$AL:$AL,,0,1))</f>
        <v>46059</v>
      </c>
      <c r="Q151" s="331">
        <f>IF(_xlfn.XLOOKUP($E151,'[1]Import Eletra'!$B:$B,'[1]Import Eletra'!$AM:$AM,,0,1)=0,"",_xlfn.XLOOKUP($E151,'[1]Import Eletra'!$B:$B,'[1]Import Eletra'!$AM:$AM,,0,1))</f>
        <v>46066</v>
      </c>
      <c r="R151" s="331">
        <f>IF(_xlfn.XLOOKUP($E151,'[1]Import Eletra'!$B:$B,'[1]Import Eletra'!$AN:$AN,,0,1)=0,"",_xlfn.XLOOKUP($E151,'[1]Import Eletra'!$B:$B,'[1]Import Eletra'!$AN:$AN,,0,1))</f>
        <v>46072</v>
      </c>
      <c r="S151" s="331">
        <f>IF(_xlfn.XLOOKUP($E151,'[1]Import Eletra'!$B:$B,'[1]Import Eletra'!$AO:$AO,,0,1)=0,"",_xlfn.XLOOKUP($E151,'[1]Import Eletra'!$B:$B,'[1]Import Eletra'!$AO:$AO,,0,1))</f>
        <v>46072</v>
      </c>
      <c r="T151" s="331">
        <f>IF(_xlfn.XLOOKUP($E151,'[1]Import Eletra'!$B:$B,'[1]Import Eletra'!$AP:$AP,,0,1)=0,"",_xlfn.XLOOKUP($E151,'[1]Import Eletra'!$B:$B,'[1]Import Eletra'!$AP:$AP,,0,1))</f>
        <v>46072</v>
      </c>
      <c r="U151" s="338">
        <f>IF(_xlfn.XLOOKUP($E151,'[1]Import Eletra'!$B:$B,'[1]Import Eletra'!$AQ:$AQ,,0,1)=0,"",_xlfn.XLOOKUP($E151,'[1]Import Eletra'!$B:$B,'[1]Import Eletra'!$AQ:$AQ,,0,1))</f>
        <v>46080</v>
      </c>
      <c r="V151" s="343">
        <f>IF(_xlfn.XLOOKUP($E151,'[1]Import Eletra'!$B:$B,'[1]Import Eletra'!$AQ:$AQ,,0,1)=0,"",_xlfn.XLOOKUP($E151,'[1]Import Eletra'!$B:$B,'[1]Import Eletra'!$AQ:$AQ,,0,1))</f>
        <v>46080</v>
      </c>
      <c r="W151" s="336">
        <f t="shared" si="435"/>
        <v>46090</v>
      </c>
      <c r="X151" s="345">
        <f>IF(_xlfn.XLOOKUP($E151,'[1]Import Eletra'!$B:$B,'[1]Import Eletra'!$AR:$AR,,0,1)=0,"",_xlfn.XLOOKUP($E151,'[1]Import Eletra'!$B:$B,'[1]Import Eletra'!$AR:$AR,,0,1))</f>
        <v>46086</v>
      </c>
      <c r="Y151" s="309">
        <f t="shared" si="355"/>
        <v>0</v>
      </c>
      <c r="Z151" s="309">
        <f t="shared" ca="1" si="436"/>
        <v>-4</v>
      </c>
      <c r="AA151" s="310" t="str">
        <f t="shared" ca="1" si="357"/>
        <v/>
      </c>
      <c r="AB151" s="350">
        <f t="shared" si="437"/>
        <v>46090</v>
      </c>
      <c r="AC151" s="345">
        <f>IF(_xlfn.XLOOKUP($E151,'[1]Import Eletra'!$B:$B,'[1]Import Eletra'!$AD:$AD,,0,1)=0,"",_xlfn.XLOOKUP($E151,'[1]Import Eletra'!$B:$B,'[1]Import Eletra'!$AD:$AD,,0,1))</f>
        <v>46086</v>
      </c>
      <c r="AD151" s="309">
        <f t="shared" si="359"/>
        <v>0</v>
      </c>
      <c r="AE151" s="309">
        <f t="shared" ca="1" si="438"/>
        <v>-4</v>
      </c>
      <c r="AF151" s="310">
        <f t="shared" ca="1" si="439"/>
        <v>-4</v>
      </c>
      <c r="AG151" s="356">
        <f t="shared" si="440"/>
        <v>46090</v>
      </c>
      <c r="AH151" s="345">
        <f>IF(_xlfn.XLOOKUP($E151,'[1]Import Eletra'!$B:$B,'[1]Import Eletra'!$AE:$AE,,0,1)=0,"",_xlfn.XLOOKUP($E151,'[1]Import Eletra'!$B:$B,'[1]Import Eletra'!$AE:$AE,,0,1))</f>
        <v>46087</v>
      </c>
      <c r="AI151" s="309">
        <f t="shared" si="363"/>
        <v>0</v>
      </c>
      <c r="AJ151" s="309">
        <f t="shared" ca="1" si="441"/>
        <v>-3</v>
      </c>
      <c r="AK151" s="310" t="str">
        <f t="shared" ca="1" si="365"/>
        <v/>
      </c>
      <c r="AL151" s="356">
        <f t="shared" si="442"/>
        <v>46090</v>
      </c>
      <c r="AM151" s="345">
        <f>IF(_xlfn.XLOOKUP($E151,'[1]Import Eletra'!$B:$B,'[1]Import Eletra'!$AT:$AT,,0,1)=0,"",_xlfn.XLOOKUP($E151,'[1]Import Eletra'!$B:$B,'[1]Import Eletra'!$AT:$AT,,0,1))</f>
        <v>46086</v>
      </c>
      <c r="AN151" s="309">
        <f t="shared" si="367"/>
        <v>0</v>
      </c>
      <c r="AO151" s="309">
        <f t="shared" ca="1" si="443"/>
        <v>-4</v>
      </c>
      <c r="AP151" s="310" t="str">
        <f t="shared" ca="1" si="369"/>
        <v/>
      </c>
      <c r="AQ151" s="359">
        <f t="shared" si="444"/>
        <v>46091</v>
      </c>
      <c r="AR151" s="345">
        <f>IF(_xlfn.XLOOKUP($E151,'[1]Import Eletra'!$B:$B,'[1]Import Eletra'!$AU:$AU,,0,1)=0,"",_xlfn.XLOOKUP($E151,'[1]Import Eletra'!$B:$B,'[1]Import Eletra'!$AU:$AU,,0,1))</f>
        <v>46087</v>
      </c>
      <c r="AS151" s="309">
        <f t="shared" si="371"/>
        <v>1</v>
      </c>
      <c r="AT151" s="309">
        <f t="shared" ca="1" si="445"/>
        <v>-4</v>
      </c>
      <c r="AU151" s="310" t="str">
        <f t="shared" ca="1" si="373"/>
        <v/>
      </c>
      <c r="AV151" s="356">
        <f t="shared" si="446"/>
        <v>46091</v>
      </c>
      <c r="AW151" s="345">
        <f>IF(_xlfn.XLOOKUP($E151,'[1]Import Eletra'!$B:$B,'[1]Import Eletra'!$AU:$AU,,0,1)=0,"",_xlfn.XLOOKUP($E151,'[1]Import Eletra'!$B:$B,'[1]Import Eletra'!$AU:$AU,,0,1))</f>
        <v>46087</v>
      </c>
      <c r="AX151" s="309">
        <f t="shared" si="375"/>
        <v>0</v>
      </c>
      <c r="AY151" s="309">
        <f t="shared" ca="1" si="447"/>
        <v>-4</v>
      </c>
      <c r="AZ151" s="310" t="str">
        <f t="shared" ca="1" si="377"/>
        <v/>
      </c>
      <c r="BA151" s="359">
        <f t="shared" si="448"/>
        <v>46091</v>
      </c>
      <c r="BB151" s="345" t="str">
        <f>IF(_xlfn.XLOOKUP($E151,'[1]Import Eletra'!$B:$B,'[1]Import Eletra'!$AW:$AW,,0,1)=0,"",_xlfn.XLOOKUP($E151,'[1]Import Eletra'!$B:$B,'[1]Import Eletra'!$AW:$AW,,0,1))</f>
        <v/>
      </c>
      <c r="BC151" s="309">
        <f t="shared" si="379"/>
        <v>0</v>
      </c>
      <c r="BD151" s="309">
        <f t="shared" ca="1" si="449"/>
        <v>120</v>
      </c>
      <c r="BE151" s="310">
        <f t="shared" ca="1" si="450"/>
        <v>120</v>
      </c>
      <c r="BF151" s="336">
        <f t="shared" si="451"/>
        <v>46091</v>
      </c>
      <c r="BG151" s="345" t="str">
        <f>IF(_xlfn.XLOOKUP($E151,'[1]Import Eletra'!$B:$B,'[1]Import Eletra'!$AX:$AX,,0,1)=0,"",_xlfn.XLOOKUP($E151,'[1]Import Eletra'!$B:$B,'[1]Import Eletra'!$AX:$AX,,0,1))</f>
        <v/>
      </c>
      <c r="BH151" s="309">
        <f t="shared" si="383"/>
        <v>0</v>
      </c>
      <c r="BI151" s="309">
        <f t="shared" ca="1" si="452"/>
        <v>120</v>
      </c>
      <c r="BJ151" s="310">
        <f t="shared" ca="1" si="385"/>
        <v>120</v>
      </c>
      <c r="BK151" s="363">
        <f t="shared" si="453"/>
        <v>46091</v>
      </c>
      <c r="BL151" s="345">
        <f>IF(_xlfn.XLOOKUP($E151,'[1]Import Eletra'!$B:$B,'[1]Import Eletra'!$AY:$AY,,0,1)=0,"",_xlfn.XLOOKUP($E151,'[1]Import Eletra'!$B:$B,'[1]Import Eletra'!$AY:$AY,,0,1))</f>
        <v>46086</v>
      </c>
      <c r="BM151" s="309">
        <f t="shared" si="387"/>
        <v>0</v>
      </c>
      <c r="BN151" s="309">
        <f t="shared" ca="1" si="454"/>
        <v>-5</v>
      </c>
      <c r="BO151" s="310">
        <f t="shared" ca="1" si="455"/>
        <v>-5</v>
      </c>
      <c r="BP151" s="336">
        <f t="shared" si="456"/>
        <v>46091</v>
      </c>
      <c r="BQ151" s="345">
        <f>IF(_xlfn.XLOOKUP($E151,'[1]Import Eletra'!$B:$B,'[1]Import Eletra'!$AZ:$AZ,,0,1)=0,"",_xlfn.XLOOKUP($E151,'[1]Import Eletra'!$B:$B,'[1]Import Eletra'!$AZ:$AZ,,0,1))</f>
        <v>46090</v>
      </c>
      <c r="BR151" s="309">
        <f t="shared" si="391"/>
        <v>0</v>
      </c>
      <c r="BS151" s="309">
        <f t="shared" ca="1" si="457"/>
        <v>-1</v>
      </c>
      <c r="BT151" s="310">
        <f t="shared" ca="1" si="458"/>
        <v>-1</v>
      </c>
      <c r="BU151" s="363">
        <f t="shared" si="459"/>
        <v>46093</v>
      </c>
      <c r="BV151" s="345">
        <f>IF(_xlfn.XLOOKUP($E151,'[1]Import Eletra'!$B:$B,'[1]Import Eletra'!$BA:$BA,,0,1)=0,"",_xlfn.XLOOKUP($E151,'[1]Import Eletra'!$B:$B,'[1]Import Eletra'!$BA:$BA,,0,1))</f>
        <v>46092</v>
      </c>
      <c r="BW151" s="309">
        <f t="shared" si="395"/>
        <v>2</v>
      </c>
      <c r="BX151" s="309">
        <f t="shared" ca="1" si="460"/>
        <v>-1</v>
      </c>
      <c r="BY151" s="310" t="str">
        <f t="shared" ca="1" si="397"/>
        <v/>
      </c>
      <c r="BZ151" s="336">
        <f t="shared" si="461"/>
        <v>46093</v>
      </c>
      <c r="CA151" s="345">
        <f>IF(_xlfn.XLOOKUP($E151,'[1]Import Eletra'!$B:$B,'[1]Import Eletra'!$BB:$BB,,0,1)=0,"",_xlfn.XLOOKUP($E151,'[1]Import Eletra'!$B:$B,'[1]Import Eletra'!$BB:$BB,,0,1))</f>
        <v>46093</v>
      </c>
      <c r="CB151" s="309">
        <f t="shared" si="399"/>
        <v>0</v>
      </c>
      <c r="CC151" s="309">
        <f t="shared" ca="1" si="462"/>
        <v>0</v>
      </c>
      <c r="CD151" s="310">
        <f t="shared" ca="1" si="463"/>
        <v>0</v>
      </c>
      <c r="CE151" s="363">
        <f t="shared" si="464"/>
        <v>46093</v>
      </c>
      <c r="CF151" s="345">
        <f>IF(_xlfn.XLOOKUP($E151,'[1]Import Eletra'!$B:$B,'[1]Import Eletra'!$BC:$BC,,0,1)=0,"",_xlfn.XLOOKUP($E151,'[1]Import Eletra'!$B:$B,'[1]Import Eletra'!$BC:$BC,,0,1))</f>
        <v>46094</v>
      </c>
      <c r="CG151" s="309">
        <f t="shared" si="403"/>
        <v>0</v>
      </c>
      <c r="CH151" s="309">
        <f t="shared" ca="1" si="465"/>
        <v>1</v>
      </c>
      <c r="CI151" s="310">
        <f t="shared" ca="1" si="466"/>
        <v>1</v>
      </c>
      <c r="CJ151" s="336">
        <f t="shared" si="467"/>
        <v>46093</v>
      </c>
      <c r="CK151" s="345">
        <f>IF(_xlfn.XLOOKUP($E151,'[1]Import Eletra'!$B:$B,'[1]Import Eletra'!$BD:$BD,,0,1)=0,"",_xlfn.XLOOKUP($E151,'[1]Import Eletra'!$B:$B,'[1]Import Eletra'!$BD:$BD,,0,1))</f>
        <v>46093</v>
      </c>
      <c r="CL151" s="309"/>
      <c r="CM151" s="309">
        <f t="shared" ca="1" si="468"/>
        <v>0</v>
      </c>
      <c r="CN151" s="310">
        <f t="shared" ca="1" si="469"/>
        <v>0</v>
      </c>
      <c r="CO151" s="363">
        <f t="shared" si="470"/>
        <v>46093</v>
      </c>
      <c r="CP151" s="345">
        <f>IF(_xlfn.XLOOKUP($E151,'[1]Import Eletra'!$B:$B,'[1]Import Eletra'!$BE:$BE,,0,1)=0,"",_xlfn.XLOOKUP($E151,'[1]Import Eletra'!$B:$B,'[1]Import Eletra'!$BE:$BE,,0,1))</f>
        <v>46094</v>
      </c>
      <c r="CQ151" s="309">
        <f t="shared" si="410"/>
        <v>0</v>
      </c>
      <c r="CR151" s="309">
        <f t="shared" ca="1" si="471"/>
        <v>1</v>
      </c>
      <c r="CS151" s="310">
        <f t="shared" ca="1" si="472"/>
        <v>1</v>
      </c>
      <c r="CT151" s="336">
        <f t="shared" si="473"/>
        <v>46093</v>
      </c>
      <c r="CU151" s="345">
        <f>IF(_xlfn.XLOOKUP($E151,'[1]Import Eletra'!$B:$B,'[1]Import Eletra'!$BF:$BF,,0,1)=0,"",_xlfn.XLOOKUP($E151,'[1]Import Eletra'!$B:$B,'[1]Import Eletra'!$BF:$BF,,0,1))</f>
        <v>46094</v>
      </c>
      <c r="CV151" s="309">
        <f t="shared" si="414"/>
        <v>0</v>
      </c>
      <c r="CW151" s="309">
        <f t="shared" ca="1" si="474"/>
        <v>1</v>
      </c>
      <c r="CX151" s="310">
        <f t="shared" ca="1" si="475"/>
        <v>1</v>
      </c>
      <c r="CY151" s="85">
        <f t="shared" si="476"/>
        <v>46093</v>
      </c>
      <c r="CZ151" s="271">
        <f>IF(_xlfn.XLOOKUP($E151,'[1]Import Eletra'!$B:$B,'[1]Import Eletra'!$BF:$BF,,0,1)=0,"",_xlfn.XLOOKUP($E151,'[1]Import Eletra'!$B:$B,'[1]Import Eletra'!$BF:$BF,,0,1))</f>
        <v>46094</v>
      </c>
      <c r="DA151" s="311">
        <f t="shared" si="418"/>
        <v>0</v>
      </c>
      <c r="DB151" s="309">
        <f t="shared" ca="1" si="477"/>
        <v>1</v>
      </c>
      <c r="DC151" s="310">
        <f t="shared" ca="1" si="478"/>
        <v>1</v>
      </c>
      <c r="DD151" s="85">
        <f t="shared" si="479"/>
        <v>46095</v>
      </c>
      <c r="DE151" s="271">
        <f>IF(_xlfn.XLOOKUP($E151,'[1]Import Eletra'!$B:$B,'[1]Import Eletra'!$BG:$BG,,0,1)=0,"",_xlfn.XLOOKUP($E151,'[1]Import Eletra'!$B:$B,'[1]Import Eletra'!$BG:$BG,0,1))</f>
        <v>46097</v>
      </c>
      <c r="DF151" s="309">
        <f t="shared" si="422"/>
        <v>2</v>
      </c>
      <c r="DG151" s="309">
        <f t="shared" ca="1" si="480"/>
        <v>2</v>
      </c>
      <c r="DH151" s="310">
        <f t="shared" ca="1" si="481"/>
        <v>0</v>
      </c>
      <c r="DI151" s="85">
        <f t="shared" si="482"/>
        <v>46096</v>
      </c>
      <c r="DJ151" s="271">
        <f>IF(_xlfn.XLOOKUP($E151,'[1]Import Eletra'!$B:$B,'[1]Import Eletra'!$BH:$BH,,0,1)=0,"",_xlfn.XLOOKUP($E151,'[1]Import Eletra'!$B:$B,'[1]Import Eletra'!$BH:$BH,0,1))</f>
        <v>46101</v>
      </c>
      <c r="DK151" s="309">
        <f t="shared" si="426"/>
        <v>1</v>
      </c>
      <c r="DL151" s="309">
        <f t="shared" ca="1" si="483"/>
        <v>5</v>
      </c>
      <c r="DM151" s="310">
        <f t="shared" ca="1" si="484"/>
        <v>4</v>
      </c>
      <c r="DN151" s="312"/>
      <c r="DO151" s="313">
        <f t="shared" si="485"/>
        <v>46097</v>
      </c>
      <c r="DP151" s="59">
        <f>IF(_xlfn.XLOOKUP($E151,'[1]Import Eletra'!$B:$B,'[1]Import Eletra'!$O:$O,,0,1)=0,"",_xlfn.XLOOKUP($E151,'[1]Import Eletra'!$B:$B,'[1]Import Eletra'!$O:$O,0,1))</f>
        <v>46101</v>
      </c>
      <c r="DQ151" s="309">
        <f t="shared" si="430"/>
        <v>1</v>
      </c>
      <c r="DR151" s="309">
        <f t="shared" ca="1" si="486"/>
        <v>4</v>
      </c>
      <c r="DS151" s="310">
        <f t="shared" ca="1" si="487"/>
        <v>3</v>
      </c>
      <c r="DT151" s="314">
        <v>17</v>
      </c>
      <c r="DU151" s="140">
        <f t="shared" ca="1" si="488"/>
        <v>17</v>
      </c>
      <c r="DV151" s="184">
        <f t="shared" ca="1" si="489"/>
        <v>0</v>
      </c>
      <c r="DX151" s="316"/>
      <c r="DY151" s="108" t="str">
        <f>IF(_xlfn.XLOOKUP($E151,'[1]Import Eletra'!$B:$B,'[1]Import Eletra'!$DW:$DW,,0,1)=0,"",_xlfn.XLOOKUP($E151,'[1]Import Eletra'!$B:$B,'[1]Import Eletra'!$DW:$DW,0,1))</f>
        <v/>
      </c>
      <c r="EB151" s="317"/>
      <c r="ED151" s="406">
        <f>IF(_xlfn.XLOOKUP($E151,'[1]Import Eletra'!$B:$B,'[1]Import Eletra'!$BQ:$BQ,,0,1)=0,"",_xlfn.XLOOKUP($E151,'[1]Import Eletra'!$B:$B,'[1]Import Eletra'!$BQ:$BQ,0,1))</f>
        <v>818.29</v>
      </c>
      <c r="EE151" s="407">
        <f>IF(_xlfn.XLOOKUP($E151,'[1]Import Eletra'!$B:$B,'[1]Import Eletra'!$BR:$BR,,0,1)=0,"",_xlfn.XLOOKUP($E151,'[1]Import Eletra'!$B:$B,'[1]Import Eletra'!$BR:$BR,0,1))</f>
        <v>46103</v>
      </c>
      <c r="EF151" s="406">
        <f>IF(_xlfn.XLOOKUP($E151,'[1]Import Eletra'!$B:$B,'[1]Import Eletra'!$BS:$BS,,0,1)=0,"",_xlfn.XLOOKUP($E151,'[1]Import Eletra'!$B:$B,'[1]Import Eletra'!$BS:$BS,0,1))</f>
        <v>5857.71</v>
      </c>
      <c r="EG151" s="407">
        <f>IF(_xlfn.XLOOKUP($E151,'[1]Import Eletra'!$B:$B,'[1]Import Eletra'!$BT:$BT,,0,1)=0,"",_xlfn.XLOOKUP($E151,'[1]Import Eletra'!$B:$B,'[1]Import Eletra'!$BT:$BT,0,1))</f>
        <v>46167</v>
      </c>
      <c r="EH151" s="406" t="str">
        <f>IF(_xlfn.XLOOKUP($E151,'[1]Import Eletra'!$B:$B,'[1]Import Eletra'!$BU:$BU,,0,1)=0,"",_xlfn.XLOOKUP($E151,'[1]Import Eletra'!$B:$B,'[1]Import Eletra'!$BU:$BU,0,1))</f>
        <v/>
      </c>
      <c r="EI151" s="407" t="str">
        <f>IF(_xlfn.XLOOKUP($E151,'[1]Import Eletra'!$B:$B,'[1]Import Eletra'!$BV:$BV,,0,1)=0,"",_xlfn.XLOOKUP($E151,'[1]Import Eletra'!$B:$B,'[1]Import Eletra'!$BV:$BV,0,1))</f>
        <v/>
      </c>
      <c r="EJ151" s="407">
        <f>IF(_xlfn.XLOOKUP($E151,'[1]Import Eletra'!$B:$B,'[1]Import Eletra'!$CI:$CI,,0,1)=0,"",_xlfn.XLOOKUP($E151,'[1]Import Eletra'!$B:$B,'[1]Import Eletra'!$CI:$CI,0,1))</f>
        <v>46102</v>
      </c>
      <c r="EK151" s="407" t="str">
        <f>IF(_xlfn.XLOOKUP($E151,'[1]Import Eletra'!$B:$B,'[1]Import Eletra'!$CD:$CD,,0,1)=0,"",_xlfn.XLOOKUP($E151,'[1]Import Eletra'!$B:$B,'[1]Import Eletra'!$CD:$CD,0,1))</f>
        <v/>
      </c>
      <c r="EL151" s="407" t="str">
        <f>IF(_xlfn.XLOOKUP($E151,'[1]Import Eletra'!$B:$B,'[1]Import Eletra'!$CE:$CE,,0,1)=0,"",_xlfn.XLOOKUP($E151,'[1]Import Eletra'!$B:$B,'[1]Import Eletra'!$CE:$CE,0,1))</f>
        <v>NÃO</v>
      </c>
      <c r="EM151" s="408" t="str">
        <f>IF(_xlfn.XLOOKUP($E151,'[1]Import Eletra'!$B:$B,'[1]Import Eletra'!$E:$E,,0,1)=0,"",_xlfn.XLOOKUP($E151,'[1]Import Eletra'!$B:$B,'[1]Import Eletra'!$E:$E,0,1))</f>
        <v>CATARINA</v>
      </c>
      <c r="EN151" s="408" t="str">
        <f>IF(_xlfn.XLOOKUP($E151,'[1]Import Eletra'!$B:$B,'[1]Import Eletra'!$E:$E,,0,1)=0,"",_xlfn.XLOOKUP($E151,'[1]Import Eletra'!$B:$B,'[1]Import Eletra'!$E:$E,0,1))</f>
        <v>CATARINA</v>
      </c>
      <c r="EO151" s="408" t="str">
        <f>IF(_xlfn.XLOOKUP($E151,'[1]Import Eletra'!$B:$B,'[1]Import Eletra'!$E:$E,,0,1)=0,"",_xlfn.XLOOKUP($E151,'[1]Import Eletra'!$B:$B,'[1]Import Eletra'!$E:$E,0,1))</f>
        <v>CATARINA</v>
      </c>
      <c r="EP151" s="408" t="str">
        <f>IF(_xlfn.XLOOKUP($E151,'[1]Import Eletra'!$B:$B,'[1]Import Eletra'!$E:$E,,0,1)=0,"",_xlfn.XLOOKUP($E151,'[1]Import Eletra'!$B:$B,'[1]Import Eletra'!$E:$E,0,1))</f>
        <v>CATARINA</v>
      </c>
    </row>
    <row r="152" spans="1:146" s="315" customFormat="1" ht="30" hidden="1" customHeight="1" outlineLevel="1">
      <c r="A152" s="305"/>
      <c r="B152" s="306"/>
      <c r="C152" s="306"/>
      <c r="D152" s="306"/>
      <c r="E152" s="367" t="s">
        <v>448</v>
      </c>
      <c r="F152" s="307">
        <f>IF(_xlfn.XLOOKUP($E152,'[1]Import Eletra'!$B:$B,'[1]Import Eletra'!$U:$U,,0,1)=0,"",_xlfn.XLOOKUP($E152,'[1]Import Eletra'!$B:$B,'[1]Import Eletra'!$U:$U,,0,1))</f>
        <v>3</v>
      </c>
      <c r="G152" s="320" t="s">
        <v>244</v>
      </c>
      <c r="H152" s="59" t="str">
        <f>_xlfn.XLOOKUP($E152,'[1]Import Eletra'!$B:$B,'[1]Import Eletra'!$F:$F,,0,1)</f>
        <v>DELIVERED</v>
      </c>
      <c r="I152" s="4" t="str">
        <f>_xlfn.XLOOKUP($E152,'[1]Import Eletra'!$B:$B,'[1]Import Eletra'!$G:$G,,0,1)</f>
        <v>SEA</v>
      </c>
      <c r="J152" s="331"/>
      <c r="K152" s="308"/>
      <c r="L152" s="308"/>
      <c r="M152" s="331">
        <f>IF(_xlfn.XLOOKUP($E152,'[1]Import Eletra'!$B:$B,'[1]Import Eletra'!$J:$J,,0,1)=0,"",_xlfn.XLOOKUP($E152,'[1]Import Eletra'!$B:$B,'[1]Import Eletra'!$J:$J,,0,1))</f>
        <v>46016</v>
      </c>
      <c r="N152" s="334">
        <f>IF(_xlfn.XLOOKUP($E152,'[1]Import Eletra'!$B:$B,'[1]Import Eletra'!$L:$L,,0,1)=0,"",_xlfn.XLOOKUP($E152,'[1]Import Eletra'!$B:$B,'[1]Import Eletra'!$L:$L,,0,1))</f>
        <v>46084</v>
      </c>
      <c r="O152" s="336">
        <f>IF(_xlfn.XLOOKUP($E152,'[1]Import Eletra'!$B:$B,'[1]Import Eletra'!$AK:$AK,,0,1)=0,"",_xlfn.XLOOKUP($E152,'[1]Import Eletra'!$B:$B,'[1]Import Eletra'!$AK:$AK,,0,1))</f>
        <v>46057</v>
      </c>
      <c r="P152" s="331">
        <f>IF(_xlfn.XLOOKUP($E152,'[1]Import Eletra'!$B:$B,'[1]Import Eletra'!$AL:$AL,,0,1)=0,"",_xlfn.XLOOKUP($E152,'[1]Import Eletra'!$B:$B,'[1]Import Eletra'!$AL:$AL,,0,1))</f>
        <v>46058</v>
      </c>
      <c r="Q152" s="331">
        <f>IF(_xlfn.XLOOKUP($E152,'[1]Import Eletra'!$B:$B,'[1]Import Eletra'!$AM:$AM,,0,1)=0,"",_xlfn.XLOOKUP($E152,'[1]Import Eletra'!$B:$B,'[1]Import Eletra'!$AM:$AM,,0,1))</f>
        <v>46065</v>
      </c>
      <c r="R152" s="331">
        <f>IF(_xlfn.XLOOKUP($E152,'[1]Import Eletra'!$B:$B,'[1]Import Eletra'!$AN:$AN,,0,1)=0,"",_xlfn.XLOOKUP($E152,'[1]Import Eletra'!$B:$B,'[1]Import Eletra'!$AN:$AN,,0,1))</f>
        <v>46066</v>
      </c>
      <c r="S152" s="331">
        <f>IF(_xlfn.XLOOKUP($E152,'[1]Import Eletra'!$B:$B,'[1]Import Eletra'!$AO:$AO,,0,1)=0,"",_xlfn.XLOOKUP($E152,'[1]Import Eletra'!$B:$B,'[1]Import Eletra'!$AO:$AO,,0,1))</f>
        <v>46072</v>
      </c>
      <c r="T152" s="331">
        <f>IF(_xlfn.XLOOKUP($E152,'[1]Import Eletra'!$B:$B,'[1]Import Eletra'!$AP:$AP,,0,1)=0,"",_xlfn.XLOOKUP($E152,'[1]Import Eletra'!$B:$B,'[1]Import Eletra'!$AP:$AP,,0,1))</f>
        <v>46072</v>
      </c>
      <c r="U152" s="338">
        <f>IF(_xlfn.XLOOKUP($E152,'[1]Import Eletra'!$B:$B,'[1]Import Eletra'!$AQ:$AQ,,0,1)=0,"",_xlfn.XLOOKUP($E152,'[1]Import Eletra'!$B:$B,'[1]Import Eletra'!$AQ:$AQ,,0,1))</f>
        <v>46080</v>
      </c>
      <c r="V152" s="343">
        <f>IF(_xlfn.XLOOKUP($E152,'[1]Import Eletra'!$B:$B,'[1]Import Eletra'!$AQ:$AQ,,0,1)=0,"",_xlfn.XLOOKUP($E152,'[1]Import Eletra'!$B:$B,'[1]Import Eletra'!$AQ:$AQ,,0,1))</f>
        <v>46080</v>
      </c>
      <c r="W152" s="336">
        <f t="shared" si="435"/>
        <v>46090</v>
      </c>
      <c r="X152" s="345">
        <f>IF(_xlfn.XLOOKUP($E152,'[1]Import Eletra'!$B:$B,'[1]Import Eletra'!$AR:$AR,,0,1)=0,"",_xlfn.XLOOKUP($E152,'[1]Import Eletra'!$B:$B,'[1]Import Eletra'!$AR:$AR,,0,1))</f>
        <v>46086</v>
      </c>
      <c r="Y152" s="309">
        <f t="shared" si="355"/>
        <v>0</v>
      </c>
      <c r="Z152" s="309">
        <f t="shared" ca="1" si="436"/>
        <v>-4</v>
      </c>
      <c r="AA152" s="310" t="str">
        <f t="shared" ca="1" si="357"/>
        <v/>
      </c>
      <c r="AB152" s="350">
        <f t="shared" si="437"/>
        <v>46090</v>
      </c>
      <c r="AC152" s="345">
        <f>IF(_xlfn.XLOOKUP($E152,'[1]Import Eletra'!$B:$B,'[1]Import Eletra'!$AD:$AD,,0,1)=0,"",_xlfn.XLOOKUP($E152,'[1]Import Eletra'!$B:$B,'[1]Import Eletra'!$AD:$AD,,0,1))</f>
        <v>46086</v>
      </c>
      <c r="AD152" s="309">
        <f t="shared" si="359"/>
        <v>0</v>
      </c>
      <c r="AE152" s="309">
        <f t="shared" ca="1" si="438"/>
        <v>-4</v>
      </c>
      <c r="AF152" s="310">
        <f t="shared" ca="1" si="439"/>
        <v>-4</v>
      </c>
      <c r="AG152" s="356">
        <f t="shared" si="440"/>
        <v>46090</v>
      </c>
      <c r="AH152" s="345">
        <f>IF(_xlfn.XLOOKUP($E152,'[1]Import Eletra'!$B:$B,'[1]Import Eletra'!$AE:$AE,,0,1)=0,"",_xlfn.XLOOKUP($E152,'[1]Import Eletra'!$B:$B,'[1]Import Eletra'!$AE:$AE,,0,1))</f>
        <v>46087</v>
      </c>
      <c r="AI152" s="309">
        <f t="shared" si="363"/>
        <v>0</v>
      </c>
      <c r="AJ152" s="309">
        <f t="shared" ca="1" si="441"/>
        <v>-3</v>
      </c>
      <c r="AK152" s="310" t="str">
        <f t="shared" ca="1" si="365"/>
        <v/>
      </c>
      <c r="AL152" s="356">
        <f t="shared" si="442"/>
        <v>46090</v>
      </c>
      <c r="AM152" s="345">
        <f>IF(_xlfn.XLOOKUP($E152,'[1]Import Eletra'!$B:$B,'[1]Import Eletra'!$AT:$AT,,0,1)=0,"",_xlfn.XLOOKUP($E152,'[1]Import Eletra'!$B:$B,'[1]Import Eletra'!$AT:$AT,,0,1))</f>
        <v>46086</v>
      </c>
      <c r="AN152" s="309">
        <f t="shared" si="367"/>
        <v>0</v>
      </c>
      <c r="AO152" s="309">
        <f t="shared" ca="1" si="443"/>
        <v>-4</v>
      </c>
      <c r="AP152" s="310" t="str">
        <f t="shared" ca="1" si="369"/>
        <v/>
      </c>
      <c r="AQ152" s="359">
        <f t="shared" si="444"/>
        <v>46091</v>
      </c>
      <c r="AR152" s="345">
        <f>IF(_xlfn.XLOOKUP($E152,'[1]Import Eletra'!$B:$B,'[1]Import Eletra'!$AU:$AU,,0,1)=0,"",_xlfn.XLOOKUP($E152,'[1]Import Eletra'!$B:$B,'[1]Import Eletra'!$AU:$AU,,0,1))</f>
        <v>46087</v>
      </c>
      <c r="AS152" s="309">
        <f t="shared" si="371"/>
        <v>1</v>
      </c>
      <c r="AT152" s="309">
        <f t="shared" ca="1" si="445"/>
        <v>-4</v>
      </c>
      <c r="AU152" s="310" t="str">
        <f t="shared" ca="1" si="373"/>
        <v/>
      </c>
      <c r="AV152" s="356">
        <f t="shared" si="446"/>
        <v>46091</v>
      </c>
      <c r="AW152" s="345">
        <f>IF(_xlfn.XLOOKUP($E152,'[1]Import Eletra'!$B:$B,'[1]Import Eletra'!$AU:$AU,,0,1)=0,"",_xlfn.XLOOKUP($E152,'[1]Import Eletra'!$B:$B,'[1]Import Eletra'!$AU:$AU,,0,1))</f>
        <v>46087</v>
      </c>
      <c r="AX152" s="309">
        <f t="shared" si="375"/>
        <v>0</v>
      </c>
      <c r="AY152" s="309">
        <f t="shared" ca="1" si="447"/>
        <v>-4</v>
      </c>
      <c r="AZ152" s="310" t="str">
        <f t="shared" ca="1" si="377"/>
        <v/>
      </c>
      <c r="BA152" s="359">
        <f t="shared" si="448"/>
        <v>46091</v>
      </c>
      <c r="BB152" s="345" t="str">
        <f>IF(_xlfn.XLOOKUP($E152,'[1]Import Eletra'!$B:$B,'[1]Import Eletra'!$AW:$AW,,0,1)=0,"",_xlfn.XLOOKUP($E152,'[1]Import Eletra'!$B:$B,'[1]Import Eletra'!$AW:$AW,,0,1))</f>
        <v/>
      </c>
      <c r="BC152" s="309">
        <f t="shared" si="379"/>
        <v>0</v>
      </c>
      <c r="BD152" s="309">
        <f t="shared" ca="1" si="449"/>
        <v>120</v>
      </c>
      <c r="BE152" s="310">
        <f t="shared" ca="1" si="450"/>
        <v>120</v>
      </c>
      <c r="BF152" s="336">
        <f t="shared" si="451"/>
        <v>46091</v>
      </c>
      <c r="BG152" s="345" t="str">
        <f>IF(_xlfn.XLOOKUP($E152,'[1]Import Eletra'!$B:$B,'[1]Import Eletra'!$AX:$AX,,0,1)=0,"",_xlfn.XLOOKUP($E152,'[1]Import Eletra'!$B:$B,'[1]Import Eletra'!$AX:$AX,,0,1))</f>
        <v/>
      </c>
      <c r="BH152" s="309">
        <f t="shared" si="383"/>
        <v>0</v>
      </c>
      <c r="BI152" s="309">
        <f t="shared" ca="1" si="452"/>
        <v>120</v>
      </c>
      <c r="BJ152" s="310">
        <f t="shared" ca="1" si="385"/>
        <v>120</v>
      </c>
      <c r="BK152" s="363">
        <f t="shared" si="453"/>
        <v>46091</v>
      </c>
      <c r="BL152" s="345">
        <f>IF(_xlfn.XLOOKUP($E152,'[1]Import Eletra'!$B:$B,'[1]Import Eletra'!$AY:$AY,,0,1)=0,"",_xlfn.XLOOKUP($E152,'[1]Import Eletra'!$B:$B,'[1]Import Eletra'!$AY:$AY,,0,1))</f>
        <v>46086</v>
      </c>
      <c r="BM152" s="309">
        <f t="shared" si="387"/>
        <v>0</v>
      </c>
      <c r="BN152" s="309">
        <f t="shared" ca="1" si="454"/>
        <v>-5</v>
      </c>
      <c r="BO152" s="310">
        <f t="shared" ca="1" si="455"/>
        <v>-5</v>
      </c>
      <c r="BP152" s="336">
        <f t="shared" si="456"/>
        <v>46091</v>
      </c>
      <c r="BQ152" s="345">
        <f>IF(_xlfn.XLOOKUP($E152,'[1]Import Eletra'!$B:$B,'[1]Import Eletra'!$AZ:$AZ,,0,1)=0,"",_xlfn.XLOOKUP($E152,'[1]Import Eletra'!$B:$B,'[1]Import Eletra'!$AZ:$AZ,,0,1))</f>
        <v>46090</v>
      </c>
      <c r="BR152" s="309">
        <f t="shared" si="391"/>
        <v>0</v>
      </c>
      <c r="BS152" s="309">
        <f t="shared" ca="1" si="457"/>
        <v>-1</v>
      </c>
      <c r="BT152" s="310">
        <f t="shared" ca="1" si="458"/>
        <v>-1</v>
      </c>
      <c r="BU152" s="363">
        <f t="shared" si="459"/>
        <v>46093</v>
      </c>
      <c r="BV152" s="345">
        <f>IF(_xlfn.XLOOKUP($E152,'[1]Import Eletra'!$B:$B,'[1]Import Eletra'!$BA:$BA,,0,1)=0,"",_xlfn.XLOOKUP($E152,'[1]Import Eletra'!$B:$B,'[1]Import Eletra'!$BA:$BA,,0,1))</f>
        <v>46091</v>
      </c>
      <c r="BW152" s="309">
        <f t="shared" si="395"/>
        <v>2</v>
      </c>
      <c r="BX152" s="309">
        <f t="shared" ca="1" si="460"/>
        <v>-2</v>
      </c>
      <c r="BY152" s="310" t="str">
        <f t="shared" ca="1" si="397"/>
        <v/>
      </c>
      <c r="BZ152" s="336">
        <f t="shared" si="461"/>
        <v>46093</v>
      </c>
      <c r="CA152" s="345">
        <f>IF(_xlfn.XLOOKUP($E152,'[1]Import Eletra'!$B:$B,'[1]Import Eletra'!$BB:$BB,,0,1)=0,"",_xlfn.XLOOKUP($E152,'[1]Import Eletra'!$B:$B,'[1]Import Eletra'!$BB:$BB,,0,1))</f>
        <v>46091</v>
      </c>
      <c r="CB152" s="309">
        <f t="shared" si="399"/>
        <v>0</v>
      </c>
      <c r="CC152" s="309">
        <f t="shared" ca="1" si="462"/>
        <v>-2</v>
      </c>
      <c r="CD152" s="310">
        <f t="shared" ca="1" si="463"/>
        <v>-2</v>
      </c>
      <c r="CE152" s="363">
        <f t="shared" si="464"/>
        <v>46093</v>
      </c>
      <c r="CF152" s="345">
        <f>IF(_xlfn.XLOOKUP($E152,'[1]Import Eletra'!$B:$B,'[1]Import Eletra'!$BC:$BC,,0,1)=0,"",_xlfn.XLOOKUP($E152,'[1]Import Eletra'!$B:$B,'[1]Import Eletra'!$BC:$BC,,0,1))</f>
        <v>46094</v>
      </c>
      <c r="CG152" s="309">
        <f t="shared" si="403"/>
        <v>0</v>
      </c>
      <c r="CH152" s="309">
        <f t="shared" ca="1" si="465"/>
        <v>1</v>
      </c>
      <c r="CI152" s="310">
        <f t="shared" ca="1" si="466"/>
        <v>1</v>
      </c>
      <c r="CJ152" s="336">
        <f t="shared" si="467"/>
        <v>46093</v>
      </c>
      <c r="CK152" s="345">
        <f>IF(_xlfn.XLOOKUP($E152,'[1]Import Eletra'!$B:$B,'[1]Import Eletra'!$BD:$BD,,0,1)=0,"",_xlfn.XLOOKUP($E152,'[1]Import Eletra'!$B:$B,'[1]Import Eletra'!$BD:$BD,,0,1))</f>
        <v>46091</v>
      </c>
      <c r="CL152" s="309"/>
      <c r="CM152" s="309">
        <f t="shared" ca="1" si="468"/>
        <v>-2</v>
      </c>
      <c r="CN152" s="310">
        <f t="shared" ca="1" si="469"/>
        <v>-2</v>
      </c>
      <c r="CO152" s="363">
        <f t="shared" si="470"/>
        <v>46093</v>
      </c>
      <c r="CP152" s="345">
        <f>IF(_xlfn.XLOOKUP($E152,'[1]Import Eletra'!$B:$B,'[1]Import Eletra'!$BE:$BE,,0,1)=0,"",_xlfn.XLOOKUP($E152,'[1]Import Eletra'!$B:$B,'[1]Import Eletra'!$BE:$BE,,0,1))</f>
        <v>46094</v>
      </c>
      <c r="CQ152" s="309">
        <f t="shared" si="410"/>
        <v>0</v>
      </c>
      <c r="CR152" s="309">
        <f t="shared" ca="1" si="471"/>
        <v>1</v>
      </c>
      <c r="CS152" s="310">
        <f t="shared" ca="1" si="472"/>
        <v>1</v>
      </c>
      <c r="CT152" s="336">
        <f t="shared" si="473"/>
        <v>46093</v>
      </c>
      <c r="CU152" s="345">
        <f>IF(_xlfn.XLOOKUP($E152,'[1]Import Eletra'!$B:$B,'[1]Import Eletra'!$BF:$BF,,0,1)=0,"",_xlfn.XLOOKUP($E152,'[1]Import Eletra'!$B:$B,'[1]Import Eletra'!$BF:$BF,,0,1))</f>
        <v>46094</v>
      </c>
      <c r="CV152" s="309">
        <f t="shared" si="414"/>
        <v>0</v>
      </c>
      <c r="CW152" s="309">
        <f t="shared" ca="1" si="474"/>
        <v>1</v>
      </c>
      <c r="CX152" s="310">
        <f t="shared" ca="1" si="475"/>
        <v>1</v>
      </c>
      <c r="CY152" s="85">
        <f t="shared" si="476"/>
        <v>46093</v>
      </c>
      <c r="CZ152" s="271">
        <f>IF(_xlfn.XLOOKUP($E152,'[1]Import Eletra'!$B:$B,'[1]Import Eletra'!$BF:$BF,,0,1)=0,"",_xlfn.XLOOKUP($E152,'[1]Import Eletra'!$B:$B,'[1]Import Eletra'!$BF:$BF,,0,1))</f>
        <v>46094</v>
      </c>
      <c r="DA152" s="311">
        <f t="shared" si="418"/>
        <v>0</v>
      </c>
      <c r="DB152" s="309">
        <f t="shared" ca="1" si="477"/>
        <v>1</v>
      </c>
      <c r="DC152" s="310">
        <f t="shared" ca="1" si="478"/>
        <v>1</v>
      </c>
      <c r="DD152" s="85">
        <f t="shared" si="479"/>
        <v>46095</v>
      </c>
      <c r="DE152" s="271">
        <f>IF(_xlfn.XLOOKUP($E152,'[1]Import Eletra'!$B:$B,'[1]Import Eletra'!$BG:$BG,,0,1)=0,"",_xlfn.XLOOKUP($E152,'[1]Import Eletra'!$B:$B,'[1]Import Eletra'!$BG:$BG,0,1))</f>
        <v>46095</v>
      </c>
      <c r="DF152" s="309">
        <f t="shared" si="422"/>
        <v>2</v>
      </c>
      <c r="DG152" s="309">
        <f t="shared" ca="1" si="480"/>
        <v>0</v>
      </c>
      <c r="DH152" s="310">
        <f t="shared" ca="1" si="481"/>
        <v>-2</v>
      </c>
      <c r="DI152" s="85">
        <f t="shared" si="482"/>
        <v>46096</v>
      </c>
      <c r="DJ152" s="271">
        <f>IF(_xlfn.XLOOKUP($E152,'[1]Import Eletra'!$B:$B,'[1]Import Eletra'!$BH:$BH,,0,1)=0,"",_xlfn.XLOOKUP($E152,'[1]Import Eletra'!$B:$B,'[1]Import Eletra'!$BH:$BH,0,1))</f>
        <v>46096</v>
      </c>
      <c r="DK152" s="309">
        <f t="shared" si="426"/>
        <v>1</v>
      </c>
      <c r="DL152" s="309">
        <f t="shared" ca="1" si="483"/>
        <v>0</v>
      </c>
      <c r="DM152" s="310">
        <f t="shared" ca="1" si="484"/>
        <v>-1</v>
      </c>
      <c r="DN152" s="312"/>
      <c r="DO152" s="313">
        <f t="shared" si="485"/>
        <v>46097</v>
      </c>
      <c r="DP152" s="59">
        <f>IF(_xlfn.XLOOKUP($E152,'[1]Import Eletra'!$B:$B,'[1]Import Eletra'!$O:$O,,0,1)=0,"",_xlfn.XLOOKUP($E152,'[1]Import Eletra'!$B:$B,'[1]Import Eletra'!$O:$O,0,1))</f>
        <v>46096</v>
      </c>
      <c r="DQ152" s="309">
        <f t="shared" si="430"/>
        <v>1</v>
      </c>
      <c r="DR152" s="309">
        <f t="shared" ca="1" si="486"/>
        <v>-1</v>
      </c>
      <c r="DS152" s="310">
        <f t="shared" ca="1" si="487"/>
        <v>-2</v>
      </c>
      <c r="DT152" s="314">
        <v>17</v>
      </c>
      <c r="DU152" s="140">
        <f t="shared" ca="1" si="488"/>
        <v>12</v>
      </c>
      <c r="DV152" s="184">
        <f t="shared" ca="1" si="489"/>
        <v>-5</v>
      </c>
      <c r="DX152" s="316"/>
      <c r="DY152" s="108" t="str">
        <f>IF(_xlfn.XLOOKUP($E152,'[1]Import Eletra'!$B:$B,'[1]Import Eletra'!$DW:$DW,,0,1)=0,"",_xlfn.XLOOKUP($E152,'[1]Import Eletra'!$B:$B,'[1]Import Eletra'!$DW:$DW,0,1))</f>
        <v/>
      </c>
      <c r="EB152" s="317"/>
      <c r="ED152" s="406">
        <f>IF(_xlfn.XLOOKUP($E152,'[1]Import Eletra'!$B:$B,'[1]Import Eletra'!$BQ:$BQ,,0,1)=0,"",_xlfn.XLOOKUP($E152,'[1]Import Eletra'!$B:$B,'[1]Import Eletra'!$BQ:$BQ,0,1))</f>
        <v>2454.87</v>
      </c>
      <c r="EE152" s="407" t="str">
        <f>IF(_xlfn.XLOOKUP($E152,'[1]Import Eletra'!$B:$B,'[1]Import Eletra'!$BR:$BR,,0,1)=0,"",_xlfn.XLOOKUP($E152,'[1]Import Eletra'!$B:$B,'[1]Import Eletra'!$BR:$BR,0,1))</f>
        <v/>
      </c>
      <c r="EF152" s="406" t="str">
        <f>IF(_xlfn.XLOOKUP($E152,'[1]Import Eletra'!$B:$B,'[1]Import Eletra'!$BS:$BS,,0,1)=0,"",_xlfn.XLOOKUP($E152,'[1]Import Eletra'!$B:$B,'[1]Import Eletra'!$BS:$BS,0,1))</f>
        <v/>
      </c>
      <c r="EG152" s="407" t="str">
        <f>IF(_xlfn.XLOOKUP($E152,'[1]Import Eletra'!$B:$B,'[1]Import Eletra'!$BT:$BT,,0,1)=0,"",_xlfn.XLOOKUP($E152,'[1]Import Eletra'!$B:$B,'[1]Import Eletra'!$BT:$BT,0,1))</f>
        <v/>
      </c>
      <c r="EH152" s="406" t="str">
        <f>IF(_xlfn.XLOOKUP($E152,'[1]Import Eletra'!$B:$B,'[1]Import Eletra'!$BU:$BU,,0,1)=0,"",_xlfn.XLOOKUP($E152,'[1]Import Eletra'!$B:$B,'[1]Import Eletra'!$BU:$BU,0,1))</f>
        <v/>
      </c>
      <c r="EI152" s="407" t="str">
        <f>IF(_xlfn.XLOOKUP($E152,'[1]Import Eletra'!$B:$B,'[1]Import Eletra'!$BV:$BV,,0,1)=0,"",_xlfn.XLOOKUP($E152,'[1]Import Eletra'!$B:$B,'[1]Import Eletra'!$BV:$BV,0,1))</f>
        <v/>
      </c>
      <c r="EJ152" s="407">
        <f>IF(_xlfn.XLOOKUP($E152,'[1]Import Eletra'!$B:$B,'[1]Import Eletra'!$CI:$CI,,0,1)=0,"",_xlfn.XLOOKUP($E152,'[1]Import Eletra'!$B:$B,'[1]Import Eletra'!$CI:$CI,0,1))</f>
        <v>46102</v>
      </c>
      <c r="EK152" s="407" t="str">
        <f>IF(_xlfn.XLOOKUP($E152,'[1]Import Eletra'!$B:$B,'[1]Import Eletra'!$CD:$CD,,0,1)=0,"",_xlfn.XLOOKUP($E152,'[1]Import Eletra'!$B:$B,'[1]Import Eletra'!$CD:$CD,0,1))</f>
        <v/>
      </c>
      <c r="EL152" s="407" t="str">
        <f>IF(_xlfn.XLOOKUP($E152,'[1]Import Eletra'!$B:$B,'[1]Import Eletra'!$CE:$CE,,0,1)=0,"",_xlfn.XLOOKUP($E152,'[1]Import Eletra'!$B:$B,'[1]Import Eletra'!$CE:$CE,0,1))</f>
        <v>NÃO</v>
      </c>
      <c r="EM152" s="408" t="str">
        <f>IF(_xlfn.XLOOKUP($E152,'[1]Import Eletra'!$B:$B,'[1]Import Eletra'!$E:$E,,0,1)=0,"",_xlfn.XLOOKUP($E152,'[1]Import Eletra'!$B:$B,'[1]Import Eletra'!$E:$E,0,1))</f>
        <v>CATARINA</v>
      </c>
      <c r="EN152" s="408" t="str">
        <f>IF(_xlfn.XLOOKUP($E152,'[1]Import Eletra'!$B:$B,'[1]Import Eletra'!$E:$E,,0,1)=0,"",_xlfn.XLOOKUP($E152,'[1]Import Eletra'!$B:$B,'[1]Import Eletra'!$E:$E,0,1))</f>
        <v>CATARINA</v>
      </c>
      <c r="EO152" s="408" t="str">
        <f>IF(_xlfn.XLOOKUP($E152,'[1]Import Eletra'!$B:$B,'[1]Import Eletra'!$E:$E,,0,1)=0,"",_xlfn.XLOOKUP($E152,'[1]Import Eletra'!$B:$B,'[1]Import Eletra'!$E:$E,0,1))</f>
        <v>CATARINA</v>
      </c>
      <c r="EP152" s="408" t="str">
        <f>IF(_xlfn.XLOOKUP($E152,'[1]Import Eletra'!$B:$B,'[1]Import Eletra'!$E:$E,,0,1)=0,"",_xlfn.XLOOKUP($E152,'[1]Import Eletra'!$B:$B,'[1]Import Eletra'!$E:$E,0,1))</f>
        <v>CATARINA</v>
      </c>
    </row>
    <row r="153" spans="1:146" s="315" customFormat="1" ht="30" hidden="1" customHeight="1" outlineLevel="1">
      <c r="A153" s="305"/>
      <c r="B153" s="306"/>
      <c r="C153" s="306"/>
      <c r="D153" s="306"/>
      <c r="E153" s="367" t="s">
        <v>449</v>
      </c>
      <c r="F153" s="307">
        <f>IF(_xlfn.XLOOKUP($E153,'[1]Import Eletra'!$B:$B,'[1]Import Eletra'!$U:$U,,0,1)=0,"",_xlfn.XLOOKUP($E153,'[1]Import Eletra'!$B:$B,'[1]Import Eletra'!$U:$U,,0,1))</f>
        <v>1</v>
      </c>
      <c r="G153" s="320" t="s">
        <v>244</v>
      </c>
      <c r="H153" s="59" t="str">
        <f>_xlfn.XLOOKUP($E153,'[1]Import Eletra'!$B:$B,'[1]Import Eletra'!$F:$F,,0,1)</f>
        <v>DELIVERED</v>
      </c>
      <c r="I153" s="4" t="str">
        <f>_xlfn.XLOOKUP($E153,'[1]Import Eletra'!$B:$B,'[1]Import Eletra'!$G:$G,,0,1)</f>
        <v>SEA</v>
      </c>
      <c r="J153" s="331"/>
      <c r="K153" s="308"/>
      <c r="L153" s="308"/>
      <c r="M153" s="331">
        <f>IF(_xlfn.XLOOKUP($E153,'[1]Import Eletra'!$B:$B,'[1]Import Eletra'!$J:$J,,0,1)=0,"",_xlfn.XLOOKUP($E153,'[1]Import Eletra'!$B:$B,'[1]Import Eletra'!$J:$J,,0,1))</f>
        <v>46016</v>
      </c>
      <c r="N153" s="334">
        <f>IF(_xlfn.XLOOKUP($E153,'[1]Import Eletra'!$B:$B,'[1]Import Eletra'!$L:$L,,0,1)=0,"",_xlfn.XLOOKUP($E153,'[1]Import Eletra'!$B:$B,'[1]Import Eletra'!$L:$L,,0,1))</f>
        <v>46084</v>
      </c>
      <c r="O153" s="336">
        <f>IF(_xlfn.XLOOKUP($E153,'[1]Import Eletra'!$B:$B,'[1]Import Eletra'!$AK:$AK,,0,1)=0,"",_xlfn.XLOOKUP($E153,'[1]Import Eletra'!$B:$B,'[1]Import Eletra'!$AK:$AK,,0,1))</f>
        <v>46057</v>
      </c>
      <c r="P153" s="331">
        <f>IF(_xlfn.XLOOKUP($E153,'[1]Import Eletra'!$B:$B,'[1]Import Eletra'!$AL:$AL,,0,1)=0,"",_xlfn.XLOOKUP($E153,'[1]Import Eletra'!$B:$B,'[1]Import Eletra'!$AL:$AL,,0,1))</f>
        <v>46059</v>
      </c>
      <c r="Q153" s="331">
        <f>IF(_xlfn.XLOOKUP($E153,'[1]Import Eletra'!$B:$B,'[1]Import Eletra'!$AM:$AM,,0,1)=0,"",_xlfn.XLOOKUP($E153,'[1]Import Eletra'!$B:$B,'[1]Import Eletra'!$AM:$AM,,0,1))</f>
        <v>46066</v>
      </c>
      <c r="R153" s="331">
        <f>IF(_xlfn.XLOOKUP($E153,'[1]Import Eletra'!$B:$B,'[1]Import Eletra'!$AN:$AN,,0,1)=0,"",_xlfn.XLOOKUP($E153,'[1]Import Eletra'!$B:$B,'[1]Import Eletra'!$AN:$AN,,0,1))</f>
        <v>46066</v>
      </c>
      <c r="S153" s="331">
        <f>IF(_xlfn.XLOOKUP($E153,'[1]Import Eletra'!$B:$B,'[1]Import Eletra'!$AO:$AO,,0,1)=0,"",_xlfn.XLOOKUP($E153,'[1]Import Eletra'!$B:$B,'[1]Import Eletra'!$AO:$AO,,0,1))</f>
        <v>46076</v>
      </c>
      <c r="T153" s="331">
        <f>IF(_xlfn.XLOOKUP($E153,'[1]Import Eletra'!$B:$B,'[1]Import Eletra'!$AP:$AP,,0,1)=0,"",_xlfn.XLOOKUP($E153,'[1]Import Eletra'!$B:$B,'[1]Import Eletra'!$AP:$AP,,0,1))</f>
        <v>46079</v>
      </c>
      <c r="U153" s="338">
        <f>IF(_xlfn.XLOOKUP($E153,'[1]Import Eletra'!$B:$B,'[1]Import Eletra'!$AQ:$AQ,,0,1)=0,"",_xlfn.XLOOKUP($E153,'[1]Import Eletra'!$B:$B,'[1]Import Eletra'!$AQ:$AQ,,0,1))</f>
        <v>46080</v>
      </c>
      <c r="V153" s="343">
        <f>IF(_xlfn.XLOOKUP($E153,'[1]Import Eletra'!$B:$B,'[1]Import Eletra'!$AQ:$AQ,,0,1)=0,"",_xlfn.XLOOKUP($E153,'[1]Import Eletra'!$B:$B,'[1]Import Eletra'!$AQ:$AQ,,0,1))</f>
        <v>46080</v>
      </c>
      <c r="W153" s="336">
        <f t="shared" si="435"/>
        <v>46090</v>
      </c>
      <c r="X153" s="345">
        <f>IF(_xlfn.XLOOKUP($E153,'[1]Import Eletra'!$B:$B,'[1]Import Eletra'!$AR:$AR,,0,1)=0,"",_xlfn.XLOOKUP($E153,'[1]Import Eletra'!$B:$B,'[1]Import Eletra'!$AR:$AR,,0,1))</f>
        <v>46086</v>
      </c>
      <c r="Y153" s="309">
        <f t="shared" si="355"/>
        <v>0</v>
      </c>
      <c r="Z153" s="309">
        <f t="shared" ca="1" si="436"/>
        <v>-4</v>
      </c>
      <c r="AA153" s="310" t="str">
        <f t="shared" ca="1" si="357"/>
        <v/>
      </c>
      <c r="AB153" s="350">
        <f t="shared" si="437"/>
        <v>46090</v>
      </c>
      <c r="AC153" s="345">
        <f>IF(_xlfn.XLOOKUP($E153,'[1]Import Eletra'!$B:$B,'[1]Import Eletra'!$AD:$AD,,0,1)=0,"",_xlfn.XLOOKUP($E153,'[1]Import Eletra'!$B:$B,'[1]Import Eletra'!$AD:$AD,,0,1))</f>
        <v>46087</v>
      </c>
      <c r="AD153" s="309">
        <f t="shared" si="359"/>
        <v>0</v>
      </c>
      <c r="AE153" s="309">
        <f t="shared" ca="1" si="438"/>
        <v>-3</v>
      </c>
      <c r="AF153" s="310">
        <f t="shared" ca="1" si="439"/>
        <v>-3</v>
      </c>
      <c r="AG153" s="356">
        <f t="shared" si="440"/>
        <v>46090</v>
      </c>
      <c r="AH153" s="345">
        <f>IF(_xlfn.XLOOKUP($E153,'[1]Import Eletra'!$B:$B,'[1]Import Eletra'!$AE:$AE,,0,1)=0,"",_xlfn.XLOOKUP($E153,'[1]Import Eletra'!$B:$B,'[1]Import Eletra'!$AE:$AE,,0,1))</f>
        <v>46087</v>
      </c>
      <c r="AI153" s="309">
        <f t="shared" si="363"/>
        <v>0</v>
      </c>
      <c r="AJ153" s="309">
        <f t="shared" ca="1" si="441"/>
        <v>-3</v>
      </c>
      <c r="AK153" s="310" t="str">
        <f t="shared" ca="1" si="365"/>
        <v/>
      </c>
      <c r="AL153" s="356">
        <f t="shared" si="442"/>
        <v>46090</v>
      </c>
      <c r="AM153" s="345">
        <f>IF(_xlfn.XLOOKUP($E153,'[1]Import Eletra'!$B:$B,'[1]Import Eletra'!$AT:$AT,,0,1)=0,"",_xlfn.XLOOKUP($E153,'[1]Import Eletra'!$B:$B,'[1]Import Eletra'!$AT:$AT,,0,1))</f>
        <v>46087</v>
      </c>
      <c r="AN153" s="309">
        <f t="shared" si="367"/>
        <v>0</v>
      </c>
      <c r="AO153" s="309">
        <f t="shared" ca="1" si="443"/>
        <v>-3</v>
      </c>
      <c r="AP153" s="310" t="str">
        <f t="shared" ca="1" si="369"/>
        <v/>
      </c>
      <c r="AQ153" s="359">
        <f t="shared" si="444"/>
        <v>46091</v>
      </c>
      <c r="AR153" s="345">
        <f>IF(_xlfn.XLOOKUP($E153,'[1]Import Eletra'!$B:$B,'[1]Import Eletra'!$AU:$AU,,0,1)=0,"",_xlfn.XLOOKUP($E153,'[1]Import Eletra'!$B:$B,'[1]Import Eletra'!$AU:$AU,,0,1))</f>
        <v>46087</v>
      </c>
      <c r="AS153" s="309">
        <f t="shared" si="371"/>
        <v>1</v>
      </c>
      <c r="AT153" s="309">
        <f t="shared" ca="1" si="445"/>
        <v>-4</v>
      </c>
      <c r="AU153" s="310" t="str">
        <f t="shared" ca="1" si="373"/>
        <v/>
      </c>
      <c r="AV153" s="356">
        <f t="shared" si="446"/>
        <v>46091</v>
      </c>
      <c r="AW153" s="345">
        <f>IF(_xlfn.XLOOKUP($E153,'[1]Import Eletra'!$B:$B,'[1]Import Eletra'!$AU:$AU,,0,1)=0,"",_xlfn.XLOOKUP($E153,'[1]Import Eletra'!$B:$B,'[1]Import Eletra'!$AU:$AU,,0,1))</f>
        <v>46087</v>
      </c>
      <c r="AX153" s="309">
        <f t="shared" si="375"/>
        <v>0</v>
      </c>
      <c r="AY153" s="309">
        <f t="shared" ca="1" si="447"/>
        <v>-4</v>
      </c>
      <c r="AZ153" s="310" t="str">
        <f t="shared" ca="1" si="377"/>
        <v/>
      </c>
      <c r="BA153" s="359">
        <f t="shared" si="448"/>
        <v>46091</v>
      </c>
      <c r="BB153" s="345" t="str">
        <f>IF(_xlfn.XLOOKUP($E153,'[1]Import Eletra'!$B:$B,'[1]Import Eletra'!$AW:$AW,,0,1)=0,"",_xlfn.XLOOKUP($E153,'[1]Import Eletra'!$B:$B,'[1]Import Eletra'!$AW:$AW,,0,1))</f>
        <v/>
      </c>
      <c r="BC153" s="309">
        <f t="shared" si="379"/>
        <v>0</v>
      </c>
      <c r="BD153" s="309">
        <f t="shared" ca="1" si="449"/>
        <v>120</v>
      </c>
      <c r="BE153" s="310">
        <f t="shared" ca="1" si="450"/>
        <v>120</v>
      </c>
      <c r="BF153" s="336">
        <f t="shared" si="451"/>
        <v>46091</v>
      </c>
      <c r="BG153" s="345" t="str">
        <f>IF(_xlfn.XLOOKUP($E153,'[1]Import Eletra'!$B:$B,'[1]Import Eletra'!$AX:$AX,,0,1)=0,"",_xlfn.XLOOKUP($E153,'[1]Import Eletra'!$B:$B,'[1]Import Eletra'!$AX:$AX,,0,1))</f>
        <v/>
      </c>
      <c r="BH153" s="309">
        <f t="shared" si="383"/>
        <v>0</v>
      </c>
      <c r="BI153" s="309">
        <f t="shared" ca="1" si="452"/>
        <v>120</v>
      </c>
      <c r="BJ153" s="310">
        <f t="shared" ca="1" si="385"/>
        <v>120</v>
      </c>
      <c r="BK153" s="363">
        <f t="shared" si="453"/>
        <v>46091</v>
      </c>
      <c r="BL153" s="345">
        <f>IF(_xlfn.XLOOKUP($E153,'[1]Import Eletra'!$B:$B,'[1]Import Eletra'!$AY:$AY,,0,1)=0,"",_xlfn.XLOOKUP($E153,'[1]Import Eletra'!$B:$B,'[1]Import Eletra'!$AY:$AY,,0,1))</f>
        <v>46087</v>
      </c>
      <c r="BM153" s="309">
        <f t="shared" si="387"/>
        <v>0</v>
      </c>
      <c r="BN153" s="309">
        <f t="shared" ca="1" si="454"/>
        <v>-4</v>
      </c>
      <c r="BO153" s="310">
        <f t="shared" ca="1" si="455"/>
        <v>-4</v>
      </c>
      <c r="BP153" s="336">
        <f t="shared" si="456"/>
        <v>46091</v>
      </c>
      <c r="BQ153" s="345">
        <f>IF(_xlfn.XLOOKUP($E153,'[1]Import Eletra'!$B:$B,'[1]Import Eletra'!$AZ:$AZ,,0,1)=0,"",_xlfn.XLOOKUP($E153,'[1]Import Eletra'!$B:$B,'[1]Import Eletra'!$AZ:$AZ,,0,1))</f>
        <v>46090</v>
      </c>
      <c r="BR153" s="309">
        <f t="shared" si="391"/>
        <v>0</v>
      </c>
      <c r="BS153" s="309">
        <f t="shared" ca="1" si="457"/>
        <v>-1</v>
      </c>
      <c r="BT153" s="310">
        <f t="shared" ca="1" si="458"/>
        <v>-1</v>
      </c>
      <c r="BU153" s="363">
        <f t="shared" si="459"/>
        <v>46093</v>
      </c>
      <c r="BV153" s="345">
        <f>IF(_xlfn.XLOOKUP($E153,'[1]Import Eletra'!$B:$B,'[1]Import Eletra'!$BA:$BA,,0,1)=0,"",_xlfn.XLOOKUP($E153,'[1]Import Eletra'!$B:$B,'[1]Import Eletra'!$BA:$BA,,0,1))</f>
        <v>46092</v>
      </c>
      <c r="BW153" s="309">
        <f t="shared" si="395"/>
        <v>2</v>
      </c>
      <c r="BX153" s="309">
        <f t="shared" ca="1" si="460"/>
        <v>-1</v>
      </c>
      <c r="BY153" s="310" t="str">
        <f t="shared" ca="1" si="397"/>
        <v/>
      </c>
      <c r="BZ153" s="336">
        <f t="shared" si="461"/>
        <v>46093</v>
      </c>
      <c r="CA153" s="345">
        <f>IF(_xlfn.XLOOKUP($E153,'[1]Import Eletra'!$B:$B,'[1]Import Eletra'!$BB:$BB,,0,1)=0,"",_xlfn.XLOOKUP($E153,'[1]Import Eletra'!$B:$B,'[1]Import Eletra'!$BB:$BB,,0,1))</f>
        <v>46092</v>
      </c>
      <c r="CB153" s="309">
        <f t="shared" si="399"/>
        <v>0</v>
      </c>
      <c r="CC153" s="309">
        <f t="shared" ca="1" si="462"/>
        <v>-1</v>
      </c>
      <c r="CD153" s="310">
        <f t="shared" ca="1" si="463"/>
        <v>-1</v>
      </c>
      <c r="CE153" s="363">
        <f t="shared" si="464"/>
        <v>46093</v>
      </c>
      <c r="CF153" s="345">
        <f>IF(_xlfn.XLOOKUP($E153,'[1]Import Eletra'!$B:$B,'[1]Import Eletra'!$BC:$BC,,0,1)=0,"",_xlfn.XLOOKUP($E153,'[1]Import Eletra'!$B:$B,'[1]Import Eletra'!$BC:$BC,,0,1))</f>
        <v>46092</v>
      </c>
      <c r="CG153" s="309">
        <f t="shared" si="403"/>
        <v>0</v>
      </c>
      <c r="CH153" s="309">
        <f t="shared" ca="1" si="465"/>
        <v>-1</v>
      </c>
      <c r="CI153" s="310">
        <f t="shared" ca="1" si="466"/>
        <v>-1</v>
      </c>
      <c r="CJ153" s="336">
        <f t="shared" si="467"/>
        <v>46093</v>
      </c>
      <c r="CK153" s="345">
        <f>IF(_xlfn.XLOOKUP($E153,'[1]Import Eletra'!$B:$B,'[1]Import Eletra'!$BD:$BD,,0,1)=0,"",_xlfn.XLOOKUP($E153,'[1]Import Eletra'!$B:$B,'[1]Import Eletra'!$BD:$BD,,0,1))</f>
        <v>46092</v>
      </c>
      <c r="CL153" s="309"/>
      <c r="CM153" s="309">
        <f t="shared" ca="1" si="468"/>
        <v>-1</v>
      </c>
      <c r="CN153" s="310">
        <f t="shared" ca="1" si="469"/>
        <v>-1</v>
      </c>
      <c r="CO153" s="363">
        <f t="shared" si="470"/>
        <v>46093</v>
      </c>
      <c r="CP153" s="345">
        <f>IF(_xlfn.XLOOKUP($E153,'[1]Import Eletra'!$B:$B,'[1]Import Eletra'!$BE:$BE,,0,1)=0,"",_xlfn.XLOOKUP($E153,'[1]Import Eletra'!$B:$B,'[1]Import Eletra'!$BE:$BE,,0,1))</f>
        <v>46094</v>
      </c>
      <c r="CQ153" s="309">
        <f t="shared" si="410"/>
        <v>0</v>
      </c>
      <c r="CR153" s="309">
        <f t="shared" ca="1" si="471"/>
        <v>1</v>
      </c>
      <c r="CS153" s="310">
        <f t="shared" ca="1" si="472"/>
        <v>1</v>
      </c>
      <c r="CT153" s="336">
        <f t="shared" si="473"/>
        <v>46093</v>
      </c>
      <c r="CU153" s="345">
        <f>IF(_xlfn.XLOOKUP($E153,'[1]Import Eletra'!$B:$B,'[1]Import Eletra'!$BF:$BF,,0,1)=0,"",_xlfn.XLOOKUP($E153,'[1]Import Eletra'!$B:$B,'[1]Import Eletra'!$BF:$BF,,0,1))</f>
        <v>46094</v>
      </c>
      <c r="CV153" s="309">
        <f t="shared" si="414"/>
        <v>0</v>
      </c>
      <c r="CW153" s="309">
        <f t="shared" ca="1" si="474"/>
        <v>1</v>
      </c>
      <c r="CX153" s="310">
        <f t="shared" ca="1" si="475"/>
        <v>1</v>
      </c>
      <c r="CY153" s="85">
        <f t="shared" si="476"/>
        <v>46093</v>
      </c>
      <c r="CZ153" s="271">
        <f>IF(_xlfn.XLOOKUP($E153,'[1]Import Eletra'!$B:$B,'[1]Import Eletra'!$BF:$BF,,0,1)=0,"",_xlfn.XLOOKUP($E153,'[1]Import Eletra'!$B:$B,'[1]Import Eletra'!$BF:$BF,,0,1))</f>
        <v>46094</v>
      </c>
      <c r="DA153" s="311">
        <f t="shared" si="418"/>
        <v>0</v>
      </c>
      <c r="DB153" s="309">
        <f t="shared" ca="1" si="477"/>
        <v>1</v>
      </c>
      <c r="DC153" s="310">
        <f t="shared" ca="1" si="478"/>
        <v>1</v>
      </c>
      <c r="DD153" s="85">
        <f t="shared" si="479"/>
        <v>46095</v>
      </c>
      <c r="DE153" s="271">
        <f>IF(_xlfn.XLOOKUP($E153,'[1]Import Eletra'!$B:$B,'[1]Import Eletra'!$BG:$BG,,0,1)=0,"",_xlfn.XLOOKUP($E153,'[1]Import Eletra'!$B:$B,'[1]Import Eletra'!$BG:$BG,0,1))</f>
        <v>46097</v>
      </c>
      <c r="DF153" s="309">
        <f t="shared" si="422"/>
        <v>2</v>
      </c>
      <c r="DG153" s="309">
        <f t="shared" ca="1" si="480"/>
        <v>2</v>
      </c>
      <c r="DH153" s="310">
        <f t="shared" ca="1" si="481"/>
        <v>0</v>
      </c>
      <c r="DI153" s="85">
        <f t="shared" si="482"/>
        <v>46096</v>
      </c>
      <c r="DJ153" s="271">
        <f>IF(_xlfn.XLOOKUP($E153,'[1]Import Eletra'!$B:$B,'[1]Import Eletra'!$BH:$BH,,0,1)=0,"",_xlfn.XLOOKUP($E153,'[1]Import Eletra'!$B:$B,'[1]Import Eletra'!$BH:$BH,0,1))</f>
        <v>46101</v>
      </c>
      <c r="DK153" s="309">
        <f t="shared" si="426"/>
        <v>1</v>
      </c>
      <c r="DL153" s="309">
        <f t="shared" ca="1" si="483"/>
        <v>5</v>
      </c>
      <c r="DM153" s="310">
        <f t="shared" ca="1" si="484"/>
        <v>4</v>
      </c>
      <c r="DN153" s="312"/>
      <c r="DO153" s="313">
        <f t="shared" si="485"/>
        <v>46097</v>
      </c>
      <c r="DP153" s="59">
        <f>IF(_xlfn.XLOOKUP($E153,'[1]Import Eletra'!$B:$B,'[1]Import Eletra'!$O:$O,,0,1)=0,"",_xlfn.XLOOKUP($E153,'[1]Import Eletra'!$B:$B,'[1]Import Eletra'!$O:$O,0,1))</f>
        <v>46101</v>
      </c>
      <c r="DQ153" s="309">
        <f t="shared" si="430"/>
        <v>1</v>
      </c>
      <c r="DR153" s="309">
        <f t="shared" ca="1" si="486"/>
        <v>4</v>
      </c>
      <c r="DS153" s="310">
        <f t="shared" ca="1" si="487"/>
        <v>3</v>
      </c>
      <c r="DT153" s="314">
        <v>17</v>
      </c>
      <c r="DU153" s="140">
        <f t="shared" ca="1" si="488"/>
        <v>17</v>
      </c>
      <c r="DV153" s="184">
        <f t="shared" ca="1" si="489"/>
        <v>0</v>
      </c>
      <c r="DX153" s="316"/>
      <c r="DY153" s="108" t="str">
        <f>IF(_xlfn.XLOOKUP($E153,'[1]Import Eletra'!$B:$B,'[1]Import Eletra'!$DW:$DW,,0,1)=0,"",_xlfn.XLOOKUP($E153,'[1]Import Eletra'!$B:$B,'[1]Import Eletra'!$DW:$DW,0,1))</f>
        <v/>
      </c>
      <c r="EB153" s="317"/>
      <c r="ED153" s="406">
        <f>IF(_xlfn.XLOOKUP($E153,'[1]Import Eletra'!$B:$B,'[1]Import Eletra'!$BQ:$BQ,,0,1)=0,"",_xlfn.XLOOKUP($E153,'[1]Import Eletra'!$B:$B,'[1]Import Eletra'!$BQ:$BQ,0,1))</f>
        <v>818.29</v>
      </c>
      <c r="EE153" s="407">
        <f>IF(_xlfn.XLOOKUP($E153,'[1]Import Eletra'!$B:$B,'[1]Import Eletra'!$BR:$BR,,0,1)=0,"",_xlfn.XLOOKUP($E153,'[1]Import Eletra'!$B:$B,'[1]Import Eletra'!$BR:$BR,0,1))</f>
        <v>46103</v>
      </c>
      <c r="EF153" s="406">
        <f>IF(_xlfn.XLOOKUP($E153,'[1]Import Eletra'!$B:$B,'[1]Import Eletra'!$BS:$BS,,0,1)=0,"",_xlfn.XLOOKUP($E153,'[1]Import Eletra'!$B:$B,'[1]Import Eletra'!$BS:$BS,0,1))</f>
        <v>5857.71</v>
      </c>
      <c r="EG153" s="407">
        <f>IF(_xlfn.XLOOKUP($E153,'[1]Import Eletra'!$B:$B,'[1]Import Eletra'!$BT:$BT,,0,1)=0,"",_xlfn.XLOOKUP($E153,'[1]Import Eletra'!$B:$B,'[1]Import Eletra'!$BT:$BT,0,1))</f>
        <v>46167</v>
      </c>
      <c r="EH153" s="406" t="str">
        <f>IF(_xlfn.XLOOKUP($E153,'[1]Import Eletra'!$B:$B,'[1]Import Eletra'!$BU:$BU,,0,1)=0,"",_xlfn.XLOOKUP($E153,'[1]Import Eletra'!$B:$B,'[1]Import Eletra'!$BU:$BU,0,1))</f>
        <v/>
      </c>
      <c r="EI153" s="407" t="str">
        <f>IF(_xlfn.XLOOKUP($E153,'[1]Import Eletra'!$B:$B,'[1]Import Eletra'!$BV:$BV,,0,1)=0,"",_xlfn.XLOOKUP($E153,'[1]Import Eletra'!$B:$B,'[1]Import Eletra'!$BV:$BV,0,1))</f>
        <v/>
      </c>
      <c r="EJ153" s="407">
        <f>IF(_xlfn.XLOOKUP($E153,'[1]Import Eletra'!$B:$B,'[1]Import Eletra'!$CI:$CI,,0,1)=0,"",_xlfn.XLOOKUP($E153,'[1]Import Eletra'!$B:$B,'[1]Import Eletra'!$CI:$CI,0,1))</f>
        <v>46102</v>
      </c>
      <c r="EK153" s="407" t="str">
        <f>IF(_xlfn.XLOOKUP($E153,'[1]Import Eletra'!$B:$B,'[1]Import Eletra'!$CD:$CD,,0,1)=0,"",_xlfn.XLOOKUP($E153,'[1]Import Eletra'!$B:$B,'[1]Import Eletra'!$CD:$CD,0,1))</f>
        <v/>
      </c>
      <c r="EL153" s="407" t="str">
        <f>IF(_xlfn.XLOOKUP($E153,'[1]Import Eletra'!$B:$B,'[1]Import Eletra'!$CE:$CE,,0,1)=0,"",_xlfn.XLOOKUP($E153,'[1]Import Eletra'!$B:$B,'[1]Import Eletra'!$CE:$CE,0,1))</f>
        <v>NÃO</v>
      </c>
      <c r="EM153" s="408" t="str">
        <f>IF(_xlfn.XLOOKUP($E153,'[1]Import Eletra'!$B:$B,'[1]Import Eletra'!$E:$E,,0,1)=0,"",_xlfn.XLOOKUP($E153,'[1]Import Eletra'!$B:$B,'[1]Import Eletra'!$E:$E,0,1))</f>
        <v>CATARINA</v>
      </c>
      <c r="EN153" s="408" t="str">
        <f>IF(_xlfn.XLOOKUP($E153,'[1]Import Eletra'!$B:$B,'[1]Import Eletra'!$E:$E,,0,1)=0,"",_xlfn.XLOOKUP($E153,'[1]Import Eletra'!$B:$B,'[1]Import Eletra'!$E:$E,0,1))</f>
        <v>CATARINA</v>
      </c>
      <c r="EO153" s="408" t="str">
        <f>IF(_xlfn.XLOOKUP($E153,'[1]Import Eletra'!$B:$B,'[1]Import Eletra'!$E:$E,,0,1)=0,"",_xlfn.XLOOKUP($E153,'[1]Import Eletra'!$B:$B,'[1]Import Eletra'!$E:$E,0,1))</f>
        <v>CATARINA</v>
      </c>
      <c r="EP153" s="408" t="str">
        <f>IF(_xlfn.XLOOKUP($E153,'[1]Import Eletra'!$B:$B,'[1]Import Eletra'!$E:$E,,0,1)=0,"",_xlfn.XLOOKUP($E153,'[1]Import Eletra'!$B:$B,'[1]Import Eletra'!$E:$E,0,1))</f>
        <v>CATARINA</v>
      </c>
    </row>
    <row r="154" spans="1:146" s="315" customFormat="1" ht="30" hidden="1" customHeight="1" outlineLevel="1">
      <c r="A154" s="305"/>
      <c r="B154" s="306"/>
      <c r="C154" s="306"/>
      <c r="D154" s="306"/>
      <c r="E154" s="367" t="s">
        <v>450</v>
      </c>
      <c r="F154" s="307">
        <f>IF(_xlfn.XLOOKUP($E154,'[1]Import Eletra'!$B:$B,'[1]Import Eletra'!$U:$U,,0,1)=0,"",_xlfn.XLOOKUP($E154,'[1]Import Eletra'!$B:$B,'[1]Import Eletra'!$U:$U,,0,1))</f>
        <v>0.5</v>
      </c>
      <c r="G154" s="320" t="s">
        <v>244</v>
      </c>
      <c r="H154" s="59" t="str">
        <f>_xlfn.XLOOKUP($E154,'[1]Import Eletra'!$B:$B,'[1]Import Eletra'!$F:$F,,0,1)</f>
        <v>DELIVERED</v>
      </c>
      <c r="I154" s="4" t="str">
        <f>_xlfn.XLOOKUP($E154,'[1]Import Eletra'!$B:$B,'[1]Import Eletra'!$G:$G,,0,1)</f>
        <v>SEA</v>
      </c>
      <c r="J154" s="331"/>
      <c r="K154" s="308"/>
      <c r="L154" s="308"/>
      <c r="M154" s="331">
        <f>IF(_xlfn.XLOOKUP($E154,'[1]Import Eletra'!$B:$B,'[1]Import Eletra'!$J:$J,,0,1)=0,"",_xlfn.XLOOKUP($E154,'[1]Import Eletra'!$B:$B,'[1]Import Eletra'!$J:$J,,0,1))</f>
        <v>46016</v>
      </c>
      <c r="N154" s="334">
        <f>IF(_xlfn.XLOOKUP($E154,'[1]Import Eletra'!$B:$B,'[1]Import Eletra'!$L:$L,,0,1)=0,"",_xlfn.XLOOKUP($E154,'[1]Import Eletra'!$B:$B,'[1]Import Eletra'!$L:$L,,0,1))</f>
        <v>46084</v>
      </c>
      <c r="O154" s="336">
        <f>IF(_xlfn.XLOOKUP($E154,'[1]Import Eletra'!$B:$B,'[1]Import Eletra'!$AK:$AK,,0,1)=0,"",_xlfn.XLOOKUP($E154,'[1]Import Eletra'!$B:$B,'[1]Import Eletra'!$AK:$AK,,0,1))</f>
        <v>46055</v>
      </c>
      <c r="P154" s="331">
        <f>IF(_xlfn.XLOOKUP($E154,'[1]Import Eletra'!$B:$B,'[1]Import Eletra'!$AL:$AL,,0,1)=0,"",_xlfn.XLOOKUP($E154,'[1]Import Eletra'!$B:$B,'[1]Import Eletra'!$AL:$AL,,0,1))</f>
        <v>46058</v>
      </c>
      <c r="Q154" s="331">
        <f>IF(_xlfn.XLOOKUP($E154,'[1]Import Eletra'!$B:$B,'[1]Import Eletra'!$AM:$AM,,0,1)=0,"",_xlfn.XLOOKUP($E154,'[1]Import Eletra'!$B:$B,'[1]Import Eletra'!$AM:$AM,,0,1))</f>
        <v>46062</v>
      </c>
      <c r="R154" s="331">
        <f>IF(_xlfn.XLOOKUP($E154,'[1]Import Eletra'!$B:$B,'[1]Import Eletra'!$AN:$AN,,0,1)=0,"",_xlfn.XLOOKUP($E154,'[1]Import Eletra'!$B:$B,'[1]Import Eletra'!$AN:$AN,,0,1))</f>
        <v>46062</v>
      </c>
      <c r="S154" s="331">
        <f>IF(_xlfn.XLOOKUP($E154,'[1]Import Eletra'!$B:$B,'[1]Import Eletra'!$AO:$AO,,0,1)=0,"",_xlfn.XLOOKUP($E154,'[1]Import Eletra'!$B:$B,'[1]Import Eletra'!$AO:$AO,,0,1))</f>
        <v>46062</v>
      </c>
      <c r="T154" s="331">
        <f>IF(_xlfn.XLOOKUP($E154,'[1]Import Eletra'!$B:$B,'[1]Import Eletra'!$AP:$AP,,0,1)=0,"",_xlfn.XLOOKUP($E154,'[1]Import Eletra'!$B:$B,'[1]Import Eletra'!$AP:$AP,,0,1))</f>
        <v>46062</v>
      </c>
      <c r="U154" s="338">
        <f>IF(_xlfn.XLOOKUP($E154,'[1]Import Eletra'!$B:$B,'[1]Import Eletra'!$AQ:$AQ,,0,1)=0,"",_xlfn.XLOOKUP($E154,'[1]Import Eletra'!$B:$B,'[1]Import Eletra'!$AQ:$AQ,,0,1))</f>
        <v>46080</v>
      </c>
      <c r="V154" s="343">
        <f>IF(_xlfn.XLOOKUP($E154,'[1]Import Eletra'!$B:$B,'[1]Import Eletra'!$AQ:$AQ,,0,1)=0,"",_xlfn.XLOOKUP($E154,'[1]Import Eletra'!$B:$B,'[1]Import Eletra'!$AQ:$AQ,,0,1))</f>
        <v>46080</v>
      </c>
      <c r="W154" s="336">
        <f t="shared" si="435"/>
        <v>46090</v>
      </c>
      <c r="X154" s="345">
        <f>IF(_xlfn.XLOOKUP($E154,'[1]Import Eletra'!$B:$B,'[1]Import Eletra'!$AR:$AR,,0,1)=0,"",_xlfn.XLOOKUP($E154,'[1]Import Eletra'!$B:$B,'[1]Import Eletra'!$AR:$AR,,0,1))</f>
        <v>46086</v>
      </c>
      <c r="Y154" s="309">
        <f t="shared" si="355"/>
        <v>0</v>
      </c>
      <c r="Z154" s="309">
        <f t="shared" ca="1" si="436"/>
        <v>-4</v>
      </c>
      <c r="AA154" s="310" t="str">
        <f t="shared" ca="1" si="357"/>
        <v/>
      </c>
      <c r="AB154" s="350">
        <f t="shared" si="437"/>
        <v>46090</v>
      </c>
      <c r="AC154" s="345">
        <f>IF(_xlfn.XLOOKUP($E154,'[1]Import Eletra'!$B:$B,'[1]Import Eletra'!$AD:$AD,,0,1)=0,"",_xlfn.XLOOKUP($E154,'[1]Import Eletra'!$B:$B,'[1]Import Eletra'!$AD:$AD,,0,1))</f>
        <v>46087</v>
      </c>
      <c r="AD154" s="309">
        <f t="shared" si="359"/>
        <v>0</v>
      </c>
      <c r="AE154" s="309">
        <f t="shared" ca="1" si="438"/>
        <v>-3</v>
      </c>
      <c r="AF154" s="310">
        <f t="shared" ca="1" si="439"/>
        <v>-3</v>
      </c>
      <c r="AG154" s="356">
        <f t="shared" si="440"/>
        <v>46090</v>
      </c>
      <c r="AH154" s="345">
        <f>IF(_xlfn.XLOOKUP($E154,'[1]Import Eletra'!$B:$B,'[1]Import Eletra'!$AE:$AE,,0,1)=0,"",_xlfn.XLOOKUP($E154,'[1]Import Eletra'!$B:$B,'[1]Import Eletra'!$AE:$AE,,0,1))</f>
        <v>46087</v>
      </c>
      <c r="AI154" s="309">
        <f t="shared" si="363"/>
        <v>0</v>
      </c>
      <c r="AJ154" s="309">
        <f t="shared" ca="1" si="441"/>
        <v>-3</v>
      </c>
      <c r="AK154" s="310" t="str">
        <f t="shared" ca="1" si="365"/>
        <v/>
      </c>
      <c r="AL154" s="356">
        <f t="shared" si="442"/>
        <v>46090</v>
      </c>
      <c r="AM154" s="345">
        <f>IF(_xlfn.XLOOKUP($E154,'[1]Import Eletra'!$B:$B,'[1]Import Eletra'!$AT:$AT,,0,1)=0,"",_xlfn.XLOOKUP($E154,'[1]Import Eletra'!$B:$B,'[1]Import Eletra'!$AT:$AT,,0,1))</f>
        <v>46087</v>
      </c>
      <c r="AN154" s="309">
        <f t="shared" si="367"/>
        <v>0</v>
      </c>
      <c r="AO154" s="309">
        <f t="shared" ca="1" si="443"/>
        <v>-3</v>
      </c>
      <c r="AP154" s="310" t="str">
        <f t="shared" ca="1" si="369"/>
        <v/>
      </c>
      <c r="AQ154" s="359">
        <f t="shared" si="444"/>
        <v>46091</v>
      </c>
      <c r="AR154" s="345">
        <f>IF(_xlfn.XLOOKUP($E154,'[1]Import Eletra'!$B:$B,'[1]Import Eletra'!$AU:$AU,,0,1)=0,"",_xlfn.XLOOKUP($E154,'[1]Import Eletra'!$B:$B,'[1]Import Eletra'!$AU:$AU,,0,1))</f>
        <v>46087</v>
      </c>
      <c r="AS154" s="309">
        <f t="shared" si="371"/>
        <v>1</v>
      </c>
      <c r="AT154" s="309">
        <f t="shared" ca="1" si="445"/>
        <v>-4</v>
      </c>
      <c r="AU154" s="310" t="str">
        <f t="shared" ca="1" si="373"/>
        <v/>
      </c>
      <c r="AV154" s="356">
        <f t="shared" si="446"/>
        <v>46091</v>
      </c>
      <c r="AW154" s="345">
        <f>IF(_xlfn.XLOOKUP($E154,'[1]Import Eletra'!$B:$B,'[1]Import Eletra'!$AU:$AU,,0,1)=0,"",_xlfn.XLOOKUP($E154,'[1]Import Eletra'!$B:$B,'[1]Import Eletra'!$AU:$AU,,0,1))</f>
        <v>46087</v>
      </c>
      <c r="AX154" s="309">
        <f t="shared" si="375"/>
        <v>0</v>
      </c>
      <c r="AY154" s="309">
        <f t="shared" ca="1" si="447"/>
        <v>-4</v>
      </c>
      <c r="AZ154" s="310" t="str">
        <f t="shared" ca="1" si="377"/>
        <v/>
      </c>
      <c r="BA154" s="359">
        <f t="shared" si="448"/>
        <v>46091</v>
      </c>
      <c r="BB154" s="345" t="str">
        <f>IF(_xlfn.XLOOKUP($E154,'[1]Import Eletra'!$B:$B,'[1]Import Eletra'!$AW:$AW,,0,1)=0,"",_xlfn.XLOOKUP($E154,'[1]Import Eletra'!$B:$B,'[1]Import Eletra'!$AW:$AW,,0,1))</f>
        <v/>
      </c>
      <c r="BC154" s="309">
        <f t="shared" si="379"/>
        <v>0</v>
      </c>
      <c r="BD154" s="309">
        <f t="shared" ca="1" si="449"/>
        <v>120</v>
      </c>
      <c r="BE154" s="310">
        <f t="shared" ca="1" si="450"/>
        <v>120</v>
      </c>
      <c r="BF154" s="336">
        <f t="shared" si="451"/>
        <v>46091</v>
      </c>
      <c r="BG154" s="345" t="str">
        <f>IF(_xlfn.XLOOKUP($E154,'[1]Import Eletra'!$B:$B,'[1]Import Eletra'!$AX:$AX,,0,1)=0,"",_xlfn.XLOOKUP($E154,'[1]Import Eletra'!$B:$B,'[1]Import Eletra'!$AX:$AX,,0,1))</f>
        <v/>
      </c>
      <c r="BH154" s="309">
        <f t="shared" si="383"/>
        <v>0</v>
      </c>
      <c r="BI154" s="309">
        <f t="shared" ca="1" si="452"/>
        <v>120</v>
      </c>
      <c r="BJ154" s="310">
        <f t="shared" ca="1" si="385"/>
        <v>120</v>
      </c>
      <c r="BK154" s="363">
        <f t="shared" si="453"/>
        <v>46091</v>
      </c>
      <c r="BL154" s="345">
        <f>IF(_xlfn.XLOOKUP($E154,'[1]Import Eletra'!$B:$B,'[1]Import Eletra'!$AY:$AY,,0,1)=0,"",_xlfn.XLOOKUP($E154,'[1]Import Eletra'!$B:$B,'[1]Import Eletra'!$AY:$AY,,0,1))</f>
        <v>46087</v>
      </c>
      <c r="BM154" s="309">
        <f t="shared" si="387"/>
        <v>0</v>
      </c>
      <c r="BN154" s="309">
        <f t="shared" ca="1" si="454"/>
        <v>-4</v>
      </c>
      <c r="BO154" s="310">
        <f t="shared" ca="1" si="455"/>
        <v>-4</v>
      </c>
      <c r="BP154" s="336">
        <f t="shared" si="456"/>
        <v>46091</v>
      </c>
      <c r="BQ154" s="345">
        <f>IF(_xlfn.XLOOKUP($E154,'[1]Import Eletra'!$B:$B,'[1]Import Eletra'!$AZ:$AZ,,0,1)=0,"",_xlfn.XLOOKUP($E154,'[1]Import Eletra'!$B:$B,'[1]Import Eletra'!$AZ:$AZ,,0,1))</f>
        <v>46090</v>
      </c>
      <c r="BR154" s="309">
        <f t="shared" si="391"/>
        <v>0</v>
      </c>
      <c r="BS154" s="309">
        <f t="shared" ca="1" si="457"/>
        <v>-1</v>
      </c>
      <c r="BT154" s="310">
        <f t="shared" ca="1" si="458"/>
        <v>-1</v>
      </c>
      <c r="BU154" s="363">
        <f t="shared" si="459"/>
        <v>46093</v>
      </c>
      <c r="BV154" s="345">
        <f>IF(_xlfn.XLOOKUP($E154,'[1]Import Eletra'!$B:$B,'[1]Import Eletra'!$BA:$BA,,0,1)=0,"",_xlfn.XLOOKUP($E154,'[1]Import Eletra'!$B:$B,'[1]Import Eletra'!$BA:$BA,,0,1))</f>
        <v>46091</v>
      </c>
      <c r="BW154" s="309">
        <f t="shared" si="395"/>
        <v>2</v>
      </c>
      <c r="BX154" s="309">
        <f t="shared" ca="1" si="460"/>
        <v>-2</v>
      </c>
      <c r="BY154" s="310" t="str">
        <f t="shared" ca="1" si="397"/>
        <v/>
      </c>
      <c r="BZ154" s="336">
        <f t="shared" si="461"/>
        <v>46093</v>
      </c>
      <c r="CA154" s="345">
        <f>IF(_xlfn.XLOOKUP($E154,'[1]Import Eletra'!$B:$B,'[1]Import Eletra'!$BB:$BB,,0,1)=0,"",_xlfn.XLOOKUP($E154,'[1]Import Eletra'!$B:$B,'[1]Import Eletra'!$BB:$BB,,0,1))</f>
        <v>46091</v>
      </c>
      <c r="CB154" s="309">
        <f t="shared" si="399"/>
        <v>0</v>
      </c>
      <c r="CC154" s="309">
        <f t="shared" ca="1" si="462"/>
        <v>-2</v>
      </c>
      <c r="CD154" s="310">
        <f t="shared" ca="1" si="463"/>
        <v>-2</v>
      </c>
      <c r="CE154" s="363">
        <f t="shared" si="464"/>
        <v>46093</v>
      </c>
      <c r="CF154" s="345">
        <f>IF(_xlfn.XLOOKUP($E154,'[1]Import Eletra'!$B:$B,'[1]Import Eletra'!$BC:$BC,,0,1)=0,"",_xlfn.XLOOKUP($E154,'[1]Import Eletra'!$B:$B,'[1]Import Eletra'!$BC:$BC,,0,1))</f>
        <v>46094</v>
      </c>
      <c r="CG154" s="309">
        <f t="shared" si="403"/>
        <v>0</v>
      </c>
      <c r="CH154" s="309">
        <f t="shared" ca="1" si="465"/>
        <v>1</v>
      </c>
      <c r="CI154" s="310">
        <f t="shared" ca="1" si="466"/>
        <v>1</v>
      </c>
      <c r="CJ154" s="336">
        <f t="shared" si="467"/>
        <v>46093</v>
      </c>
      <c r="CK154" s="345">
        <f>IF(_xlfn.XLOOKUP($E154,'[1]Import Eletra'!$B:$B,'[1]Import Eletra'!$BD:$BD,,0,1)=0,"",_xlfn.XLOOKUP($E154,'[1]Import Eletra'!$B:$B,'[1]Import Eletra'!$BD:$BD,,0,1))</f>
        <v>46091</v>
      </c>
      <c r="CL154" s="309"/>
      <c r="CM154" s="309">
        <f t="shared" ca="1" si="468"/>
        <v>-2</v>
      </c>
      <c r="CN154" s="310">
        <f t="shared" ca="1" si="469"/>
        <v>-2</v>
      </c>
      <c r="CO154" s="363">
        <f t="shared" si="470"/>
        <v>46093</v>
      </c>
      <c r="CP154" s="345">
        <f>IF(_xlfn.XLOOKUP($E154,'[1]Import Eletra'!$B:$B,'[1]Import Eletra'!$BE:$BE,,0,1)=0,"",_xlfn.XLOOKUP($E154,'[1]Import Eletra'!$B:$B,'[1]Import Eletra'!$BE:$BE,,0,1))</f>
        <v>46094</v>
      </c>
      <c r="CQ154" s="309">
        <f t="shared" si="410"/>
        <v>0</v>
      </c>
      <c r="CR154" s="309">
        <f t="shared" ca="1" si="471"/>
        <v>1</v>
      </c>
      <c r="CS154" s="310">
        <f t="shared" ca="1" si="472"/>
        <v>1</v>
      </c>
      <c r="CT154" s="336">
        <f t="shared" si="473"/>
        <v>46093</v>
      </c>
      <c r="CU154" s="345">
        <f>IF(_xlfn.XLOOKUP($E154,'[1]Import Eletra'!$B:$B,'[1]Import Eletra'!$BF:$BF,,0,1)=0,"",_xlfn.XLOOKUP($E154,'[1]Import Eletra'!$B:$B,'[1]Import Eletra'!$BF:$BF,,0,1))</f>
        <v>46094</v>
      </c>
      <c r="CV154" s="309">
        <f t="shared" si="414"/>
        <v>0</v>
      </c>
      <c r="CW154" s="309">
        <f t="shared" ca="1" si="474"/>
        <v>1</v>
      </c>
      <c r="CX154" s="310">
        <f t="shared" ca="1" si="475"/>
        <v>1</v>
      </c>
      <c r="CY154" s="85">
        <f t="shared" si="476"/>
        <v>46093</v>
      </c>
      <c r="CZ154" s="271">
        <f>IF(_xlfn.XLOOKUP($E154,'[1]Import Eletra'!$B:$B,'[1]Import Eletra'!$BF:$BF,,0,1)=0,"",_xlfn.XLOOKUP($E154,'[1]Import Eletra'!$B:$B,'[1]Import Eletra'!$BF:$BF,,0,1))</f>
        <v>46094</v>
      </c>
      <c r="DA154" s="311">
        <f t="shared" si="418"/>
        <v>0</v>
      </c>
      <c r="DB154" s="309">
        <f t="shared" ca="1" si="477"/>
        <v>1</v>
      </c>
      <c r="DC154" s="310">
        <f t="shared" ca="1" si="478"/>
        <v>1</v>
      </c>
      <c r="DD154" s="85">
        <f t="shared" si="479"/>
        <v>46095</v>
      </c>
      <c r="DE154" s="271">
        <f>IF(_xlfn.XLOOKUP($E154,'[1]Import Eletra'!$B:$B,'[1]Import Eletra'!$BG:$BG,,0,1)=0,"",_xlfn.XLOOKUP($E154,'[1]Import Eletra'!$B:$B,'[1]Import Eletra'!$BG:$BG,0,1))</f>
        <v>46097</v>
      </c>
      <c r="DF154" s="309">
        <f t="shared" si="422"/>
        <v>2</v>
      </c>
      <c r="DG154" s="309">
        <f t="shared" ca="1" si="480"/>
        <v>2</v>
      </c>
      <c r="DH154" s="310">
        <f t="shared" ca="1" si="481"/>
        <v>0</v>
      </c>
      <c r="DI154" s="85">
        <f t="shared" si="482"/>
        <v>46096</v>
      </c>
      <c r="DJ154" s="271">
        <f>IF(_xlfn.XLOOKUP($E154,'[1]Import Eletra'!$B:$B,'[1]Import Eletra'!$BH:$BH,,0,1)=0,"",_xlfn.XLOOKUP($E154,'[1]Import Eletra'!$B:$B,'[1]Import Eletra'!$BH:$BH,0,1))</f>
        <v>46101</v>
      </c>
      <c r="DK154" s="309">
        <f t="shared" si="426"/>
        <v>1</v>
      </c>
      <c r="DL154" s="309">
        <f t="shared" ca="1" si="483"/>
        <v>5</v>
      </c>
      <c r="DM154" s="310">
        <f t="shared" ca="1" si="484"/>
        <v>4</v>
      </c>
      <c r="DN154" s="312"/>
      <c r="DO154" s="313">
        <f t="shared" si="485"/>
        <v>46097</v>
      </c>
      <c r="DP154" s="59">
        <f>IF(_xlfn.XLOOKUP($E154,'[1]Import Eletra'!$B:$B,'[1]Import Eletra'!$O:$O,,0,1)=0,"",_xlfn.XLOOKUP($E154,'[1]Import Eletra'!$B:$B,'[1]Import Eletra'!$O:$O,0,1))</f>
        <v>46101</v>
      </c>
      <c r="DQ154" s="309">
        <f t="shared" si="430"/>
        <v>1</v>
      </c>
      <c r="DR154" s="309">
        <f t="shared" ca="1" si="486"/>
        <v>4</v>
      </c>
      <c r="DS154" s="310">
        <f t="shared" ca="1" si="487"/>
        <v>3</v>
      </c>
      <c r="DT154" s="314">
        <v>17</v>
      </c>
      <c r="DU154" s="140">
        <f t="shared" ca="1" si="488"/>
        <v>17</v>
      </c>
      <c r="DV154" s="184">
        <f t="shared" ca="1" si="489"/>
        <v>0</v>
      </c>
      <c r="DX154" s="316"/>
      <c r="DY154" s="108" t="str">
        <f>IF(_xlfn.XLOOKUP($E154,'[1]Import Eletra'!$B:$B,'[1]Import Eletra'!$DW:$DW,,0,1)=0,"",_xlfn.XLOOKUP($E154,'[1]Import Eletra'!$B:$B,'[1]Import Eletra'!$DW:$DW,0,1))</f>
        <v/>
      </c>
      <c r="EB154" s="317"/>
      <c r="ED154" s="406">
        <f>IF(_xlfn.XLOOKUP($E154,'[1]Import Eletra'!$B:$B,'[1]Import Eletra'!$BQ:$BQ,,0,1)=0,"",_xlfn.XLOOKUP($E154,'[1]Import Eletra'!$B:$B,'[1]Import Eletra'!$BQ:$BQ,0,1))</f>
        <v>818.29</v>
      </c>
      <c r="EE154" s="407">
        <f>IF(_xlfn.XLOOKUP($E154,'[1]Import Eletra'!$B:$B,'[1]Import Eletra'!$BR:$BR,,0,1)=0,"",_xlfn.XLOOKUP($E154,'[1]Import Eletra'!$B:$B,'[1]Import Eletra'!$BR:$BR,0,1))</f>
        <v>46103</v>
      </c>
      <c r="EF154" s="406">
        <f>IF(_xlfn.XLOOKUP($E154,'[1]Import Eletra'!$B:$B,'[1]Import Eletra'!$BS:$BS,,0,1)=0,"",_xlfn.XLOOKUP($E154,'[1]Import Eletra'!$B:$B,'[1]Import Eletra'!$BS:$BS,0,1))</f>
        <v>5857.71</v>
      </c>
      <c r="EG154" s="407">
        <f>IF(_xlfn.XLOOKUP($E154,'[1]Import Eletra'!$B:$B,'[1]Import Eletra'!$BT:$BT,,0,1)=0,"",_xlfn.XLOOKUP($E154,'[1]Import Eletra'!$B:$B,'[1]Import Eletra'!$BT:$BT,0,1))</f>
        <v>46167</v>
      </c>
      <c r="EH154" s="406" t="str">
        <f>IF(_xlfn.XLOOKUP($E154,'[1]Import Eletra'!$B:$B,'[1]Import Eletra'!$BU:$BU,,0,1)=0,"",_xlfn.XLOOKUP($E154,'[1]Import Eletra'!$B:$B,'[1]Import Eletra'!$BU:$BU,0,1))</f>
        <v/>
      </c>
      <c r="EI154" s="407" t="str">
        <f>IF(_xlfn.XLOOKUP($E154,'[1]Import Eletra'!$B:$B,'[1]Import Eletra'!$BV:$BV,,0,1)=0,"",_xlfn.XLOOKUP($E154,'[1]Import Eletra'!$B:$B,'[1]Import Eletra'!$BV:$BV,0,1))</f>
        <v/>
      </c>
      <c r="EJ154" s="407">
        <f>IF(_xlfn.XLOOKUP($E154,'[1]Import Eletra'!$B:$B,'[1]Import Eletra'!$CI:$CI,,0,1)=0,"",_xlfn.XLOOKUP($E154,'[1]Import Eletra'!$B:$B,'[1]Import Eletra'!$CI:$CI,0,1))</f>
        <v>46102</v>
      </c>
      <c r="EK154" s="407" t="str">
        <f>IF(_xlfn.XLOOKUP($E154,'[1]Import Eletra'!$B:$B,'[1]Import Eletra'!$CD:$CD,,0,1)=0,"",_xlfn.XLOOKUP($E154,'[1]Import Eletra'!$B:$B,'[1]Import Eletra'!$CD:$CD,0,1))</f>
        <v/>
      </c>
      <c r="EL154" s="407" t="str">
        <f>IF(_xlfn.XLOOKUP($E154,'[1]Import Eletra'!$B:$B,'[1]Import Eletra'!$CE:$CE,,0,1)=0,"",_xlfn.XLOOKUP($E154,'[1]Import Eletra'!$B:$B,'[1]Import Eletra'!$CE:$CE,0,1))</f>
        <v>NÃO</v>
      </c>
      <c r="EM154" s="408" t="str">
        <f>IF(_xlfn.XLOOKUP($E154,'[1]Import Eletra'!$B:$B,'[1]Import Eletra'!$E:$E,,0,1)=0,"",_xlfn.XLOOKUP($E154,'[1]Import Eletra'!$B:$B,'[1]Import Eletra'!$E:$E,0,1))</f>
        <v>CATARINA</v>
      </c>
      <c r="EN154" s="408" t="str">
        <f>IF(_xlfn.XLOOKUP($E154,'[1]Import Eletra'!$B:$B,'[1]Import Eletra'!$E:$E,,0,1)=0,"",_xlfn.XLOOKUP($E154,'[1]Import Eletra'!$B:$B,'[1]Import Eletra'!$E:$E,0,1))</f>
        <v>CATARINA</v>
      </c>
      <c r="EO154" s="408" t="str">
        <f>IF(_xlfn.XLOOKUP($E154,'[1]Import Eletra'!$B:$B,'[1]Import Eletra'!$E:$E,,0,1)=0,"",_xlfn.XLOOKUP($E154,'[1]Import Eletra'!$B:$B,'[1]Import Eletra'!$E:$E,0,1))</f>
        <v>CATARINA</v>
      </c>
      <c r="EP154" s="408" t="str">
        <f>IF(_xlfn.XLOOKUP($E154,'[1]Import Eletra'!$B:$B,'[1]Import Eletra'!$E:$E,,0,1)=0,"",_xlfn.XLOOKUP($E154,'[1]Import Eletra'!$B:$B,'[1]Import Eletra'!$E:$E,0,1))</f>
        <v>CATARINA</v>
      </c>
    </row>
    <row r="155" spans="1:146" s="315" customFormat="1" ht="30" hidden="1" customHeight="1" outlineLevel="1">
      <c r="A155" s="305"/>
      <c r="B155" s="306"/>
      <c r="C155" s="306"/>
      <c r="D155" s="306"/>
      <c r="E155" s="367" t="s">
        <v>451</v>
      </c>
      <c r="F155" s="307">
        <f>IF(_xlfn.XLOOKUP($E155,'[1]Import Eletra'!$B:$B,'[1]Import Eletra'!$U:$U,,0,1)=0,"",_xlfn.XLOOKUP($E155,'[1]Import Eletra'!$B:$B,'[1]Import Eletra'!$U:$U,,0,1))</f>
        <v>0.5</v>
      </c>
      <c r="G155" s="320" t="s">
        <v>244</v>
      </c>
      <c r="H155" s="59" t="str">
        <f>_xlfn.XLOOKUP($E155,'[1]Import Eletra'!$B:$B,'[1]Import Eletra'!$F:$F,,0,1)</f>
        <v>DELIVERED</v>
      </c>
      <c r="I155" s="4" t="str">
        <f>_xlfn.XLOOKUP($E155,'[1]Import Eletra'!$B:$B,'[1]Import Eletra'!$G:$G,,0,1)</f>
        <v>SEA</v>
      </c>
      <c r="J155" s="331"/>
      <c r="K155" s="308"/>
      <c r="L155" s="308"/>
      <c r="M155" s="331">
        <f>IF(_xlfn.XLOOKUP($E155,'[1]Import Eletra'!$B:$B,'[1]Import Eletra'!$J:$J,,0,1)=0,"",_xlfn.XLOOKUP($E155,'[1]Import Eletra'!$B:$B,'[1]Import Eletra'!$J:$J,,0,1))</f>
        <v>46016</v>
      </c>
      <c r="N155" s="334">
        <f>IF(_xlfn.XLOOKUP($E155,'[1]Import Eletra'!$B:$B,'[1]Import Eletra'!$L:$L,,0,1)=0,"",_xlfn.XLOOKUP($E155,'[1]Import Eletra'!$B:$B,'[1]Import Eletra'!$L:$L,,0,1))</f>
        <v>46084</v>
      </c>
      <c r="O155" s="336">
        <f>IF(_xlfn.XLOOKUP($E155,'[1]Import Eletra'!$B:$B,'[1]Import Eletra'!$AK:$AK,,0,1)=0,"",_xlfn.XLOOKUP($E155,'[1]Import Eletra'!$B:$B,'[1]Import Eletra'!$AK:$AK,,0,1))</f>
        <v>46071</v>
      </c>
      <c r="P155" s="331">
        <f>IF(_xlfn.XLOOKUP($E155,'[1]Import Eletra'!$B:$B,'[1]Import Eletra'!$AL:$AL,,0,1)=0,"",_xlfn.XLOOKUP($E155,'[1]Import Eletra'!$B:$B,'[1]Import Eletra'!$AL:$AL,,0,1))</f>
        <v>46072</v>
      </c>
      <c r="Q155" s="331">
        <f>IF(_xlfn.XLOOKUP($E155,'[1]Import Eletra'!$B:$B,'[1]Import Eletra'!$AM:$AM,,0,1)=0,"",_xlfn.XLOOKUP($E155,'[1]Import Eletra'!$B:$B,'[1]Import Eletra'!$AM:$AM,,0,1))</f>
        <v>46072</v>
      </c>
      <c r="R155" s="331">
        <f>IF(_xlfn.XLOOKUP($E155,'[1]Import Eletra'!$B:$B,'[1]Import Eletra'!$AN:$AN,,0,1)=0,"",_xlfn.XLOOKUP($E155,'[1]Import Eletra'!$B:$B,'[1]Import Eletra'!$AN:$AN,,0,1))</f>
        <v>46076</v>
      </c>
      <c r="S155" s="331">
        <f>IF(_xlfn.XLOOKUP($E155,'[1]Import Eletra'!$B:$B,'[1]Import Eletra'!$AO:$AO,,0,1)=0,"",_xlfn.XLOOKUP($E155,'[1]Import Eletra'!$B:$B,'[1]Import Eletra'!$AO:$AO,,0,1))</f>
        <v>46076</v>
      </c>
      <c r="T155" s="331">
        <f>IF(_xlfn.XLOOKUP($E155,'[1]Import Eletra'!$B:$B,'[1]Import Eletra'!$AP:$AP,,0,1)=0,"",_xlfn.XLOOKUP($E155,'[1]Import Eletra'!$B:$B,'[1]Import Eletra'!$AP:$AP,,0,1))</f>
        <v>46076</v>
      </c>
      <c r="U155" s="338">
        <f>IF(_xlfn.XLOOKUP($E155,'[1]Import Eletra'!$B:$B,'[1]Import Eletra'!$AQ:$AQ,,0,1)=0,"",_xlfn.XLOOKUP($E155,'[1]Import Eletra'!$B:$B,'[1]Import Eletra'!$AQ:$AQ,,0,1))</f>
        <v>46080</v>
      </c>
      <c r="V155" s="343">
        <f>IF(_xlfn.XLOOKUP($E155,'[1]Import Eletra'!$B:$B,'[1]Import Eletra'!$AQ:$AQ,,0,1)=0,"",_xlfn.XLOOKUP($E155,'[1]Import Eletra'!$B:$B,'[1]Import Eletra'!$AQ:$AQ,,0,1))</f>
        <v>46080</v>
      </c>
      <c r="W155" s="336">
        <f t="shared" si="435"/>
        <v>46090</v>
      </c>
      <c r="X155" s="345">
        <f>IF(_xlfn.XLOOKUP($E155,'[1]Import Eletra'!$B:$B,'[1]Import Eletra'!$AR:$AR,,0,1)=0,"",_xlfn.XLOOKUP($E155,'[1]Import Eletra'!$B:$B,'[1]Import Eletra'!$AR:$AR,,0,1))</f>
        <v>46086</v>
      </c>
      <c r="Y155" s="309">
        <f t="shared" si="355"/>
        <v>0</v>
      </c>
      <c r="Z155" s="309">
        <f t="shared" ca="1" si="436"/>
        <v>-4</v>
      </c>
      <c r="AA155" s="310" t="str">
        <f t="shared" ca="1" si="357"/>
        <v/>
      </c>
      <c r="AB155" s="350">
        <f t="shared" si="437"/>
        <v>46090</v>
      </c>
      <c r="AC155" s="345">
        <f>IF(_xlfn.XLOOKUP($E155,'[1]Import Eletra'!$B:$B,'[1]Import Eletra'!$AD:$AD,,0,1)=0,"",_xlfn.XLOOKUP($E155,'[1]Import Eletra'!$B:$B,'[1]Import Eletra'!$AD:$AD,,0,1))</f>
        <v>46087</v>
      </c>
      <c r="AD155" s="309">
        <f t="shared" si="359"/>
        <v>0</v>
      </c>
      <c r="AE155" s="309">
        <f t="shared" ca="1" si="438"/>
        <v>-3</v>
      </c>
      <c r="AF155" s="310">
        <f t="shared" ca="1" si="439"/>
        <v>-3</v>
      </c>
      <c r="AG155" s="356">
        <f t="shared" si="440"/>
        <v>46090</v>
      </c>
      <c r="AH155" s="345">
        <f>IF(_xlfn.XLOOKUP($E155,'[1]Import Eletra'!$B:$B,'[1]Import Eletra'!$AE:$AE,,0,1)=0,"",_xlfn.XLOOKUP($E155,'[1]Import Eletra'!$B:$B,'[1]Import Eletra'!$AE:$AE,,0,1))</f>
        <v>46087</v>
      </c>
      <c r="AI155" s="309">
        <f t="shared" si="363"/>
        <v>0</v>
      </c>
      <c r="AJ155" s="309">
        <f t="shared" ca="1" si="441"/>
        <v>-3</v>
      </c>
      <c r="AK155" s="310" t="str">
        <f t="shared" ca="1" si="365"/>
        <v/>
      </c>
      <c r="AL155" s="356">
        <f t="shared" si="442"/>
        <v>46090</v>
      </c>
      <c r="AM155" s="345">
        <f>IF(_xlfn.XLOOKUP($E155,'[1]Import Eletra'!$B:$B,'[1]Import Eletra'!$AT:$AT,,0,1)=0,"",_xlfn.XLOOKUP($E155,'[1]Import Eletra'!$B:$B,'[1]Import Eletra'!$AT:$AT,,0,1))</f>
        <v>46087</v>
      </c>
      <c r="AN155" s="309">
        <f t="shared" si="367"/>
        <v>0</v>
      </c>
      <c r="AO155" s="309">
        <f t="shared" ca="1" si="443"/>
        <v>-3</v>
      </c>
      <c r="AP155" s="310" t="str">
        <f t="shared" ca="1" si="369"/>
        <v/>
      </c>
      <c r="AQ155" s="359">
        <f t="shared" si="444"/>
        <v>46091</v>
      </c>
      <c r="AR155" s="345">
        <f>IF(_xlfn.XLOOKUP($E155,'[1]Import Eletra'!$B:$B,'[1]Import Eletra'!$AU:$AU,,0,1)=0,"",_xlfn.XLOOKUP($E155,'[1]Import Eletra'!$B:$B,'[1]Import Eletra'!$AU:$AU,,0,1))</f>
        <v>46087</v>
      </c>
      <c r="AS155" s="309">
        <f t="shared" si="371"/>
        <v>1</v>
      </c>
      <c r="AT155" s="309">
        <f t="shared" ca="1" si="445"/>
        <v>-4</v>
      </c>
      <c r="AU155" s="310" t="str">
        <f t="shared" ca="1" si="373"/>
        <v/>
      </c>
      <c r="AV155" s="356">
        <f t="shared" si="446"/>
        <v>46091</v>
      </c>
      <c r="AW155" s="345">
        <f>IF(_xlfn.XLOOKUP($E155,'[1]Import Eletra'!$B:$B,'[1]Import Eletra'!$AU:$AU,,0,1)=0,"",_xlfn.XLOOKUP($E155,'[1]Import Eletra'!$B:$B,'[1]Import Eletra'!$AU:$AU,,0,1))</f>
        <v>46087</v>
      </c>
      <c r="AX155" s="309">
        <f t="shared" si="375"/>
        <v>0</v>
      </c>
      <c r="AY155" s="309">
        <f t="shared" ca="1" si="447"/>
        <v>-4</v>
      </c>
      <c r="AZ155" s="310" t="str">
        <f t="shared" ca="1" si="377"/>
        <v/>
      </c>
      <c r="BA155" s="359">
        <f t="shared" si="448"/>
        <v>46091</v>
      </c>
      <c r="BB155" s="345" t="str">
        <f>IF(_xlfn.XLOOKUP($E155,'[1]Import Eletra'!$B:$B,'[1]Import Eletra'!$AW:$AW,,0,1)=0,"",_xlfn.XLOOKUP($E155,'[1]Import Eletra'!$B:$B,'[1]Import Eletra'!$AW:$AW,,0,1))</f>
        <v/>
      </c>
      <c r="BC155" s="309">
        <f t="shared" si="379"/>
        <v>0</v>
      </c>
      <c r="BD155" s="309">
        <f t="shared" ca="1" si="449"/>
        <v>120</v>
      </c>
      <c r="BE155" s="310">
        <f t="shared" ca="1" si="450"/>
        <v>120</v>
      </c>
      <c r="BF155" s="336">
        <f t="shared" si="451"/>
        <v>46091</v>
      </c>
      <c r="BG155" s="345" t="str">
        <f>IF(_xlfn.XLOOKUP($E155,'[1]Import Eletra'!$B:$B,'[1]Import Eletra'!$AX:$AX,,0,1)=0,"",_xlfn.XLOOKUP($E155,'[1]Import Eletra'!$B:$B,'[1]Import Eletra'!$AX:$AX,,0,1))</f>
        <v/>
      </c>
      <c r="BH155" s="309">
        <f t="shared" si="383"/>
        <v>0</v>
      </c>
      <c r="BI155" s="309">
        <f t="shared" ca="1" si="452"/>
        <v>120</v>
      </c>
      <c r="BJ155" s="310">
        <f t="shared" ca="1" si="385"/>
        <v>120</v>
      </c>
      <c r="BK155" s="363">
        <f t="shared" si="453"/>
        <v>46091</v>
      </c>
      <c r="BL155" s="345">
        <f>IF(_xlfn.XLOOKUP($E155,'[1]Import Eletra'!$B:$B,'[1]Import Eletra'!$AY:$AY,,0,1)=0,"",_xlfn.XLOOKUP($E155,'[1]Import Eletra'!$B:$B,'[1]Import Eletra'!$AY:$AY,,0,1))</f>
        <v>46087</v>
      </c>
      <c r="BM155" s="309">
        <f t="shared" si="387"/>
        <v>0</v>
      </c>
      <c r="BN155" s="309">
        <f t="shared" ca="1" si="454"/>
        <v>-4</v>
      </c>
      <c r="BO155" s="310">
        <f t="shared" ca="1" si="455"/>
        <v>-4</v>
      </c>
      <c r="BP155" s="336">
        <f t="shared" si="456"/>
        <v>46091</v>
      </c>
      <c r="BQ155" s="345">
        <f>IF(_xlfn.XLOOKUP($E155,'[1]Import Eletra'!$B:$B,'[1]Import Eletra'!$AZ:$AZ,,0,1)=0,"",_xlfn.XLOOKUP($E155,'[1]Import Eletra'!$B:$B,'[1]Import Eletra'!$AZ:$AZ,,0,1))</f>
        <v>46090</v>
      </c>
      <c r="BR155" s="309">
        <f t="shared" si="391"/>
        <v>0</v>
      </c>
      <c r="BS155" s="309">
        <f t="shared" ca="1" si="457"/>
        <v>-1</v>
      </c>
      <c r="BT155" s="310">
        <f t="shared" ca="1" si="458"/>
        <v>-1</v>
      </c>
      <c r="BU155" s="363">
        <f t="shared" si="459"/>
        <v>46093</v>
      </c>
      <c r="BV155" s="345">
        <f>IF(_xlfn.XLOOKUP($E155,'[1]Import Eletra'!$B:$B,'[1]Import Eletra'!$BA:$BA,,0,1)=0,"",_xlfn.XLOOKUP($E155,'[1]Import Eletra'!$B:$B,'[1]Import Eletra'!$BA:$BA,,0,1))</f>
        <v>46091</v>
      </c>
      <c r="BW155" s="309">
        <f t="shared" si="395"/>
        <v>2</v>
      </c>
      <c r="BX155" s="309">
        <f t="shared" ca="1" si="460"/>
        <v>-2</v>
      </c>
      <c r="BY155" s="310" t="str">
        <f t="shared" ca="1" si="397"/>
        <v/>
      </c>
      <c r="BZ155" s="336">
        <f t="shared" si="461"/>
        <v>46093</v>
      </c>
      <c r="CA155" s="345">
        <f>IF(_xlfn.XLOOKUP($E155,'[1]Import Eletra'!$B:$B,'[1]Import Eletra'!$BB:$BB,,0,1)=0,"",_xlfn.XLOOKUP($E155,'[1]Import Eletra'!$B:$B,'[1]Import Eletra'!$BB:$BB,,0,1))</f>
        <v>46091</v>
      </c>
      <c r="CB155" s="309">
        <f t="shared" si="399"/>
        <v>0</v>
      </c>
      <c r="CC155" s="309">
        <f t="shared" ca="1" si="462"/>
        <v>-2</v>
      </c>
      <c r="CD155" s="310">
        <f t="shared" ca="1" si="463"/>
        <v>-2</v>
      </c>
      <c r="CE155" s="363">
        <f t="shared" si="464"/>
        <v>46093</v>
      </c>
      <c r="CF155" s="345">
        <f>IF(_xlfn.XLOOKUP($E155,'[1]Import Eletra'!$B:$B,'[1]Import Eletra'!$BC:$BC,,0,1)=0,"",_xlfn.XLOOKUP($E155,'[1]Import Eletra'!$B:$B,'[1]Import Eletra'!$BC:$BC,,0,1))</f>
        <v>46094</v>
      </c>
      <c r="CG155" s="309">
        <f t="shared" si="403"/>
        <v>0</v>
      </c>
      <c r="CH155" s="309">
        <f t="shared" ca="1" si="465"/>
        <v>1</v>
      </c>
      <c r="CI155" s="310">
        <f t="shared" ca="1" si="466"/>
        <v>1</v>
      </c>
      <c r="CJ155" s="336">
        <f t="shared" si="467"/>
        <v>46093</v>
      </c>
      <c r="CK155" s="345">
        <f>IF(_xlfn.XLOOKUP($E155,'[1]Import Eletra'!$B:$B,'[1]Import Eletra'!$BD:$BD,,0,1)=0,"",_xlfn.XLOOKUP($E155,'[1]Import Eletra'!$B:$B,'[1]Import Eletra'!$BD:$BD,,0,1))</f>
        <v>46091</v>
      </c>
      <c r="CL155" s="309"/>
      <c r="CM155" s="309">
        <f t="shared" ca="1" si="468"/>
        <v>-2</v>
      </c>
      <c r="CN155" s="310">
        <f t="shared" ca="1" si="469"/>
        <v>-2</v>
      </c>
      <c r="CO155" s="363">
        <f t="shared" si="470"/>
        <v>46093</v>
      </c>
      <c r="CP155" s="345">
        <f>IF(_xlfn.XLOOKUP($E155,'[1]Import Eletra'!$B:$B,'[1]Import Eletra'!$BE:$BE,,0,1)=0,"",_xlfn.XLOOKUP($E155,'[1]Import Eletra'!$B:$B,'[1]Import Eletra'!$BE:$BE,,0,1))</f>
        <v>46094</v>
      </c>
      <c r="CQ155" s="309">
        <f t="shared" si="410"/>
        <v>0</v>
      </c>
      <c r="CR155" s="309">
        <f t="shared" ca="1" si="471"/>
        <v>1</v>
      </c>
      <c r="CS155" s="310">
        <f t="shared" ca="1" si="472"/>
        <v>1</v>
      </c>
      <c r="CT155" s="336">
        <f t="shared" si="473"/>
        <v>46093</v>
      </c>
      <c r="CU155" s="345">
        <f>IF(_xlfn.XLOOKUP($E155,'[1]Import Eletra'!$B:$B,'[1]Import Eletra'!$BF:$BF,,0,1)=0,"",_xlfn.XLOOKUP($E155,'[1]Import Eletra'!$B:$B,'[1]Import Eletra'!$BF:$BF,,0,1))</f>
        <v>46097</v>
      </c>
      <c r="CV155" s="309">
        <f t="shared" si="414"/>
        <v>0</v>
      </c>
      <c r="CW155" s="309">
        <f t="shared" ca="1" si="474"/>
        <v>4</v>
      </c>
      <c r="CX155" s="310">
        <f t="shared" ca="1" si="475"/>
        <v>4</v>
      </c>
      <c r="CY155" s="85">
        <f t="shared" si="476"/>
        <v>46093</v>
      </c>
      <c r="CZ155" s="271">
        <f>IF(_xlfn.XLOOKUP($E155,'[1]Import Eletra'!$B:$B,'[1]Import Eletra'!$BF:$BF,,0,1)=0,"",_xlfn.XLOOKUP($E155,'[1]Import Eletra'!$B:$B,'[1]Import Eletra'!$BF:$BF,,0,1))</f>
        <v>46097</v>
      </c>
      <c r="DA155" s="311">
        <f t="shared" si="418"/>
        <v>0</v>
      </c>
      <c r="DB155" s="309">
        <f t="shared" ca="1" si="477"/>
        <v>4</v>
      </c>
      <c r="DC155" s="310">
        <f t="shared" ca="1" si="478"/>
        <v>4</v>
      </c>
      <c r="DD155" s="85">
        <f t="shared" si="479"/>
        <v>46095</v>
      </c>
      <c r="DE155" s="271">
        <f>IF(_xlfn.XLOOKUP($E155,'[1]Import Eletra'!$B:$B,'[1]Import Eletra'!$BG:$BG,,0,1)=0,"",_xlfn.XLOOKUP($E155,'[1]Import Eletra'!$B:$B,'[1]Import Eletra'!$BG:$BG,0,1))</f>
        <v>46098</v>
      </c>
      <c r="DF155" s="309">
        <f t="shared" si="422"/>
        <v>2</v>
      </c>
      <c r="DG155" s="309">
        <f t="shared" ca="1" si="480"/>
        <v>3</v>
      </c>
      <c r="DH155" s="310">
        <f t="shared" ca="1" si="481"/>
        <v>1</v>
      </c>
      <c r="DI155" s="85">
        <f t="shared" si="482"/>
        <v>46096</v>
      </c>
      <c r="DJ155" s="271">
        <f>IF(_xlfn.XLOOKUP($E155,'[1]Import Eletra'!$B:$B,'[1]Import Eletra'!$BH:$BH,,0,1)=0,"",_xlfn.XLOOKUP($E155,'[1]Import Eletra'!$B:$B,'[1]Import Eletra'!$BH:$BH,0,1))</f>
        <v>46101</v>
      </c>
      <c r="DK155" s="309">
        <f t="shared" si="426"/>
        <v>1</v>
      </c>
      <c r="DL155" s="309">
        <f t="shared" ca="1" si="483"/>
        <v>5</v>
      </c>
      <c r="DM155" s="310">
        <f t="shared" ca="1" si="484"/>
        <v>4</v>
      </c>
      <c r="DN155" s="312"/>
      <c r="DO155" s="313">
        <f t="shared" si="485"/>
        <v>46097</v>
      </c>
      <c r="DP155" s="59">
        <f>IF(_xlfn.XLOOKUP($E155,'[1]Import Eletra'!$B:$B,'[1]Import Eletra'!$O:$O,,0,1)=0,"",_xlfn.XLOOKUP($E155,'[1]Import Eletra'!$B:$B,'[1]Import Eletra'!$O:$O,0,1))</f>
        <v>46101</v>
      </c>
      <c r="DQ155" s="309">
        <f t="shared" si="430"/>
        <v>1</v>
      </c>
      <c r="DR155" s="309">
        <f t="shared" ca="1" si="486"/>
        <v>4</v>
      </c>
      <c r="DS155" s="310">
        <f t="shared" ca="1" si="487"/>
        <v>3</v>
      </c>
      <c r="DT155" s="314">
        <v>17</v>
      </c>
      <c r="DU155" s="140">
        <f t="shared" ca="1" si="488"/>
        <v>17</v>
      </c>
      <c r="DV155" s="184">
        <f t="shared" ca="1" si="489"/>
        <v>0</v>
      </c>
      <c r="DX155" s="316"/>
      <c r="DY155" s="108" t="str">
        <f>IF(_xlfn.XLOOKUP($E155,'[1]Import Eletra'!$B:$B,'[1]Import Eletra'!$DW:$DW,,0,1)=0,"",_xlfn.XLOOKUP($E155,'[1]Import Eletra'!$B:$B,'[1]Import Eletra'!$DW:$DW,0,1))</f>
        <v/>
      </c>
      <c r="EB155" s="317"/>
      <c r="ED155" s="406">
        <f>IF(_xlfn.XLOOKUP($E155,'[1]Import Eletra'!$B:$B,'[1]Import Eletra'!$BQ:$BQ,,0,1)=0,"",_xlfn.XLOOKUP($E155,'[1]Import Eletra'!$B:$B,'[1]Import Eletra'!$BQ:$BQ,0,1))</f>
        <v>818.29</v>
      </c>
      <c r="EE155" s="407">
        <f>IF(_xlfn.XLOOKUP($E155,'[1]Import Eletra'!$B:$B,'[1]Import Eletra'!$BR:$BR,,0,1)=0,"",_xlfn.XLOOKUP($E155,'[1]Import Eletra'!$B:$B,'[1]Import Eletra'!$BR:$BR,0,1))</f>
        <v>46103</v>
      </c>
      <c r="EF155" s="406" t="str">
        <f>IF(_xlfn.XLOOKUP($E155,'[1]Import Eletra'!$B:$B,'[1]Import Eletra'!$BS:$BS,,0,1)=0,"",_xlfn.XLOOKUP($E155,'[1]Import Eletra'!$B:$B,'[1]Import Eletra'!$BS:$BS,0,1))</f>
        <v/>
      </c>
      <c r="EG155" s="407" t="str">
        <f>IF(_xlfn.XLOOKUP($E155,'[1]Import Eletra'!$B:$B,'[1]Import Eletra'!$BT:$BT,,0,1)=0,"",_xlfn.XLOOKUP($E155,'[1]Import Eletra'!$B:$B,'[1]Import Eletra'!$BT:$BT,0,1))</f>
        <v/>
      </c>
      <c r="EH155" s="406" t="str">
        <f>IF(_xlfn.XLOOKUP($E155,'[1]Import Eletra'!$B:$B,'[1]Import Eletra'!$BU:$BU,,0,1)=0,"",_xlfn.XLOOKUP($E155,'[1]Import Eletra'!$B:$B,'[1]Import Eletra'!$BU:$BU,0,1))</f>
        <v/>
      </c>
      <c r="EI155" s="407" t="str">
        <f>IF(_xlfn.XLOOKUP($E155,'[1]Import Eletra'!$B:$B,'[1]Import Eletra'!$BV:$BV,,0,1)=0,"",_xlfn.XLOOKUP($E155,'[1]Import Eletra'!$B:$B,'[1]Import Eletra'!$BV:$BV,0,1))</f>
        <v/>
      </c>
      <c r="EJ155" s="407">
        <f>IF(_xlfn.XLOOKUP($E155,'[1]Import Eletra'!$B:$B,'[1]Import Eletra'!$CI:$CI,,0,1)=0,"",_xlfn.XLOOKUP($E155,'[1]Import Eletra'!$B:$B,'[1]Import Eletra'!$CI:$CI,0,1))</f>
        <v>46102</v>
      </c>
      <c r="EK155" s="407" t="str">
        <f>IF(_xlfn.XLOOKUP($E155,'[1]Import Eletra'!$B:$B,'[1]Import Eletra'!$CD:$CD,,0,1)=0,"",_xlfn.XLOOKUP($E155,'[1]Import Eletra'!$B:$B,'[1]Import Eletra'!$CD:$CD,0,1))</f>
        <v/>
      </c>
      <c r="EL155" s="407" t="str">
        <f>IF(_xlfn.XLOOKUP($E155,'[1]Import Eletra'!$B:$B,'[1]Import Eletra'!$CE:$CE,,0,1)=0,"",_xlfn.XLOOKUP($E155,'[1]Import Eletra'!$B:$B,'[1]Import Eletra'!$CE:$CE,0,1))</f>
        <v>NÃO</v>
      </c>
      <c r="EM155" s="408" t="str">
        <f>IF(_xlfn.XLOOKUP($E155,'[1]Import Eletra'!$B:$B,'[1]Import Eletra'!$E:$E,,0,1)=0,"",_xlfn.XLOOKUP($E155,'[1]Import Eletra'!$B:$B,'[1]Import Eletra'!$E:$E,0,1))</f>
        <v>CATARINA</v>
      </c>
      <c r="EN155" s="408" t="str">
        <f>IF(_xlfn.XLOOKUP($E155,'[1]Import Eletra'!$B:$B,'[1]Import Eletra'!$E:$E,,0,1)=0,"",_xlfn.XLOOKUP($E155,'[1]Import Eletra'!$B:$B,'[1]Import Eletra'!$E:$E,0,1))</f>
        <v>CATARINA</v>
      </c>
      <c r="EO155" s="408" t="str">
        <f>IF(_xlfn.XLOOKUP($E155,'[1]Import Eletra'!$B:$B,'[1]Import Eletra'!$E:$E,,0,1)=0,"",_xlfn.XLOOKUP($E155,'[1]Import Eletra'!$B:$B,'[1]Import Eletra'!$E:$E,0,1))</f>
        <v>CATARINA</v>
      </c>
      <c r="EP155" s="408" t="str">
        <f>IF(_xlfn.XLOOKUP($E155,'[1]Import Eletra'!$B:$B,'[1]Import Eletra'!$E:$E,,0,1)=0,"",_xlfn.XLOOKUP($E155,'[1]Import Eletra'!$B:$B,'[1]Import Eletra'!$E:$E,0,1))</f>
        <v>CATARINA</v>
      </c>
    </row>
    <row r="156" spans="1:146" s="315" customFormat="1" ht="30" hidden="1" customHeight="1" outlineLevel="1">
      <c r="A156" s="305"/>
      <c r="B156" s="306"/>
      <c r="C156" s="306"/>
      <c r="D156" s="306"/>
      <c r="E156" s="367" t="s">
        <v>452</v>
      </c>
      <c r="F156" s="307">
        <f>IF(_xlfn.XLOOKUP($E156,'[1]Import Eletra'!$B:$B,'[1]Import Eletra'!$U:$U,,0,1)=0,"",_xlfn.XLOOKUP($E156,'[1]Import Eletra'!$B:$B,'[1]Import Eletra'!$U:$U,,0,1))</f>
        <v>0.5</v>
      </c>
      <c r="G156" s="320" t="s">
        <v>244</v>
      </c>
      <c r="H156" s="59" t="str">
        <f>_xlfn.XLOOKUP($E156,'[1]Import Eletra'!$B:$B,'[1]Import Eletra'!$F:$F,,0,1)</f>
        <v>DELIVERED</v>
      </c>
      <c r="I156" s="4" t="str">
        <f>_xlfn.XLOOKUP($E156,'[1]Import Eletra'!$B:$B,'[1]Import Eletra'!$G:$G,,0,1)</f>
        <v>SEA</v>
      </c>
      <c r="J156" s="331"/>
      <c r="K156" s="308"/>
      <c r="L156" s="308"/>
      <c r="M156" s="331">
        <f>IF(_xlfn.XLOOKUP($E156,'[1]Import Eletra'!$B:$B,'[1]Import Eletra'!$J:$J,,0,1)=0,"",_xlfn.XLOOKUP($E156,'[1]Import Eletra'!$B:$B,'[1]Import Eletra'!$J:$J,,0,1))</f>
        <v>46019</v>
      </c>
      <c r="N156" s="334">
        <f>IF(_xlfn.XLOOKUP($E156,'[1]Import Eletra'!$B:$B,'[1]Import Eletra'!$L:$L,,0,1)=0,"",_xlfn.XLOOKUP($E156,'[1]Import Eletra'!$B:$B,'[1]Import Eletra'!$L:$L,,0,1))</f>
        <v>46084</v>
      </c>
      <c r="O156" s="336">
        <f>IF(_xlfn.XLOOKUP($E156,'[1]Import Eletra'!$B:$B,'[1]Import Eletra'!$AK:$AK,,0,1)=0,"",_xlfn.XLOOKUP($E156,'[1]Import Eletra'!$B:$B,'[1]Import Eletra'!$AK:$AK,,0,1))</f>
        <v>46036</v>
      </c>
      <c r="P156" s="331">
        <f>IF(_xlfn.XLOOKUP($E156,'[1]Import Eletra'!$B:$B,'[1]Import Eletra'!$AL:$AL,,0,1)=0,"",_xlfn.XLOOKUP($E156,'[1]Import Eletra'!$B:$B,'[1]Import Eletra'!$AL:$AL,,0,1))</f>
        <v>46051</v>
      </c>
      <c r="Q156" s="331">
        <f>IF(_xlfn.XLOOKUP($E156,'[1]Import Eletra'!$B:$B,'[1]Import Eletra'!$AM:$AM,,0,1)=0,"",_xlfn.XLOOKUP($E156,'[1]Import Eletra'!$B:$B,'[1]Import Eletra'!$AM:$AM,,0,1))</f>
        <v>46064</v>
      </c>
      <c r="R156" s="331">
        <f>IF(_xlfn.XLOOKUP($E156,'[1]Import Eletra'!$B:$B,'[1]Import Eletra'!$AN:$AN,,0,1)=0,"",_xlfn.XLOOKUP($E156,'[1]Import Eletra'!$B:$B,'[1]Import Eletra'!$AN:$AN,,0,1))</f>
        <v>46083</v>
      </c>
      <c r="S156" s="331">
        <f>IF(_xlfn.XLOOKUP($E156,'[1]Import Eletra'!$B:$B,'[1]Import Eletra'!$AO:$AO,,0,1)=0,"",_xlfn.XLOOKUP($E156,'[1]Import Eletra'!$B:$B,'[1]Import Eletra'!$AO:$AO,,0,1))</f>
        <v>46084</v>
      </c>
      <c r="T156" s="331">
        <f>IF(_xlfn.XLOOKUP($E156,'[1]Import Eletra'!$B:$B,'[1]Import Eletra'!$AP:$AP,,0,1)=0,"",_xlfn.XLOOKUP($E156,'[1]Import Eletra'!$B:$B,'[1]Import Eletra'!$AP:$AP,,0,1))</f>
        <v>46084</v>
      </c>
      <c r="U156" s="338" t="str">
        <f>IF(_xlfn.XLOOKUP($E156,'[1]Import Eletra'!$B:$B,'[1]Import Eletra'!$AQ:$AQ,,0,1)=0,"",_xlfn.XLOOKUP($E156,'[1]Import Eletra'!$B:$B,'[1]Import Eletra'!$AQ:$AQ,,0,1))</f>
        <v/>
      </c>
      <c r="V156" s="343" t="str">
        <f>IF(_xlfn.XLOOKUP($E156,'[1]Import Eletra'!$B:$B,'[1]Import Eletra'!$AQ:$AQ,,0,1)=0,"",_xlfn.XLOOKUP($E156,'[1]Import Eletra'!$B:$B,'[1]Import Eletra'!$AQ:$AQ,,0,1))</f>
        <v/>
      </c>
      <c r="W156" s="336">
        <f t="shared" si="435"/>
        <v>46094</v>
      </c>
      <c r="X156" s="345">
        <f>IF(_xlfn.XLOOKUP($E156,'[1]Import Eletra'!$B:$B,'[1]Import Eletra'!$AR:$AR,,0,1)=0,"",_xlfn.XLOOKUP($E156,'[1]Import Eletra'!$B:$B,'[1]Import Eletra'!$AR:$AR,,0,1))</f>
        <v>46086</v>
      </c>
      <c r="Y156" s="309">
        <f t="shared" si="355"/>
        <v>0</v>
      </c>
      <c r="Z156" s="309">
        <f t="shared" ca="1" si="436"/>
        <v>-8</v>
      </c>
      <c r="AA156" s="310" t="str">
        <f t="shared" ca="1" si="357"/>
        <v/>
      </c>
      <c r="AB156" s="350">
        <f t="shared" si="437"/>
        <v>46094</v>
      </c>
      <c r="AC156" s="345">
        <f>IF(_xlfn.XLOOKUP($E156,'[1]Import Eletra'!$B:$B,'[1]Import Eletra'!$AD:$AD,,0,1)=0,"",_xlfn.XLOOKUP($E156,'[1]Import Eletra'!$B:$B,'[1]Import Eletra'!$AD:$AD,,0,1))</f>
        <v>46087</v>
      </c>
      <c r="AD156" s="309">
        <f t="shared" si="359"/>
        <v>0</v>
      </c>
      <c r="AE156" s="309">
        <f t="shared" ca="1" si="438"/>
        <v>-7</v>
      </c>
      <c r="AF156" s="310">
        <f t="shared" ca="1" si="439"/>
        <v>-7</v>
      </c>
      <c r="AG156" s="356">
        <f t="shared" si="440"/>
        <v>46094</v>
      </c>
      <c r="AH156" s="345">
        <f>IF(_xlfn.XLOOKUP($E156,'[1]Import Eletra'!$B:$B,'[1]Import Eletra'!$AE:$AE,,0,1)=0,"",_xlfn.XLOOKUP($E156,'[1]Import Eletra'!$B:$B,'[1]Import Eletra'!$AE:$AE,,0,1))</f>
        <v>46087</v>
      </c>
      <c r="AI156" s="309">
        <f t="shared" si="363"/>
        <v>0</v>
      </c>
      <c r="AJ156" s="309">
        <f t="shared" ca="1" si="441"/>
        <v>-7</v>
      </c>
      <c r="AK156" s="310" t="str">
        <f t="shared" ca="1" si="365"/>
        <v/>
      </c>
      <c r="AL156" s="356">
        <f t="shared" si="442"/>
        <v>46094</v>
      </c>
      <c r="AM156" s="345" t="str">
        <f>IF(_xlfn.XLOOKUP($E156,'[1]Import Eletra'!$B:$B,'[1]Import Eletra'!$AT:$AT,,0,1)=0,"",_xlfn.XLOOKUP($E156,'[1]Import Eletra'!$B:$B,'[1]Import Eletra'!$AT:$AT,,0,1))</f>
        <v/>
      </c>
      <c r="AN156" s="309">
        <f t="shared" si="367"/>
        <v>0</v>
      </c>
      <c r="AO156" s="309">
        <f t="shared" ca="1" si="443"/>
        <v>117</v>
      </c>
      <c r="AP156" s="310">
        <f t="shared" ca="1" si="369"/>
        <v>117</v>
      </c>
      <c r="AQ156" s="359">
        <f t="shared" si="444"/>
        <v>46095</v>
      </c>
      <c r="AR156" s="345">
        <f>IF(_xlfn.XLOOKUP($E156,'[1]Import Eletra'!$B:$B,'[1]Import Eletra'!$AU:$AU,,0,1)=0,"",_xlfn.XLOOKUP($E156,'[1]Import Eletra'!$B:$B,'[1]Import Eletra'!$AU:$AU,,0,1))</f>
        <v>46087</v>
      </c>
      <c r="AS156" s="309">
        <f t="shared" si="371"/>
        <v>1</v>
      </c>
      <c r="AT156" s="309">
        <f t="shared" ca="1" si="445"/>
        <v>-8</v>
      </c>
      <c r="AU156" s="310" t="str">
        <f t="shared" ca="1" si="373"/>
        <v/>
      </c>
      <c r="AV156" s="356">
        <f t="shared" si="446"/>
        <v>46095</v>
      </c>
      <c r="AW156" s="345">
        <f>IF(_xlfn.XLOOKUP($E156,'[1]Import Eletra'!$B:$B,'[1]Import Eletra'!$AU:$AU,,0,1)=0,"",_xlfn.XLOOKUP($E156,'[1]Import Eletra'!$B:$B,'[1]Import Eletra'!$AU:$AU,,0,1))</f>
        <v>46087</v>
      </c>
      <c r="AX156" s="309">
        <f t="shared" si="375"/>
        <v>0</v>
      </c>
      <c r="AY156" s="309">
        <f t="shared" ca="1" si="447"/>
        <v>-8</v>
      </c>
      <c r="AZ156" s="310" t="str">
        <f t="shared" ca="1" si="377"/>
        <v/>
      </c>
      <c r="BA156" s="359">
        <f t="shared" si="448"/>
        <v>46095</v>
      </c>
      <c r="BB156" s="345" t="str">
        <f>IF(_xlfn.XLOOKUP($E156,'[1]Import Eletra'!$B:$B,'[1]Import Eletra'!$AW:$AW,,0,1)=0,"",_xlfn.XLOOKUP($E156,'[1]Import Eletra'!$B:$B,'[1]Import Eletra'!$AW:$AW,,0,1))</f>
        <v/>
      </c>
      <c r="BC156" s="309">
        <f t="shared" si="379"/>
        <v>0</v>
      </c>
      <c r="BD156" s="309">
        <f t="shared" ca="1" si="449"/>
        <v>116</v>
      </c>
      <c r="BE156" s="310">
        <f t="shared" ca="1" si="450"/>
        <v>116</v>
      </c>
      <c r="BF156" s="336">
        <f t="shared" si="451"/>
        <v>46095</v>
      </c>
      <c r="BG156" s="345" t="str">
        <f>IF(_xlfn.XLOOKUP($E156,'[1]Import Eletra'!$B:$B,'[1]Import Eletra'!$AX:$AX,,0,1)=0,"",_xlfn.XLOOKUP($E156,'[1]Import Eletra'!$B:$B,'[1]Import Eletra'!$AX:$AX,,0,1))</f>
        <v/>
      </c>
      <c r="BH156" s="309">
        <f t="shared" si="383"/>
        <v>0</v>
      </c>
      <c r="BI156" s="309">
        <f t="shared" ca="1" si="452"/>
        <v>116</v>
      </c>
      <c r="BJ156" s="310">
        <f t="shared" ca="1" si="385"/>
        <v>116</v>
      </c>
      <c r="BK156" s="363">
        <f t="shared" si="453"/>
        <v>46095</v>
      </c>
      <c r="BL156" s="345">
        <f>IF(_xlfn.XLOOKUP($E156,'[1]Import Eletra'!$B:$B,'[1]Import Eletra'!$AY:$AY,,0,1)=0,"",_xlfn.XLOOKUP($E156,'[1]Import Eletra'!$B:$B,'[1]Import Eletra'!$AY:$AY,,0,1))</f>
        <v>46087</v>
      </c>
      <c r="BM156" s="309">
        <f t="shared" si="387"/>
        <v>0</v>
      </c>
      <c r="BN156" s="309">
        <f t="shared" ca="1" si="454"/>
        <v>-8</v>
      </c>
      <c r="BO156" s="310">
        <f t="shared" ca="1" si="455"/>
        <v>-8</v>
      </c>
      <c r="BP156" s="336">
        <f t="shared" si="456"/>
        <v>46095</v>
      </c>
      <c r="BQ156" s="345">
        <f>IF(_xlfn.XLOOKUP($E156,'[1]Import Eletra'!$B:$B,'[1]Import Eletra'!$AZ:$AZ,,0,1)=0,"",_xlfn.XLOOKUP($E156,'[1]Import Eletra'!$B:$B,'[1]Import Eletra'!$AZ:$AZ,,0,1))</f>
        <v>46087</v>
      </c>
      <c r="BR156" s="309">
        <f t="shared" si="391"/>
        <v>0</v>
      </c>
      <c r="BS156" s="309">
        <f t="shared" ca="1" si="457"/>
        <v>-8</v>
      </c>
      <c r="BT156" s="310">
        <f t="shared" ca="1" si="458"/>
        <v>-8</v>
      </c>
      <c r="BU156" s="363">
        <f t="shared" si="459"/>
        <v>46097</v>
      </c>
      <c r="BV156" s="345">
        <f>IF(_xlfn.XLOOKUP($E156,'[1]Import Eletra'!$B:$B,'[1]Import Eletra'!$BA:$BA,,0,1)=0,"",_xlfn.XLOOKUP($E156,'[1]Import Eletra'!$B:$B,'[1]Import Eletra'!$BA:$BA,,0,1))</f>
        <v>46090</v>
      </c>
      <c r="BW156" s="309">
        <f t="shared" si="395"/>
        <v>2</v>
      </c>
      <c r="BX156" s="309">
        <f t="shared" ca="1" si="460"/>
        <v>-7</v>
      </c>
      <c r="BY156" s="310" t="str">
        <f t="shared" ca="1" si="397"/>
        <v/>
      </c>
      <c r="BZ156" s="336">
        <f t="shared" si="461"/>
        <v>46097</v>
      </c>
      <c r="CA156" s="345">
        <f>IF(_xlfn.XLOOKUP($E156,'[1]Import Eletra'!$B:$B,'[1]Import Eletra'!$BB:$BB,,0,1)=0,"",_xlfn.XLOOKUP($E156,'[1]Import Eletra'!$B:$B,'[1]Import Eletra'!$BB:$BB,,0,1))</f>
        <v>46091</v>
      </c>
      <c r="CB156" s="309">
        <f t="shared" si="399"/>
        <v>0</v>
      </c>
      <c r="CC156" s="309">
        <f t="shared" ca="1" si="462"/>
        <v>-6</v>
      </c>
      <c r="CD156" s="310">
        <f t="shared" ca="1" si="463"/>
        <v>-6</v>
      </c>
      <c r="CE156" s="363">
        <f t="shared" si="464"/>
        <v>46097</v>
      </c>
      <c r="CF156" s="345">
        <f>IF(_xlfn.XLOOKUP($E156,'[1]Import Eletra'!$B:$B,'[1]Import Eletra'!$BC:$BC,,0,1)=0,"",_xlfn.XLOOKUP($E156,'[1]Import Eletra'!$B:$B,'[1]Import Eletra'!$BC:$BC,,0,1))</f>
        <v>46091</v>
      </c>
      <c r="CG156" s="309">
        <f t="shared" si="403"/>
        <v>0</v>
      </c>
      <c r="CH156" s="309">
        <f t="shared" ca="1" si="465"/>
        <v>-6</v>
      </c>
      <c r="CI156" s="310">
        <f t="shared" ca="1" si="466"/>
        <v>-6</v>
      </c>
      <c r="CJ156" s="336">
        <f t="shared" si="467"/>
        <v>46097</v>
      </c>
      <c r="CK156" s="345">
        <f>IF(_xlfn.XLOOKUP($E156,'[1]Import Eletra'!$B:$B,'[1]Import Eletra'!$BD:$BD,,0,1)=0,"",_xlfn.XLOOKUP($E156,'[1]Import Eletra'!$B:$B,'[1]Import Eletra'!$BD:$BD,,0,1))</f>
        <v>46091</v>
      </c>
      <c r="CL156" s="309"/>
      <c r="CM156" s="309">
        <f t="shared" ca="1" si="468"/>
        <v>-6</v>
      </c>
      <c r="CN156" s="310">
        <f t="shared" ca="1" si="469"/>
        <v>-6</v>
      </c>
      <c r="CO156" s="363">
        <f t="shared" si="470"/>
        <v>46097</v>
      </c>
      <c r="CP156" s="345">
        <f>IF(_xlfn.XLOOKUP($E156,'[1]Import Eletra'!$B:$B,'[1]Import Eletra'!$BE:$BE,,0,1)=0,"",_xlfn.XLOOKUP($E156,'[1]Import Eletra'!$B:$B,'[1]Import Eletra'!$BE:$BE,,0,1))</f>
        <v>46091</v>
      </c>
      <c r="CQ156" s="309">
        <f t="shared" si="410"/>
        <v>0</v>
      </c>
      <c r="CR156" s="309">
        <f t="shared" ca="1" si="471"/>
        <v>-6</v>
      </c>
      <c r="CS156" s="310">
        <f t="shared" ca="1" si="472"/>
        <v>-6</v>
      </c>
      <c r="CT156" s="336">
        <f t="shared" si="473"/>
        <v>46097</v>
      </c>
      <c r="CU156" s="345">
        <f>IF(_xlfn.XLOOKUP($E156,'[1]Import Eletra'!$B:$B,'[1]Import Eletra'!$BF:$BF,,0,1)=0,"",_xlfn.XLOOKUP($E156,'[1]Import Eletra'!$B:$B,'[1]Import Eletra'!$BF:$BF,,0,1))</f>
        <v>46091</v>
      </c>
      <c r="CV156" s="309">
        <f t="shared" si="414"/>
        <v>0</v>
      </c>
      <c r="CW156" s="309">
        <f t="shared" ca="1" si="474"/>
        <v>-6</v>
      </c>
      <c r="CX156" s="310">
        <f t="shared" ca="1" si="475"/>
        <v>-6</v>
      </c>
      <c r="CY156" s="85">
        <f t="shared" si="476"/>
        <v>46097</v>
      </c>
      <c r="CZ156" s="271">
        <f>IF(_xlfn.XLOOKUP($E156,'[1]Import Eletra'!$B:$B,'[1]Import Eletra'!$BF:$BF,,0,1)=0,"",_xlfn.XLOOKUP($E156,'[1]Import Eletra'!$B:$B,'[1]Import Eletra'!$BF:$BF,,0,1))</f>
        <v>46091</v>
      </c>
      <c r="DA156" s="311">
        <f t="shared" si="418"/>
        <v>0</v>
      </c>
      <c r="DB156" s="309">
        <f t="shared" ca="1" si="477"/>
        <v>-6</v>
      </c>
      <c r="DC156" s="310">
        <f t="shared" ca="1" si="478"/>
        <v>-6</v>
      </c>
      <c r="DD156" s="85">
        <f t="shared" si="479"/>
        <v>46099</v>
      </c>
      <c r="DE156" s="271">
        <f>IF(_xlfn.XLOOKUP($E156,'[1]Import Eletra'!$B:$B,'[1]Import Eletra'!$BG:$BG,,0,1)=0,"",_xlfn.XLOOKUP($E156,'[1]Import Eletra'!$B:$B,'[1]Import Eletra'!$BG:$BG,0,1))</f>
        <v>46092</v>
      </c>
      <c r="DF156" s="309">
        <f t="shared" si="422"/>
        <v>2</v>
      </c>
      <c r="DG156" s="309">
        <f t="shared" ca="1" si="480"/>
        <v>-7</v>
      </c>
      <c r="DH156" s="310">
        <f t="shared" ca="1" si="481"/>
        <v>-9</v>
      </c>
      <c r="DI156" s="85">
        <f t="shared" si="482"/>
        <v>46100</v>
      </c>
      <c r="DJ156" s="271" t="str">
        <f>IF(_xlfn.XLOOKUP($E156,'[1]Import Eletra'!$B:$B,'[1]Import Eletra'!$BH:$BH,,0,1)=0,"",_xlfn.XLOOKUP($E156,'[1]Import Eletra'!$B:$B,'[1]Import Eletra'!$BH:$BH,0,1))</f>
        <v/>
      </c>
      <c r="DK156" s="309">
        <f t="shared" si="426"/>
        <v>1</v>
      </c>
      <c r="DL156" s="309">
        <f t="shared" ca="1" si="483"/>
        <v>111</v>
      </c>
      <c r="DM156" s="310">
        <f t="shared" ca="1" si="484"/>
        <v>110</v>
      </c>
      <c r="DN156" s="312"/>
      <c r="DO156" s="313">
        <f t="shared" si="485"/>
        <v>46101</v>
      </c>
      <c r="DP156" s="59">
        <f>IF(_xlfn.XLOOKUP($E156,'[1]Import Eletra'!$B:$B,'[1]Import Eletra'!$O:$O,,0,1)=0,"",_xlfn.XLOOKUP($E156,'[1]Import Eletra'!$B:$B,'[1]Import Eletra'!$O:$O,0,1))</f>
        <v>46094</v>
      </c>
      <c r="DQ156" s="309">
        <f t="shared" si="430"/>
        <v>1</v>
      </c>
      <c r="DR156" s="309">
        <f t="shared" ca="1" si="486"/>
        <v>-7</v>
      </c>
      <c r="DS156" s="310">
        <f t="shared" ca="1" si="487"/>
        <v>-8</v>
      </c>
      <c r="DT156" s="314">
        <v>17</v>
      </c>
      <c r="DU156" s="140">
        <f t="shared" ca="1" si="488"/>
        <v>10</v>
      </c>
      <c r="DV156" s="184">
        <f t="shared" ca="1" si="489"/>
        <v>-7</v>
      </c>
      <c r="DX156" s="316"/>
      <c r="DY156" s="108" t="str">
        <f>IF(_xlfn.XLOOKUP($E156,'[1]Import Eletra'!$B:$B,'[1]Import Eletra'!$DW:$DW,,0,1)=0,"",_xlfn.XLOOKUP($E156,'[1]Import Eletra'!$B:$B,'[1]Import Eletra'!$DW:$DW,0,1))</f>
        <v/>
      </c>
      <c r="EB156" s="317"/>
      <c r="ED156" s="406" t="str">
        <f>IF(_xlfn.XLOOKUP($E156,'[1]Import Eletra'!$B:$B,'[1]Import Eletra'!$BQ:$BQ,,0,1)=0,"",_xlfn.XLOOKUP($E156,'[1]Import Eletra'!$B:$B,'[1]Import Eletra'!$BQ:$BQ,0,1))</f>
        <v/>
      </c>
      <c r="EE156" s="407" t="str">
        <f>IF(_xlfn.XLOOKUP($E156,'[1]Import Eletra'!$B:$B,'[1]Import Eletra'!$BR:$BR,,0,1)=0,"",_xlfn.XLOOKUP($E156,'[1]Import Eletra'!$B:$B,'[1]Import Eletra'!$BR:$BR,0,1))</f>
        <v/>
      </c>
      <c r="EF156" s="406" t="str">
        <f>IF(_xlfn.XLOOKUP($E156,'[1]Import Eletra'!$B:$B,'[1]Import Eletra'!$BS:$BS,,0,1)=0,"",_xlfn.XLOOKUP($E156,'[1]Import Eletra'!$B:$B,'[1]Import Eletra'!$BS:$BS,0,1))</f>
        <v/>
      </c>
      <c r="EG156" s="407" t="str">
        <f>IF(_xlfn.XLOOKUP($E156,'[1]Import Eletra'!$B:$B,'[1]Import Eletra'!$BT:$BT,,0,1)=0,"",_xlfn.XLOOKUP($E156,'[1]Import Eletra'!$B:$B,'[1]Import Eletra'!$BT:$BT,0,1))</f>
        <v/>
      </c>
      <c r="EH156" s="406" t="str">
        <f>IF(_xlfn.XLOOKUP($E156,'[1]Import Eletra'!$B:$B,'[1]Import Eletra'!$BU:$BU,,0,1)=0,"",_xlfn.XLOOKUP($E156,'[1]Import Eletra'!$B:$B,'[1]Import Eletra'!$BU:$BU,0,1))</f>
        <v/>
      </c>
      <c r="EI156" s="407" t="str">
        <f>IF(_xlfn.XLOOKUP($E156,'[1]Import Eletra'!$B:$B,'[1]Import Eletra'!$BV:$BV,,0,1)=0,"",_xlfn.XLOOKUP($E156,'[1]Import Eletra'!$B:$B,'[1]Import Eletra'!$BV:$BV,0,1))</f>
        <v/>
      </c>
      <c r="EJ156" s="407">
        <f>IF(_xlfn.XLOOKUP($E156,'[1]Import Eletra'!$B:$B,'[1]Import Eletra'!$CI:$CI,,0,1)=0,"",_xlfn.XLOOKUP($E156,'[1]Import Eletra'!$B:$B,'[1]Import Eletra'!$CI:$CI,0,1))</f>
        <v>46102</v>
      </c>
      <c r="EK156" s="407" t="str">
        <f>IF(_xlfn.XLOOKUP($E156,'[1]Import Eletra'!$B:$B,'[1]Import Eletra'!$CD:$CD,,0,1)=0,"",_xlfn.XLOOKUP($E156,'[1]Import Eletra'!$B:$B,'[1]Import Eletra'!$CD:$CD,0,1))</f>
        <v/>
      </c>
      <c r="EL156" s="407" t="str">
        <f>IF(_xlfn.XLOOKUP($E156,'[1]Import Eletra'!$B:$B,'[1]Import Eletra'!$CE:$CE,,0,1)=0,"",_xlfn.XLOOKUP($E156,'[1]Import Eletra'!$B:$B,'[1]Import Eletra'!$CE:$CE,0,1))</f>
        <v>NÃO</v>
      </c>
      <c r="EM156" s="408" t="str">
        <f>IF(_xlfn.XLOOKUP($E156,'[1]Import Eletra'!$B:$B,'[1]Import Eletra'!$E:$E,,0,1)=0,"",_xlfn.XLOOKUP($E156,'[1]Import Eletra'!$B:$B,'[1]Import Eletra'!$E:$E,0,1))</f>
        <v>LEISIANE</v>
      </c>
      <c r="EN156" s="408" t="str">
        <f>IF(_xlfn.XLOOKUP($E156,'[1]Import Eletra'!$B:$B,'[1]Import Eletra'!$E:$E,,0,1)=0,"",_xlfn.XLOOKUP($E156,'[1]Import Eletra'!$B:$B,'[1]Import Eletra'!$E:$E,0,1))</f>
        <v>LEISIANE</v>
      </c>
      <c r="EO156" s="408" t="str">
        <f>IF(_xlfn.XLOOKUP($E156,'[1]Import Eletra'!$B:$B,'[1]Import Eletra'!$E:$E,,0,1)=0,"",_xlfn.XLOOKUP($E156,'[1]Import Eletra'!$B:$B,'[1]Import Eletra'!$E:$E,0,1))</f>
        <v>LEISIANE</v>
      </c>
      <c r="EP156" s="408" t="str">
        <f>IF(_xlfn.XLOOKUP($E156,'[1]Import Eletra'!$B:$B,'[1]Import Eletra'!$E:$E,,0,1)=0,"",_xlfn.XLOOKUP($E156,'[1]Import Eletra'!$B:$B,'[1]Import Eletra'!$E:$E,0,1))</f>
        <v>LEISIANE</v>
      </c>
    </row>
    <row r="157" spans="1:146" s="315" customFormat="1" ht="30" hidden="1" customHeight="1" outlineLevel="1">
      <c r="A157" s="305"/>
      <c r="B157" s="306"/>
      <c r="C157" s="306"/>
      <c r="D157" s="306"/>
      <c r="E157" s="367" t="s">
        <v>453</v>
      </c>
      <c r="F157" s="307">
        <f>IF(_xlfn.XLOOKUP($E157,'[1]Import Eletra'!$B:$B,'[1]Import Eletra'!$U:$U,,0,1)=0,"",_xlfn.XLOOKUP($E157,'[1]Import Eletra'!$B:$B,'[1]Import Eletra'!$U:$U,,0,1))</f>
        <v>1</v>
      </c>
      <c r="G157" s="320" t="s">
        <v>244</v>
      </c>
      <c r="H157" s="59" t="str">
        <f>_xlfn.XLOOKUP($E157,'[1]Import Eletra'!$B:$B,'[1]Import Eletra'!$F:$F,,0,1)</f>
        <v>DELIVERED</v>
      </c>
      <c r="I157" s="4" t="str">
        <f>_xlfn.XLOOKUP($E157,'[1]Import Eletra'!$B:$B,'[1]Import Eletra'!$G:$G,,0,1)</f>
        <v>SEA</v>
      </c>
      <c r="J157" s="331"/>
      <c r="K157" s="308"/>
      <c r="L157" s="308"/>
      <c r="M157" s="331">
        <f>IF(_xlfn.XLOOKUP($E157,'[1]Import Eletra'!$B:$B,'[1]Import Eletra'!$J:$J,,0,1)=0,"",_xlfn.XLOOKUP($E157,'[1]Import Eletra'!$B:$B,'[1]Import Eletra'!$J:$J,,0,1))</f>
        <v>46019</v>
      </c>
      <c r="N157" s="334">
        <f>IF(_xlfn.XLOOKUP($E157,'[1]Import Eletra'!$B:$B,'[1]Import Eletra'!$L:$L,,0,1)=0,"",_xlfn.XLOOKUP($E157,'[1]Import Eletra'!$B:$B,'[1]Import Eletra'!$L:$L,,0,1))</f>
        <v>46084</v>
      </c>
      <c r="O157" s="336">
        <f>IF(_xlfn.XLOOKUP($E157,'[1]Import Eletra'!$B:$B,'[1]Import Eletra'!$AK:$AK,,0,1)=0,"",_xlfn.XLOOKUP($E157,'[1]Import Eletra'!$B:$B,'[1]Import Eletra'!$AK:$AK,,0,1))</f>
        <v>46036</v>
      </c>
      <c r="P157" s="331">
        <f>IF(_xlfn.XLOOKUP($E157,'[1]Import Eletra'!$B:$B,'[1]Import Eletra'!$AL:$AL,,0,1)=0,"",_xlfn.XLOOKUP($E157,'[1]Import Eletra'!$B:$B,'[1]Import Eletra'!$AL:$AL,,0,1))</f>
        <v>46052</v>
      </c>
      <c r="Q157" s="331">
        <f>IF(_xlfn.XLOOKUP($E157,'[1]Import Eletra'!$B:$B,'[1]Import Eletra'!$AM:$AM,,0,1)=0,"",_xlfn.XLOOKUP($E157,'[1]Import Eletra'!$B:$B,'[1]Import Eletra'!$AM:$AM,,0,1))</f>
        <v>46059</v>
      </c>
      <c r="R157" s="331">
        <f>IF(_xlfn.XLOOKUP($E157,'[1]Import Eletra'!$B:$B,'[1]Import Eletra'!$AN:$AN,,0,1)=0,"",_xlfn.XLOOKUP($E157,'[1]Import Eletra'!$B:$B,'[1]Import Eletra'!$AN:$AN,,0,1))</f>
        <v>46059</v>
      </c>
      <c r="S157" s="331">
        <f>IF(_xlfn.XLOOKUP($E157,'[1]Import Eletra'!$B:$B,'[1]Import Eletra'!$AO:$AO,,0,1)=0,"",_xlfn.XLOOKUP($E157,'[1]Import Eletra'!$B:$B,'[1]Import Eletra'!$AO:$AO,,0,1))</f>
        <v>46062</v>
      </c>
      <c r="T157" s="331">
        <f>IF(_xlfn.XLOOKUP($E157,'[1]Import Eletra'!$B:$B,'[1]Import Eletra'!$AP:$AP,,0,1)=0,"",_xlfn.XLOOKUP($E157,'[1]Import Eletra'!$B:$B,'[1]Import Eletra'!$AP:$AP,,0,1))</f>
        <v>46083</v>
      </c>
      <c r="U157" s="338">
        <f>IF(_xlfn.XLOOKUP($E157,'[1]Import Eletra'!$B:$B,'[1]Import Eletra'!$AQ:$AQ,,0,1)=0,"",_xlfn.XLOOKUP($E157,'[1]Import Eletra'!$B:$B,'[1]Import Eletra'!$AQ:$AQ,,0,1))</f>
        <v>46084</v>
      </c>
      <c r="V157" s="343">
        <f>IF(_xlfn.XLOOKUP($E157,'[1]Import Eletra'!$B:$B,'[1]Import Eletra'!$AQ:$AQ,,0,1)=0,"",_xlfn.XLOOKUP($E157,'[1]Import Eletra'!$B:$B,'[1]Import Eletra'!$AQ:$AQ,,0,1))</f>
        <v>46084</v>
      </c>
      <c r="W157" s="336">
        <f t="shared" si="435"/>
        <v>46094</v>
      </c>
      <c r="X157" s="345">
        <f>IF(_xlfn.XLOOKUP($E157,'[1]Import Eletra'!$B:$B,'[1]Import Eletra'!$AR:$AR,,0,1)=0,"",_xlfn.XLOOKUP($E157,'[1]Import Eletra'!$B:$B,'[1]Import Eletra'!$AR:$AR,,0,1))</f>
        <v>46086</v>
      </c>
      <c r="Y157" s="309">
        <f t="shared" si="355"/>
        <v>0</v>
      </c>
      <c r="Z157" s="309">
        <f t="shared" ca="1" si="436"/>
        <v>-8</v>
      </c>
      <c r="AA157" s="310" t="str">
        <f t="shared" ca="1" si="357"/>
        <v/>
      </c>
      <c r="AB157" s="350">
        <f t="shared" si="437"/>
        <v>46094</v>
      </c>
      <c r="AC157" s="345">
        <f>IF(_xlfn.XLOOKUP($E157,'[1]Import Eletra'!$B:$B,'[1]Import Eletra'!$AD:$AD,,0,1)=0,"",_xlfn.XLOOKUP($E157,'[1]Import Eletra'!$B:$B,'[1]Import Eletra'!$AD:$AD,,0,1))</f>
        <v>46087</v>
      </c>
      <c r="AD157" s="309">
        <f t="shared" si="359"/>
        <v>0</v>
      </c>
      <c r="AE157" s="309">
        <f t="shared" ca="1" si="438"/>
        <v>-7</v>
      </c>
      <c r="AF157" s="310">
        <f t="shared" ca="1" si="439"/>
        <v>-7</v>
      </c>
      <c r="AG157" s="356">
        <f t="shared" si="440"/>
        <v>46094</v>
      </c>
      <c r="AH157" s="345">
        <f>IF(_xlfn.XLOOKUP($E157,'[1]Import Eletra'!$B:$B,'[1]Import Eletra'!$AE:$AE,,0,1)=0,"",_xlfn.XLOOKUP($E157,'[1]Import Eletra'!$B:$B,'[1]Import Eletra'!$AE:$AE,,0,1))</f>
        <v>46087</v>
      </c>
      <c r="AI157" s="309">
        <f t="shared" si="363"/>
        <v>0</v>
      </c>
      <c r="AJ157" s="309">
        <f t="shared" ca="1" si="441"/>
        <v>-7</v>
      </c>
      <c r="AK157" s="310" t="str">
        <f t="shared" ca="1" si="365"/>
        <v/>
      </c>
      <c r="AL157" s="356">
        <f t="shared" si="442"/>
        <v>46094</v>
      </c>
      <c r="AM157" s="345">
        <f>IF(_xlfn.XLOOKUP($E157,'[1]Import Eletra'!$B:$B,'[1]Import Eletra'!$AT:$AT,,0,1)=0,"",_xlfn.XLOOKUP($E157,'[1]Import Eletra'!$B:$B,'[1]Import Eletra'!$AT:$AT,,0,1))</f>
        <v>46087</v>
      </c>
      <c r="AN157" s="309">
        <f t="shared" si="367"/>
        <v>0</v>
      </c>
      <c r="AO157" s="309">
        <f t="shared" ca="1" si="443"/>
        <v>-7</v>
      </c>
      <c r="AP157" s="310" t="str">
        <f t="shared" ca="1" si="369"/>
        <v/>
      </c>
      <c r="AQ157" s="359">
        <f t="shared" si="444"/>
        <v>46095</v>
      </c>
      <c r="AR157" s="345">
        <f>IF(_xlfn.XLOOKUP($E157,'[1]Import Eletra'!$B:$B,'[1]Import Eletra'!$AU:$AU,,0,1)=0,"",_xlfn.XLOOKUP($E157,'[1]Import Eletra'!$B:$B,'[1]Import Eletra'!$AU:$AU,,0,1))</f>
        <v>46087</v>
      </c>
      <c r="AS157" s="309">
        <f t="shared" si="371"/>
        <v>1</v>
      </c>
      <c r="AT157" s="309">
        <f t="shared" ca="1" si="445"/>
        <v>-8</v>
      </c>
      <c r="AU157" s="310" t="str">
        <f t="shared" ca="1" si="373"/>
        <v/>
      </c>
      <c r="AV157" s="356">
        <f t="shared" si="446"/>
        <v>46095</v>
      </c>
      <c r="AW157" s="345">
        <f>IF(_xlfn.XLOOKUP($E157,'[1]Import Eletra'!$B:$B,'[1]Import Eletra'!$AU:$AU,,0,1)=0,"",_xlfn.XLOOKUP($E157,'[1]Import Eletra'!$B:$B,'[1]Import Eletra'!$AU:$AU,,0,1))</f>
        <v>46087</v>
      </c>
      <c r="AX157" s="309">
        <f t="shared" si="375"/>
        <v>0</v>
      </c>
      <c r="AY157" s="309">
        <f t="shared" ca="1" si="447"/>
        <v>-8</v>
      </c>
      <c r="AZ157" s="310" t="str">
        <f t="shared" ca="1" si="377"/>
        <v/>
      </c>
      <c r="BA157" s="359">
        <f t="shared" si="448"/>
        <v>46095</v>
      </c>
      <c r="BB157" s="345" t="str">
        <f>IF(_xlfn.XLOOKUP($E157,'[1]Import Eletra'!$B:$B,'[1]Import Eletra'!$AW:$AW,,0,1)=0,"",_xlfn.XLOOKUP($E157,'[1]Import Eletra'!$B:$B,'[1]Import Eletra'!$AW:$AW,,0,1))</f>
        <v/>
      </c>
      <c r="BC157" s="309">
        <f t="shared" si="379"/>
        <v>0</v>
      </c>
      <c r="BD157" s="309">
        <f t="shared" ca="1" si="449"/>
        <v>116</v>
      </c>
      <c r="BE157" s="310">
        <f t="shared" ca="1" si="450"/>
        <v>116</v>
      </c>
      <c r="BF157" s="336">
        <f t="shared" si="451"/>
        <v>46095</v>
      </c>
      <c r="BG157" s="345" t="str">
        <f>IF(_xlfn.XLOOKUP($E157,'[1]Import Eletra'!$B:$B,'[1]Import Eletra'!$AX:$AX,,0,1)=0,"",_xlfn.XLOOKUP($E157,'[1]Import Eletra'!$B:$B,'[1]Import Eletra'!$AX:$AX,,0,1))</f>
        <v/>
      </c>
      <c r="BH157" s="309">
        <f t="shared" si="383"/>
        <v>0</v>
      </c>
      <c r="BI157" s="309">
        <f t="shared" ca="1" si="452"/>
        <v>116</v>
      </c>
      <c r="BJ157" s="310">
        <f t="shared" ca="1" si="385"/>
        <v>116</v>
      </c>
      <c r="BK157" s="363">
        <f t="shared" si="453"/>
        <v>46095</v>
      </c>
      <c r="BL157" s="345">
        <f>IF(_xlfn.XLOOKUP($E157,'[1]Import Eletra'!$B:$B,'[1]Import Eletra'!$AY:$AY,,0,1)=0,"",_xlfn.XLOOKUP($E157,'[1]Import Eletra'!$B:$B,'[1]Import Eletra'!$AY:$AY,,0,1))</f>
        <v>46087</v>
      </c>
      <c r="BM157" s="309">
        <f t="shared" si="387"/>
        <v>0</v>
      </c>
      <c r="BN157" s="309">
        <f t="shared" ca="1" si="454"/>
        <v>-8</v>
      </c>
      <c r="BO157" s="310">
        <f t="shared" ca="1" si="455"/>
        <v>-8</v>
      </c>
      <c r="BP157" s="336">
        <f t="shared" si="456"/>
        <v>46095</v>
      </c>
      <c r="BQ157" s="345">
        <f>IF(_xlfn.XLOOKUP($E157,'[1]Import Eletra'!$B:$B,'[1]Import Eletra'!$AZ:$AZ,,0,1)=0,"",_xlfn.XLOOKUP($E157,'[1]Import Eletra'!$B:$B,'[1]Import Eletra'!$AZ:$AZ,,0,1))</f>
        <v>46087</v>
      </c>
      <c r="BR157" s="309">
        <f t="shared" si="391"/>
        <v>0</v>
      </c>
      <c r="BS157" s="309">
        <f t="shared" ca="1" si="457"/>
        <v>-8</v>
      </c>
      <c r="BT157" s="310">
        <f t="shared" ca="1" si="458"/>
        <v>-8</v>
      </c>
      <c r="BU157" s="363">
        <f t="shared" si="459"/>
        <v>46097</v>
      </c>
      <c r="BV157" s="345">
        <f>IF(_xlfn.XLOOKUP($E157,'[1]Import Eletra'!$B:$B,'[1]Import Eletra'!$BA:$BA,,0,1)=0,"",_xlfn.XLOOKUP($E157,'[1]Import Eletra'!$B:$B,'[1]Import Eletra'!$BA:$BA,,0,1))</f>
        <v>46090</v>
      </c>
      <c r="BW157" s="309">
        <f t="shared" si="395"/>
        <v>2</v>
      </c>
      <c r="BX157" s="309">
        <f t="shared" ca="1" si="460"/>
        <v>-7</v>
      </c>
      <c r="BY157" s="310" t="str">
        <f t="shared" ca="1" si="397"/>
        <v/>
      </c>
      <c r="BZ157" s="336">
        <f t="shared" si="461"/>
        <v>46097</v>
      </c>
      <c r="CA157" s="345">
        <f>IF(_xlfn.XLOOKUP($E157,'[1]Import Eletra'!$B:$B,'[1]Import Eletra'!$BB:$BB,,0,1)=0,"",_xlfn.XLOOKUP($E157,'[1]Import Eletra'!$B:$B,'[1]Import Eletra'!$BB:$BB,,0,1))</f>
        <v>46091</v>
      </c>
      <c r="CB157" s="309">
        <f t="shared" si="399"/>
        <v>0</v>
      </c>
      <c r="CC157" s="309">
        <f t="shared" ca="1" si="462"/>
        <v>-6</v>
      </c>
      <c r="CD157" s="310">
        <f t="shared" ca="1" si="463"/>
        <v>-6</v>
      </c>
      <c r="CE157" s="363">
        <f t="shared" si="464"/>
        <v>46097</v>
      </c>
      <c r="CF157" s="345">
        <f>IF(_xlfn.XLOOKUP($E157,'[1]Import Eletra'!$B:$B,'[1]Import Eletra'!$BC:$BC,,0,1)=0,"",_xlfn.XLOOKUP($E157,'[1]Import Eletra'!$B:$B,'[1]Import Eletra'!$BC:$BC,,0,1))</f>
        <v>46091</v>
      </c>
      <c r="CG157" s="309">
        <f t="shared" si="403"/>
        <v>0</v>
      </c>
      <c r="CH157" s="309">
        <f t="shared" ca="1" si="465"/>
        <v>-6</v>
      </c>
      <c r="CI157" s="310">
        <f t="shared" ca="1" si="466"/>
        <v>-6</v>
      </c>
      <c r="CJ157" s="336">
        <f t="shared" si="467"/>
        <v>46097</v>
      </c>
      <c r="CK157" s="345">
        <f>IF(_xlfn.XLOOKUP($E157,'[1]Import Eletra'!$B:$B,'[1]Import Eletra'!$BD:$BD,,0,1)=0,"",_xlfn.XLOOKUP($E157,'[1]Import Eletra'!$B:$B,'[1]Import Eletra'!$BD:$BD,,0,1))</f>
        <v>46091</v>
      </c>
      <c r="CL157" s="309"/>
      <c r="CM157" s="309">
        <f t="shared" ca="1" si="468"/>
        <v>-6</v>
      </c>
      <c r="CN157" s="310">
        <f t="shared" ca="1" si="469"/>
        <v>-6</v>
      </c>
      <c r="CO157" s="363">
        <f t="shared" si="470"/>
        <v>46097</v>
      </c>
      <c r="CP157" s="345">
        <f>IF(_xlfn.XLOOKUP($E157,'[1]Import Eletra'!$B:$B,'[1]Import Eletra'!$BE:$BE,,0,1)=0,"",_xlfn.XLOOKUP($E157,'[1]Import Eletra'!$B:$B,'[1]Import Eletra'!$BE:$BE,,0,1))</f>
        <v>46091</v>
      </c>
      <c r="CQ157" s="309">
        <f t="shared" si="410"/>
        <v>0</v>
      </c>
      <c r="CR157" s="309">
        <f t="shared" ca="1" si="471"/>
        <v>-6</v>
      </c>
      <c r="CS157" s="310">
        <f t="shared" ca="1" si="472"/>
        <v>-6</v>
      </c>
      <c r="CT157" s="336">
        <f t="shared" si="473"/>
        <v>46097</v>
      </c>
      <c r="CU157" s="345">
        <f>IF(_xlfn.XLOOKUP($E157,'[1]Import Eletra'!$B:$B,'[1]Import Eletra'!$BF:$BF,,0,1)=0,"",_xlfn.XLOOKUP($E157,'[1]Import Eletra'!$B:$B,'[1]Import Eletra'!$BF:$BF,,0,1))</f>
        <v>46091</v>
      </c>
      <c r="CV157" s="309">
        <f t="shared" si="414"/>
        <v>0</v>
      </c>
      <c r="CW157" s="309">
        <f t="shared" ca="1" si="474"/>
        <v>-6</v>
      </c>
      <c r="CX157" s="310">
        <f t="shared" ca="1" si="475"/>
        <v>-6</v>
      </c>
      <c r="CY157" s="85">
        <f t="shared" si="476"/>
        <v>46097</v>
      </c>
      <c r="CZ157" s="271">
        <f>IF(_xlfn.XLOOKUP($E157,'[1]Import Eletra'!$B:$B,'[1]Import Eletra'!$BF:$BF,,0,1)=0,"",_xlfn.XLOOKUP($E157,'[1]Import Eletra'!$B:$B,'[1]Import Eletra'!$BF:$BF,,0,1))</f>
        <v>46091</v>
      </c>
      <c r="DA157" s="311">
        <f t="shared" si="418"/>
        <v>0</v>
      </c>
      <c r="DB157" s="309">
        <f t="shared" ca="1" si="477"/>
        <v>-6</v>
      </c>
      <c r="DC157" s="310">
        <f t="shared" ca="1" si="478"/>
        <v>-6</v>
      </c>
      <c r="DD157" s="85">
        <f t="shared" si="479"/>
        <v>46099</v>
      </c>
      <c r="DE157" s="271">
        <f>IF(_xlfn.XLOOKUP($E157,'[1]Import Eletra'!$B:$B,'[1]Import Eletra'!$BG:$BG,,0,1)=0,"",_xlfn.XLOOKUP($E157,'[1]Import Eletra'!$B:$B,'[1]Import Eletra'!$BG:$BG,0,1))</f>
        <v>46092</v>
      </c>
      <c r="DF157" s="309">
        <f t="shared" si="422"/>
        <v>2</v>
      </c>
      <c r="DG157" s="309">
        <f t="shared" ca="1" si="480"/>
        <v>-7</v>
      </c>
      <c r="DH157" s="310">
        <f t="shared" ca="1" si="481"/>
        <v>-9</v>
      </c>
      <c r="DI157" s="85">
        <f t="shared" si="482"/>
        <v>46100</v>
      </c>
      <c r="DJ157" s="271">
        <f>IF(_xlfn.XLOOKUP($E157,'[1]Import Eletra'!$B:$B,'[1]Import Eletra'!$BH:$BH,,0,1)=0,"",_xlfn.XLOOKUP($E157,'[1]Import Eletra'!$B:$B,'[1]Import Eletra'!$BH:$BH,0,1))</f>
        <v>46093</v>
      </c>
      <c r="DK157" s="309">
        <f t="shared" si="426"/>
        <v>1</v>
      </c>
      <c r="DL157" s="309">
        <f t="shared" ca="1" si="483"/>
        <v>-7</v>
      </c>
      <c r="DM157" s="310">
        <f t="shared" ca="1" si="484"/>
        <v>-8</v>
      </c>
      <c r="DN157" s="312"/>
      <c r="DO157" s="313">
        <f t="shared" si="485"/>
        <v>46101</v>
      </c>
      <c r="DP157" s="59">
        <f>IF(_xlfn.XLOOKUP($E157,'[1]Import Eletra'!$B:$B,'[1]Import Eletra'!$O:$O,,0,1)=0,"",_xlfn.XLOOKUP($E157,'[1]Import Eletra'!$B:$B,'[1]Import Eletra'!$O:$O,0,1))</f>
        <v>46093</v>
      </c>
      <c r="DQ157" s="309">
        <f t="shared" si="430"/>
        <v>1</v>
      </c>
      <c r="DR157" s="309">
        <f t="shared" ca="1" si="486"/>
        <v>-8</v>
      </c>
      <c r="DS157" s="310">
        <f t="shared" ca="1" si="487"/>
        <v>-9</v>
      </c>
      <c r="DT157" s="314">
        <v>17</v>
      </c>
      <c r="DU157" s="140">
        <f t="shared" ca="1" si="488"/>
        <v>9</v>
      </c>
      <c r="DV157" s="184">
        <f t="shared" ca="1" si="489"/>
        <v>-8</v>
      </c>
      <c r="DX157" s="316"/>
      <c r="DY157" s="108" t="str">
        <f>IF(_xlfn.XLOOKUP($E157,'[1]Import Eletra'!$B:$B,'[1]Import Eletra'!$DW:$DW,,0,1)=0,"",_xlfn.XLOOKUP($E157,'[1]Import Eletra'!$B:$B,'[1]Import Eletra'!$DW:$DW,0,1))</f>
        <v/>
      </c>
      <c r="EB157" s="317"/>
      <c r="ED157" s="406" t="str">
        <f>IF(_xlfn.XLOOKUP($E157,'[1]Import Eletra'!$B:$B,'[1]Import Eletra'!$BQ:$BQ,,0,1)=0,"",_xlfn.XLOOKUP($E157,'[1]Import Eletra'!$B:$B,'[1]Import Eletra'!$BQ:$BQ,0,1))</f>
        <v/>
      </c>
      <c r="EE157" s="407" t="str">
        <f>IF(_xlfn.XLOOKUP($E157,'[1]Import Eletra'!$B:$B,'[1]Import Eletra'!$BR:$BR,,0,1)=0,"",_xlfn.XLOOKUP($E157,'[1]Import Eletra'!$B:$B,'[1]Import Eletra'!$BR:$BR,0,1))</f>
        <v/>
      </c>
      <c r="EF157" s="406" t="str">
        <f>IF(_xlfn.XLOOKUP($E157,'[1]Import Eletra'!$B:$B,'[1]Import Eletra'!$BS:$BS,,0,1)=0,"",_xlfn.XLOOKUP($E157,'[1]Import Eletra'!$B:$B,'[1]Import Eletra'!$BS:$BS,0,1))</f>
        <v/>
      </c>
      <c r="EG157" s="407" t="str">
        <f>IF(_xlfn.XLOOKUP($E157,'[1]Import Eletra'!$B:$B,'[1]Import Eletra'!$BT:$BT,,0,1)=0,"",_xlfn.XLOOKUP($E157,'[1]Import Eletra'!$B:$B,'[1]Import Eletra'!$BT:$BT,0,1))</f>
        <v/>
      </c>
      <c r="EH157" s="406" t="str">
        <f>IF(_xlfn.XLOOKUP($E157,'[1]Import Eletra'!$B:$B,'[1]Import Eletra'!$BU:$BU,,0,1)=0,"",_xlfn.XLOOKUP($E157,'[1]Import Eletra'!$B:$B,'[1]Import Eletra'!$BU:$BU,0,1))</f>
        <v/>
      </c>
      <c r="EI157" s="407" t="str">
        <f>IF(_xlfn.XLOOKUP($E157,'[1]Import Eletra'!$B:$B,'[1]Import Eletra'!$BV:$BV,,0,1)=0,"",_xlfn.XLOOKUP($E157,'[1]Import Eletra'!$B:$B,'[1]Import Eletra'!$BV:$BV,0,1))</f>
        <v/>
      </c>
      <c r="EJ157" s="407">
        <f>IF(_xlfn.XLOOKUP($E157,'[1]Import Eletra'!$B:$B,'[1]Import Eletra'!$CI:$CI,,0,1)=0,"",_xlfn.XLOOKUP($E157,'[1]Import Eletra'!$B:$B,'[1]Import Eletra'!$CI:$CI,0,1))</f>
        <v>46102</v>
      </c>
      <c r="EK157" s="407" t="str">
        <f>IF(_xlfn.XLOOKUP($E157,'[1]Import Eletra'!$B:$B,'[1]Import Eletra'!$CD:$CD,,0,1)=0,"",_xlfn.XLOOKUP($E157,'[1]Import Eletra'!$B:$B,'[1]Import Eletra'!$CD:$CD,0,1))</f>
        <v/>
      </c>
      <c r="EL157" s="407" t="str">
        <f>IF(_xlfn.XLOOKUP($E157,'[1]Import Eletra'!$B:$B,'[1]Import Eletra'!$CE:$CE,,0,1)=0,"",_xlfn.XLOOKUP($E157,'[1]Import Eletra'!$B:$B,'[1]Import Eletra'!$CE:$CE,0,1))</f>
        <v>NÃO</v>
      </c>
      <c r="EM157" s="408" t="str">
        <f>IF(_xlfn.XLOOKUP($E157,'[1]Import Eletra'!$B:$B,'[1]Import Eletra'!$E:$E,,0,1)=0,"",_xlfn.XLOOKUP($E157,'[1]Import Eletra'!$B:$B,'[1]Import Eletra'!$E:$E,0,1))</f>
        <v>LEISIANE</v>
      </c>
      <c r="EN157" s="408" t="str">
        <f>IF(_xlfn.XLOOKUP($E157,'[1]Import Eletra'!$B:$B,'[1]Import Eletra'!$E:$E,,0,1)=0,"",_xlfn.XLOOKUP($E157,'[1]Import Eletra'!$B:$B,'[1]Import Eletra'!$E:$E,0,1))</f>
        <v>LEISIANE</v>
      </c>
      <c r="EO157" s="408" t="str">
        <f>IF(_xlfn.XLOOKUP($E157,'[1]Import Eletra'!$B:$B,'[1]Import Eletra'!$E:$E,,0,1)=0,"",_xlfn.XLOOKUP($E157,'[1]Import Eletra'!$B:$B,'[1]Import Eletra'!$E:$E,0,1))</f>
        <v>LEISIANE</v>
      </c>
      <c r="EP157" s="408" t="str">
        <f>IF(_xlfn.XLOOKUP($E157,'[1]Import Eletra'!$B:$B,'[1]Import Eletra'!$E:$E,,0,1)=0,"",_xlfn.XLOOKUP($E157,'[1]Import Eletra'!$B:$B,'[1]Import Eletra'!$E:$E,0,1))</f>
        <v>LEISIANE</v>
      </c>
    </row>
    <row r="158" spans="1:146" s="315" customFormat="1" ht="30" hidden="1" customHeight="1" outlineLevel="1">
      <c r="A158" s="305"/>
      <c r="B158" s="306"/>
      <c r="C158" s="306"/>
      <c r="D158" s="306"/>
      <c r="E158" s="367" t="s">
        <v>454</v>
      </c>
      <c r="F158" s="307">
        <f>IF(_xlfn.XLOOKUP($E158,'[1]Import Eletra'!$B:$B,'[1]Import Eletra'!$U:$U,,0,1)=0,"",_xlfn.XLOOKUP($E158,'[1]Import Eletra'!$B:$B,'[1]Import Eletra'!$U:$U,,0,1))</f>
        <v>3</v>
      </c>
      <c r="G158" s="320" t="s">
        <v>244</v>
      </c>
      <c r="H158" s="59" t="str">
        <f>_xlfn.XLOOKUP($E158,'[1]Import Eletra'!$B:$B,'[1]Import Eletra'!$F:$F,,0,1)</f>
        <v>DELIVERED</v>
      </c>
      <c r="I158" s="4" t="str">
        <f>_xlfn.XLOOKUP($E158,'[1]Import Eletra'!$B:$B,'[1]Import Eletra'!$G:$G,,0,1)</f>
        <v>SEA</v>
      </c>
      <c r="J158" s="331"/>
      <c r="K158" s="308"/>
      <c r="L158" s="308"/>
      <c r="M158" s="331">
        <f>IF(_xlfn.XLOOKUP($E158,'[1]Import Eletra'!$B:$B,'[1]Import Eletra'!$J:$J,,0,1)=0,"",_xlfn.XLOOKUP($E158,'[1]Import Eletra'!$B:$B,'[1]Import Eletra'!$J:$J,,0,1))</f>
        <v>46016</v>
      </c>
      <c r="N158" s="334">
        <f>IF(_xlfn.XLOOKUP($E158,'[1]Import Eletra'!$B:$B,'[1]Import Eletra'!$L:$L,,0,1)=0,"",_xlfn.XLOOKUP($E158,'[1]Import Eletra'!$B:$B,'[1]Import Eletra'!$L:$L,,0,1))</f>
        <v>46084</v>
      </c>
      <c r="O158" s="336">
        <f>IF(_xlfn.XLOOKUP($E158,'[1]Import Eletra'!$B:$B,'[1]Import Eletra'!$AK:$AK,,0,1)=0,"",_xlfn.XLOOKUP($E158,'[1]Import Eletra'!$B:$B,'[1]Import Eletra'!$AK:$AK,,0,1))</f>
        <v>46056</v>
      </c>
      <c r="P158" s="331">
        <f>IF(_xlfn.XLOOKUP($E158,'[1]Import Eletra'!$B:$B,'[1]Import Eletra'!$AL:$AL,,0,1)=0,"",_xlfn.XLOOKUP($E158,'[1]Import Eletra'!$B:$B,'[1]Import Eletra'!$AL:$AL,,0,1))</f>
        <v>46058</v>
      </c>
      <c r="Q158" s="331">
        <f>IF(_xlfn.XLOOKUP($E158,'[1]Import Eletra'!$B:$B,'[1]Import Eletra'!$AM:$AM,,0,1)=0,"",_xlfn.XLOOKUP($E158,'[1]Import Eletra'!$B:$B,'[1]Import Eletra'!$AM:$AM,,0,1))</f>
        <v>46066</v>
      </c>
      <c r="R158" s="331">
        <f>IF(_xlfn.XLOOKUP($E158,'[1]Import Eletra'!$B:$B,'[1]Import Eletra'!$AN:$AN,,0,1)=0,"",_xlfn.XLOOKUP($E158,'[1]Import Eletra'!$B:$B,'[1]Import Eletra'!$AN:$AN,,0,1))</f>
        <v>46066</v>
      </c>
      <c r="S158" s="331">
        <f>IF(_xlfn.XLOOKUP($E158,'[1]Import Eletra'!$B:$B,'[1]Import Eletra'!$AO:$AO,,0,1)=0,"",_xlfn.XLOOKUP($E158,'[1]Import Eletra'!$B:$B,'[1]Import Eletra'!$AO:$AO,,0,1))</f>
        <v>46072</v>
      </c>
      <c r="T158" s="331">
        <f>IF(_xlfn.XLOOKUP($E158,'[1]Import Eletra'!$B:$B,'[1]Import Eletra'!$AP:$AP,,0,1)=0,"",_xlfn.XLOOKUP($E158,'[1]Import Eletra'!$B:$B,'[1]Import Eletra'!$AP:$AP,,0,1))</f>
        <v>46072</v>
      </c>
      <c r="U158" s="338">
        <f>IF(_xlfn.XLOOKUP($E158,'[1]Import Eletra'!$B:$B,'[1]Import Eletra'!$AQ:$AQ,,0,1)=0,"",_xlfn.XLOOKUP($E158,'[1]Import Eletra'!$B:$B,'[1]Import Eletra'!$AQ:$AQ,,0,1))</f>
        <v>46080</v>
      </c>
      <c r="V158" s="343">
        <f>IF(_xlfn.XLOOKUP($E158,'[1]Import Eletra'!$B:$B,'[1]Import Eletra'!$AQ:$AQ,,0,1)=0,"",_xlfn.XLOOKUP($E158,'[1]Import Eletra'!$B:$B,'[1]Import Eletra'!$AQ:$AQ,,0,1))</f>
        <v>46080</v>
      </c>
      <c r="W158" s="336">
        <f t="shared" ref="W158:W167" si="490">AB158-$AB$4</f>
        <v>46090</v>
      </c>
      <c r="X158" s="345">
        <f>IF(_xlfn.XLOOKUP($E158,'[1]Import Eletra'!$B:$B,'[1]Import Eletra'!$AR:$AR,,0,1)=0,"",_xlfn.XLOOKUP($E158,'[1]Import Eletra'!$B:$B,'[1]Import Eletra'!$AR:$AR,,0,1))</f>
        <v>46086</v>
      </c>
      <c r="Y158" s="309">
        <f t="shared" si="355"/>
        <v>0</v>
      </c>
      <c r="Z158" s="309">
        <f t="shared" ref="Z158:Z167" ca="1" si="491">IF(X158="",TODAY()-W158,X158-W158)</f>
        <v>-4</v>
      </c>
      <c r="AA158" s="310" t="str">
        <f t="shared" ca="1" si="357"/>
        <v/>
      </c>
      <c r="AB158" s="350">
        <f t="shared" ref="AB158:AB167" si="492">AG158-$AB$4</f>
        <v>46090</v>
      </c>
      <c r="AC158" s="345">
        <f>IF(_xlfn.XLOOKUP($E158,'[1]Import Eletra'!$B:$B,'[1]Import Eletra'!$AD:$AD,,0,1)=0,"",_xlfn.XLOOKUP($E158,'[1]Import Eletra'!$B:$B,'[1]Import Eletra'!$AD:$AD,,0,1))</f>
        <v>46086</v>
      </c>
      <c r="AD158" s="309">
        <f t="shared" si="359"/>
        <v>0</v>
      </c>
      <c r="AE158" s="309">
        <f t="shared" ref="AE158:AE167" ca="1" si="493">IF(AC158="",TODAY()-AB158,AC158-AB158)</f>
        <v>-4</v>
      </c>
      <c r="AF158" s="310">
        <f t="shared" ref="AF158:AF167" ca="1" si="494">AE158-AD158</f>
        <v>-4</v>
      </c>
      <c r="AG158" s="356">
        <f t="shared" ref="AG158:AG167" si="495">AL158-$AL$4</f>
        <v>46090</v>
      </c>
      <c r="AH158" s="345">
        <f>IF(_xlfn.XLOOKUP($E158,'[1]Import Eletra'!$B:$B,'[1]Import Eletra'!$AE:$AE,,0,1)=0,"",_xlfn.XLOOKUP($E158,'[1]Import Eletra'!$B:$B,'[1]Import Eletra'!$AE:$AE,,0,1))</f>
        <v>46087</v>
      </c>
      <c r="AI158" s="309">
        <f t="shared" si="363"/>
        <v>0</v>
      </c>
      <c r="AJ158" s="309">
        <f t="shared" ref="AJ158:AJ167" ca="1" si="496">IF(AH158="",TODAY()-AG158,AH158-AG158)</f>
        <v>-3</v>
      </c>
      <c r="AK158" s="310" t="str">
        <f t="shared" ca="1" si="365"/>
        <v/>
      </c>
      <c r="AL158" s="356">
        <f t="shared" ref="AL158:AL167" si="497">AQ158-$AQ$4</f>
        <v>46090</v>
      </c>
      <c r="AM158" s="345">
        <f>IF(_xlfn.XLOOKUP($E158,'[1]Import Eletra'!$B:$B,'[1]Import Eletra'!$AT:$AT,,0,1)=0,"",_xlfn.XLOOKUP($E158,'[1]Import Eletra'!$B:$B,'[1]Import Eletra'!$AT:$AT,,0,1))</f>
        <v>46086</v>
      </c>
      <c r="AN158" s="309">
        <f t="shared" si="367"/>
        <v>0</v>
      </c>
      <c r="AO158" s="309">
        <f t="shared" ref="AO158:AO167" ca="1" si="498">IF(AM158="",TODAY()-AL158,AM158-AL158)</f>
        <v>-4</v>
      </c>
      <c r="AP158" s="310" t="str">
        <f t="shared" ca="1" si="369"/>
        <v/>
      </c>
      <c r="AQ158" s="359">
        <f t="shared" ref="AQ158:AQ167" si="499">AV158-$AV$4</f>
        <v>46091</v>
      </c>
      <c r="AR158" s="345">
        <f>IF(_xlfn.XLOOKUP($E158,'[1]Import Eletra'!$B:$B,'[1]Import Eletra'!$AU:$AU,,0,1)=0,"",_xlfn.XLOOKUP($E158,'[1]Import Eletra'!$B:$B,'[1]Import Eletra'!$AU:$AU,,0,1))</f>
        <v>46087</v>
      </c>
      <c r="AS158" s="309">
        <f t="shared" si="371"/>
        <v>1</v>
      </c>
      <c r="AT158" s="309">
        <f t="shared" ref="AT158:AT167" ca="1" si="500">IF(AR158="",TODAY()-AQ158,AR158-AQ158)</f>
        <v>-4</v>
      </c>
      <c r="AU158" s="310" t="str">
        <f t="shared" ca="1" si="373"/>
        <v/>
      </c>
      <c r="AV158" s="356">
        <f t="shared" ref="AV158:AV167" si="501">BA158-$BA$4</f>
        <v>46091</v>
      </c>
      <c r="AW158" s="345">
        <f>IF(_xlfn.XLOOKUP($E158,'[1]Import Eletra'!$B:$B,'[1]Import Eletra'!$AU:$AU,,0,1)=0,"",_xlfn.XLOOKUP($E158,'[1]Import Eletra'!$B:$B,'[1]Import Eletra'!$AU:$AU,,0,1))</f>
        <v>46087</v>
      </c>
      <c r="AX158" s="309">
        <f t="shared" si="375"/>
        <v>0</v>
      </c>
      <c r="AY158" s="309">
        <f t="shared" ref="AY158:AY167" ca="1" si="502">IF(AW158="",TODAY()-AV158,AW158-AV158)</f>
        <v>-4</v>
      </c>
      <c r="AZ158" s="310" t="str">
        <f t="shared" ca="1" si="377"/>
        <v/>
      </c>
      <c r="BA158" s="359">
        <f t="shared" ref="BA158:BA167" si="503">BF158-$BF$4</f>
        <v>46091</v>
      </c>
      <c r="BB158" s="345" t="str">
        <f>IF(_xlfn.XLOOKUP($E158,'[1]Import Eletra'!$B:$B,'[1]Import Eletra'!$AW:$AW,,0,1)=0,"",_xlfn.XLOOKUP($E158,'[1]Import Eletra'!$B:$B,'[1]Import Eletra'!$AW:$AW,,0,1))</f>
        <v/>
      </c>
      <c r="BC158" s="309">
        <f t="shared" si="379"/>
        <v>0</v>
      </c>
      <c r="BD158" s="309">
        <f t="shared" ref="BD158:BD167" ca="1" si="504">IF(BB158="",TODAY()-BA158,BB158-BA158)</f>
        <v>120</v>
      </c>
      <c r="BE158" s="310">
        <f t="shared" ref="BE158:BE167" ca="1" si="505">BD158-BC158</f>
        <v>120</v>
      </c>
      <c r="BF158" s="336">
        <f t="shared" ref="BF158:BF167" si="506">BK158-$BK$4</f>
        <v>46091</v>
      </c>
      <c r="BG158" s="345" t="str">
        <f>IF(_xlfn.XLOOKUP($E158,'[1]Import Eletra'!$B:$B,'[1]Import Eletra'!$AX:$AX,,0,1)=0,"",_xlfn.XLOOKUP($E158,'[1]Import Eletra'!$B:$B,'[1]Import Eletra'!$AX:$AX,,0,1))</f>
        <v/>
      </c>
      <c r="BH158" s="309">
        <f t="shared" si="383"/>
        <v>0</v>
      </c>
      <c r="BI158" s="309">
        <f t="shared" ref="BI158:BI167" ca="1" si="507">IF(BG158="",TODAY()-BF158,BG158-BF158)</f>
        <v>120</v>
      </c>
      <c r="BJ158" s="310">
        <f t="shared" ca="1" si="385"/>
        <v>120</v>
      </c>
      <c r="BK158" s="363">
        <f t="shared" ref="BK158:BK167" si="508">BP158-$BP$4</f>
        <v>46091</v>
      </c>
      <c r="BL158" s="345">
        <f>IF(_xlfn.XLOOKUP($E158,'[1]Import Eletra'!$B:$B,'[1]Import Eletra'!$AY:$AY,,0,1)=0,"",_xlfn.XLOOKUP($E158,'[1]Import Eletra'!$B:$B,'[1]Import Eletra'!$AY:$AY,,0,1))</f>
        <v>46086</v>
      </c>
      <c r="BM158" s="309">
        <f t="shared" si="387"/>
        <v>0</v>
      </c>
      <c r="BN158" s="309">
        <f t="shared" ref="BN158:BN167" ca="1" si="509">IF(BL158="",TODAY()-BK158,BL158-BK158)</f>
        <v>-5</v>
      </c>
      <c r="BO158" s="310">
        <f t="shared" ref="BO158:BO167" ca="1" si="510">BN158-BM158</f>
        <v>-5</v>
      </c>
      <c r="BP158" s="336">
        <f t="shared" ref="BP158:BP167" si="511">BU158-$BU$4</f>
        <v>46091</v>
      </c>
      <c r="BQ158" s="345">
        <f>IF(_xlfn.XLOOKUP($E158,'[1]Import Eletra'!$B:$B,'[1]Import Eletra'!$AZ:$AZ,,0,1)=0,"",_xlfn.XLOOKUP($E158,'[1]Import Eletra'!$B:$B,'[1]Import Eletra'!$AZ:$AZ,,0,1))</f>
        <v>46090</v>
      </c>
      <c r="BR158" s="309">
        <f t="shared" si="391"/>
        <v>0</v>
      </c>
      <c r="BS158" s="309">
        <f t="shared" ref="BS158:BS167" ca="1" si="512">IF(BQ158="",TODAY()-BP158,BQ158-BP158)</f>
        <v>-1</v>
      </c>
      <c r="BT158" s="310">
        <f t="shared" ref="BT158:BT167" ca="1" si="513">BS158-BR158</f>
        <v>-1</v>
      </c>
      <c r="BU158" s="363">
        <f t="shared" ref="BU158:BU167" si="514">BZ158-$BZ$4</f>
        <v>46093</v>
      </c>
      <c r="BV158" s="345">
        <f>IF(_xlfn.XLOOKUP($E158,'[1]Import Eletra'!$B:$B,'[1]Import Eletra'!$BA:$BA,,0,1)=0,"",_xlfn.XLOOKUP($E158,'[1]Import Eletra'!$B:$B,'[1]Import Eletra'!$BA:$BA,,0,1))</f>
        <v>46094</v>
      </c>
      <c r="BW158" s="309">
        <f t="shared" si="395"/>
        <v>2</v>
      </c>
      <c r="BX158" s="309">
        <f t="shared" ref="BX158:BX167" ca="1" si="515">IF(BV158="",TODAY()-BU158,BV158-BU158)</f>
        <v>1</v>
      </c>
      <c r="BY158" s="310">
        <f t="shared" ca="1" si="397"/>
        <v>-1</v>
      </c>
      <c r="BZ158" s="336">
        <f t="shared" ref="BZ158:BZ167" si="516">CE158-$CE$4</f>
        <v>46093</v>
      </c>
      <c r="CA158" s="345">
        <f>IF(_xlfn.XLOOKUP($E158,'[1]Import Eletra'!$B:$B,'[1]Import Eletra'!$BB:$BB,,0,1)=0,"",_xlfn.XLOOKUP($E158,'[1]Import Eletra'!$B:$B,'[1]Import Eletra'!$BB:$BB,,0,1))</f>
        <v>46094</v>
      </c>
      <c r="CB158" s="309">
        <f t="shared" si="399"/>
        <v>0</v>
      </c>
      <c r="CC158" s="309">
        <f t="shared" ref="CC158:CC167" ca="1" si="517">IF(CA158="",TODAY()-BZ158,CA158-BZ158)</f>
        <v>1</v>
      </c>
      <c r="CD158" s="310">
        <f t="shared" ref="CD158:CD167" ca="1" si="518">CC158-CB158</f>
        <v>1</v>
      </c>
      <c r="CE158" s="363">
        <f t="shared" ref="CE158:CE167" si="519">CJ158-$CJ$4</f>
        <v>46093</v>
      </c>
      <c r="CF158" s="345">
        <f>IF(_xlfn.XLOOKUP($E158,'[1]Import Eletra'!$B:$B,'[1]Import Eletra'!$BC:$BC,,0,1)=0,"",_xlfn.XLOOKUP($E158,'[1]Import Eletra'!$B:$B,'[1]Import Eletra'!$BC:$BC,,0,1))</f>
        <v>46097</v>
      </c>
      <c r="CG158" s="309">
        <f t="shared" si="403"/>
        <v>0</v>
      </c>
      <c r="CH158" s="309">
        <f t="shared" ref="CH158:CH167" ca="1" si="520">IF(CF158="",TODAY()-CE158,CF158-CE158)</f>
        <v>4</v>
      </c>
      <c r="CI158" s="310">
        <f t="shared" ref="CI158:CI167" ca="1" si="521">CH158-CG158</f>
        <v>4</v>
      </c>
      <c r="CJ158" s="336">
        <f t="shared" ref="CJ158:CJ167" si="522">CO158-$CO$4</f>
        <v>46093</v>
      </c>
      <c r="CK158" s="345">
        <f>IF(_xlfn.XLOOKUP($E158,'[1]Import Eletra'!$B:$B,'[1]Import Eletra'!$BD:$BD,,0,1)=0,"",_xlfn.XLOOKUP($E158,'[1]Import Eletra'!$B:$B,'[1]Import Eletra'!$BD:$BD,,0,1))</f>
        <v>46094</v>
      </c>
      <c r="CL158" s="309"/>
      <c r="CM158" s="309">
        <f t="shared" ref="CM158:CM167" ca="1" si="523">IF(CK158="",TODAY()-CJ158,CK158-CJ158)</f>
        <v>1</v>
      </c>
      <c r="CN158" s="310">
        <f t="shared" ref="CN158:CN167" ca="1" si="524">CM158-CL158</f>
        <v>1</v>
      </c>
      <c r="CO158" s="363">
        <f t="shared" ref="CO158:CO167" si="525">CT158-$CT$4</f>
        <v>46093</v>
      </c>
      <c r="CP158" s="345">
        <f>IF(_xlfn.XLOOKUP($E158,'[1]Import Eletra'!$B:$B,'[1]Import Eletra'!$BE:$BE,,0,1)=0,"",_xlfn.XLOOKUP($E158,'[1]Import Eletra'!$B:$B,'[1]Import Eletra'!$BE:$BE,,0,1))</f>
        <v>46097</v>
      </c>
      <c r="CQ158" s="309">
        <f t="shared" si="410"/>
        <v>0</v>
      </c>
      <c r="CR158" s="309">
        <f t="shared" ref="CR158:CR167" ca="1" si="526">IF(CP158="",TODAY()-CO158,CP158-CO158)</f>
        <v>4</v>
      </c>
      <c r="CS158" s="310">
        <f t="shared" ref="CS158:CS167" ca="1" si="527">CR158-CQ158</f>
        <v>4</v>
      </c>
      <c r="CT158" s="336">
        <f t="shared" ref="CT158:CT167" si="528">CY158-$CY$4</f>
        <v>46093</v>
      </c>
      <c r="CU158" s="345">
        <f>IF(_xlfn.XLOOKUP($E158,'[1]Import Eletra'!$B:$B,'[1]Import Eletra'!$BF:$BF,,0,1)=0,"",_xlfn.XLOOKUP($E158,'[1]Import Eletra'!$B:$B,'[1]Import Eletra'!$BF:$BF,,0,1))</f>
        <v>46097</v>
      </c>
      <c r="CV158" s="309">
        <f t="shared" si="414"/>
        <v>0</v>
      </c>
      <c r="CW158" s="309">
        <f t="shared" ref="CW158:CW167" ca="1" si="529">IF(CU158="",TODAY()-CT158,CU158-CT158)</f>
        <v>4</v>
      </c>
      <c r="CX158" s="310">
        <f t="shared" ref="CX158:CX167" ca="1" si="530">CW158-CV158</f>
        <v>4</v>
      </c>
      <c r="CY158" s="85">
        <f t="shared" ref="CY158:CY167" si="531">DD158-$DD$4</f>
        <v>46093</v>
      </c>
      <c r="CZ158" s="271">
        <f>IF(_xlfn.XLOOKUP($E158,'[1]Import Eletra'!$B:$B,'[1]Import Eletra'!$BF:$BF,,0,1)=0,"",_xlfn.XLOOKUP($E158,'[1]Import Eletra'!$B:$B,'[1]Import Eletra'!$BF:$BF,,0,1))</f>
        <v>46097</v>
      </c>
      <c r="DA158" s="311">
        <f t="shared" si="418"/>
        <v>0</v>
      </c>
      <c r="DB158" s="309">
        <f t="shared" ref="DB158:DB167" ca="1" si="532">IF(CZ158="",TODAY()-CY158,CZ158-CY158)</f>
        <v>4</v>
      </c>
      <c r="DC158" s="310">
        <f t="shared" ref="DC158:DC167" ca="1" si="533">DB158-DA158</f>
        <v>4</v>
      </c>
      <c r="DD158" s="85">
        <f t="shared" ref="DD158:DD167" si="534">DI158-$DI$4</f>
        <v>46095</v>
      </c>
      <c r="DE158" s="271">
        <f>IF(_xlfn.XLOOKUP($E158,'[1]Import Eletra'!$B:$B,'[1]Import Eletra'!$BG:$BG,,0,1)=0,"",_xlfn.XLOOKUP($E158,'[1]Import Eletra'!$B:$B,'[1]Import Eletra'!$BG:$BG,0,1))</f>
        <v>46101</v>
      </c>
      <c r="DF158" s="309">
        <f t="shared" si="422"/>
        <v>2</v>
      </c>
      <c r="DG158" s="309">
        <f t="shared" ref="DG158:DG167" ca="1" si="535">IF(DE158="",TODAY()-DD158,DE158-DD158)</f>
        <v>6</v>
      </c>
      <c r="DH158" s="310">
        <f t="shared" ref="DH158:DH167" ca="1" si="536">DG158-DF158</f>
        <v>4</v>
      </c>
      <c r="DI158" s="85">
        <f t="shared" ref="DI158:DI167" si="537">DO158-$DN$4</f>
        <v>46096</v>
      </c>
      <c r="DJ158" s="271">
        <f>IF(_xlfn.XLOOKUP($E158,'[1]Import Eletra'!$B:$B,'[1]Import Eletra'!$BH:$BH,,0,1)=0,"",_xlfn.XLOOKUP($E158,'[1]Import Eletra'!$B:$B,'[1]Import Eletra'!$BH:$BH,0,1))</f>
        <v>46105</v>
      </c>
      <c r="DK158" s="309">
        <f t="shared" si="426"/>
        <v>1</v>
      </c>
      <c r="DL158" s="309">
        <f t="shared" ref="DL158:DL167" ca="1" si="538">IF(DJ158="",TODAY()-DI158,DJ158-DI158)</f>
        <v>9</v>
      </c>
      <c r="DM158" s="310">
        <f t="shared" ref="DM158:DM167" ca="1" si="539">DL158-DK158</f>
        <v>8</v>
      </c>
      <c r="DN158" s="312"/>
      <c r="DO158" s="313">
        <f t="shared" ref="DO158:DO167" si="540">IF(V158="",N158+DT158,V158+DT158)</f>
        <v>46097</v>
      </c>
      <c r="DP158" s="59">
        <f>IF(_xlfn.XLOOKUP($E158,'[1]Import Eletra'!$B:$B,'[1]Import Eletra'!$O:$O,,0,1)=0,"",_xlfn.XLOOKUP($E158,'[1]Import Eletra'!$B:$B,'[1]Import Eletra'!$O:$O,0,1))</f>
        <v>46105</v>
      </c>
      <c r="DQ158" s="309">
        <f t="shared" si="430"/>
        <v>1</v>
      </c>
      <c r="DR158" s="309">
        <f t="shared" ref="DR158:DR167" ca="1" si="541">IF(DP158="",TODAY()-DO158,DP158-DO158)</f>
        <v>8</v>
      </c>
      <c r="DS158" s="310">
        <f t="shared" ref="DS158:DS167" ca="1" si="542">DR158-DQ158</f>
        <v>7</v>
      </c>
      <c r="DT158" s="314">
        <v>17</v>
      </c>
      <c r="DU158" s="140">
        <f t="shared" ref="DU158:DU167" ca="1" si="543">IF(DP158="",TODAY()-N158,DP158-N158)</f>
        <v>21</v>
      </c>
      <c r="DV158" s="184">
        <f t="shared" ref="DV158:DV167" ca="1" si="544">DU158-DT158</f>
        <v>4</v>
      </c>
      <c r="DX158" s="316"/>
      <c r="DY158" s="108" t="str">
        <f>IF(_xlfn.XLOOKUP($E158,'[1]Import Eletra'!$B:$B,'[1]Import Eletra'!$DW:$DW,,0,1)=0,"",_xlfn.XLOOKUP($E158,'[1]Import Eletra'!$B:$B,'[1]Import Eletra'!$DW:$DW,0,1))</f>
        <v/>
      </c>
      <c r="EB158" s="317"/>
      <c r="ED158" s="406">
        <f>IF(_xlfn.XLOOKUP($E158,'[1]Import Eletra'!$B:$B,'[1]Import Eletra'!$BQ:$BQ,,0,1)=0,"",_xlfn.XLOOKUP($E158,'[1]Import Eletra'!$B:$B,'[1]Import Eletra'!$BQ:$BQ,0,1))</f>
        <v>5439.6</v>
      </c>
      <c r="EE158" s="407">
        <f>IF(_xlfn.XLOOKUP($E158,'[1]Import Eletra'!$B:$B,'[1]Import Eletra'!$BR:$BR,,0,1)=0,"",_xlfn.XLOOKUP($E158,'[1]Import Eletra'!$B:$B,'[1]Import Eletra'!$BR:$BR,0,1))</f>
        <v>46104</v>
      </c>
      <c r="EF158" s="406">
        <f>IF(_xlfn.XLOOKUP($E158,'[1]Import Eletra'!$B:$B,'[1]Import Eletra'!$BS:$BS,,0,1)=0,"",_xlfn.XLOOKUP($E158,'[1]Import Eletra'!$B:$B,'[1]Import Eletra'!$BS:$BS,0,1))</f>
        <v>28408.55</v>
      </c>
      <c r="EG158" s="407">
        <f>IF(_xlfn.XLOOKUP($E158,'[1]Import Eletra'!$B:$B,'[1]Import Eletra'!$BT:$BT,,0,1)=0,"",_xlfn.XLOOKUP($E158,'[1]Import Eletra'!$B:$B,'[1]Import Eletra'!$BT:$BT,0,1))</f>
        <v>46167</v>
      </c>
      <c r="EH158" s="406" t="str">
        <f>IF(_xlfn.XLOOKUP($E158,'[1]Import Eletra'!$B:$B,'[1]Import Eletra'!$BU:$BU,,0,1)=0,"",_xlfn.XLOOKUP($E158,'[1]Import Eletra'!$B:$B,'[1]Import Eletra'!$BU:$BU,0,1))</f>
        <v/>
      </c>
      <c r="EI158" s="407" t="str">
        <f>IF(_xlfn.XLOOKUP($E158,'[1]Import Eletra'!$B:$B,'[1]Import Eletra'!$BV:$BV,,0,1)=0,"",_xlfn.XLOOKUP($E158,'[1]Import Eletra'!$B:$B,'[1]Import Eletra'!$BV:$BV,0,1))</f>
        <v/>
      </c>
      <c r="EJ158" s="407">
        <f>IF(_xlfn.XLOOKUP($E158,'[1]Import Eletra'!$B:$B,'[1]Import Eletra'!$CI:$CI,,0,1)=0,"",_xlfn.XLOOKUP($E158,'[1]Import Eletra'!$B:$B,'[1]Import Eletra'!$CI:$CI,0,1))</f>
        <v>46102</v>
      </c>
      <c r="EK158" s="407" t="str">
        <f>IF(_xlfn.XLOOKUP($E158,'[1]Import Eletra'!$B:$B,'[1]Import Eletra'!$CD:$CD,,0,1)=0,"",_xlfn.XLOOKUP($E158,'[1]Import Eletra'!$B:$B,'[1]Import Eletra'!$CD:$CD,0,1))</f>
        <v/>
      </c>
      <c r="EL158" s="407" t="str">
        <f>IF(_xlfn.XLOOKUP($E158,'[1]Import Eletra'!$B:$B,'[1]Import Eletra'!$CE:$CE,,0,1)=0,"",_xlfn.XLOOKUP($E158,'[1]Import Eletra'!$B:$B,'[1]Import Eletra'!$CE:$CE,0,1))</f>
        <v>NÃO</v>
      </c>
      <c r="EM158" s="408" t="str">
        <f>IF(_xlfn.XLOOKUP($E158,'[1]Import Eletra'!$B:$B,'[1]Import Eletra'!$E:$E,,0,1)=0,"",_xlfn.XLOOKUP($E158,'[1]Import Eletra'!$B:$B,'[1]Import Eletra'!$E:$E,0,1))</f>
        <v>CATARINA</v>
      </c>
      <c r="EN158" s="408" t="str">
        <f>IF(_xlfn.XLOOKUP($E158,'[1]Import Eletra'!$B:$B,'[1]Import Eletra'!$E:$E,,0,1)=0,"",_xlfn.XLOOKUP($E158,'[1]Import Eletra'!$B:$B,'[1]Import Eletra'!$E:$E,0,1))</f>
        <v>CATARINA</v>
      </c>
      <c r="EO158" s="408" t="str">
        <f>IF(_xlfn.XLOOKUP($E158,'[1]Import Eletra'!$B:$B,'[1]Import Eletra'!$E:$E,,0,1)=0,"",_xlfn.XLOOKUP($E158,'[1]Import Eletra'!$B:$B,'[1]Import Eletra'!$E:$E,0,1))</f>
        <v>CATARINA</v>
      </c>
      <c r="EP158" s="408" t="str">
        <f>IF(_xlfn.XLOOKUP($E158,'[1]Import Eletra'!$B:$B,'[1]Import Eletra'!$E:$E,,0,1)=0,"",_xlfn.XLOOKUP($E158,'[1]Import Eletra'!$B:$B,'[1]Import Eletra'!$E:$E,0,1))</f>
        <v>CATARINA</v>
      </c>
    </row>
    <row r="159" spans="1:146" s="315" customFormat="1" ht="30" hidden="1" customHeight="1" outlineLevel="1">
      <c r="A159" s="305"/>
      <c r="B159" s="306"/>
      <c r="C159" s="306"/>
      <c r="D159" s="306"/>
      <c r="E159" s="367" t="s">
        <v>455</v>
      </c>
      <c r="F159" s="307">
        <f>IF(_xlfn.XLOOKUP($E159,'[1]Import Eletra'!$B:$B,'[1]Import Eletra'!$U:$U,,0,1)=0,"",_xlfn.XLOOKUP($E159,'[1]Import Eletra'!$B:$B,'[1]Import Eletra'!$U:$U,,0,1))</f>
        <v>0.5</v>
      </c>
      <c r="G159" s="320" t="s">
        <v>244</v>
      </c>
      <c r="H159" s="59" t="str">
        <f>_xlfn.XLOOKUP($E159,'[1]Import Eletra'!$B:$B,'[1]Import Eletra'!$F:$F,,0,1)</f>
        <v>DELIVERED</v>
      </c>
      <c r="I159" s="4" t="str">
        <f>_xlfn.XLOOKUP($E159,'[1]Import Eletra'!$B:$B,'[1]Import Eletra'!$G:$G,,0,1)</f>
        <v>SEA</v>
      </c>
      <c r="J159" s="331"/>
      <c r="K159" s="308"/>
      <c r="L159" s="308"/>
      <c r="M159" s="331">
        <f>IF(_xlfn.XLOOKUP($E159,'[1]Import Eletra'!$B:$B,'[1]Import Eletra'!$J:$J,,0,1)=0,"",_xlfn.XLOOKUP($E159,'[1]Import Eletra'!$B:$B,'[1]Import Eletra'!$J:$J,,0,1))</f>
        <v>46041</v>
      </c>
      <c r="N159" s="334">
        <f>IF(_xlfn.XLOOKUP($E159,'[1]Import Eletra'!$B:$B,'[1]Import Eletra'!$L:$L,,0,1)=0,"",_xlfn.XLOOKUP($E159,'[1]Import Eletra'!$B:$B,'[1]Import Eletra'!$L:$L,,0,1))</f>
        <v>46091</v>
      </c>
      <c r="O159" s="336">
        <f>IF(_xlfn.XLOOKUP($E159,'[1]Import Eletra'!$B:$B,'[1]Import Eletra'!$AK:$AK,,0,1)=0,"",_xlfn.XLOOKUP($E159,'[1]Import Eletra'!$B:$B,'[1]Import Eletra'!$AK:$AK,,0,1))</f>
        <v>46072</v>
      </c>
      <c r="P159" s="331">
        <f>IF(_xlfn.XLOOKUP($E159,'[1]Import Eletra'!$B:$B,'[1]Import Eletra'!$AL:$AL,,0,1)=0,"",_xlfn.XLOOKUP($E159,'[1]Import Eletra'!$B:$B,'[1]Import Eletra'!$AL:$AL,,0,1))</f>
        <v>46076</v>
      </c>
      <c r="Q159" s="331">
        <f>IF(_xlfn.XLOOKUP($E159,'[1]Import Eletra'!$B:$B,'[1]Import Eletra'!$AM:$AM,,0,1)=0,"",_xlfn.XLOOKUP($E159,'[1]Import Eletra'!$B:$B,'[1]Import Eletra'!$AM:$AM,,0,1))</f>
        <v>46076</v>
      </c>
      <c r="R159" s="331">
        <f>IF(_xlfn.XLOOKUP($E159,'[1]Import Eletra'!$B:$B,'[1]Import Eletra'!$AN:$AN,,0,1)=0,"",_xlfn.XLOOKUP($E159,'[1]Import Eletra'!$B:$B,'[1]Import Eletra'!$AN:$AN,,0,1))</f>
        <v>46079</v>
      </c>
      <c r="S159" s="331">
        <f>IF(_xlfn.XLOOKUP($E159,'[1]Import Eletra'!$B:$B,'[1]Import Eletra'!$AO:$AO,,0,1)=0,"",_xlfn.XLOOKUP($E159,'[1]Import Eletra'!$B:$B,'[1]Import Eletra'!$AO:$AO,,0,1))</f>
        <v>46079</v>
      </c>
      <c r="T159" s="331">
        <f>IF(_xlfn.XLOOKUP($E159,'[1]Import Eletra'!$B:$B,'[1]Import Eletra'!$AP:$AP,,0,1)=0,"",_xlfn.XLOOKUP($E159,'[1]Import Eletra'!$B:$B,'[1]Import Eletra'!$AP:$AP,,0,1))</f>
        <v>46084</v>
      </c>
      <c r="U159" s="338">
        <f>IF(_xlfn.XLOOKUP($E159,'[1]Import Eletra'!$B:$B,'[1]Import Eletra'!$AQ:$AQ,,0,1)=0,"",_xlfn.XLOOKUP($E159,'[1]Import Eletra'!$B:$B,'[1]Import Eletra'!$AQ:$AQ,,0,1))</f>
        <v>46085</v>
      </c>
      <c r="V159" s="343">
        <f>IF(_xlfn.XLOOKUP($E159,'[1]Import Eletra'!$B:$B,'[1]Import Eletra'!$AQ:$AQ,,0,1)=0,"",_xlfn.XLOOKUP($E159,'[1]Import Eletra'!$B:$B,'[1]Import Eletra'!$AQ:$AQ,,0,1))</f>
        <v>46085</v>
      </c>
      <c r="W159" s="336">
        <f t="shared" si="490"/>
        <v>46095</v>
      </c>
      <c r="X159" s="345">
        <f>IF(_xlfn.XLOOKUP($E159,'[1]Import Eletra'!$B:$B,'[1]Import Eletra'!$AR:$AR,,0,1)=0,"",_xlfn.XLOOKUP($E159,'[1]Import Eletra'!$B:$B,'[1]Import Eletra'!$AR:$AR,,0,1))</f>
        <v>46093</v>
      </c>
      <c r="Y159" s="309">
        <f t="shared" si="355"/>
        <v>0</v>
      </c>
      <c r="Z159" s="309">
        <f t="shared" ca="1" si="491"/>
        <v>-2</v>
      </c>
      <c r="AA159" s="310" t="str">
        <f t="shared" ca="1" si="357"/>
        <v/>
      </c>
      <c r="AB159" s="350">
        <f t="shared" si="492"/>
        <v>46095</v>
      </c>
      <c r="AC159" s="345">
        <f>IF(_xlfn.XLOOKUP($E159,'[1]Import Eletra'!$B:$B,'[1]Import Eletra'!$AD:$AD,,0,1)=0,"",_xlfn.XLOOKUP($E159,'[1]Import Eletra'!$B:$B,'[1]Import Eletra'!$AD:$AD,,0,1))</f>
        <v>46093</v>
      </c>
      <c r="AD159" s="309">
        <f t="shared" si="359"/>
        <v>0</v>
      </c>
      <c r="AE159" s="309">
        <f t="shared" ca="1" si="493"/>
        <v>-2</v>
      </c>
      <c r="AF159" s="310">
        <f t="shared" ca="1" si="494"/>
        <v>-2</v>
      </c>
      <c r="AG159" s="356">
        <f t="shared" si="495"/>
        <v>46095</v>
      </c>
      <c r="AH159" s="345">
        <f>IF(_xlfn.XLOOKUP($E159,'[1]Import Eletra'!$B:$B,'[1]Import Eletra'!$AE:$AE,,0,1)=0,"",_xlfn.XLOOKUP($E159,'[1]Import Eletra'!$B:$B,'[1]Import Eletra'!$AE:$AE,,0,1))</f>
        <v>46094</v>
      </c>
      <c r="AI159" s="309">
        <f t="shared" si="363"/>
        <v>0</v>
      </c>
      <c r="AJ159" s="309">
        <f t="shared" ca="1" si="496"/>
        <v>-1</v>
      </c>
      <c r="AK159" s="310" t="str">
        <f t="shared" ca="1" si="365"/>
        <v/>
      </c>
      <c r="AL159" s="356">
        <f t="shared" si="497"/>
        <v>46095</v>
      </c>
      <c r="AM159" s="345" t="str">
        <f>IF(_xlfn.XLOOKUP($E159,'[1]Import Eletra'!$B:$B,'[1]Import Eletra'!$AT:$AT,,0,1)=0,"",_xlfn.XLOOKUP($E159,'[1]Import Eletra'!$B:$B,'[1]Import Eletra'!$AT:$AT,,0,1))</f>
        <v>16/003/2026</v>
      </c>
      <c r="AN159" s="309">
        <f t="shared" si="367"/>
        <v>0</v>
      </c>
      <c r="AO159" s="309" t="e">
        <f t="shared" ca="1" si="498"/>
        <v>#VALUE!</v>
      </c>
      <c r="AP159" s="310" t="e">
        <f t="shared" ca="1" si="369"/>
        <v>#VALUE!</v>
      </c>
      <c r="AQ159" s="359">
        <f t="shared" si="499"/>
        <v>46096</v>
      </c>
      <c r="AR159" s="345">
        <f>IF(_xlfn.XLOOKUP($E159,'[1]Import Eletra'!$B:$B,'[1]Import Eletra'!$AU:$AU,,0,1)=0,"",_xlfn.XLOOKUP($E159,'[1]Import Eletra'!$B:$B,'[1]Import Eletra'!$AU:$AU,,0,1))</f>
        <v>46097</v>
      </c>
      <c r="AS159" s="309">
        <f t="shared" si="371"/>
        <v>1</v>
      </c>
      <c r="AT159" s="309">
        <f t="shared" ca="1" si="500"/>
        <v>1</v>
      </c>
      <c r="AU159" s="310">
        <f t="shared" ca="1" si="373"/>
        <v>0</v>
      </c>
      <c r="AV159" s="356">
        <f t="shared" si="501"/>
        <v>46096</v>
      </c>
      <c r="AW159" s="345">
        <f>IF(_xlfn.XLOOKUP($E159,'[1]Import Eletra'!$B:$B,'[1]Import Eletra'!$AU:$AU,,0,1)=0,"",_xlfn.XLOOKUP($E159,'[1]Import Eletra'!$B:$B,'[1]Import Eletra'!$AU:$AU,,0,1))</f>
        <v>46097</v>
      </c>
      <c r="AX159" s="309">
        <f t="shared" si="375"/>
        <v>0</v>
      </c>
      <c r="AY159" s="309">
        <f t="shared" ca="1" si="502"/>
        <v>1</v>
      </c>
      <c r="AZ159" s="310">
        <f t="shared" ca="1" si="377"/>
        <v>1</v>
      </c>
      <c r="BA159" s="359">
        <f t="shared" si="503"/>
        <v>46096</v>
      </c>
      <c r="BB159" s="345" t="str">
        <f>IF(_xlfn.XLOOKUP($E159,'[1]Import Eletra'!$B:$B,'[1]Import Eletra'!$AW:$AW,,0,1)=0,"",_xlfn.XLOOKUP($E159,'[1]Import Eletra'!$B:$B,'[1]Import Eletra'!$AW:$AW,,0,1))</f>
        <v/>
      </c>
      <c r="BC159" s="309">
        <f t="shared" si="379"/>
        <v>0</v>
      </c>
      <c r="BD159" s="309">
        <f t="shared" ca="1" si="504"/>
        <v>115</v>
      </c>
      <c r="BE159" s="310">
        <f t="shared" ca="1" si="505"/>
        <v>115</v>
      </c>
      <c r="BF159" s="336">
        <f t="shared" si="506"/>
        <v>46096</v>
      </c>
      <c r="BG159" s="345" t="str">
        <f>IF(_xlfn.XLOOKUP($E159,'[1]Import Eletra'!$B:$B,'[1]Import Eletra'!$AX:$AX,,0,1)=0,"",_xlfn.XLOOKUP($E159,'[1]Import Eletra'!$B:$B,'[1]Import Eletra'!$AX:$AX,,0,1))</f>
        <v/>
      </c>
      <c r="BH159" s="309">
        <f t="shared" si="383"/>
        <v>0</v>
      </c>
      <c r="BI159" s="309">
        <f t="shared" ca="1" si="507"/>
        <v>115</v>
      </c>
      <c r="BJ159" s="310">
        <f t="shared" ca="1" si="385"/>
        <v>115</v>
      </c>
      <c r="BK159" s="363">
        <f t="shared" si="508"/>
        <v>46096</v>
      </c>
      <c r="BL159" s="345" t="str">
        <f>IF(_xlfn.XLOOKUP($E159,'[1]Import Eletra'!$B:$B,'[1]Import Eletra'!$AY:$AY,,0,1)=0,"",_xlfn.XLOOKUP($E159,'[1]Import Eletra'!$B:$B,'[1]Import Eletra'!$AY:$AY,,0,1))</f>
        <v/>
      </c>
      <c r="BM159" s="309">
        <f t="shared" si="387"/>
        <v>0</v>
      </c>
      <c r="BN159" s="309">
        <f t="shared" ca="1" si="509"/>
        <v>115</v>
      </c>
      <c r="BO159" s="310">
        <f t="shared" ca="1" si="510"/>
        <v>115</v>
      </c>
      <c r="BP159" s="336">
        <f t="shared" si="511"/>
        <v>46096</v>
      </c>
      <c r="BQ159" s="345" t="str">
        <f>IF(_xlfn.XLOOKUP($E159,'[1]Import Eletra'!$B:$B,'[1]Import Eletra'!$AZ:$AZ,,0,1)=0,"",_xlfn.XLOOKUP($E159,'[1]Import Eletra'!$B:$B,'[1]Import Eletra'!$AZ:$AZ,,0,1))</f>
        <v/>
      </c>
      <c r="BR159" s="309">
        <f t="shared" si="391"/>
        <v>0</v>
      </c>
      <c r="BS159" s="309">
        <f t="shared" ca="1" si="512"/>
        <v>115</v>
      </c>
      <c r="BT159" s="310">
        <f t="shared" ca="1" si="513"/>
        <v>115</v>
      </c>
      <c r="BU159" s="363">
        <f t="shared" si="514"/>
        <v>46098</v>
      </c>
      <c r="BV159" s="345">
        <f>IF(_xlfn.XLOOKUP($E159,'[1]Import Eletra'!$B:$B,'[1]Import Eletra'!$BA:$BA,,0,1)=0,"",_xlfn.XLOOKUP($E159,'[1]Import Eletra'!$B:$B,'[1]Import Eletra'!$BA:$BA,,0,1))</f>
        <v>46098</v>
      </c>
      <c r="BW159" s="309">
        <f t="shared" si="395"/>
        <v>2</v>
      </c>
      <c r="BX159" s="309">
        <f t="shared" ca="1" si="515"/>
        <v>0</v>
      </c>
      <c r="BY159" s="310" t="str">
        <f t="shared" ca="1" si="397"/>
        <v/>
      </c>
      <c r="BZ159" s="336">
        <f t="shared" si="516"/>
        <v>46098</v>
      </c>
      <c r="CA159" s="345">
        <f>IF(_xlfn.XLOOKUP($E159,'[1]Import Eletra'!$B:$B,'[1]Import Eletra'!$BB:$BB,,0,1)=0,"",_xlfn.XLOOKUP($E159,'[1]Import Eletra'!$B:$B,'[1]Import Eletra'!$BB:$BB,,0,1))</f>
        <v>46098</v>
      </c>
      <c r="CB159" s="309">
        <f t="shared" si="399"/>
        <v>0</v>
      </c>
      <c r="CC159" s="309">
        <f t="shared" ca="1" si="517"/>
        <v>0</v>
      </c>
      <c r="CD159" s="310">
        <f t="shared" ca="1" si="518"/>
        <v>0</v>
      </c>
      <c r="CE159" s="363">
        <f t="shared" si="519"/>
        <v>46098</v>
      </c>
      <c r="CF159" s="345">
        <f>IF(_xlfn.XLOOKUP($E159,'[1]Import Eletra'!$B:$B,'[1]Import Eletra'!$BC:$BC,,0,1)=0,"",_xlfn.XLOOKUP($E159,'[1]Import Eletra'!$B:$B,'[1]Import Eletra'!$BC:$BC,,0,1))</f>
        <v>46099</v>
      </c>
      <c r="CG159" s="309">
        <f t="shared" si="403"/>
        <v>0</v>
      </c>
      <c r="CH159" s="309">
        <f t="shared" ca="1" si="520"/>
        <v>1</v>
      </c>
      <c r="CI159" s="310">
        <f t="shared" ca="1" si="521"/>
        <v>1</v>
      </c>
      <c r="CJ159" s="336">
        <f t="shared" si="522"/>
        <v>46098</v>
      </c>
      <c r="CK159" s="345">
        <f>IF(_xlfn.XLOOKUP($E159,'[1]Import Eletra'!$B:$B,'[1]Import Eletra'!$BD:$BD,,0,1)=0,"",_xlfn.XLOOKUP($E159,'[1]Import Eletra'!$B:$B,'[1]Import Eletra'!$BD:$BD,,0,1))</f>
        <v>46098</v>
      </c>
      <c r="CL159" s="309"/>
      <c r="CM159" s="309">
        <f t="shared" ca="1" si="523"/>
        <v>0</v>
      </c>
      <c r="CN159" s="310">
        <f t="shared" ca="1" si="524"/>
        <v>0</v>
      </c>
      <c r="CO159" s="363">
        <f t="shared" si="525"/>
        <v>46098</v>
      </c>
      <c r="CP159" s="345">
        <f>IF(_xlfn.XLOOKUP($E159,'[1]Import Eletra'!$B:$B,'[1]Import Eletra'!$BE:$BE,,0,1)=0,"",_xlfn.XLOOKUP($E159,'[1]Import Eletra'!$B:$B,'[1]Import Eletra'!$BE:$BE,,0,1))</f>
        <v>46101</v>
      </c>
      <c r="CQ159" s="309">
        <f t="shared" si="410"/>
        <v>0</v>
      </c>
      <c r="CR159" s="309">
        <f t="shared" ca="1" si="526"/>
        <v>3</v>
      </c>
      <c r="CS159" s="310">
        <f t="shared" ca="1" si="527"/>
        <v>3</v>
      </c>
      <c r="CT159" s="336">
        <f t="shared" si="528"/>
        <v>46098</v>
      </c>
      <c r="CU159" s="345">
        <f>IF(_xlfn.XLOOKUP($E159,'[1]Import Eletra'!$B:$B,'[1]Import Eletra'!$BF:$BF,,0,1)=0,"",_xlfn.XLOOKUP($E159,'[1]Import Eletra'!$B:$B,'[1]Import Eletra'!$BF:$BF,,0,1))</f>
        <v>46101</v>
      </c>
      <c r="CV159" s="309">
        <f t="shared" si="414"/>
        <v>0</v>
      </c>
      <c r="CW159" s="309">
        <f t="shared" ca="1" si="529"/>
        <v>3</v>
      </c>
      <c r="CX159" s="310">
        <f t="shared" ca="1" si="530"/>
        <v>3</v>
      </c>
      <c r="CY159" s="85">
        <f t="shared" si="531"/>
        <v>46098</v>
      </c>
      <c r="CZ159" s="271">
        <f>IF(_xlfn.XLOOKUP($E159,'[1]Import Eletra'!$B:$B,'[1]Import Eletra'!$BF:$BF,,0,1)=0,"",_xlfn.XLOOKUP($E159,'[1]Import Eletra'!$B:$B,'[1]Import Eletra'!$BF:$BF,,0,1))</f>
        <v>46101</v>
      </c>
      <c r="DA159" s="311">
        <f t="shared" si="418"/>
        <v>0</v>
      </c>
      <c r="DB159" s="309">
        <f t="shared" ca="1" si="532"/>
        <v>3</v>
      </c>
      <c r="DC159" s="310">
        <f t="shared" ca="1" si="533"/>
        <v>3</v>
      </c>
      <c r="DD159" s="85">
        <f t="shared" si="534"/>
        <v>46100</v>
      </c>
      <c r="DE159" s="271">
        <f>IF(_xlfn.XLOOKUP($E159,'[1]Import Eletra'!$B:$B,'[1]Import Eletra'!$BG:$BG,,0,1)=0,"",_xlfn.XLOOKUP($E159,'[1]Import Eletra'!$B:$B,'[1]Import Eletra'!$BG:$BG,0,1))</f>
        <v>46104</v>
      </c>
      <c r="DF159" s="309">
        <f t="shared" si="422"/>
        <v>2</v>
      </c>
      <c r="DG159" s="309">
        <f t="shared" ca="1" si="535"/>
        <v>4</v>
      </c>
      <c r="DH159" s="310">
        <f t="shared" ca="1" si="536"/>
        <v>2</v>
      </c>
      <c r="DI159" s="85">
        <f t="shared" si="537"/>
        <v>46101</v>
      </c>
      <c r="DJ159" s="271">
        <f>IF(_xlfn.XLOOKUP($E159,'[1]Import Eletra'!$B:$B,'[1]Import Eletra'!$BH:$BH,,0,1)=0,"",_xlfn.XLOOKUP($E159,'[1]Import Eletra'!$B:$B,'[1]Import Eletra'!$BH:$BH,0,1))</f>
        <v>46101</v>
      </c>
      <c r="DK159" s="309">
        <f t="shared" si="426"/>
        <v>1</v>
      </c>
      <c r="DL159" s="309">
        <f t="shared" ca="1" si="538"/>
        <v>0</v>
      </c>
      <c r="DM159" s="310">
        <f t="shared" ca="1" si="539"/>
        <v>-1</v>
      </c>
      <c r="DN159" s="312"/>
      <c r="DO159" s="313">
        <f t="shared" si="540"/>
        <v>46102</v>
      </c>
      <c r="DP159" s="59">
        <f>IF(_xlfn.XLOOKUP($E159,'[1]Import Eletra'!$B:$B,'[1]Import Eletra'!$O:$O,,0,1)=0,"",_xlfn.XLOOKUP($E159,'[1]Import Eletra'!$B:$B,'[1]Import Eletra'!$O:$O,0,1))</f>
        <v>46101</v>
      </c>
      <c r="DQ159" s="309">
        <f t="shared" si="430"/>
        <v>1</v>
      </c>
      <c r="DR159" s="309">
        <f t="shared" ca="1" si="541"/>
        <v>-1</v>
      </c>
      <c r="DS159" s="310">
        <f t="shared" ca="1" si="542"/>
        <v>-2</v>
      </c>
      <c r="DT159" s="314">
        <v>17</v>
      </c>
      <c r="DU159" s="140">
        <f t="shared" ca="1" si="543"/>
        <v>10</v>
      </c>
      <c r="DV159" s="184">
        <f t="shared" ca="1" si="544"/>
        <v>-7</v>
      </c>
      <c r="DX159" s="316"/>
      <c r="DY159" s="108" t="str">
        <f>IF(_xlfn.XLOOKUP($E159,'[1]Import Eletra'!$B:$B,'[1]Import Eletra'!$DW:$DW,,0,1)=0,"",_xlfn.XLOOKUP($E159,'[1]Import Eletra'!$B:$B,'[1]Import Eletra'!$DW:$DW,0,1))</f>
        <v/>
      </c>
      <c r="EB159" s="317"/>
      <c r="ED159" s="406">
        <f>IF(_xlfn.XLOOKUP($E159,'[1]Import Eletra'!$B:$B,'[1]Import Eletra'!$BQ:$BQ,,0,1)=0,"",_xlfn.XLOOKUP($E159,'[1]Import Eletra'!$B:$B,'[1]Import Eletra'!$BQ:$BQ,0,1))</f>
        <v>818.29</v>
      </c>
      <c r="EE159" s="407">
        <f>IF(_xlfn.XLOOKUP($E159,'[1]Import Eletra'!$B:$B,'[1]Import Eletra'!$BR:$BR,,0,1)=0,"",_xlfn.XLOOKUP($E159,'[1]Import Eletra'!$B:$B,'[1]Import Eletra'!$BR:$BR,0,1))</f>
        <v>46103</v>
      </c>
      <c r="EF159" s="406" t="str">
        <f>IF(_xlfn.XLOOKUP($E159,'[1]Import Eletra'!$B:$B,'[1]Import Eletra'!$BS:$BS,,0,1)=0,"",_xlfn.XLOOKUP($E159,'[1]Import Eletra'!$B:$B,'[1]Import Eletra'!$BS:$BS,0,1))</f>
        <v/>
      </c>
      <c r="EG159" s="407" t="str">
        <f>IF(_xlfn.XLOOKUP($E159,'[1]Import Eletra'!$B:$B,'[1]Import Eletra'!$BT:$BT,,0,1)=0,"",_xlfn.XLOOKUP($E159,'[1]Import Eletra'!$B:$B,'[1]Import Eletra'!$BT:$BT,0,1))</f>
        <v/>
      </c>
      <c r="EH159" s="406" t="str">
        <f>IF(_xlfn.XLOOKUP($E159,'[1]Import Eletra'!$B:$B,'[1]Import Eletra'!$BU:$BU,,0,1)=0,"",_xlfn.XLOOKUP($E159,'[1]Import Eletra'!$B:$B,'[1]Import Eletra'!$BU:$BU,0,1))</f>
        <v/>
      </c>
      <c r="EI159" s="407" t="str">
        <f>IF(_xlfn.XLOOKUP($E159,'[1]Import Eletra'!$B:$B,'[1]Import Eletra'!$BV:$BV,,0,1)=0,"",_xlfn.XLOOKUP($E159,'[1]Import Eletra'!$B:$B,'[1]Import Eletra'!$BV:$BV,0,1))</f>
        <v/>
      </c>
      <c r="EJ159" s="407">
        <f>IF(_xlfn.XLOOKUP($E159,'[1]Import Eletra'!$B:$B,'[1]Import Eletra'!$CI:$CI,,0,1)=0,"",_xlfn.XLOOKUP($E159,'[1]Import Eletra'!$B:$B,'[1]Import Eletra'!$CI:$CI,0,1))</f>
        <v>46109</v>
      </c>
      <c r="EK159" s="407" t="str">
        <f>IF(_xlfn.XLOOKUP($E159,'[1]Import Eletra'!$B:$B,'[1]Import Eletra'!$CD:$CD,,0,1)=0,"",_xlfn.XLOOKUP($E159,'[1]Import Eletra'!$B:$B,'[1]Import Eletra'!$CD:$CD,0,1))</f>
        <v/>
      </c>
      <c r="EL159" s="407" t="str">
        <f>IF(_xlfn.XLOOKUP($E159,'[1]Import Eletra'!$B:$B,'[1]Import Eletra'!$CE:$CE,,0,1)=0,"",_xlfn.XLOOKUP($E159,'[1]Import Eletra'!$B:$B,'[1]Import Eletra'!$CE:$CE,0,1))</f>
        <v>NÃO</v>
      </c>
      <c r="EM159" s="408" t="str">
        <f>IF(_xlfn.XLOOKUP($E159,'[1]Import Eletra'!$B:$B,'[1]Import Eletra'!$E:$E,,0,1)=0,"",_xlfn.XLOOKUP($E159,'[1]Import Eletra'!$B:$B,'[1]Import Eletra'!$E:$E,0,1))</f>
        <v>CATARINA</v>
      </c>
      <c r="EN159" s="408" t="str">
        <f>IF(_xlfn.XLOOKUP($E159,'[1]Import Eletra'!$B:$B,'[1]Import Eletra'!$E:$E,,0,1)=0,"",_xlfn.XLOOKUP($E159,'[1]Import Eletra'!$B:$B,'[1]Import Eletra'!$E:$E,0,1))</f>
        <v>CATARINA</v>
      </c>
      <c r="EO159" s="408" t="str">
        <f>IF(_xlfn.XLOOKUP($E159,'[1]Import Eletra'!$B:$B,'[1]Import Eletra'!$E:$E,,0,1)=0,"",_xlfn.XLOOKUP($E159,'[1]Import Eletra'!$B:$B,'[1]Import Eletra'!$E:$E,0,1))</f>
        <v>CATARINA</v>
      </c>
      <c r="EP159" s="408" t="str">
        <f>IF(_xlfn.XLOOKUP($E159,'[1]Import Eletra'!$B:$B,'[1]Import Eletra'!$E:$E,,0,1)=0,"",_xlfn.XLOOKUP($E159,'[1]Import Eletra'!$B:$B,'[1]Import Eletra'!$E:$E,0,1))</f>
        <v>CATARINA</v>
      </c>
    </row>
    <row r="160" spans="1:146" s="315" customFormat="1" ht="30" hidden="1" customHeight="1" outlineLevel="1">
      <c r="A160" s="305"/>
      <c r="B160" s="306"/>
      <c r="C160" s="306"/>
      <c r="D160" s="306"/>
      <c r="E160" s="367" t="s">
        <v>456</v>
      </c>
      <c r="F160" s="307">
        <f>IF(_xlfn.XLOOKUP($E160,'[1]Import Eletra'!$B:$B,'[1]Import Eletra'!$U:$U,,0,1)=0,"",_xlfn.XLOOKUP($E160,'[1]Import Eletra'!$B:$B,'[1]Import Eletra'!$U:$U,,0,1))</f>
        <v>0.5</v>
      </c>
      <c r="G160" s="320" t="s">
        <v>244</v>
      </c>
      <c r="H160" s="59" t="str">
        <f>_xlfn.XLOOKUP($E160,'[1]Import Eletra'!$B:$B,'[1]Import Eletra'!$F:$F,,0,1)</f>
        <v>DELIVERED</v>
      </c>
      <c r="I160" s="4" t="str">
        <f>_xlfn.XLOOKUP($E160,'[1]Import Eletra'!$B:$B,'[1]Import Eletra'!$G:$G,,0,1)</f>
        <v>SEA</v>
      </c>
      <c r="J160" s="331"/>
      <c r="K160" s="308"/>
      <c r="L160" s="308"/>
      <c r="M160" s="331">
        <f>IF(_xlfn.XLOOKUP($E160,'[1]Import Eletra'!$B:$B,'[1]Import Eletra'!$J:$J,,0,1)=0,"",_xlfn.XLOOKUP($E160,'[1]Import Eletra'!$B:$B,'[1]Import Eletra'!$J:$J,,0,1))</f>
        <v>46041</v>
      </c>
      <c r="N160" s="334">
        <f>IF(_xlfn.XLOOKUP($E160,'[1]Import Eletra'!$B:$B,'[1]Import Eletra'!$L:$L,,0,1)=0,"",_xlfn.XLOOKUP($E160,'[1]Import Eletra'!$B:$B,'[1]Import Eletra'!$L:$L,,0,1))</f>
        <v>46091</v>
      </c>
      <c r="O160" s="336">
        <f>IF(_xlfn.XLOOKUP($E160,'[1]Import Eletra'!$B:$B,'[1]Import Eletra'!$AK:$AK,,0,1)=0,"",_xlfn.XLOOKUP($E160,'[1]Import Eletra'!$B:$B,'[1]Import Eletra'!$AK:$AK,,0,1))</f>
        <v>46072</v>
      </c>
      <c r="P160" s="331">
        <f>IF(_xlfn.XLOOKUP($E160,'[1]Import Eletra'!$B:$B,'[1]Import Eletra'!$AL:$AL,,0,1)=0,"",_xlfn.XLOOKUP($E160,'[1]Import Eletra'!$B:$B,'[1]Import Eletra'!$AL:$AL,,0,1))</f>
        <v>46077</v>
      </c>
      <c r="Q160" s="331">
        <f>IF(_xlfn.XLOOKUP($E160,'[1]Import Eletra'!$B:$B,'[1]Import Eletra'!$AM:$AM,,0,1)=0,"",_xlfn.XLOOKUP($E160,'[1]Import Eletra'!$B:$B,'[1]Import Eletra'!$AM:$AM,,0,1))</f>
        <v>46078</v>
      </c>
      <c r="R160" s="331">
        <f>IF(_xlfn.XLOOKUP($E160,'[1]Import Eletra'!$B:$B,'[1]Import Eletra'!$AN:$AN,,0,1)=0,"",_xlfn.XLOOKUP($E160,'[1]Import Eletra'!$B:$B,'[1]Import Eletra'!$AN:$AN,,0,1))</f>
        <v>46079</v>
      </c>
      <c r="S160" s="331">
        <f>IF(_xlfn.XLOOKUP($E160,'[1]Import Eletra'!$B:$B,'[1]Import Eletra'!$AO:$AO,,0,1)=0,"",_xlfn.XLOOKUP($E160,'[1]Import Eletra'!$B:$B,'[1]Import Eletra'!$AO:$AO,,0,1))</f>
        <v>46083</v>
      </c>
      <c r="T160" s="331">
        <f>IF(_xlfn.XLOOKUP($E160,'[1]Import Eletra'!$B:$B,'[1]Import Eletra'!$AP:$AP,,0,1)=0,"",_xlfn.XLOOKUP($E160,'[1]Import Eletra'!$B:$B,'[1]Import Eletra'!$AP:$AP,,0,1))</f>
        <v>46084</v>
      </c>
      <c r="U160" s="338">
        <f>IF(_xlfn.XLOOKUP($E160,'[1]Import Eletra'!$B:$B,'[1]Import Eletra'!$AQ:$AQ,,0,1)=0,"",_xlfn.XLOOKUP($E160,'[1]Import Eletra'!$B:$B,'[1]Import Eletra'!$AQ:$AQ,,0,1))</f>
        <v>46085</v>
      </c>
      <c r="V160" s="343">
        <f>IF(_xlfn.XLOOKUP($E160,'[1]Import Eletra'!$B:$B,'[1]Import Eletra'!$AQ:$AQ,,0,1)=0,"",_xlfn.XLOOKUP($E160,'[1]Import Eletra'!$B:$B,'[1]Import Eletra'!$AQ:$AQ,,0,1))</f>
        <v>46085</v>
      </c>
      <c r="W160" s="336">
        <f t="shared" si="490"/>
        <v>46095</v>
      </c>
      <c r="X160" s="345">
        <f>IF(_xlfn.XLOOKUP($E160,'[1]Import Eletra'!$B:$B,'[1]Import Eletra'!$AR:$AR,,0,1)=0,"",_xlfn.XLOOKUP($E160,'[1]Import Eletra'!$B:$B,'[1]Import Eletra'!$AR:$AR,,0,1))</f>
        <v>46093</v>
      </c>
      <c r="Y160" s="309">
        <f t="shared" si="355"/>
        <v>0</v>
      </c>
      <c r="Z160" s="309">
        <f t="shared" ca="1" si="491"/>
        <v>-2</v>
      </c>
      <c r="AA160" s="310" t="str">
        <f t="shared" ca="1" si="357"/>
        <v/>
      </c>
      <c r="AB160" s="350">
        <f t="shared" si="492"/>
        <v>46095</v>
      </c>
      <c r="AC160" s="345">
        <f>IF(_xlfn.XLOOKUP($E160,'[1]Import Eletra'!$B:$B,'[1]Import Eletra'!$AD:$AD,,0,1)=0,"",_xlfn.XLOOKUP($E160,'[1]Import Eletra'!$B:$B,'[1]Import Eletra'!$AD:$AD,,0,1))</f>
        <v>46093</v>
      </c>
      <c r="AD160" s="309">
        <f t="shared" si="359"/>
        <v>0</v>
      </c>
      <c r="AE160" s="309">
        <f t="shared" ca="1" si="493"/>
        <v>-2</v>
      </c>
      <c r="AF160" s="310">
        <f t="shared" ca="1" si="494"/>
        <v>-2</v>
      </c>
      <c r="AG160" s="356">
        <f t="shared" si="495"/>
        <v>46095</v>
      </c>
      <c r="AH160" s="345">
        <f>IF(_xlfn.XLOOKUP($E160,'[1]Import Eletra'!$B:$B,'[1]Import Eletra'!$AE:$AE,,0,1)=0,"",_xlfn.XLOOKUP($E160,'[1]Import Eletra'!$B:$B,'[1]Import Eletra'!$AE:$AE,,0,1))</f>
        <v>46094</v>
      </c>
      <c r="AI160" s="309">
        <f t="shared" si="363"/>
        <v>0</v>
      </c>
      <c r="AJ160" s="309">
        <f t="shared" ca="1" si="496"/>
        <v>-1</v>
      </c>
      <c r="AK160" s="310" t="str">
        <f t="shared" ca="1" si="365"/>
        <v/>
      </c>
      <c r="AL160" s="356">
        <f t="shared" si="497"/>
        <v>46095</v>
      </c>
      <c r="AM160" s="345">
        <f>IF(_xlfn.XLOOKUP($E160,'[1]Import Eletra'!$B:$B,'[1]Import Eletra'!$AT:$AT,,0,1)=0,"",_xlfn.XLOOKUP($E160,'[1]Import Eletra'!$B:$B,'[1]Import Eletra'!$AT:$AT,,0,1))</f>
        <v>46097</v>
      </c>
      <c r="AN160" s="309">
        <f t="shared" si="367"/>
        <v>0</v>
      </c>
      <c r="AO160" s="309">
        <f t="shared" ca="1" si="498"/>
        <v>2</v>
      </c>
      <c r="AP160" s="310">
        <f t="shared" ca="1" si="369"/>
        <v>2</v>
      </c>
      <c r="AQ160" s="359">
        <f t="shared" si="499"/>
        <v>46096</v>
      </c>
      <c r="AR160" s="345">
        <f>IF(_xlfn.XLOOKUP($E160,'[1]Import Eletra'!$B:$B,'[1]Import Eletra'!$AU:$AU,,0,1)=0,"",_xlfn.XLOOKUP($E160,'[1]Import Eletra'!$B:$B,'[1]Import Eletra'!$AU:$AU,,0,1))</f>
        <v>46098</v>
      </c>
      <c r="AS160" s="309">
        <f t="shared" si="371"/>
        <v>1</v>
      </c>
      <c r="AT160" s="309">
        <f t="shared" ca="1" si="500"/>
        <v>2</v>
      </c>
      <c r="AU160" s="310">
        <f t="shared" ca="1" si="373"/>
        <v>1</v>
      </c>
      <c r="AV160" s="356">
        <f t="shared" si="501"/>
        <v>46096</v>
      </c>
      <c r="AW160" s="345">
        <f>IF(_xlfn.XLOOKUP($E160,'[1]Import Eletra'!$B:$B,'[1]Import Eletra'!$AU:$AU,,0,1)=0,"",_xlfn.XLOOKUP($E160,'[1]Import Eletra'!$B:$B,'[1]Import Eletra'!$AU:$AU,,0,1))</f>
        <v>46098</v>
      </c>
      <c r="AX160" s="309">
        <f t="shared" si="375"/>
        <v>0</v>
      </c>
      <c r="AY160" s="309">
        <f t="shared" ca="1" si="502"/>
        <v>2</v>
      </c>
      <c r="AZ160" s="310">
        <f t="shared" ca="1" si="377"/>
        <v>2</v>
      </c>
      <c r="BA160" s="359">
        <f t="shared" si="503"/>
        <v>46096</v>
      </c>
      <c r="BB160" s="345" t="str">
        <f>IF(_xlfn.XLOOKUP($E160,'[1]Import Eletra'!$B:$B,'[1]Import Eletra'!$AW:$AW,,0,1)=0,"",_xlfn.XLOOKUP($E160,'[1]Import Eletra'!$B:$B,'[1]Import Eletra'!$AW:$AW,,0,1))</f>
        <v/>
      </c>
      <c r="BC160" s="309">
        <f t="shared" si="379"/>
        <v>0</v>
      </c>
      <c r="BD160" s="309">
        <f t="shared" ca="1" si="504"/>
        <v>115</v>
      </c>
      <c r="BE160" s="310">
        <f t="shared" ca="1" si="505"/>
        <v>115</v>
      </c>
      <c r="BF160" s="336">
        <f t="shared" si="506"/>
        <v>46096</v>
      </c>
      <c r="BG160" s="345" t="str">
        <f>IF(_xlfn.XLOOKUP($E160,'[1]Import Eletra'!$B:$B,'[1]Import Eletra'!$AX:$AX,,0,1)=0,"",_xlfn.XLOOKUP($E160,'[1]Import Eletra'!$B:$B,'[1]Import Eletra'!$AX:$AX,,0,1))</f>
        <v/>
      </c>
      <c r="BH160" s="309">
        <f t="shared" si="383"/>
        <v>0</v>
      </c>
      <c r="BI160" s="309">
        <f t="shared" ca="1" si="507"/>
        <v>115</v>
      </c>
      <c r="BJ160" s="310">
        <f t="shared" ca="1" si="385"/>
        <v>115</v>
      </c>
      <c r="BK160" s="363">
        <f t="shared" si="508"/>
        <v>46096</v>
      </c>
      <c r="BL160" s="345" t="str">
        <f>IF(_xlfn.XLOOKUP($E160,'[1]Import Eletra'!$B:$B,'[1]Import Eletra'!$AY:$AY,,0,1)=0,"",_xlfn.XLOOKUP($E160,'[1]Import Eletra'!$B:$B,'[1]Import Eletra'!$AY:$AY,,0,1))</f>
        <v/>
      </c>
      <c r="BM160" s="309">
        <f t="shared" si="387"/>
        <v>0</v>
      </c>
      <c r="BN160" s="309">
        <f t="shared" ca="1" si="509"/>
        <v>115</v>
      </c>
      <c r="BO160" s="310">
        <f t="shared" ca="1" si="510"/>
        <v>115</v>
      </c>
      <c r="BP160" s="336">
        <f t="shared" si="511"/>
        <v>46096</v>
      </c>
      <c r="BQ160" s="345" t="str">
        <f>IF(_xlfn.XLOOKUP($E160,'[1]Import Eletra'!$B:$B,'[1]Import Eletra'!$AZ:$AZ,,0,1)=0,"",_xlfn.XLOOKUP($E160,'[1]Import Eletra'!$B:$B,'[1]Import Eletra'!$AZ:$AZ,,0,1))</f>
        <v/>
      </c>
      <c r="BR160" s="309">
        <f t="shared" si="391"/>
        <v>0</v>
      </c>
      <c r="BS160" s="309">
        <f t="shared" ca="1" si="512"/>
        <v>115</v>
      </c>
      <c r="BT160" s="310">
        <f t="shared" ca="1" si="513"/>
        <v>115</v>
      </c>
      <c r="BU160" s="363">
        <f t="shared" si="514"/>
        <v>46098</v>
      </c>
      <c r="BV160" s="345">
        <f>IF(_xlfn.XLOOKUP($E160,'[1]Import Eletra'!$B:$B,'[1]Import Eletra'!$BA:$BA,,0,1)=0,"",_xlfn.XLOOKUP($E160,'[1]Import Eletra'!$B:$B,'[1]Import Eletra'!$BA:$BA,,0,1))</f>
        <v>46098</v>
      </c>
      <c r="BW160" s="309">
        <f t="shared" si="395"/>
        <v>2</v>
      </c>
      <c r="BX160" s="309">
        <f t="shared" ca="1" si="515"/>
        <v>0</v>
      </c>
      <c r="BY160" s="310" t="str">
        <f t="shared" ca="1" si="397"/>
        <v/>
      </c>
      <c r="BZ160" s="336">
        <f t="shared" si="516"/>
        <v>46098</v>
      </c>
      <c r="CA160" s="345">
        <f>IF(_xlfn.XLOOKUP($E160,'[1]Import Eletra'!$B:$B,'[1]Import Eletra'!$BB:$BB,,0,1)=0,"",_xlfn.XLOOKUP($E160,'[1]Import Eletra'!$B:$B,'[1]Import Eletra'!$BB:$BB,,0,1))</f>
        <v>46098</v>
      </c>
      <c r="CB160" s="309">
        <f t="shared" si="399"/>
        <v>0</v>
      </c>
      <c r="CC160" s="309">
        <f t="shared" ca="1" si="517"/>
        <v>0</v>
      </c>
      <c r="CD160" s="310">
        <f t="shared" ca="1" si="518"/>
        <v>0</v>
      </c>
      <c r="CE160" s="363">
        <f t="shared" si="519"/>
        <v>46098</v>
      </c>
      <c r="CF160" s="345">
        <f>IF(_xlfn.XLOOKUP($E160,'[1]Import Eletra'!$B:$B,'[1]Import Eletra'!$BC:$BC,,0,1)=0,"",_xlfn.XLOOKUP($E160,'[1]Import Eletra'!$B:$B,'[1]Import Eletra'!$BC:$BC,,0,1))</f>
        <v>46101</v>
      </c>
      <c r="CG160" s="309">
        <f t="shared" si="403"/>
        <v>0</v>
      </c>
      <c r="CH160" s="309">
        <f t="shared" ca="1" si="520"/>
        <v>3</v>
      </c>
      <c r="CI160" s="310">
        <f t="shared" ca="1" si="521"/>
        <v>3</v>
      </c>
      <c r="CJ160" s="336">
        <f t="shared" si="522"/>
        <v>46098</v>
      </c>
      <c r="CK160" s="345">
        <f>IF(_xlfn.XLOOKUP($E160,'[1]Import Eletra'!$B:$B,'[1]Import Eletra'!$BD:$BD,,0,1)=0,"",_xlfn.XLOOKUP($E160,'[1]Import Eletra'!$B:$B,'[1]Import Eletra'!$BD:$BD,,0,1))</f>
        <v>46098</v>
      </c>
      <c r="CL160" s="309"/>
      <c r="CM160" s="309">
        <f t="shared" ca="1" si="523"/>
        <v>0</v>
      </c>
      <c r="CN160" s="310">
        <f t="shared" ca="1" si="524"/>
        <v>0</v>
      </c>
      <c r="CO160" s="363">
        <f t="shared" si="525"/>
        <v>46098</v>
      </c>
      <c r="CP160" s="345">
        <f>IF(_xlfn.XLOOKUP($E160,'[1]Import Eletra'!$B:$B,'[1]Import Eletra'!$BE:$BE,,0,1)=0,"",_xlfn.XLOOKUP($E160,'[1]Import Eletra'!$B:$B,'[1]Import Eletra'!$BE:$BE,,0,1))</f>
        <v>46101</v>
      </c>
      <c r="CQ160" s="309">
        <f t="shared" si="410"/>
        <v>0</v>
      </c>
      <c r="CR160" s="309">
        <f t="shared" ca="1" si="526"/>
        <v>3</v>
      </c>
      <c r="CS160" s="310">
        <f t="shared" ca="1" si="527"/>
        <v>3</v>
      </c>
      <c r="CT160" s="336">
        <f t="shared" si="528"/>
        <v>46098</v>
      </c>
      <c r="CU160" s="345">
        <f>IF(_xlfn.XLOOKUP($E160,'[1]Import Eletra'!$B:$B,'[1]Import Eletra'!$BF:$BF,,0,1)=0,"",_xlfn.XLOOKUP($E160,'[1]Import Eletra'!$B:$B,'[1]Import Eletra'!$BF:$BF,,0,1))</f>
        <v>46101</v>
      </c>
      <c r="CV160" s="309">
        <f t="shared" si="414"/>
        <v>0</v>
      </c>
      <c r="CW160" s="309">
        <f t="shared" ca="1" si="529"/>
        <v>3</v>
      </c>
      <c r="CX160" s="310">
        <f t="shared" ca="1" si="530"/>
        <v>3</v>
      </c>
      <c r="CY160" s="85">
        <f t="shared" si="531"/>
        <v>46098</v>
      </c>
      <c r="CZ160" s="271">
        <f>IF(_xlfn.XLOOKUP($E160,'[1]Import Eletra'!$B:$B,'[1]Import Eletra'!$BF:$BF,,0,1)=0,"",_xlfn.XLOOKUP($E160,'[1]Import Eletra'!$B:$B,'[1]Import Eletra'!$BF:$BF,,0,1))</f>
        <v>46101</v>
      </c>
      <c r="DA160" s="311">
        <f t="shared" si="418"/>
        <v>0</v>
      </c>
      <c r="DB160" s="309">
        <f t="shared" ca="1" si="532"/>
        <v>3</v>
      </c>
      <c r="DC160" s="310">
        <f t="shared" ca="1" si="533"/>
        <v>3</v>
      </c>
      <c r="DD160" s="85">
        <f t="shared" si="534"/>
        <v>46100</v>
      </c>
      <c r="DE160" s="271">
        <f>IF(_xlfn.XLOOKUP($E160,'[1]Import Eletra'!$B:$B,'[1]Import Eletra'!$BG:$BG,,0,1)=0,"",_xlfn.XLOOKUP($E160,'[1]Import Eletra'!$B:$B,'[1]Import Eletra'!$BG:$BG,0,1))</f>
        <v>46104</v>
      </c>
      <c r="DF160" s="309">
        <f t="shared" si="422"/>
        <v>2</v>
      </c>
      <c r="DG160" s="309">
        <f t="shared" ca="1" si="535"/>
        <v>4</v>
      </c>
      <c r="DH160" s="310">
        <f t="shared" ca="1" si="536"/>
        <v>2</v>
      </c>
      <c r="DI160" s="85">
        <f t="shared" si="537"/>
        <v>46101</v>
      </c>
      <c r="DJ160" s="271">
        <f>IF(_xlfn.XLOOKUP($E160,'[1]Import Eletra'!$B:$B,'[1]Import Eletra'!$BH:$BH,,0,1)=0,"",_xlfn.XLOOKUP($E160,'[1]Import Eletra'!$B:$B,'[1]Import Eletra'!$BH:$BH,0,1))</f>
        <v>46101</v>
      </c>
      <c r="DK160" s="309">
        <f t="shared" si="426"/>
        <v>1</v>
      </c>
      <c r="DL160" s="309">
        <f t="shared" ca="1" si="538"/>
        <v>0</v>
      </c>
      <c r="DM160" s="310">
        <f t="shared" ca="1" si="539"/>
        <v>-1</v>
      </c>
      <c r="DN160" s="312"/>
      <c r="DO160" s="313">
        <f t="shared" si="540"/>
        <v>46102</v>
      </c>
      <c r="DP160" s="59">
        <f>IF(_xlfn.XLOOKUP($E160,'[1]Import Eletra'!$B:$B,'[1]Import Eletra'!$O:$O,,0,1)=0,"",_xlfn.XLOOKUP($E160,'[1]Import Eletra'!$B:$B,'[1]Import Eletra'!$O:$O,0,1))</f>
        <v>46101</v>
      </c>
      <c r="DQ160" s="309">
        <f t="shared" si="430"/>
        <v>1</v>
      </c>
      <c r="DR160" s="309">
        <f t="shared" ca="1" si="541"/>
        <v>-1</v>
      </c>
      <c r="DS160" s="310">
        <f t="shared" ca="1" si="542"/>
        <v>-2</v>
      </c>
      <c r="DT160" s="314">
        <v>17</v>
      </c>
      <c r="DU160" s="140">
        <f t="shared" ca="1" si="543"/>
        <v>10</v>
      </c>
      <c r="DV160" s="184">
        <f t="shared" ca="1" si="544"/>
        <v>-7</v>
      </c>
      <c r="DX160" s="316"/>
      <c r="DY160" s="108" t="str">
        <f>IF(_xlfn.XLOOKUP($E160,'[1]Import Eletra'!$B:$B,'[1]Import Eletra'!$DW:$DW,,0,1)=0,"",_xlfn.XLOOKUP($E160,'[1]Import Eletra'!$B:$B,'[1]Import Eletra'!$DW:$DW,0,1))</f>
        <v/>
      </c>
      <c r="EB160" s="317"/>
      <c r="ED160" s="406" t="str">
        <f>IF(_xlfn.XLOOKUP($E160,'[1]Import Eletra'!$B:$B,'[1]Import Eletra'!$BQ:$BQ,,0,1)=0,"",_xlfn.XLOOKUP($E160,'[1]Import Eletra'!$B:$B,'[1]Import Eletra'!$BQ:$BQ,0,1))</f>
        <v/>
      </c>
      <c r="EE160" s="407" t="str">
        <f>IF(_xlfn.XLOOKUP($E160,'[1]Import Eletra'!$B:$B,'[1]Import Eletra'!$BR:$BR,,0,1)=0,"",_xlfn.XLOOKUP($E160,'[1]Import Eletra'!$B:$B,'[1]Import Eletra'!$BR:$BR,0,1))</f>
        <v/>
      </c>
      <c r="EF160" s="406" t="str">
        <f>IF(_xlfn.XLOOKUP($E160,'[1]Import Eletra'!$B:$B,'[1]Import Eletra'!$BS:$BS,,0,1)=0,"",_xlfn.XLOOKUP($E160,'[1]Import Eletra'!$B:$B,'[1]Import Eletra'!$BS:$BS,0,1))</f>
        <v/>
      </c>
      <c r="EG160" s="407" t="str">
        <f>IF(_xlfn.XLOOKUP($E160,'[1]Import Eletra'!$B:$B,'[1]Import Eletra'!$BT:$BT,,0,1)=0,"",_xlfn.XLOOKUP($E160,'[1]Import Eletra'!$B:$B,'[1]Import Eletra'!$BT:$BT,0,1))</f>
        <v/>
      </c>
      <c r="EH160" s="406" t="str">
        <f>IF(_xlfn.XLOOKUP($E160,'[1]Import Eletra'!$B:$B,'[1]Import Eletra'!$BU:$BU,,0,1)=0,"",_xlfn.XLOOKUP($E160,'[1]Import Eletra'!$B:$B,'[1]Import Eletra'!$BU:$BU,0,1))</f>
        <v/>
      </c>
      <c r="EI160" s="407" t="str">
        <f>IF(_xlfn.XLOOKUP($E160,'[1]Import Eletra'!$B:$B,'[1]Import Eletra'!$BV:$BV,,0,1)=0,"",_xlfn.XLOOKUP($E160,'[1]Import Eletra'!$B:$B,'[1]Import Eletra'!$BV:$BV,0,1))</f>
        <v/>
      </c>
      <c r="EJ160" s="407">
        <f>IF(_xlfn.XLOOKUP($E160,'[1]Import Eletra'!$B:$B,'[1]Import Eletra'!$CI:$CI,,0,1)=0,"",_xlfn.XLOOKUP($E160,'[1]Import Eletra'!$B:$B,'[1]Import Eletra'!$CI:$CI,0,1))</f>
        <v>46109</v>
      </c>
      <c r="EK160" s="407" t="str">
        <f>IF(_xlfn.XLOOKUP($E160,'[1]Import Eletra'!$B:$B,'[1]Import Eletra'!$CD:$CD,,0,1)=0,"",_xlfn.XLOOKUP($E160,'[1]Import Eletra'!$B:$B,'[1]Import Eletra'!$CD:$CD,0,1))</f>
        <v/>
      </c>
      <c r="EL160" s="407" t="str">
        <f>IF(_xlfn.XLOOKUP($E160,'[1]Import Eletra'!$B:$B,'[1]Import Eletra'!$CE:$CE,,0,1)=0,"",_xlfn.XLOOKUP($E160,'[1]Import Eletra'!$B:$B,'[1]Import Eletra'!$CE:$CE,0,1))</f>
        <v>NÃO</v>
      </c>
      <c r="EM160" s="408" t="str">
        <f>IF(_xlfn.XLOOKUP($E160,'[1]Import Eletra'!$B:$B,'[1]Import Eletra'!$E:$E,,0,1)=0,"",_xlfn.XLOOKUP($E160,'[1]Import Eletra'!$B:$B,'[1]Import Eletra'!$E:$E,0,1))</f>
        <v>CATARINA</v>
      </c>
      <c r="EN160" s="408" t="str">
        <f>IF(_xlfn.XLOOKUP($E160,'[1]Import Eletra'!$B:$B,'[1]Import Eletra'!$E:$E,,0,1)=0,"",_xlfn.XLOOKUP($E160,'[1]Import Eletra'!$B:$B,'[1]Import Eletra'!$E:$E,0,1))</f>
        <v>CATARINA</v>
      </c>
      <c r="EO160" s="408" t="str">
        <f>IF(_xlfn.XLOOKUP($E160,'[1]Import Eletra'!$B:$B,'[1]Import Eletra'!$E:$E,,0,1)=0,"",_xlfn.XLOOKUP($E160,'[1]Import Eletra'!$B:$B,'[1]Import Eletra'!$E:$E,0,1))</f>
        <v>CATARINA</v>
      </c>
      <c r="EP160" s="408" t="str">
        <f>IF(_xlfn.XLOOKUP($E160,'[1]Import Eletra'!$B:$B,'[1]Import Eletra'!$E:$E,,0,1)=0,"",_xlfn.XLOOKUP($E160,'[1]Import Eletra'!$B:$B,'[1]Import Eletra'!$E:$E,0,1))</f>
        <v>CATARINA</v>
      </c>
    </row>
    <row r="161" spans="1:146" s="315" customFormat="1" ht="30" hidden="1" customHeight="1" outlineLevel="1">
      <c r="A161" s="305"/>
      <c r="B161" s="306"/>
      <c r="C161" s="306"/>
      <c r="D161" s="306"/>
      <c r="E161" s="367" t="s">
        <v>457</v>
      </c>
      <c r="F161" s="307">
        <f>IF(_xlfn.XLOOKUP($E161,'[1]Import Eletra'!$B:$B,'[1]Import Eletra'!$U:$U,,0,1)=0,"",_xlfn.XLOOKUP($E161,'[1]Import Eletra'!$B:$B,'[1]Import Eletra'!$U:$U,,0,1))</f>
        <v>1</v>
      </c>
      <c r="G161" s="320" t="s">
        <v>244</v>
      </c>
      <c r="H161" s="59" t="str">
        <f>_xlfn.XLOOKUP($E161,'[1]Import Eletra'!$B:$B,'[1]Import Eletra'!$F:$F,,0,1)</f>
        <v>DELIVERED</v>
      </c>
      <c r="I161" s="4" t="str">
        <f>_xlfn.XLOOKUP($E161,'[1]Import Eletra'!$B:$B,'[1]Import Eletra'!$G:$G,,0,1)</f>
        <v>SEA</v>
      </c>
      <c r="J161" s="331"/>
      <c r="K161" s="308"/>
      <c r="L161" s="308"/>
      <c r="M161" s="331">
        <f>IF(_xlfn.XLOOKUP($E161,'[1]Import Eletra'!$B:$B,'[1]Import Eletra'!$J:$J,,0,1)=0,"",_xlfn.XLOOKUP($E161,'[1]Import Eletra'!$B:$B,'[1]Import Eletra'!$J:$J,,0,1))</f>
        <v>46028</v>
      </c>
      <c r="N161" s="334">
        <f>IF(_xlfn.XLOOKUP($E161,'[1]Import Eletra'!$B:$B,'[1]Import Eletra'!$L:$L,,0,1)=0,"",_xlfn.XLOOKUP($E161,'[1]Import Eletra'!$B:$B,'[1]Import Eletra'!$L:$L,,0,1))</f>
        <v>46091</v>
      </c>
      <c r="O161" s="336">
        <f>IF(_xlfn.XLOOKUP($E161,'[1]Import Eletra'!$B:$B,'[1]Import Eletra'!$AK:$AK,,0,1)=0,"",_xlfn.XLOOKUP($E161,'[1]Import Eletra'!$B:$B,'[1]Import Eletra'!$AK:$AK,,0,1))</f>
        <v>46051</v>
      </c>
      <c r="P161" s="331">
        <f>IF(_xlfn.XLOOKUP($E161,'[1]Import Eletra'!$B:$B,'[1]Import Eletra'!$AL:$AL,,0,1)=0,"",_xlfn.XLOOKUP($E161,'[1]Import Eletra'!$B:$B,'[1]Import Eletra'!$AL:$AL,,0,1))</f>
        <v>46080</v>
      </c>
      <c r="Q161" s="331">
        <f>IF(_xlfn.XLOOKUP($E161,'[1]Import Eletra'!$B:$B,'[1]Import Eletra'!$AM:$AM,,0,1)=0,"",_xlfn.XLOOKUP($E161,'[1]Import Eletra'!$B:$B,'[1]Import Eletra'!$AM:$AM,,0,1))</f>
        <v>46091</v>
      </c>
      <c r="R161" s="331">
        <f>IF(_xlfn.XLOOKUP($E161,'[1]Import Eletra'!$B:$B,'[1]Import Eletra'!$AN:$AN,,0,1)=0,"",_xlfn.XLOOKUP($E161,'[1]Import Eletra'!$B:$B,'[1]Import Eletra'!$AN:$AN,,0,1))</f>
        <v>46091</v>
      </c>
      <c r="S161" s="331" t="str">
        <f>IF(_xlfn.XLOOKUP($E161,'[1]Import Eletra'!$B:$B,'[1]Import Eletra'!$AO:$AO,,0,1)=0,"",_xlfn.XLOOKUP($E161,'[1]Import Eletra'!$B:$B,'[1]Import Eletra'!$AO:$AO,,0,1))</f>
        <v/>
      </c>
      <c r="T161" s="331" t="str">
        <f>IF(_xlfn.XLOOKUP($E161,'[1]Import Eletra'!$B:$B,'[1]Import Eletra'!$AP:$AP,,0,1)=0,"",_xlfn.XLOOKUP($E161,'[1]Import Eletra'!$B:$B,'[1]Import Eletra'!$AP:$AP,,0,1))</f>
        <v/>
      </c>
      <c r="U161" s="338" t="str">
        <f>IF(_xlfn.XLOOKUP($E161,'[1]Import Eletra'!$B:$B,'[1]Import Eletra'!$AQ:$AQ,,0,1)=0,"",_xlfn.XLOOKUP($E161,'[1]Import Eletra'!$B:$B,'[1]Import Eletra'!$AQ:$AQ,,0,1))</f>
        <v/>
      </c>
      <c r="V161" s="343" t="str">
        <f>IF(_xlfn.XLOOKUP($E161,'[1]Import Eletra'!$B:$B,'[1]Import Eletra'!$AQ:$AQ,,0,1)=0,"",_xlfn.XLOOKUP($E161,'[1]Import Eletra'!$B:$B,'[1]Import Eletra'!$AQ:$AQ,,0,1))</f>
        <v/>
      </c>
      <c r="W161" s="336">
        <f t="shared" si="490"/>
        <v>46101</v>
      </c>
      <c r="X161" s="345">
        <f>IF(_xlfn.XLOOKUP($E161,'[1]Import Eletra'!$B:$B,'[1]Import Eletra'!$AR:$AR,,0,1)=0,"",_xlfn.XLOOKUP($E161,'[1]Import Eletra'!$B:$B,'[1]Import Eletra'!$AR:$AR,,0,1))</f>
        <v>46091</v>
      </c>
      <c r="Y161" s="309">
        <f t="shared" si="355"/>
        <v>0</v>
      </c>
      <c r="Z161" s="309">
        <f t="shared" ca="1" si="491"/>
        <v>-10</v>
      </c>
      <c r="AA161" s="310" t="str">
        <f t="shared" ca="1" si="357"/>
        <v/>
      </c>
      <c r="AB161" s="350">
        <f t="shared" si="492"/>
        <v>46101</v>
      </c>
      <c r="AC161" s="345">
        <f>IF(_xlfn.XLOOKUP($E161,'[1]Import Eletra'!$B:$B,'[1]Import Eletra'!$AD:$AD,,0,1)=0,"",_xlfn.XLOOKUP($E161,'[1]Import Eletra'!$B:$B,'[1]Import Eletra'!$AD:$AD,,0,1))</f>
        <v>46094</v>
      </c>
      <c r="AD161" s="309">
        <f t="shared" si="359"/>
        <v>0</v>
      </c>
      <c r="AE161" s="309">
        <f t="shared" ca="1" si="493"/>
        <v>-7</v>
      </c>
      <c r="AF161" s="310">
        <f t="shared" ca="1" si="494"/>
        <v>-7</v>
      </c>
      <c r="AG161" s="356">
        <f t="shared" si="495"/>
        <v>46101</v>
      </c>
      <c r="AH161" s="345">
        <f>IF(_xlfn.XLOOKUP($E161,'[1]Import Eletra'!$B:$B,'[1]Import Eletra'!$AE:$AE,,0,1)=0,"",_xlfn.XLOOKUP($E161,'[1]Import Eletra'!$B:$B,'[1]Import Eletra'!$AE:$AE,,0,1))</f>
        <v>46094</v>
      </c>
      <c r="AI161" s="309">
        <f t="shared" si="363"/>
        <v>0</v>
      </c>
      <c r="AJ161" s="309">
        <f t="shared" ca="1" si="496"/>
        <v>-7</v>
      </c>
      <c r="AK161" s="310" t="str">
        <f t="shared" ca="1" si="365"/>
        <v/>
      </c>
      <c r="AL161" s="356">
        <f t="shared" si="497"/>
        <v>46101</v>
      </c>
      <c r="AM161" s="345" t="str">
        <f>IF(_xlfn.XLOOKUP($E161,'[1]Import Eletra'!$B:$B,'[1]Import Eletra'!$AT:$AT,,0,1)=0,"",_xlfn.XLOOKUP($E161,'[1]Import Eletra'!$B:$B,'[1]Import Eletra'!$AT:$AT,,0,1))</f>
        <v/>
      </c>
      <c r="AN161" s="309">
        <f t="shared" si="367"/>
        <v>0</v>
      </c>
      <c r="AO161" s="309">
        <f t="shared" ca="1" si="498"/>
        <v>110</v>
      </c>
      <c r="AP161" s="310">
        <f t="shared" ca="1" si="369"/>
        <v>110</v>
      </c>
      <c r="AQ161" s="359">
        <f t="shared" si="499"/>
        <v>46102</v>
      </c>
      <c r="AR161" s="345" t="str">
        <f>IF(_xlfn.XLOOKUP($E161,'[1]Import Eletra'!$B:$B,'[1]Import Eletra'!$AU:$AU,,0,1)=0,"",_xlfn.XLOOKUP($E161,'[1]Import Eletra'!$B:$B,'[1]Import Eletra'!$AU:$AU,,0,1))</f>
        <v/>
      </c>
      <c r="AS161" s="309">
        <f t="shared" si="371"/>
        <v>1</v>
      </c>
      <c r="AT161" s="309">
        <f t="shared" ca="1" si="500"/>
        <v>109</v>
      </c>
      <c r="AU161" s="310">
        <f t="shared" ca="1" si="373"/>
        <v>108</v>
      </c>
      <c r="AV161" s="356">
        <f t="shared" si="501"/>
        <v>46102</v>
      </c>
      <c r="AW161" s="345" t="str">
        <f>IF(_xlfn.XLOOKUP($E161,'[1]Import Eletra'!$B:$B,'[1]Import Eletra'!$AU:$AU,,0,1)=0,"",_xlfn.XLOOKUP($E161,'[1]Import Eletra'!$B:$B,'[1]Import Eletra'!$AU:$AU,,0,1))</f>
        <v/>
      </c>
      <c r="AX161" s="309">
        <f t="shared" si="375"/>
        <v>0</v>
      </c>
      <c r="AY161" s="309">
        <f t="shared" ca="1" si="502"/>
        <v>109</v>
      </c>
      <c r="AZ161" s="310">
        <f t="shared" ca="1" si="377"/>
        <v>109</v>
      </c>
      <c r="BA161" s="359">
        <f t="shared" si="503"/>
        <v>46102</v>
      </c>
      <c r="BB161" s="345" t="str">
        <f>IF(_xlfn.XLOOKUP($E161,'[1]Import Eletra'!$B:$B,'[1]Import Eletra'!$AW:$AW,,0,1)=0,"",_xlfn.XLOOKUP($E161,'[1]Import Eletra'!$B:$B,'[1]Import Eletra'!$AW:$AW,,0,1))</f>
        <v/>
      </c>
      <c r="BC161" s="309">
        <f t="shared" si="379"/>
        <v>0</v>
      </c>
      <c r="BD161" s="309">
        <f t="shared" ca="1" si="504"/>
        <v>109</v>
      </c>
      <c r="BE161" s="310">
        <f t="shared" ca="1" si="505"/>
        <v>109</v>
      </c>
      <c r="BF161" s="336">
        <f t="shared" si="506"/>
        <v>46102</v>
      </c>
      <c r="BG161" s="345" t="str">
        <f>IF(_xlfn.XLOOKUP($E161,'[1]Import Eletra'!$B:$B,'[1]Import Eletra'!$AX:$AX,,0,1)=0,"",_xlfn.XLOOKUP($E161,'[1]Import Eletra'!$B:$B,'[1]Import Eletra'!$AX:$AX,,0,1))</f>
        <v/>
      </c>
      <c r="BH161" s="309">
        <f t="shared" si="383"/>
        <v>0</v>
      </c>
      <c r="BI161" s="309">
        <f t="shared" ca="1" si="507"/>
        <v>109</v>
      </c>
      <c r="BJ161" s="310">
        <f t="shared" ca="1" si="385"/>
        <v>109</v>
      </c>
      <c r="BK161" s="363">
        <f t="shared" si="508"/>
        <v>46102</v>
      </c>
      <c r="BL161" s="345" t="str">
        <f>IF(_xlfn.XLOOKUP($E161,'[1]Import Eletra'!$B:$B,'[1]Import Eletra'!$AY:$AY,,0,1)=0,"",_xlfn.XLOOKUP($E161,'[1]Import Eletra'!$B:$B,'[1]Import Eletra'!$AY:$AY,,0,1))</f>
        <v/>
      </c>
      <c r="BM161" s="309">
        <f t="shared" si="387"/>
        <v>0</v>
      </c>
      <c r="BN161" s="309">
        <f t="shared" ca="1" si="509"/>
        <v>109</v>
      </c>
      <c r="BO161" s="310">
        <f t="shared" ca="1" si="510"/>
        <v>109</v>
      </c>
      <c r="BP161" s="336">
        <f t="shared" si="511"/>
        <v>46102</v>
      </c>
      <c r="BQ161" s="345" t="str">
        <f>IF(_xlfn.XLOOKUP($E161,'[1]Import Eletra'!$B:$B,'[1]Import Eletra'!$AZ:$AZ,,0,1)=0,"",_xlfn.XLOOKUP($E161,'[1]Import Eletra'!$B:$B,'[1]Import Eletra'!$AZ:$AZ,,0,1))</f>
        <v/>
      </c>
      <c r="BR161" s="309">
        <f t="shared" si="391"/>
        <v>0</v>
      </c>
      <c r="BS161" s="309">
        <f t="shared" ca="1" si="512"/>
        <v>109</v>
      </c>
      <c r="BT161" s="310">
        <f t="shared" ca="1" si="513"/>
        <v>109</v>
      </c>
      <c r="BU161" s="363">
        <f t="shared" si="514"/>
        <v>46104</v>
      </c>
      <c r="BV161" s="345" t="str">
        <f>IF(_xlfn.XLOOKUP($E161,'[1]Import Eletra'!$B:$B,'[1]Import Eletra'!$BA:$BA,,0,1)=0,"",_xlfn.XLOOKUP($E161,'[1]Import Eletra'!$B:$B,'[1]Import Eletra'!$BA:$BA,,0,1))</f>
        <v/>
      </c>
      <c r="BW161" s="309">
        <f t="shared" si="395"/>
        <v>2</v>
      </c>
      <c r="BX161" s="309">
        <f t="shared" ca="1" si="515"/>
        <v>107</v>
      </c>
      <c r="BY161" s="310">
        <f t="shared" ca="1" si="397"/>
        <v>105</v>
      </c>
      <c r="BZ161" s="336">
        <f t="shared" si="516"/>
        <v>46104</v>
      </c>
      <c r="CA161" s="345" t="str">
        <f>IF(_xlfn.XLOOKUP($E161,'[1]Import Eletra'!$B:$B,'[1]Import Eletra'!$BB:$BB,,0,1)=0,"",_xlfn.XLOOKUP($E161,'[1]Import Eletra'!$B:$B,'[1]Import Eletra'!$BB:$BB,,0,1))</f>
        <v/>
      </c>
      <c r="CB161" s="309">
        <f t="shared" si="399"/>
        <v>0</v>
      </c>
      <c r="CC161" s="309">
        <f t="shared" ca="1" si="517"/>
        <v>107</v>
      </c>
      <c r="CD161" s="310">
        <f t="shared" ca="1" si="518"/>
        <v>107</v>
      </c>
      <c r="CE161" s="363">
        <f t="shared" si="519"/>
        <v>46104</v>
      </c>
      <c r="CF161" s="345" t="str">
        <f>IF(_xlfn.XLOOKUP($E161,'[1]Import Eletra'!$B:$B,'[1]Import Eletra'!$BC:$BC,,0,1)=0,"",_xlfn.XLOOKUP($E161,'[1]Import Eletra'!$B:$B,'[1]Import Eletra'!$BC:$BC,,0,1))</f>
        <v/>
      </c>
      <c r="CG161" s="309">
        <f t="shared" si="403"/>
        <v>0</v>
      </c>
      <c r="CH161" s="309">
        <f t="shared" ca="1" si="520"/>
        <v>107</v>
      </c>
      <c r="CI161" s="310">
        <f t="shared" ca="1" si="521"/>
        <v>107</v>
      </c>
      <c r="CJ161" s="336">
        <f t="shared" si="522"/>
        <v>46104</v>
      </c>
      <c r="CK161" s="345" t="str">
        <f>IF(_xlfn.XLOOKUP($E161,'[1]Import Eletra'!$B:$B,'[1]Import Eletra'!$BD:$BD,,0,1)=0,"",_xlfn.XLOOKUP($E161,'[1]Import Eletra'!$B:$B,'[1]Import Eletra'!$BD:$BD,,0,1))</f>
        <v/>
      </c>
      <c r="CL161" s="309"/>
      <c r="CM161" s="309">
        <f t="shared" ca="1" si="523"/>
        <v>107</v>
      </c>
      <c r="CN161" s="310">
        <f t="shared" ca="1" si="524"/>
        <v>107</v>
      </c>
      <c r="CO161" s="363">
        <f t="shared" si="525"/>
        <v>46104</v>
      </c>
      <c r="CP161" s="345" t="str">
        <f>IF(_xlfn.XLOOKUP($E161,'[1]Import Eletra'!$B:$B,'[1]Import Eletra'!$BE:$BE,,0,1)=0,"",_xlfn.XLOOKUP($E161,'[1]Import Eletra'!$B:$B,'[1]Import Eletra'!$BE:$BE,,0,1))</f>
        <v/>
      </c>
      <c r="CQ161" s="309">
        <f t="shared" si="410"/>
        <v>0</v>
      </c>
      <c r="CR161" s="309">
        <f t="shared" ca="1" si="526"/>
        <v>107</v>
      </c>
      <c r="CS161" s="310">
        <f t="shared" ca="1" si="527"/>
        <v>107</v>
      </c>
      <c r="CT161" s="336">
        <f t="shared" si="528"/>
        <v>46104</v>
      </c>
      <c r="CU161" s="345" t="str">
        <f>IF(_xlfn.XLOOKUP($E161,'[1]Import Eletra'!$B:$B,'[1]Import Eletra'!$BF:$BF,,0,1)=0,"",_xlfn.XLOOKUP($E161,'[1]Import Eletra'!$B:$B,'[1]Import Eletra'!$BF:$BF,,0,1))</f>
        <v/>
      </c>
      <c r="CV161" s="309">
        <f t="shared" si="414"/>
        <v>0</v>
      </c>
      <c r="CW161" s="309">
        <f t="shared" ca="1" si="529"/>
        <v>107</v>
      </c>
      <c r="CX161" s="310">
        <f t="shared" ca="1" si="530"/>
        <v>107</v>
      </c>
      <c r="CY161" s="85">
        <f t="shared" si="531"/>
        <v>46104</v>
      </c>
      <c r="CZ161" s="271" t="str">
        <f>IF(_xlfn.XLOOKUP($E161,'[1]Import Eletra'!$B:$B,'[1]Import Eletra'!$BF:$BF,,0,1)=0,"",_xlfn.XLOOKUP($E161,'[1]Import Eletra'!$B:$B,'[1]Import Eletra'!$BF:$BF,,0,1))</f>
        <v/>
      </c>
      <c r="DA161" s="311">
        <f t="shared" si="418"/>
        <v>0</v>
      </c>
      <c r="DB161" s="309">
        <f t="shared" ca="1" si="532"/>
        <v>107</v>
      </c>
      <c r="DC161" s="310">
        <f t="shared" ca="1" si="533"/>
        <v>107</v>
      </c>
      <c r="DD161" s="85">
        <f t="shared" si="534"/>
        <v>46106</v>
      </c>
      <c r="DE161" s="271" t="str">
        <f>IF(_xlfn.XLOOKUP($E161,'[1]Import Eletra'!$B:$B,'[1]Import Eletra'!$BG:$BG,,0,1)=0,"",_xlfn.XLOOKUP($E161,'[1]Import Eletra'!$B:$B,'[1]Import Eletra'!$BG:$BG,0,1))</f>
        <v/>
      </c>
      <c r="DF161" s="309">
        <f t="shared" si="422"/>
        <v>2</v>
      </c>
      <c r="DG161" s="309">
        <f t="shared" ca="1" si="535"/>
        <v>105</v>
      </c>
      <c r="DH161" s="310">
        <f t="shared" ca="1" si="536"/>
        <v>103</v>
      </c>
      <c r="DI161" s="85">
        <f t="shared" si="537"/>
        <v>46107</v>
      </c>
      <c r="DJ161" s="271">
        <f>IF(_xlfn.XLOOKUP($E161,'[1]Import Eletra'!$B:$B,'[1]Import Eletra'!$BH:$BH,,0,1)=0,"",_xlfn.XLOOKUP($E161,'[1]Import Eletra'!$B:$B,'[1]Import Eletra'!$BH:$BH,0,1))</f>
        <v>46107</v>
      </c>
      <c r="DK161" s="309">
        <f t="shared" si="426"/>
        <v>1</v>
      </c>
      <c r="DL161" s="309">
        <f t="shared" ca="1" si="538"/>
        <v>0</v>
      </c>
      <c r="DM161" s="310">
        <f t="shared" ca="1" si="539"/>
        <v>-1</v>
      </c>
      <c r="DN161" s="312"/>
      <c r="DO161" s="313">
        <f t="shared" si="540"/>
        <v>46108</v>
      </c>
      <c r="DP161" s="59">
        <f>IF(_xlfn.XLOOKUP($E161,'[1]Import Eletra'!$B:$B,'[1]Import Eletra'!$O:$O,,0,1)=0,"",_xlfn.XLOOKUP($E161,'[1]Import Eletra'!$B:$B,'[1]Import Eletra'!$O:$O,0,1))</f>
        <v>46108</v>
      </c>
      <c r="DQ161" s="309">
        <f t="shared" si="430"/>
        <v>1</v>
      </c>
      <c r="DR161" s="309">
        <f t="shared" ca="1" si="541"/>
        <v>0</v>
      </c>
      <c r="DS161" s="310">
        <f t="shared" ca="1" si="542"/>
        <v>-1</v>
      </c>
      <c r="DT161" s="314">
        <v>17</v>
      </c>
      <c r="DU161" s="140">
        <f t="shared" ca="1" si="543"/>
        <v>17</v>
      </c>
      <c r="DV161" s="184">
        <f t="shared" ca="1" si="544"/>
        <v>0</v>
      </c>
      <c r="DX161" s="316"/>
      <c r="DY161" s="108" t="str">
        <f>IF(_xlfn.XLOOKUP($E161,'[1]Import Eletra'!$B:$B,'[1]Import Eletra'!$DW:$DW,,0,1)=0,"",_xlfn.XLOOKUP($E161,'[1]Import Eletra'!$B:$B,'[1]Import Eletra'!$DW:$DW,0,1))</f>
        <v/>
      </c>
      <c r="EB161" s="317"/>
      <c r="ED161" s="406">
        <f>IF(_xlfn.XLOOKUP($E161,'[1]Import Eletra'!$B:$B,'[1]Import Eletra'!$BQ:$BQ,,0,1)=0,"",_xlfn.XLOOKUP($E161,'[1]Import Eletra'!$B:$B,'[1]Import Eletra'!$BQ:$BQ,0,1))</f>
        <v>545.45000000000005</v>
      </c>
      <c r="EE161" s="407">
        <f>IF(_xlfn.XLOOKUP($E161,'[1]Import Eletra'!$B:$B,'[1]Import Eletra'!$BR:$BR,,0,1)=0,"",_xlfn.XLOOKUP($E161,'[1]Import Eletra'!$B:$B,'[1]Import Eletra'!$BR:$BR,0,1))</f>
        <v>46107</v>
      </c>
      <c r="EF161" s="406" t="str">
        <f>IF(_xlfn.XLOOKUP($E161,'[1]Import Eletra'!$B:$B,'[1]Import Eletra'!$BS:$BS,,0,1)=0,"",_xlfn.XLOOKUP($E161,'[1]Import Eletra'!$B:$B,'[1]Import Eletra'!$BS:$BS,0,1))</f>
        <v/>
      </c>
      <c r="EG161" s="407" t="str">
        <f>IF(_xlfn.XLOOKUP($E161,'[1]Import Eletra'!$B:$B,'[1]Import Eletra'!$BT:$BT,,0,1)=0,"",_xlfn.XLOOKUP($E161,'[1]Import Eletra'!$B:$B,'[1]Import Eletra'!$BT:$BT,0,1))</f>
        <v/>
      </c>
      <c r="EH161" s="406" t="str">
        <f>IF(_xlfn.XLOOKUP($E161,'[1]Import Eletra'!$B:$B,'[1]Import Eletra'!$BU:$BU,,0,1)=0,"",_xlfn.XLOOKUP($E161,'[1]Import Eletra'!$B:$B,'[1]Import Eletra'!$BU:$BU,0,1))</f>
        <v/>
      </c>
      <c r="EI161" s="407" t="str">
        <f>IF(_xlfn.XLOOKUP($E161,'[1]Import Eletra'!$B:$B,'[1]Import Eletra'!$BV:$BV,,0,1)=0,"",_xlfn.XLOOKUP($E161,'[1]Import Eletra'!$B:$B,'[1]Import Eletra'!$BV:$BV,0,1))</f>
        <v/>
      </c>
      <c r="EJ161" s="407">
        <f>IF(_xlfn.XLOOKUP($E161,'[1]Import Eletra'!$B:$B,'[1]Import Eletra'!$CI:$CI,,0,1)=0,"",_xlfn.XLOOKUP($E161,'[1]Import Eletra'!$B:$B,'[1]Import Eletra'!$CI:$CI,0,1))</f>
        <v>46109</v>
      </c>
      <c r="EK161" s="407" t="str">
        <f>IF(_xlfn.XLOOKUP($E161,'[1]Import Eletra'!$B:$B,'[1]Import Eletra'!$CD:$CD,,0,1)=0,"",_xlfn.XLOOKUP($E161,'[1]Import Eletra'!$B:$B,'[1]Import Eletra'!$CD:$CD,0,1))</f>
        <v/>
      </c>
      <c r="EL161" s="407" t="str">
        <f>IF(_xlfn.XLOOKUP($E161,'[1]Import Eletra'!$B:$B,'[1]Import Eletra'!$CE:$CE,,0,1)=0,"",_xlfn.XLOOKUP($E161,'[1]Import Eletra'!$B:$B,'[1]Import Eletra'!$CE:$CE,0,1))</f>
        <v>NÃO</v>
      </c>
      <c r="EM161" s="408" t="str">
        <f>IF(_xlfn.XLOOKUP($E161,'[1]Import Eletra'!$B:$B,'[1]Import Eletra'!$E:$E,,0,1)=0,"",_xlfn.XLOOKUP($E161,'[1]Import Eletra'!$B:$B,'[1]Import Eletra'!$E:$E,0,1))</f>
        <v>LEISIANE</v>
      </c>
      <c r="EN161" s="408" t="str">
        <f>IF(_xlfn.XLOOKUP($E161,'[1]Import Eletra'!$B:$B,'[1]Import Eletra'!$E:$E,,0,1)=0,"",_xlfn.XLOOKUP($E161,'[1]Import Eletra'!$B:$B,'[1]Import Eletra'!$E:$E,0,1))</f>
        <v>LEISIANE</v>
      </c>
      <c r="EO161" s="408" t="str">
        <f>IF(_xlfn.XLOOKUP($E161,'[1]Import Eletra'!$B:$B,'[1]Import Eletra'!$E:$E,,0,1)=0,"",_xlfn.XLOOKUP($E161,'[1]Import Eletra'!$B:$B,'[1]Import Eletra'!$E:$E,0,1))</f>
        <v>LEISIANE</v>
      </c>
      <c r="EP161" s="408" t="str">
        <f>IF(_xlfn.XLOOKUP($E161,'[1]Import Eletra'!$B:$B,'[1]Import Eletra'!$E:$E,,0,1)=0,"",_xlfn.XLOOKUP($E161,'[1]Import Eletra'!$B:$B,'[1]Import Eletra'!$E:$E,0,1))</f>
        <v>LEISIANE</v>
      </c>
    </row>
    <row r="162" spans="1:146" s="315" customFormat="1" ht="30" hidden="1" customHeight="1" outlineLevel="1">
      <c r="A162" s="305"/>
      <c r="B162" s="306"/>
      <c r="C162" s="306"/>
      <c r="D162" s="306"/>
      <c r="E162" s="367"/>
      <c r="F162" s="307" t="str">
        <f>IF(_xlfn.XLOOKUP($E162,'[1]Import Eletra'!$B:$B,'[1]Import Eletra'!$U:$U,,0,1)=0,"",_xlfn.XLOOKUP($E162,'[1]Import Eletra'!$B:$B,'[1]Import Eletra'!$U:$U,,0,1))</f>
        <v/>
      </c>
      <c r="G162" s="320" t="s">
        <v>244</v>
      </c>
      <c r="H162" s="59">
        <f>_xlfn.XLOOKUP($E162,'[1]Import Eletra'!$B:$B,'[1]Import Eletra'!$F:$F,,0,1)</f>
        <v>0</v>
      </c>
      <c r="I162" s="4">
        <f>_xlfn.XLOOKUP($E162,'[1]Import Eletra'!$B:$B,'[1]Import Eletra'!$G:$G,,0,1)</f>
        <v>0</v>
      </c>
      <c r="J162" s="331"/>
      <c r="K162" s="308"/>
      <c r="L162" s="308"/>
      <c r="M162" s="331" t="str">
        <f>IF(_xlfn.XLOOKUP($E162,'[1]Import Eletra'!$B:$B,'[1]Import Eletra'!$J:$J,,0,1)=0,"",_xlfn.XLOOKUP($E162,'[1]Import Eletra'!$B:$B,'[1]Import Eletra'!$J:$J,,0,1))</f>
        <v/>
      </c>
      <c r="N162" s="334" t="str">
        <f>IF(_xlfn.XLOOKUP($E162,'[1]Import Eletra'!$B:$B,'[1]Import Eletra'!$L:$L,,0,1)=0,"",_xlfn.XLOOKUP($E162,'[1]Import Eletra'!$B:$B,'[1]Import Eletra'!$L:$L,,0,1))</f>
        <v/>
      </c>
      <c r="O162" s="336" t="str">
        <f>IF(_xlfn.XLOOKUP($E162,'[1]Import Eletra'!$B:$B,'[1]Import Eletra'!$AK:$AK,,0,1)=0,"",_xlfn.XLOOKUP($E162,'[1]Import Eletra'!$B:$B,'[1]Import Eletra'!$AK:$AK,,0,1))</f>
        <v/>
      </c>
      <c r="P162" s="331" t="str">
        <f>IF(_xlfn.XLOOKUP($E162,'[1]Import Eletra'!$B:$B,'[1]Import Eletra'!$AL:$AL,,0,1)=0,"",_xlfn.XLOOKUP($E162,'[1]Import Eletra'!$B:$B,'[1]Import Eletra'!$AL:$AL,,0,1))</f>
        <v/>
      </c>
      <c r="Q162" s="331" t="str">
        <f>IF(_xlfn.XLOOKUP($E162,'[1]Import Eletra'!$B:$B,'[1]Import Eletra'!$AM:$AM,,0,1)=0,"",_xlfn.XLOOKUP($E162,'[1]Import Eletra'!$B:$B,'[1]Import Eletra'!$AM:$AM,,0,1))</f>
        <v/>
      </c>
      <c r="R162" s="331" t="str">
        <f>IF(_xlfn.XLOOKUP($E162,'[1]Import Eletra'!$B:$B,'[1]Import Eletra'!$AN:$AN,,0,1)=0,"",_xlfn.XLOOKUP($E162,'[1]Import Eletra'!$B:$B,'[1]Import Eletra'!$AN:$AN,,0,1))</f>
        <v/>
      </c>
      <c r="S162" s="331" t="str">
        <f>IF(_xlfn.XLOOKUP($E162,'[1]Import Eletra'!$B:$B,'[1]Import Eletra'!$AO:$AO,,0,1)=0,"",_xlfn.XLOOKUP($E162,'[1]Import Eletra'!$B:$B,'[1]Import Eletra'!$AO:$AO,,0,1))</f>
        <v/>
      </c>
      <c r="T162" s="331" t="str">
        <f>IF(_xlfn.XLOOKUP($E162,'[1]Import Eletra'!$B:$B,'[1]Import Eletra'!$AP:$AP,,0,1)=0,"",_xlfn.XLOOKUP($E162,'[1]Import Eletra'!$B:$B,'[1]Import Eletra'!$AP:$AP,,0,1))</f>
        <v/>
      </c>
      <c r="U162" s="338" t="str">
        <f>IF(_xlfn.XLOOKUP($E162,'[1]Import Eletra'!$B:$B,'[1]Import Eletra'!$AQ:$AQ,,0,1)=0,"",_xlfn.XLOOKUP($E162,'[1]Import Eletra'!$B:$B,'[1]Import Eletra'!$AQ:$AQ,,0,1))</f>
        <v/>
      </c>
      <c r="V162" s="343" t="str">
        <f>IF(_xlfn.XLOOKUP($E162,'[1]Import Eletra'!$B:$B,'[1]Import Eletra'!$AQ:$AQ,,0,1)=0,"",_xlfn.XLOOKUP($E162,'[1]Import Eletra'!$B:$B,'[1]Import Eletra'!$AQ:$AQ,,0,1))</f>
        <v/>
      </c>
      <c r="W162" s="336" t="e">
        <f t="shared" si="490"/>
        <v>#VALUE!</v>
      </c>
      <c r="X162" s="345" t="str">
        <f>IF(_xlfn.XLOOKUP($E162,'[1]Import Eletra'!$B:$B,'[1]Import Eletra'!$AR:$AR,,0,1)=0,"",_xlfn.XLOOKUP($E162,'[1]Import Eletra'!$B:$B,'[1]Import Eletra'!$AR:$AR,,0,1))</f>
        <v/>
      </c>
      <c r="Y162" s="309">
        <f t="shared" si="355"/>
        <v>0</v>
      </c>
      <c r="Z162" s="309" t="e">
        <f t="shared" ca="1" si="491"/>
        <v>#VALUE!</v>
      </c>
      <c r="AA162" s="310" t="e">
        <f t="shared" ca="1" si="357"/>
        <v>#VALUE!</v>
      </c>
      <c r="AB162" s="350" t="e">
        <f t="shared" si="492"/>
        <v>#VALUE!</v>
      </c>
      <c r="AC162" s="345" t="str">
        <f>IF(_xlfn.XLOOKUP($E162,'[1]Import Eletra'!$B:$B,'[1]Import Eletra'!$AD:$AD,,0,1)=0,"",_xlfn.XLOOKUP($E162,'[1]Import Eletra'!$B:$B,'[1]Import Eletra'!$AD:$AD,,0,1))</f>
        <v/>
      </c>
      <c r="AD162" s="309">
        <f t="shared" si="359"/>
        <v>0</v>
      </c>
      <c r="AE162" s="309" t="e">
        <f t="shared" ca="1" si="493"/>
        <v>#VALUE!</v>
      </c>
      <c r="AF162" s="310" t="e">
        <f t="shared" ca="1" si="494"/>
        <v>#VALUE!</v>
      </c>
      <c r="AG162" s="356" t="e">
        <f t="shared" si="495"/>
        <v>#VALUE!</v>
      </c>
      <c r="AH162" s="345" t="str">
        <f>IF(_xlfn.XLOOKUP($E162,'[1]Import Eletra'!$B:$B,'[1]Import Eletra'!$AE:$AE,,0,1)=0,"",_xlfn.XLOOKUP($E162,'[1]Import Eletra'!$B:$B,'[1]Import Eletra'!$AE:$AE,,0,1))</f>
        <v/>
      </c>
      <c r="AI162" s="309">
        <f t="shared" si="363"/>
        <v>0</v>
      </c>
      <c r="AJ162" s="309" t="e">
        <f t="shared" ca="1" si="496"/>
        <v>#VALUE!</v>
      </c>
      <c r="AK162" s="310" t="e">
        <f t="shared" ca="1" si="365"/>
        <v>#VALUE!</v>
      </c>
      <c r="AL162" s="356" t="e">
        <f t="shared" si="497"/>
        <v>#VALUE!</v>
      </c>
      <c r="AM162" s="345" t="str">
        <f>IF(_xlfn.XLOOKUP($E162,'[1]Import Eletra'!$B:$B,'[1]Import Eletra'!$AT:$AT,,0,1)=0,"",_xlfn.XLOOKUP($E162,'[1]Import Eletra'!$B:$B,'[1]Import Eletra'!$AT:$AT,,0,1))</f>
        <v/>
      </c>
      <c r="AN162" s="309">
        <f t="shared" si="367"/>
        <v>0</v>
      </c>
      <c r="AO162" s="309" t="e">
        <f t="shared" ca="1" si="498"/>
        <v>#VALUE!</v>
      </c>
      <c r="AP162" s="310" t="e">
        <f t="shared" ca="1" si="369"/>
        <v>#VALUE!</v>
      </c>
      <c r="AQ162" s="359" t="e">
        <f t="shared" si="499"/>
        <v>#VALUE!</v>
      </c>
      <c r="AR162" s="345" t="str">
        <f>IF(_xlfn.XLOOKUP($E162,'[1]Import Eletra'!$B:$B,'[1]Import Eletra'!$AU:$AU,,0,1)=0,"",_xlfn.XLOOKUP($E162,'[1]Import Eletra'!$B:$B,'[1]Import Eletra'!$AU:$AU,,0,1))</f>
        <v/>
      </c>
      <c r="AS162" s="309">
        <f t="shared" si="371"/>
        <v>1</v>
      </c>
      <c r="AT162" s="309" t="e">
        <f t="shared" ca="1" si="500"/>
        <v>#VALUE!</v>
      </c>
      <c r="AU162" s="310" t="e">
        <f t="shared" ca="1" si="373"/>
        <v>#VALUE!</v>
      </c>
      <c r="AV162" s="356" t="e">
        <f t="shared" si="501"/>
        <v>#VALUE!</v>
      </c>
      <c r="AW162" s="345" t="str">
        <f>IF(_xlfn.XLOOKUP($E162,'[1]Import Eletra'!$B:$B,'[1]Import Eletra'!$AU:$AU,,0,1)=0,"",_xlfn.XLOOKUP($E162,'[1]Import Eletra'!$B:$B,'[1]Import Eletra'!$AU:$AU,,0,1))</f>
        <v/>
      </c>
      <c r="AX162" s="309">
        <f t="shared" si="375"/>
        <v>0</v>
      </c>
      <c r="AY162" s="309" t="e">
        <f t="shared" ca="1" si="502"/>
        <v>#VALUE!</v>
      </c>
      <c r="AZ162" s="310" t="e">
        <f t="shared" ca="1" si="377"/>
        <v>#VALUE!</v>
      </c>
      <c r="BA162" s="359" t="e">
        <f t="shared" si="503"/>
        <v>#VALUE!</v>
      </c>
      <c r="BB162" s="345" t="str">
        <f>IF(_xlfn.XLOOKUP($E162,'[1]Import Eletra'!$B:$B,'[1]Import Eletra'!$AW:$AW,,0,1)=0,"",_xlfn.XLOOKUP($E162,'[1]Import Eletra'!$B:$B,'[1]Import Eletra'!$AW:$AW,,0,1))</f>
        <v/>
      </c>
      <c r="BC162" s="309">
        <f t="shared" si="379"/>
        <v>0</v>
      </c>
      <c r="BD162" s="309" t="e">
        <f t="shared" ca="1" si="504"/>
        <v>#VALUE!</v>
      </c>
      <c r="BE162" s="310" t="e">
        <f t="shared" ca="1" si="505"/>
        <v>#VALUE!</v>
      </c>
      <c r="BF162" s="336" t="e">
        <f t="shared" si="506"/>
        <v>#VALUE!</v>
      </c>
      <c r="BG162" s="345" t="str">
        <f>IF(_xlfn.XLOOKUP($E162,'[1]Import Eletra'!$B:$B,'[1]Import Eletra'!$AX:$AX,,0,1)=0,"",_xlfn.XLOOKUP($E162,'[1]Import Eletra'!$B:$B,'[1]Import Eletra'!$AX:$AX,,0,1))</f>
        <v/>
      </c>
      <c r="BH162" s="309">
        <f t="shared" si="383"/>
        <v>0</v>
      </c>
      <c r="BI162" s="309" t="e">
        <f t="shared" ca="1" si="507"/>
        <v>#VALUE!</v>
      </c>
      <c r="BJ162" s="310" t="e">
        <f t="shared" ca="1" si="385"/>
        <v>#VALUE!</v>
      </c>
      <c r="BK162" s="363" t="e">
        <f t="shared" si="508"/>
        <v>#VALUE!</v>
      </c>
      <c r="BL162" s="345" t="str">
        <f>IF(_xlfn.XLOOKUP($E162,'[1]Import Eletra'!$B:$B,'[1]Import Eletra'!$AY:$AY,,0,1)=0,"",_xlfn.XLOOKUP($E162,'[1]Import Eletra'!$B:$B,'[1]Import Eletra'!$AY:$AY,,0,1))</f>
        <v/>
      </c>
      <c r="BM162" s="309">
        <f t="shared" si="387"/>
        <v>0</v>
      </c>
      <c r="BN162" s="309" t="e">
        <f t="shared" ca="1" si="509"/>
        <v>#VALUE!</v>
      </c>
      <c r="BO162" s="310" t="e">
        <f t="shared" ca="1" si="510"/>
        <v>#VALUE!</v>
      </c>
      <c r="BP162" s="336" t="e">
        <f t="shared" si="511"/>
        <v>#VALUE!</v>
      </c>
      <c r="BQ162" s="345" t="str">
        <f>IF(_xlfn.XLOOKUP($E162,'[1]Import Eletra'!$B:$B,'[1]Import Eletra'!$AZ:$AZ,,0,1)=0,"",_xlfn.XLOOKUP($E162,'[1]Import Eletra'!$B:$B,'[1]Import Eletra'!$AZ:$AZ,,0,1))</f>
        <v/>
      </c>
      <c r="BR162" s="309">
        <f t="shared" si="391"/>
        <v>0</v>
      </c>
      <c r="BS162" s="309" t="e">
        <f t="shared" ca="1" si="512"/>
        <v>#VALUE!</v>
      </c>
      <c r="BT162" s="310" t="e">
        <f t="shared" ca="1" si="513"/>
        <v>#VALUE!</v>
      </c>
      <c r="BU162" s="363" t="e">
        <f t="shared" si="514"/>
        <v>#VALUE!</v>
      </c>
      <c r="BV162" s="345" t="str">
        <f>IF(_xlfn.XLOOKUP($E162,'[1]Import Eletra'!$B:$B,'[1]Import Eletra'!$BA:$BA,,0,1)=0,"",_xlfn.XLOOKUP($E162,'[1]Import Eletra'!$B:$B,'[1]Import Eletra'!$BA:$BA,,0,1))</f>
        <v/>
      </c>
      <c r="BW162" s="309">
        <f t="shared" si="395"/>
        <v>2</v>
      </c>
      <c r="BX162" s="309" t="e">
        <f t="shared" ca="1" si="515"/>
        <v>#VALUE!</v>
      </c>
      <c r="BY162" s="310" t="e">
        <f t="shared" ca="1" si="397"/>
        <v>#VALUE!</v>
      </c>
      <c r="BZ162" s="336" t="e">
        <f t="shared" si="516"/>
        <v>#VALUE!</v>
      </c>
      <c r="CA162" s="345" t="str">
        <f>IF(_xlfn.XLOOKUP($E162,'[1]Import Eletra'!$B:$B,'[1]Import Eletra'!$BB:$BB,,0,1)=0,"",_xlfn.XLOOKUP($E162,'[1]Import Eletra'!$B:$B,'[1]Import Eletra'!$BB:$BB,,0,1))</f>
        <v/>
      </c>
      <c r="CB162" s="309">
        <f t="shared" si="399"/>
        <v>0</v>
      </c>
      <c r="CC162" s="309" t="e">
        <f t="shared" ca="1" si="517"/>
        <v>#VALUE!</v>
      </c>
      <c r="CD162" s="310" t="e">
        <f t="shared" ca="1" si="518"/>
        <v>#VALUE!</v>
      </c>
      <c r="CE162" s="363" t="e">
        <f t="shared" si="519"/>
        <v>#VALUE!</v>
      </c>
      <c r="CF162" s="345" t="str">
        <f>IF(_xlfn.XLOOKUP($E162,'[1]Import Eletra'!$B:$B,'[1]Import Eletra'!$BC:$BC,,0,1)=0,"",_xlfn.XLOOKUP($E162,'[1]Import Eletra'!$B:$B,'[1]Import Eletra'!$BC:$BC,,0,1))</f>
        <v/>
      </c>
      <c r="CG162" s="309">
        <f t="shared" si="403"/>
        <v>0</v>
      </c>
      <c r="CH162" s="309" t="e">
        <f t="shared" ca="1" si="520"/>
        <v>#VALUE!</v>
      </c>
      <c r="CI162" s="310" t="e">
        <f t="shared" ca="1" si="521"/>
        <v>#VALUE!</v>
      </c>
      <c r="CJ162" s="336" t="e">
        <f t="shared" si="522"/>
        <v>#VALUE!</v>
      </c>
      <c r="CK162" s="345" t="str">
        <f>IF(_xlfn.XLOOKUP($E162,'[1]Import Eletra'!$B:$B,'[1]Import Eletra'!$BD:$BD,,0,1)=0,"",_xlfn.XLOOKUP($E162,'[1]Import Eletra'!$B:$B,'[1]Import Eletra'!$BD:$BD,,0,1))</f>
        <v/>
      </c>
      <c r="CL162" s="309"/>
      <c r="CM162" s="309" t="e">
        <f t="shared" ca="1" si="523"/>
        <v>#VALUE!</v>
      </c>
      <c r="CN162" s="310" t="e">
        <f t="shared" ca="1" si="524"/>
        <v>#VALUE!</v>
      </c>
      <c r="CO162" s="363" t="e">
        <f t="shared" si="525"/>
        <v>#VALUE!</v>
      </c>
      <c r="CP162" s="345" t="str">
        <f>IF(_xlfn.XLOOKUP($E162,'[1]Import Eletra'!$B:$B,'[1]Import Eletra'!$BE:$BE,,0,1)=0,"",_xlfn.XLOOKUP($E162,'[1]Import Eletra'!$B:$B,'[1]Import Eletra'!$BE:$BE,,0,1))</f>
        <v/>
      </c>
      <c r="CQ162" s="309">
        <f t="shared" si="410"/>
        <v>0</v>
      </c>
      <c r="CR162" s="309" t="e">
        <f t="shared" ca="1" si="526"/>
        <v>#VALUE!</v>
      </c>
      <c r="CS162" s="310" t="e">
        <f t="shared" ca="1" si="527"/>
        <v>#VALUE!</v>
      </c>
      <c r="CT162" s="336" t="e">
        <f t="shared" si="528"/>
        <v>#VALUE!</v>
      </c>
      <c r="CU162" s="345" t="str">
        <f>IF(_xlfn.XLOOKUP($E162,'[1]Import Eletra'!$B:$B,'[1]Import Eletra'!$BF:$BF,,0,1)=0,"",_xlfn.XLOOKUP($E162,'[1]Import Eletra'!$B:$B,'[1]Import Eletra'!$BF:$BF,,0,1))</f>
        <v/>
      </c>
      <c r="CV162" s="309">
        <f t="shared" si="414"/>
        <v>0</v>
      </c>
      <c r="CW162" s="309" t="e">
        <f t="shared" ca="1" si="529"/>
        <v>#VALUE!</v>
      </c>
      <c r="CX162" s="310" t="e">
        <f t="shared" ca="1" si="530"/>
        <v>#VALUE!</v>
      </c>
      <c r="CY162" s="85" t="e">
        <f t="shared" si="531"/>
        <v>#VALUE!</v>
      </c>
      <c r="CZ162" s="271" t="str">
        <f>IF(_xlfn.XLOOKUP($E162,'[1]Import Eletra'!$B:$B,'[1]Import Eletra'!$BF:$BF,,0,1)=0,"",_xlfn.XLOOKUP($E162,'[1]Import Eletra'!$B:$B,'[1]Import Eletra'!$BF:$BF,,0,1))</f>
        <v/>
      </c>
      <c r="DA162" s="311">
        <f t="shared" si="418"/>
        <v>0</v>
      </c>
      <c r="DB162" s="309" t="e">
        <f t="shared" ca="1" si="532"/>
        <v>#VALUE!</v>
      </c>
      <c r="DC162" s="310" t="e">
        <f t="shared" ca="1" si="533"/>
        <v>#VALUE!</v>
      </c>
      <c r="DD162" s="85" t="e">
        <f t="shared" si="534"/>
        <v>#VALUE!</v>
      </c>
      <c r="DE162" s="271" t="str">
        <f>IF(_xlfn.XLOOKUP($E162,'[1]Import Eletra'!$B:$B,'[1]Import Eletra'!$BG:$BG,,0,1)=0,"",_xlfn.XLOOKUP($E162,'[1]Import Eletra'!$B:$B,'[1]Import Eletra'!$BG:$BG,0,1))</f>
        <v/>
      </c>
      <c r="DF162" s="309">
        <f t="shared" si="422"/>
        <v>2</v>
      </c>
      <c r="DG162" s="309" t="e">
        <f t="shared" ca="1" si="535"/>
        <v>#VALUE!</v>
      </c>
      <c r="DH162" s="310" t="e">
        <f t="shared" ca="1" si="536"/>
        <v>#VALUE!</v>
      </c>
      <c r="DI162" s="85" t="e">
        <f t="shared" si="537"/>
        <v>#VALUE!</v>
      </c>
      <c r="DJ162" s="271" t="str">
        <f>IF(_xlfn.XLOOKUP($E162,'[1]Import Eletra'!$B:$B,'[1]Import Eletra'!$BH:$BH,,0,1)=0,"",_xlfn.XLOOKUP($E162,'[1]Import Eletra'!$B:$B,'[1]Import Eletra'!$BH:$BH,0,1))</f>
        <v/>
      </c>
      <c r="DK162" s="309">
        <f t="shared" si="426"/>
        <v>1</v>
      </c>
      <c r="DL162" s="309" t="e">
        <f t="shared" ca="1" si="538"/>
        <v>#VALUE!</v>
      </c>
      <c r="DM162" s="310" t="e">
        <f t="shared" ca="1" si="539"/>
        <v>#VALUE!</v>
      </c>
      <c r="DN162" s="312"/>
      <c r="DO162" s="313" t="e">
        <f t="shared" si="540"/>
        <v>#VALUE!</v>
      </c>
      <c r="DP162" s="59" t="str">
        <f>IF(_xlfn.XLOOKUP($E162,'[1]Import Eletra'!$B:$B,'[1]Import Eletra'!$O:$O,,0,1)=0,"",_xlfn.XLOOKUP($E162,'[1]Import Eletra'!$B:$B,'[1]Import Eletra'!$O:$O,0,1))</f>
        <v/>
      </c>
      <c r="DQ162" s="309">
        <f t="shared" si="430"/>
        <v>1</v>
      </c>
      <c r="DR162" s="309" t="e">
        <f t="shared" ca="1" si="541"/>
        <v>#VALUE!</v>
      </c>
      <c r="DS162" s="310" t="e">
        <f t="shared" ca="1" si="542"/>
        <v>#VALUE!</v>
      </c>
      <c r="DT162" s="314">
        <v>17</v>
      </c>
      <c r="DU162" s="140" t="e">
        <f t="shared" ca="1" si="543"/>
        <v>#VALUE!</v>
      </c>
      <c r="DV162" s="184" t="e">
        <f t="shared" ca="1" si="544"/>
        <v>#VALUE!</v>
      </c>
      <c r="DX162" s="316"/>
      <c r="DY162" s="108" t="str">
        <f>IF(_xlfn.XLOOKUP($E162,'[1]Import Eletra'!$B:$B,'[1]Import Eletra'!$DW:$DW,,0,1)=0,"",_xlfn.XLOOKUP($E162,'[1]Import Eletra'!$B:$B,'[1]Import Eletra'!$DW:$DW,0,1))</f>
        <v/>
      </c>
      <c r="EB162" s="317"/>
      <c r="ED162" s="406" t="str">
        <f>IF(_xlfn.XLOOKUP($E162,'[1]Import Eletra'!$B:$B,'[1]Import Eletra'!$BQ:$BQ,,0,1)=0,"",_xlfn.XLOOKUP($E162,'[1]Import Eletra'!$B:$B,'[1]Import Eletra'!$BQ:$BQ,0,1))</f>
        <v/>
      </c>
      <c r="EE162" s="407" t="str">
        <f>IF(_xlfn.XLOOKUP($E162,'[1]Import Eletra'!$B:$B,'[1]Import Eletra'!$BR:$BR,,0,1)=0,"",_xlfn.XLOOKUP($E162,'[1]Import Eletra'!$B:$B,'[1]Import Eletra'!$BR:$BR,0,1))</f>
        <v/>
      </c>
      <c r="EF162" s="406" t="str">
        <f>IF(_xlfn.XLOOKUP($E162,'[1]Import Eletra'!$B:$B,'[1]Import Eletra'!$BS:$BS,,0,1)=0,"",_xlfn.XLOOKUP($E162,'[1]Import Eletra'!$B:$B,'[1]Import Eletra'!$BS:$BS,0,1))</f>
        <v/>
      </c>
      <c r="EG162" s="407" t="str">
        <f>IF(_xlfn.XLOOKUP($E162,'[1]Import Eletra'!$B:$B,'[1]Import Eletra'!$BT:$BT,,0,1)=0,"",_xlfn.XLOOKUP($E162,'[1]Import Eletra'!$B:$B,'[1]Import Eletra'!$BT:$BT,0,1))</f>
        <v/>
      </c>
      <c r="EH162" s="406" t="str">
        <f>IF(_xlfn.XLOOKUP($E162,'[1]Import Eletra'!$B:$B,'[1]Import Eletra'!$BU:$BU,,0,1)=0,"",_xlfn.XLOOKUP($E162,'[1]Import Eletra'!$B:$B,'[1]Import Eletra'!$BU:$BU,0,1))</f>
        <v/>
      </c>
      <c r="EI162" s="407" t="str">
        <f>IF(_xlfn.XLOOKUP($E162,'[1]Import Eletra'!$B:$B,'[1]Import Eletra'!$BV:$BV,,0,1)=0,"",_xlfn.XLOOKUP($E162,'[1]Import Eletra'!$B:$B,'[1]Import Eletra'!$BV:$BV,0,1))</f>
        <v/>
      </c>
      <c r="EJ162" s="407" t="str">
        <f>IF(_xlfn.XLOOKUP($E162,'[1]Import Eletra'!$B:$B,'[1]Import Eletra'!$CI:$CI,,0,1)=0,"",_xlfn.XLOOKUP($E162,'[1]Import Eletra'!$B:$B,'[1]Import Eletra'!$CI:$CI,0,1))</f>
        <v/>
      </c>
      <c r="EK162" s="407" t="str">
        <f>IF(_xlfn.XLOOKUP($E162,'[1]Import Eletra'!$B:$B,'[1]Import Eletra'!$CD:$CD,,0,1)=0,"",_xlfn.XLOOKUP($E162,'[1]Import Eletra'!$B:$B,'[1]Import Eletra'!$CD:$CD,0,1))</f>
        <v/>
      </c>
      <c r="EL162" s="407" t="str">
        <f>IF(_xlfn.XLOOKUP($E162,'[1]Import Eletra'!$B:$B,'[1]Import Eletra'!$CE:$CE,,0,1)=0,"",_xlfn.XLOOKUP($E162,'[1]Import Eletra'!$B:$B,'[1]Import Eletra'!$CE:$CE,0,1))</f>
        <v/>
      </c>
      <c r="EM162" s="408" t="str">
        <f>IF(_xlfn.XLOOKUP($E162,'[1]Import Eletra'!$B:$B,'[1]Import Eletra'!$E:$E,,0,1)=0,"",_xlfn.XLOOKUP($E162,'[1]Import Eletra'!$B:$B,'[1]Import Eletra'!$E:$E,0,1))</f>
        <v/>
      </c>
      <c r="EN162" s="408" t="str">
        <f>IF(_xlfn.XLOOKUP($E162,'[1]Import Eletra'!$B:$B,'[1]Import Eletra'!$E:$E,,0,1)=0,"",_xlfn.XLOOKUP($E162,'[1]Import Eletra'!$B:$B,'[1]Import Eletra'!$E:$E,0,1))</f>
        <v/>
      </c>
      <c r="EO162" s="408" t="str">
        <f>IF(_xlfn.XLOOKUP($E162,'[1]Import Eletra'!$B:$B,'[1]Import Eletra'!$E:$E,,0,1)=0,"",_xlfn.XLOOKUP($E162,'[1]Import Eletra'!$B:$B,'[1]Import Eletra'!$E:$E,0,1))</f>
        <v/>
      </c>
      <c r="EP162" s="408" t="str">
        <f>IF(_xlfn.XLOOKUP($E162,'[1]Import Eletra'!$B:$B,'[1]Import Eletra'!$E:$E,,0,1)=0,"",_xlfn.XLOOKUP($E162,'[1]Import Eletra'!$B:$B,'[1]Import Eletra'!$E:$E,0,1))</f>
        <v/>
      </c>
    </row>
    <row r="163" spans="1:146" s="315" customFormat="1" ht="30" hidden="1" customHeight="1" outlineLevel="1">
      <c r="A163" s="305"/>
      <c r="B163" s="306"/>
      <c r="C163" s="306"/>
      <c r="D163" s="306"/>
      <c r="E163" s="367"/>
      <c r="F163" s="307" t="str">
        <f>IF(_xlfn.XLOOKUP($E163,'[1]Import Eletra'!$B:$B,'[1]Import Eletra'!$U:$U,,0,1)=0,"",_xlfn.XLOOKUP($E163,'[1]Import Eletra'!$B:$B,'[1]Import Eletra'!$U:$U,,0,1))</f>
        <v/>
      </c>
      <c r="G163" s="320" t="s">
        <v>244</v>
      </c>
      <c r="H163" s="59">
        <f>_xlfn.XLOOKUP($E163,'[1]Import Eletra'!$B:$B,'[1]Import Eletra'!$F:$F,,0,1)</f>
        <v>0</v>
      </c>
      <c r="I163" s="4">
        <f>_xlfn.XLOOKUP($E163,'[1]Import Eletra'!$B:$B,'[1]Import Eletra'!$G:$G,,0,1)</f>
        <v>0</v>
      </c>
      <c r="J163" s="331"/>
      <c r="K163" s="308"/>
      <c r="L163" s="308"/>
      <c r="M163" s="331" t="str">
        <f>IF(_xlfn.XLOOKUP($E163,'[1]Import Eletra'!$B:$B,'[1]Import Eletra'!$J:$J,,0,1)=0,"",_xlfn.XLOOKUP($E163,'[1]Import Eletra'!$B:$B,'[1]Import Eletra'!$J:$J,,0,1))</f>
        <v/>
      </c>
      <c r="N163" s="334" t="str">
        <f>IF(_xlfn.XLOOKUP($E163,'[1]Import Eletra'!$B:$B,'[1]Import Eletra'!$L:$L,,0,1)=0,"",_xlfn.XLOOKUP($E163,'[1]Import Eletra'!$B:$B,'[1]Import Eletra'!$L:$L,,0,1))</f>
        <v/>
      </c>
      <c r="O163" s="336" t="str">
        <f>IF(_xlfn.XLOOKUP($E163,'[1]Import Eletra'!$B:$B,'[1]Import Eletra'!$AK:$AK,,0,1)=0,"",_xlfn.XLOOKUP($E163,'[1]Import Eletra'!$B:$B,'[1]Import Eletra'!$AK:$AK,,0,1))</f>
        <v/>
      </c>
      <c r="P163" s="331" t="str">
        <f>IF(_xlfn.XLOOKUP($E163,'[1]Import Eletra'!$B:$B,'[1]Import Eletra'!$AL:$AL,,0,1)=0,"",_xlfn.XLOOKUP($E163,'[1]Import Eletra'!$B:$B,'[1]Import Eletra'!$AL:$AL,,0,1))</f>
        <v/>
      </c>
      <c r="Q163" s="331" t="str">
        <f>IF(_xlfn.XLOOKUP($E163,'[1]Import Eletra'!$B:$B,'[1]Import Eletra'!$AM:$AM,,0,1)=0,"",_xlfn.XLOOKUP($E163,'[1]Import Eletra'!$B:$B,'[1]Import Eletra'!$AM:$AM,,0,1))</f>
        <v/>
      </c>
      <c r="R163" s="331" t="str">
        <f>IF(_xlfn.XLOOKUP($E163,'[1]Import Eletra'!$B:$B,'[1]Import Eletra'!$AN:$AN,,0,1)=0,"",_xlfn.XLOOKUP($E163,'[1]Import Eletra'!$B:$B,'[1]Import Eletra'!$AN:$AN,,0,1))</f>
        <v/>
      </c>
      <c r="S163" s="331" t="str">
        <f>IF(_xlfn.XLOOKUP($E163,'[1]Import Eletra'!$B:$B,'[1]Import Eletra'!$AO:$AO,,0,1)=0,"",_xlfn.XLOOKUP($E163,'[1]Import Eletra'!$B:$B,'[1]Import Eletra'!$AO:$AO,,0,1))</f>
        <v/>
      </c>
      <c r="T163" s="331" t="str">
        <f>IF(_xlfn.XLOOKUP($E163,'[1]Import Eletra'!$B:$B,'[1]Import Eletra'!$AP:$AP,,0,1)=0,"",_xlfn.XLOOKUP($E163,'[1]Import Eletra'!$B:$B,'[1]Import Eletra'!$AP:$AP,,0,1))</f>
        <v/>
      </c>
      <c r="U163" s="338" t="str">
        <f>IF(_xlfn.XLOOKUP($E163,'[1]Import Eletra'!$B:$B,'[1]Import Eletra'!$AQ:$AQ,,0,1)=0,"",_xlfn.XLOOKUP($E163,'[1]Import Eletra'!$B:$B,'[1]Import Eletra'!$AQ:$AQ,,0,1))</f>
        <v/>
      </c>
      <c r="V163" s="343" t="str">
        <f>IF(_xlfn.XLOOKUP($E163,'[1]Import Eletra'!$B:$B,'[1]Import Eletra'!$AQ:$AQ,,0,1)=0,"",_xlfn.XLOOKUP($E163,'[1]Import Eletra'!$B:$B,'[1]Import Eletra'!$AQ:$AQ,,0,1))</f>
        <v/>
      </c>
      <c r="W163" s="336" t="e">
        <f t="shared" si="490"/>
        <v>#VALUE!</v>
      </c>
      <c r="X163" s="345" t="str">
        <f>IF(_xlfn.XLOOKUP($E163,'[1]Import Eletra'!$B:$B,'[1]Import Eletra'!$AR:$AR,,0,1)=0,"",_xlfn.XLOOKUP($E163,'[1]Import Eletra'!$B:$B,'[1]Import Eletra'!$AR:$AR,,0,1))</f>
        <v/>
      </c>
      <c r="Y163" s="309">
        <f t="shared" si="355"/>
        <v>0</v>
      </c>
      <c r="Z163" s="309" t="e">
        <f t="shared" ca="1" si="491"/>
        <v>#VALUE!</v>
      </c>
      <c r="AA163" s="310" t="e">
        <f t="shared" ca="1" si="357"/>
        <v>#VALUE!</v>
      </c>
      <c r="AB163" s="350" t="e">
        <f t="shared" si="492"/>
        <v>#VALUE!</v>
      </c>
      <c r="AC163" s="345" t="str">
        <f>IF(_xlfn.XLOOKUP($E163,'[1]Import Eletra'!$B:$B,'[1]Import Eletra'!$AD:$AD,,0,1)=0,"",_xlfn.XLOOKUP($E163,'[1]Import Eletra'!$B:$B,'[1]Import Eletra'!$AD:$AD,,0,1))</f>
        <v/>
      </c>
      <c r="AD163" s="309">
        <f t="shared" si="359"/>
        <v>0</v>
      </c>
      <c r="AE163" s="309" t="e">
        <f t="shared" ca="1" si="493"/>
        <v>#VALUE!</v>
      </c>
      <c r="AF163" s="310" t="e">
        <f t="shared" ca="1" si="494"/>
        <v>#VALUE!</v>
      </c>
      <c r="AG163" s="356" t="e">
        <f t="shared" si="495"/>
        <v>#VALUE!</v>
      </c>
      <c r="AH163" s="345" t="str">
        <f>IF(_xlfn.XLOOKUP($E163,'[1]Import Eletra'!$B:$B,'[1]Import Eletra'!$AE:$AE,,0,1)=0,"",_xlfn.XLOOKUP($E163,'[1]Import Eletra'!$B:$B,'[1]Import Eletra'!$AE:$AE,,0,1))</f>
        <v/>
      </c>
      <c r="AI163" s="309">
        <f t="shared" si="363"/>
        <v>0</v>
      </c>
      <c r="AJ163" s="309" t="e">
        <f t="shared" ca="1" si="496"/>
        <v>#VALUE!</v>
      </c>
      <c r="AK163" s="310" t="e">
        <f t="shared" ca="1" si="365"/>
        <v>#VALUE!</v>
      </c>
      <c r="AL163" s="356" t="e">
        <f t="shared" si="497"/>
        <v>#VALUE!</v>
      </c>
      <c r="AM163" s="345" t="str">
        <f>IF(_xlfn.XLOOKUP($E163,'[1]Import Eletra'!$B:$B,'[1]Import Eletra'!$AT:$AT,,0,1)=0,"",_xlfn.XLOOKUP($E163,'[1]Import Eletra'!$B:$B,'[1]Import Eletra'!$AT:$AT,,0,1))</f>
        <v/>
      </c>
      <c r="AN163" s="309">
        <f t="shared" si="367"/>
        <v>0</v>
      </c>
      <c r="AO163" s="309" t="e">
        <f t="shared" ca="1" si="498"/>
        <v>#VALUE!</v>
      </c>
      <c r="AP163" s="310" t="e">
        <f t="shared" ca="1" si="369"/>
        <v>#VALUE!</v>
      </c>
      <c r="AQ163" s="359" t="e">
        <f t="shared" si="499"/>
        <v>#VALUE!</v>
      </c>
      <c r="AR163" s="345" t="str">
        <f>IF(_xlfn.XLOOKUP($E163,'[1]Import Eletra'!$B:$B,'[1]Import Eletra'!$AU:$AU,,0,1)=0,"",_xlfn.XLOOKUP($E163,'[1]Import Eletra'!$B:$B,'[1]Import Eletra'!$AU:$AU,,0,1))</f>
        <v/>
      </c>
      <c r="AS163" s="309">
        <f t="shared" si="371"/>
        <v>1</v>
      </c>
      <c r="AT163" s="309" t="e">
        <f t="shared" ca="1" si="500"/>
        <v>#VALUE!</v>
      </c>
      <c r="AU163" s="310" t="e">
        <f t="shared" ca="1" si="373"/>
        <v>#VALUE!</v>
      </c>
      <c r="AV163" s="356" t="e">
        <f t="shared" si="501"/>
        <v>#VALUE!</v>
      </c>
      <c r="AW163" s="345" t="str">
        <f>IF(_xlfn.XLOOKUP($E163,'[1]Import Eletra'!$B:$B,'[1]Import Eletra'!$AU:$AU,,0,1)=0,"",_xlfn.XLOOKUP($E163,'[1]Import Eletra'!$B:$B,'[1]Import Eletra'!$AU:$AU,,0,1))</f>
        <v/>
      </c>
      <c r="AX163" s="309">
        <f t="shared" si="375"/>
        <v>0</v>
      </c>
      <c r="AY163" s="309" t="e">
        <f t="shared" ca="1" si="502"/>
        <v>#VALUE!</v>
      </c>
      <c r="AZ163" s="310" t="e">
        <f t="shared" ca="1" si="377"/>
        <v>#VALUE!</v>
      </c>
      <c r="BA163" s="359" t="e">
        <f t="shared" si="503"/>
        <v>#VALUE!</v>
      </c>
      <c r="BB163" s="345" t="str">
        <f>IF(_xlfn.XLOOKUP($E163,'[1]Import Eletra'!$B:$B,'[1]Import Eletra'!$AW:$AW,,0,1)=0,"",_xlfn.XLOOKUP($E163,'[1]Import Eletra'!$B:$B,'[1]Import Eletra'!$AW:$AW,,0,1))</f>
        <v/>
      </c>
      <c r="BC163" s="309">
        <f t="shared" si="379"/>
        <v>0</v>
      </c>
      <c r="BD163" s="309" t="e">
        <f t="shared" ca="1" si="504"/>
        <v>#VALUE!</v>
      </c>
      <c r="BE163" s="310" t="e">
        <f t="shared" ca="1" si="505"/>
        <v>#VALUE!</v>
      </c>
      <c r="BF163" s="336" t="e">
        <f t="shared" si="506"/>
        <v>#VALUE!</v>
      </c>
      <c r="BG163" s="345" t="str">
        <f>IF(_xlfn.XLOOKUP($E163,'[1]Import Eletra'!$B:$B,'[1]Import Eletra'!$AX:$AX,,0,1)=0,"",_xlfn.XLOOKUP($E163,'[1]Import Eletra'!$B:$B,'[1]Import Eletra'!$AX:$AX,,0,1))</f>
        <v/>
      </c>
      <c r="BH163" s="309">
        <f t="shared" si="383"/>
        <v>0</v>
      </c>
      <c r="BI163" s="309" t="e">
        <f t="shared" ca="1" si="507"/>
        <v>#VALUE!</v>
      </c>
      <c r="BJ163" s="310" t="e">
        <f t="shared" ca="1" si="385"/>
        <v>#VALUE!</v>
      </c>
      <c r="BK163" s="363" t="e">
        <f t="shared" si="508"/>
        <v>#VALUE!</v>
      </c>
      <c r="BL163" s="345" t="str">
        <f>IF(_xlfn.XLOOKUP($E163,'[1]Import Eletra'!$B:$B,'[1]Import Eletra'!$AY:$AY,,0,1)=0,"",_xlfn.XLOOKUP($E163,'[1]Import Eletra'!$B:$B,'[1]Import Eletra'!$AY:$AY,,0,1))</f>
        <v/>
      </c>
      <c r="BM163" s="309">
        <f t="shared" si="387"/>
        <v>0</v>
      </c>
      <c r="BN163" s="309" t="e">
        <f t="shared" ca="1" si="509"/>
        <v>#VALUE!</v>
      </c>
      <c r="BO163" s="310" t="e">
        <f t="shared" ca="1" si="510"/>
        <v>#VALUE!</v>
      </c>
      <c r="BP163" s="336" t="e">
        <f t="shared" si="511"/>
        <v>#VALUE!</v>
      </c>
      <c r="BQ163" s="345" t="str">
        <f>IF(_xlfn.XLOOKUP($E163,'[1]Import Eletra'!$B:$B,'[1]Import Eletra'!$AZ:$AZ,,0,1)=0,"",_xlfn.XLOOKUP($E163,'[1]Import Eletra'!$B:$B,'[1]Import Eletra'!$AZ:$AZ,,0,1))</f>
        <v/>
      </c>
      <c r="BR163" s="309">
        <f t="shared" si="391"/>
        <v>0</v>
      </c>
      <c r="BS163" s="309" t="e">
        <f t="shared" ca="1" si="512"/>
        <v>#VALUE!</v>
      </c>
      <c r="BT163" s="310" t="e">
        <f t="shared" ca="1" si="513"/>
        <v>#VALUE!</v>
      </c>
      <c r="BU163" s="363" t="e">
        <f t="shared" si="514"/>
        <v>#VALUE!</v>
      </c>
      <c r="BV163" s="345" t="str">
        <f>IF(_xlfn.XLOOKUP($E163,'[1]Import Eletra'!$B:$B,'[1]Import Eletra'!$BA:$BA,,0,1)=0,"",_xlfn.XLOOKUP($E163,'[1]Import Eletra'!$B:$B,'[1]Import Eletra'!$BA:$BA,,0,1))</f>
        <v/>
      </c>
      <c r="BW163" s="309">
        <f t="shared" si="395"/>
        <v>2</v>
      </c>
      <c r="BX163" s="309" t="e">
        <f t="shared" ca="1" si="515"/>
        <v>#VALUE!</v>
      </c>
      <c r="BY163" s="310" t="e">
        <f t="shared" ca="1" si="397"/>
        <v>#VALUE!</v>
      </c>
      <c r="BZ163" s="336" t="e">
        <f t="shared" si="516"/>
        <v>#VALUE!</v>
      </c>
      <c r="CA163" s="345" t="str">
        <f>IF(_xlfn.XLOOKUP($E163,'[1]Import Eletra'!$B:$B,'[1]Import Eletra'!$BB:$BB,,0,1)=0,"",_xlfn.XLOOKUP($E163,'[1]Import Eletra'!$B:$B,'[1]Import Eletra'!$BB:$BB,,0,1))</f>
        <v/>
      </c>
      <c r="CB163" s="309">
        <f t="shared" si="399"/>
        <v>0</v>
      </c>
      <c r="CC163" s="309" t="e">
        <f t="shared" ca="1" si="517"/>
        <v>#VALUE!</v>
      </c>
      <c r="CD163" s="310" t="e">
        <f t="shared" ca="1" si="518"/>
        <v>#VALUE!</v>
      </c>
      <c r="CE163" s="363" t="e">
        <f t="shared" si="519"/>
        <v>#VALUE!</v>
      </c>
      <c r="CF163" s="345" t="str">
        <f>IF(_xlfn.XLOOKUP($E163,'[1]Import Eletra'!$B:$B,'[1]Import Eletra'!$BC:$BC,,0,1)=0,"",_xlfn.XLOOKUP($E163,'[1]Import Eletra'!$B:$B,'[1]Import Eletra'!$BC:$BC,,0,1))</f>
        <v/>
      </c>
      <c r="CG163" s="309">
        <f t="shared" si="403"/>
        <v>0</v>
      </c>
      <c r="CH163" s="309" t="e">
        <f t="shared" ca="1" si="520"/>
        <v>#VALUE!</v>
      </c>
      <c r="CI163" s="310" t="e">
        <f t="shared" ca="1" si="521"/>
        <v>#VALUE!</v>
      </c>
      <c r="CJ163" s="336" t="e">
        <f t="shared" si="522"/>
        <v>#VALUE!</v>
      </c>
      <c r="CK163" s="345" t="str">
        <f>IF(_xlfn.XLOOKUP($E163,'[1]Import Eletra'!$B:$B,'[1]Import Eletra'!$BD:$BD,,0,1)=0,"",_xlfn.XLOOKUP($E163,'[1]Import Eletra'!$B:$B,'[1]Import Eletra'!$BD:$BD,,0,1))</f>
        <v/>
      </c>
      <c r="CL163" s="309"/>
      <c r="CM163" s="309" t="e">
        <f t="shared" ca="1" si="523"/>
        <v>#VALUE!</v>
      </c>
      <c r="CN163" s="310" t="e">
        <f t="shared" ca="1" si="524"/>
        <v>#VALUE!</v>
      </c>
      <c r="CO163" s="363" t="e">
        <f t="shared" si="525"/>
        <v>#VALUE!</v>
      </c>
      <c r="CP163" s="345" t="str">
        <f>IF(_xlfn.XLOOKUP($E163,'[1]Import Eletra'!$B:$B,'[1]Import Eletra'!$BE:$BE,,0,1)=0,"",_xlfn.XLOOKUP($E163,'[1]Import Eletra'!$B:$B,'[1]Import Eletra'!$BE:$BE,,0,1))</f>
        <v/>
      </c>
      <c r="CQ163" s="309">
        <f t="shared" si="410"/>
        <v>0</v>
      </c>
      <c r="CR163" s="309" t="e">
        <f t="shared" ca="1" si="526"/>
        <v>#VALUE!</v>
      </c>
      <c r="CS163" s="310" t="e">
        <f t="shared" ca="1" si="527"/>
        <v>#VALUE!</v>
      </c>
      <c r="CT163" s="336" t="e">
        <f t="shared" si="528"/>
        <v>#VALUE!</v>
      </c>
      <c r="CU163" s="345" t="str">
        <f>IF(_xlfn.XLOOKUP($E163,'[1]Import Eletra'!$B:$B,'[1]Import Eletra'!$BF:$BF,,0,1)=0,"",_xlfn.XLOOKUP($E163,'[1]Import Eletra'!$B:$B,'[1]Import Eletra'!$BF:$BF,,0,1))</f>
        <v/>
      </c>
      <c r="CV163" s="309">
        <f t="shared" si="414"/>
        <v>0</v>
      </c>
      <c r="CW163" s="309" t="e">
        <f t="shared" ca="1" si="529"/>
        <v>#VALUE!</v>
      </c>
      <c r="CX163" s="310" t="e">
        <f t="shared" ca="1" si="530"/>
        <v>#VALUE!</v>
      </c>
      <c r="CY163" s="85" t="e">
        <f t="shared" si="531"/>
        <v>#VALUE!</v>
      </c>
      <c r="CZ163" s="271" t="str">
        <f>IF(_xlfn.XLOOKUP($E163,'[1]Import Eletra'!$B:$B,'[1]Import Eletra'!$BF:$BF,,0,1)=0,"",_xlfn.XLOOKUP($E163,'[1]Import Eletra'!$B:$B,'[1]Import Eletra'!$BF:$BF,,0,1))</f>
        <v/>
      </c>
      <c r="DA163" s="311">
        <f t="shared" si="418"/>
        <v>0</v>
      </c>
      <c r="DB163" s="309" t="e">
        <f t="shared" ca="1" si="532"/>
        <v>#VALUE!</v>
      </c>
      <c r="DC163" s="310" t="e">
        <f t="shared" ca="1" si="533"/>
        <v>#VALUE!</v>
      </c>
      <c r="DD163" s="85" t="e">
        <f t="shared" si="534"/>
        <v>#VALUE!</v>
      </c>
      <c r="DE163" s="271" t="str">
        <f>IF(_xlfn.XLOOKUP($E163,'[1]Import Eletra'!$B:$B,'[1]Import Eletra'!$BG:$BG,,0,1)=0,"",_xlfn.XLOOKUP($E163,'[1]Import Eletra'!$B:$B,'[1]Import Eletra'!$BG:$BG,0,1))</f>
        <v/>
      </c>
      <c r="DF163" s="309">
        <f t="shared" si="422"/>
        <v>2</v>
      </c>
      <c r="DG163" s="309" t="e">
        <f t="shared" ca="1" si="535"/>
        <v>#VALUE!</v>
      </c>
      <c r="DH163" s="310" t="e">
        <f t="shared" ca="1" si="536"/>
        <v>#VALUE!</v>
      </c>
      <c r="DI163" s="85" t="e">
        <f t="shared" si="537"/>
        <v>#VALUE!</v>
      </c>
      <c r="DJ163" s="271" t="str">
        <f>IF(_xlfn.XLOOKUP($E163,'[1]Import Eletra'!$B:$B,'[1]Import Eletra'!$BH:$BH,,0,1)=0,"",_xlfn.XLOOKUP($E163,'[1]Import Eletra'!$B:$B,'[1]Import Eletra'!$BH:$BH,0,1))</f>
        <v/>
      </c>
      <c r="DK163" s="309">
        <f t="shared" si="426"/>
        <v>1</v>
      </c>
      <c r="DL163" s="309" t="e">
        <f t="shared" ca="1" si="538"/>
        <v>#VALUE!</v>
      </c>
      <c r="DM163" s="310" t="e">
        <f t="shared" ca="1" si="539"/>
        <v>#VALUE!</v>
      </c>
      <c r="DN163" s="312"/>
      <c r="DO163" s="313" t="e">
        <f t="shared" si="540"/>
        <v>#VALUE!</v>
      </c>
      <c r="DP163" s="59" t="str">
        <f>IF(_xlfn.XLOOKUP($E163,'[1]Import Eletra'!$B:$B,'[1]Import Eletra'!$O:$O,,0,1)=0,"",_xlfn.XLOOKUP($E163,'[1]Import Eletra'!$B:$B,'[1]Import Eletra'!$O:$O,0,1))</f>
        <v/>
      </c>
      <c r="DQ163" s="309">
        <f t="shared" si="430"/>
        <v>1</v>
      </c>
      <c r="DR163" s="309" t="e">
        <f t="shared" ca="1" si="541"/>
        <v>#VALUE!</v>
      </c>
      <c r="DS163" s="310" t="e">
        <f t="shared" ca="1" si="542"/>
        <v>#VALUE!</v>
      </c>
      <c r="DT163" s="314">
        <v>17</v>
      </c>
      <c r="DU163" s="140" t="e">
        <f t="shared" ca="1" si="543"/>
        <v>#VALUE!</v>
      </c>
      <c r="DV163" s="184" t="e">
        <f t="shared" ca="1" si="544"/>
        <v>#VALUE!</v>
      </c>
      <c r="DX163" s="316"/>
      <c r="DY163" s="108" t="str">
        <f>IF(_xlfn.XLOOKUP($E163,'[1]Import Eletra'!$B:$B,'[1]Import Eletra'!$DW:$DW,,0,1)=0,"",_xlfn.XLOOKUP($E163,'[1]Import Eletra'!$B:$B,'[1]Import Eletra'!$DW:$DW,0,1))</f>
        <v/>
      </c>
      <c r="EB163" s="317"/>
      <c r="ED163" s="406" t="str">
        <f>IF(_xlfn.XLOOKUP($E163,'[1]Import Eletra'!$B:$B,'[1]Import Eletra'!$BQ:$BQ,,0,1)=0,"",_xlfn.XLOOKUP($E163,'[1]Import Eletra'!$B:$B,'[1]Import Eletra'!$BQ:$BQ,0,1))</f>
        <v/>
      </c>
      <c r="EE163" s="407" t="str">
        <f>IF(_xlfn.XLOOKUP($E163,'[1]Import Eletra'!$B:$B,'[1]Import Eletra'!$BR:$BR,,0,1)=0,"",_xlfn.XLOOKUP($E163,'[1]Import Eletra'!$B:$B,'[1]Import Eletra'!$BR:$BR,0,1))</f>
        <v/>
      </c>
      <c r="EF163" s="406" t="str">
        <f>IF(_xlfn.XLOOKUP($E163,'[1]Import Eletra'!$B:$B,'[1]Import Eletra'!$BS:$BS,,0,1)=0,"",_xlfn.XLOOKUP($E163,'[1]Import Eletra'!$B:$B,'[1]Import Eletra'!$BS:$BS,0,1))</f>
        <v/>
      </c>
      <c r="EG163" s="407" t="str">
        <f>IF(_xlfn.XLOOKUP($E163,'[1]Import Eletra'!$B:$B,'[1]Import Eletra'!$BT:$BT,,0,1)=0,"",_xlfn.XLOOKUP($E163,'[1]Import Eletra'!$B:$B,'[1]Import Eletra'!$BT:$BT,0,1))</f>
        <v/>
      </c>
      <c r="EH163" s="406" t="str">
        <f>IF(_xlfn.XLOOKUP($E163,'[1]Import Eletra'!$B:$B,'[1]Import Eletra'!$BU:$BU,,0,1)=0,"",_xlfn.XLOOKUP($E163,'[1]Import Eletra'!$B:$B,'[1]Import Eletra'!$BU:$BU,0,1))</f>
        <v/>
      </c>
      <c r="EI163" s="407" t="str">
        <f>IF(_xlfn.XLOOKUP($E163,'[1]Import Eletra'!$B:$B,'[1]Import Eletra'!$BV:$BV,,0,1)=0,"",_xlfn.XLOOKUP($E163,'[1]Import Eletra'!$B:$B,'[1]Import Eletra'!$BV:$BV,0,1))</f>
        <v/>
      </c>
      <c r="EJ163" s="407" t="str">
        <f>IF(_xlfn.XLOOKUP($E163,'[1]Import Eletra'!$B:$B,'[1]Import Eletra'!$CI:$CI,,0,1)=0,"",_xlfn.XLOOKUP($E163,'[1]Import Eletra'!$B:$B,'[1]Import Eletra'!$CI:$CI,0,1))</f>
        <v/>
      </c>
      <c r="EK163" s="407" t="str">
        <f>IF(_xlfn.XLOOKUP($E163,'[1]Import Eletra'!$B:$B,'[1]Import Eletra'!$CD:$CD,,0,1)=0,"",_xlfn.XLOOKUP($E163,'[1]Import Eletra'!$B:$B,'[1]Import Eletra'!$CD:$CD,0,1))</f>
        <v/>
      </c>
      <c r="EL163" s="407" t="str">
        <f>IF(_xlfn.XLOOKUP($E163,'[1]Import Eletra'!$B:$B,'[1]Import Eletra'!$CE:$CE,,0,1)=0,"",_xlfn.XLOOKUP($E163,'[1]Import Eletra'!$B:$B,'[1]Import Eletra'!$CE:$CE,0,1))</f>
        <v/>
      </c>
      <c r="EM163" s="408" t="str">
        <f>IF(_xlfn.XLOOKUP($E163,'[1]Import Eletra'!$B:$B,'[1]Import Eletra'!$E:$E,,0,1)=0,"",_xlfn.XLOOKUP($E163,'[1]Import Eletra'!$B:$B,'[1]Import Eletra'!$E:$E,0,1))</f>
        <v/>
      </c>
      <c r="EN163" s="408" t="str">
        <f>IF(_xlfn.XLOOKUP($E163,'[1]Import Eletra'!$B:$B,'[1]Import Eletra'!$E:$E,,0,1)=0,"",_xlfn.XLOOKUP($E163,'[1]Import Eletra'!$B:$B,'[1]Import Eletra'!$E:$E,0,1))</f>
        <v/>
      </c>
      <c r="EO163" s="408" t="str">
        <f>IF(_xlfn.XLOOKUP($E163,'[1]Import Eletra'!$B:$B,'[1]Import Eletra'!$E:$E,,0,1)=0,"",_xlfn.XLOOKUP($E163,'[1]Import Eletra'!$B:$B,'[1]Import Eletra'!$E:$E,0,1))</f>
        <v/>
      </c>
      <c r="EP163" s="408" t="str">
        <f>IF(_xlfn.XLOOKUP($E163,'[1]Import Eletra'!$B:$B,'[1]Import Eletra'!$E:$E,,0,1)=0,"",_xlfn.XLOOKUP($E163,'[1]Import Eletra'!$B:$B,'[1]Import Eletra'!$E:$E,0,1))</f>
        <v/>
      </c>
    </row>
    <row r="164" spans="1:146" s="315" customFormat="1" ht="30" hidden="1" customHeight="1" outlineLevel="1">
      <c r="A164" s="305"/>
      <c r="B164" s="306"/>
      <c r="C164" s="306"/>
      <c r="D164" s="306"/>
      <c r="E164" s="367"/>
      <c r="F164" s="307" t="str">
        <f>IF(_xlfn.XLOOKUP($E164,'[1]Import Eletra'!$B:$B,'[1]Import Eletra'!$U:$U,,0,1)=0,"",_xlfn.XLOOKUP($E164,'[1]Import Eletra'!$B:$B,'[1]Import Eletra'!$U:$U,,0,1))</f>
        <v/>
      </c>
      <c r="G164" s="320" t="s">
        <v>244</v>
      </c>
      <c r="H164" s="59">
        <f>_xlfn.XLOOKUP($E164,'[1]Import Eletra'!$B:$B,'[1]Import Eletra'!$F:$F,,0,1)</f>
        <v>0</v>
      </c>
      <c r="I164" s="4">
        <f>_xlfn.XLOOKUP($E164,'[1]Import Eletra'!$B:$B,'[1]Import Eletra'!$G:$G,,0,1)</f>
        <v>0</v>
      </c>
      <c r="J164" s="331"/>
      <c r="K164" s="308"/>
      <c r="L164" s="308"/>
      <c r="M164" s="331" t="str">
        <f>IF(_xlfn.XLOOKUP($E164,'[1]Import Eletra'!$B:$B,'[1]Import Eletra'!$J:$J,,0,1)=0,"",_xlfn.XLOOKUP($E164,'[1]Import Eletra'!$B:$B,'[1]Import Eletra'!$J:$J,,0,1))</f>
        <v/>
      </c>
      <c r="N164" s="334" t="str">
        <f>IF(_xlfn.XLOOKUP($E164,'[1]Import Eletra'!$B:$B,'[1]Import Eletra'!$L:$L,,0,1)=0,"",_xlfn.XLOOKUP($E164,'[1]Import Eletra'!$B:$B,'[1]Import Eletra'!$L:$L,,0,1))</f>
        <v/>
      </c>
      <c r="O164" s="336" t="str">
        <f>IF(_xlfn.XLOOKUP($E164,'[1]Import Eletra'!$B:$B,'[1]Import Eletra'!$AK:$AK,,0,1)=0,"",_xlfn.XLOOKUP($E164,'[1]Import Eletra'!$B:$B,'[1]Import Eletra'!$AK:$AK,,0,1))</f>
        <v/>
      </c>
      <c r="P164" s="331" t="str">
        <f>IF(_xlfn.XLOOKUP($E164,'[1]Import Eletra'!$B:$B,'[1]Import Eletra'!$AL:$AL,,0,1)=0,"",_xlfn.XLOOKUP($E164,'[1]Import Eletra'!$B:$B,'[1]Import Eletra'!$AL:$AL,,0,1))</f>
        <v/>
      </c>
      <c r="Q164" s="331" t="str">
        <f>IF(_xlfn.XLOOKUP($E164,'[1]Import Eletra'!$B:$B,'[1]Import Eletra'!$AM:$AM,,0,1)=0,"",_xlfn.XLOOKUP($E164,'[1]Import Eletra'!$B:$B,'[1]Import Eletra'!$AM:$AM,,0,1))</f>
        <v/>
      </c>
      <c r="R164" s="331" t="str">
        <f>IF(_xlfn.XLOOKUP($E164,'[1]Import Eletra'!$B:$B,'[1]Import Eletra'!$AN:$AN,,0,1)=0,"",_xlfn.XLOOKUP($E164,'[1]Import Eletra'!$B:$B,'[1]Import Eletra'!$AN:$AN,,0,1))</f>
        <v/>
      </c>
      <c r="S164" s="331" t="str">
        <f>IF(_xlfn.XLOOKUP($E164,'[1]Import Eletra'!$B:$B,'[1]Import Eletra'!$AO:$AO,,0,1)=0,"",_xlfn.XLOOKUP($E164,'[1]Import Eletra'!$B:$B,'[1]Import Eletra'!$AO:$AO,,0,1))</f>
        <v/>
      </c>
      <c r="T164" s="331" t="str">
        <f>IF(_xlfn.XLOOKUP($E164,'[1]Import Eletra'!$B:$B,'[1]Import Eletra'!$AP:$AP,,0,1)=0,"",_xlfn.XLOOKUP($E164,'[1]Import Eletra'!$B:$B,'[1]Import Eletra'!$AP:$AP,,0,1))</f>
        <v/>
      </c>
      <c r="U164" s="338" t="str">
        <f>IF(_xlfn.XLOOKUP($E164,'[1]Import Eletra'!$B:$B,'[1]Import Eletra'!$AQ:$AQ,,0,1)=0,"",_xlfn.XLOOKUP($E164,'[1]Import Eletra'!$B:$B,'[1]Import Eletra'!$AQ:$AQ,,0,1))</f>
        <v/>
      </c>
      <c r="V164" s="343" t="str">
        <f>IF(_xlfn.XLOOKUP($E164,'[1]Import Eletra'!$B:$B,'[1]Import Eletra'!$AQ:$AQ,,0,1)=0,"",_xlfn.XLOOKUP($E164,'[1]Import Eletra'!$B:$B,'[1]Import Eletra'!$AQ:$AQ,,0,1))</f>
        <v/>
      </c>
      <c r="W164" s="336" t="e">
        <f t="shared" si="490"/>
        <v>#VALUE!</v>
      </c>
      <c r="X164" s="345" t="str">
        <f>IF(_xlfn.XLOOKUP($E164,'[1]Import Eletra'!$B:$B,'[1]Import Eletra'!$AR:$AR,,0,1)=0,"",_xlfn.XLOOKUP($E164,'[1]Import Eletra'!$B:$B,'[1]Import Eletra'!$AR:$AR,,0,1))</f>
        <v/>
      </c>
      <c r="Y164" s="309">
        <f t="shared" si="355"/>
        <v>0</v>
      </c>
      <c r="Z164" s="309" t="e">
        <f t="shared" ca="1" si="491"/>
        <v>#VALUE!</v>
      </c>
      <c r="AA164" s="310" t="e">
        <f t="shared" ca="1" si="357"/>
        <v>#VALUE!</v>
      </c>
      <c r="AB164" s="350" t="e">
        <f t="shared" si="492"/>
        <v>#VALUE!</v>
      </c>
      <c r="AC164" s="345" t="str">
        <f>IF(_xlfn.XLOOKUP($E164,'[1]Import Eletra'!$B:$B,'[1]Import Eletra'!$AD:$AD,,0,1)=0,"",_xlfn.XLOOKUP($E164,'[1]Import Eletra'!$B:$B,'[1]Import Eletra'!$AD:$AD,,0,1))</f>
        <v/>
      </c>
      <c r="AD164" s="309">
        <f t="shared" si="359"/>
        <v>0</v>
      </c>
      <c r="AE164" s="309" t="e">
        <f t="shared" ca="1" si="493"/>
        <v>#VALUE!</v>
      </c>
      <c r="AF164" s="310" t="e">
        <f t="shared" ca="1" si="494"/>
        <v>#VALUE!</v>
      </c>
      <c r="AG164" s="356" t="e">
        <f t="shared" si="495"/>
        <v>#VALUE!</v>
      </c>
      <c r="AH164" s="345" t="str">
        <f>IF(_xlfn.XLOOKUP($E164,'[1]Import Eletra'!$B:$B,'[1]Import Eletra'!$AE:$AE,,0,1)=0,"",_xlfn.XLOOKUP($E164,'[1]Import Eletra'!$B:$B,'[1]Import Eletra'!$AE:$AE,,0,1))</f>
        <v/>
      </c>
      <c r="AI164" s="309">
        <f t="shared" si="363"/>
        <v>0</v>
      </c>
      <c r="AJ164" s="309" t="e">
        <f t="shared" ca="1" si="496"/>
        <v>#VALUE!</v>
      </c>
      <c r="AK164" s="310" t="e">
        <f t="shared" ca="1" si="365"/>
        <v>#VALUE!</v>
      </c>
      <c r="AL164" s="356" t="e">
        <f t="shared" si="497"/>
        <v>#VALUE!</v>
      </c>
      <c r="AM164" s="345" t="str">
        <f>IF(_xlfn.XLOOKUP($E164,'[1]Import Eletra'!$B:$B,'[1]Import Eletra'!$AT:$AT,,0,1)=0,"",_xlfn.XLOOKUP($E164,'[1]Import Eletra'!$B:$B,'[1]Import Eletra'!$AT:$AT,,0,1))</f>
        <v/>
      </c>
      <c r="AN164" s="309">
        <f t="shared" si="367"/>
        <v>0</v>
      </c>
      <c r="AO164" s="309" t="e">
        <f t="shared" ca="1" si="498"/>
        <v>#VALUE!</v>
      </c>
      <c r="AP164" s="310" t="e">
        <f t="shared" ca="1" si="369"/>
        <v>#VALUE!</v>
      </c>
      <c r="AQ164" s="359" t="e">
        <f t="shared" si="499"/>
        <v>#VALUE!</v>
      </c>
      <c r="AR164" s="345" t="str">
        <f>IF(_xlfn.XLOOKUP($E164,'[1]Import Eletra'!$B:$B,'[1]Import Eletra'!$AU:$AU,,0,1)=0,"",_xlfn.XLOOKUP($E164,'[1]Import Eletra'!$B:$B,'[1]Import Eletra'!$AU:$AU,,0,1))</f>
        <v/>
      </c>
      <c r="AS164" s="309">
        <f t="shared" si="371"/>
        <v>1</v>
      </c>
      <c r="AT164" s="309" t="e">
        <f t="shared" ca="1" si="500"/>
        <v>#VALUE!</v>
      </c>
      <c r="AU164" s="310" t="e">
        <f t="shared" ca="1" si="373"/>
        <v>#VALUE!</v>
      </c>
      <c r="AV164" s="356" t="e">
        <f t="shared" si="501"/>
        <v>#VALUE!</v>
      </c>
      <c r="AW164" s="345" t="str">
        <f>IF(_xlfn.XLOOKUP($E164,'[1]Import Eletra'!$B:$B,'[1]Import Eletra'!$AU:$AU,,0,1)=0,"",_xlfn.XLOOKUP($E164,'[1]Import Eletra'!$B:$B,'[1]Import Eletra'!$AU:$AU,,0,1))</f>
        <v/>
      </c>
      <c r="AX164" s="309">
        <f t="shared" si="375"/>
        <v>0</v>
      </c>
      <c r="AY164" s="309" t="e">
        <f t="shared" ca="1" si="502"/>
        <v>#VALUE!</v>
      </c>
      <c r="AZ164" s="310" t="e">
        <f t="shared" ca="1" si="377"/>
        <v>#VALUE!</v>
      </c>
      <c r="BA164" s="359" t="e">
        <f t="shared" si="503"/>
        <v>#VALUE!</v>
      </c>
      <c r="BB164" s="345" t="str">
        <f>IF(_xlfn.XLOOKUP($E164,'[1]Import Eletra'!$B:$B,'[1]Import Eletra'!$AW:$AW,,0,1)=0,"",_xlfn.XLOOKUP($E164,'[1]Import Eletra'!$B:$B,'[1]Import Eletra'!$AW:$AW,,0,1))</f>
        <v/>
      </c>
      <c r="BC164" s="309">
        <f t="shared" si="379"/>
        <v>0</v>
      </c>
      <c r="BD164" s="309" t="e">
        <f t="shared" ca="1" si="504"/>
        <v>#VALUE!</v>
      </c>
      <c r="BE164" s="310" t="e">
        <f t="shared" ca="1" si="505"/>
        <v>#VALUE!</v>
      </c>
      <c r="BF164" s="336" t="e">
        <f t="shared" si="506"/>
        <v>#VALUE!</v>
      </c>
      <c r="BG164" s="345" t="str">
        <f>IF(_xlfn.XLOOKUP($E164,'[1]Import Eletra'!$B:$B,'[1]Import Eletra'!$AX:$AX,,0,1)=0,"",_xlfn.XLOOKUP($E164,'[1]Import Eletra'!$B:$B,'[1]Import Eletra'!$AX:$AX,,0,1))</f>
        <v/>
      </c>
      <c r="BH164" s="309">
        <f t="shared" si="383"/>
        <v>0</v>
      </c>
      <c r="BI164" s="309" t="e">
        <f t="shared" ca="1" si="507"/>
        <v>#VALUE!</v>
      </c>
      <c r="BJ164" s="310" t="e">
        <f t="shared" ca="1" si="385"/>
        <v>#VALUE!</v>
      </c>
      <c r="BK164" s="363" t="e">
        <f t="shared" si="508"/>
        <v>#VALUE!</v>
      </c>
      <c r="BL164" s="345" t="str">
        <f>IF(_xlfn.XLOOKUP($E164,'[1]Import Eletra'!$B:$B,'[1]Import Eletra'!$AY:$AY,,0,1)=0,"",_xlfn.XLOOKUP($E164,'[1]Import Eletra'!$B:$B,'[1]Import Eletra'!$AY:$AY,,0,1))</f>
        <v/>
      </c>
      <c r="BM164" s="309">
        <f t="shared" si="387"/>
        <v>0</v>
      </c>
      <c r="BN164" s="309" t="e">
        <f t="shared" ca="1" si="509"/>
        <v>#VALUE!</v>
      </c>
      <c r="BO164" s="310" t="e">
        <f t="shared" ca="1" si="510"/>
        <v>#VALUE!</v>
      </c>
      <c r="BP164" s="336" t="e">
        <f t="shared" si="511"/>
        <v>#VALUE!</v>
      </c>
      <c r="BQ164" s="345" t="str">
        <f>IF(_xlfn.XLOOKUP($E164,'[1]Import Eletra'!$B:$B,'[1]Import Eletra'!$AZ:$AZ,,0,1)=0,"",_xlfn.XLOOKUP($E164,'[1]Import Eletra'!$B:$B,'[1]Import Eletra'!$AZ:$AZ,,0,1))</f>
        <v/>
      </c>
      <c r="BR164" s="309">
        <f t="shared" si="391"/>
        <v>0</v>
      </c>
      <c r="BS164" s="309" t="e">
        <f t="shared" ca="1" si="512"/>
        <v>#VALUE!</v>
      </c>
      <c r="BT164" s="310" t="e">
        <f t="shared" ca="1" si="513"/>
        <v>#VALUE!</v>
      </c>
      <c r="BU164" s="363" t="e">
        <f t="shared" si="514"/>
        <v>#VALUE!</v>
      </c>
      <c r="BV164" s="345" t="str">
        <f>IF(_xlfn.XLOOKUP($E164,'[1]Import Eletra'!$B:$B,'[1]Import Eletra'!$BA:$BA,,0,1)=0,"",_xlfn.XLOOKUP($E164,'[1]Import Eletra'!$B:$B,'[1]Import Eletra'!$BA:$BA,,0,1))</f>
        <v/>
      </c>
      <c r="BW164" s="309">
        <f t="shared" si="395"/>
        <v>2</v>
      </c>
      <c r="BX164" s="309" t="e">
        <f t="shared" ca="1" si="515"/>
        <v>#VALUE!</v>
      </c>
      <c r="BY164" s="310" t="e">
        <f t="shared" ca="1" si="397"/>
        <v>#VALUE!</v>
      </c>
      <c r="BZ164" s="336" t="e">
        <f t="shared" si="516"/>
        <v>#VALUE!</v>
      </c>
      <c r="CA164" s="345" t="str">
        <f>IF(_xlfn.XLOOKUP($E164,'[1]Import Eletra'!$B:$B,'[1]Import Eletra'!$BB:$BB,,0,1)=0,"",_xlfn.XLOOKUP($E164,'[1]Import Eletra'!$B:$B,'[1]Import Eletra'!$BB:$BB,,0,1))</f>
        <v/>
      </c>
      <c r="CB164" s="309">
        <f t="shared" si="399"/>
        <v>0</v>
      </c>
      <c r="CC164" s="309" t="e">
        <f t="shared" ca="1" si="517"/>
        <v>#VALUE!</v>
      </c>
      <c r="CD164" s="310" t="e">
        <f t="shared" ca="1" si="518"/>
        <v>#VALUE!</v>
      </c>
      <c r="CE164" s="363" t="e">
        <f t="shared" si="519"/>
        <v>#VALUE!</v>
      </c>
      <c r="CF164" s="345" t="str">
        <f>IF(_xlfn.XLOOKUP($E164,'[1]Import Eletra'!$B:$B,'[1]Import Eletra'!$BC:$BC,,0,1)=0,"",_xlfn.XLOOKUP($E164,'[1]Import Eletra'!$B:$B,'[1]Import Eletra'!$BC:$BC,,0,1))</f>
        <v/>
      </c>
      <c r="CG164" s="309">
        <f t="shared" si="403"/>
        <v>0</v>
      </c>
      <c r="CH164" s="309" t="e">
        <f t="shared" ca="1" si="520"/>
        <v>#VALUE!</v>
      </c>
      <c r="CI164" s="310" t="e">
        <f t="shared" ca="1" si="521"/>
        <v>#VALUE!</v>
      </c>
      <c r="CJ164" s="336" t="e">
        <f t="shared" si="522"/>
        <v>#VALUE!</v>
      </c>
      <c r="CK164" s="345" t="str">
        <f>IF(_xlfn.XLOOKUP($E164,'[1]Import Eletra'!$B:$B,'[1]Import Eletra'!$BD:$BD,,0,1)=0,"",_xlfn.XLOOKUP($E164,'[1]Import Eletra'!$B:$B,'[1]Import Eletra'!$BD:$BD,,0,1))</f>
        <v/>
      </c>
      <c r="CL164" s="309"/>
      <c r="CM164" s="309" t="e">
        <f t="shared" ca="1" si="523"/>
        <v>#VALUE!</v>
      </c>
      <c r="CN164" s="310" t="e">
        <f t="shared" ca="1" si="524"/>
        <v>#VALUE!</v>
      </c>
      <c r="CO164" s="363" t="e">
        <f t="shared" si="525"/>
        <v>#VALUE!</v>
      </c>
      <c r="CP164" s="345" t="str">
        <f>IF(_xlfn.XLOOKUP($E164,'[1]Import Eletra'!$B:$B,'[1]Import Eletra'!$BE:$BE,,0,1)=0,"",_xlfn.XLOOKUP($E164,'[1]Import Eletra'!$B:$B,'[1]Import Eletra'!$BE:$BE,,0,1))</f>
        <v/>
      </c>
      <c r="CQ164" s="309">
        <f t="shared" si="410"/>
        <v>0</v>
      </c>
      <c r="CR164" s="309" t="e">
        <f t="shared" ca="1" si="526"/>
        <v>#VALUE!</v>
      </c>
      <c r="CS164" s="310" t="e">
        <f t="shared" ca="1" si="527"/>
        <v>#VALUE!</v>
      </c>
      <c r="CT164" s="336" t="e">
        <f t="shared" si="528"/>
        <v>#VALUE!</v>
      </c>
      <c r="CU164" s="345" t="str">
        <f>IF(_xlfn.XLOOKUP($E164,'[1]Import Eletra'!$B:$B,'[1]Import Eletra'!$BF:$BF,,0,1)=0,"",_xlfn.XLOOKUP($E164,'[1]Import Eletra'!$B:$B,'[1]Import Eletra'!$BF:$BF,,0,1))</f>
        <v/>
      </c>
      <c r="CV164" s="309">
        <f t="shared" si="414"/>
        <v>0</v>
      </c>
      <c r="CW164" s="309" t="e">
        <f t="shared" ca="1" si="529"/>
        <v>#VALUE!</v>
      </c>
      <c r="CX164" s="310" t="e">
        <f t="shared" ca="1" si="530"/>
        <v>#VALUE!</v>
      </c>
      <c r="CY164" s="85" t="e">
        <f t="shared" si="531"/>
        <v>#VALUE!</v>
      </c>
      <c r="CZ164" s="271" t="str">
        <f>IF(_xlfn.XLOOKUP($E164,'[1]Import Eletra'!$B:$B,'[1]Import Eletra'!$BF:$BF,,0,1)=0,"",_xlfn.XLOOKUP($E164,'[1]Import Eletra'!$B:$B,'[1]Import Eletra'!$BF:$BF,,0,1))</f>
        <v/>
      </c>
      <c r="DA164" s="311">
        <f t="shared" si="418"/>
        <v>0</v>
      </c>
      <c r="DB164" s="309" t="e">
        <f t="shared" ca="1" si="532"/>
        <v>#VALUE!</v>
      </c>
      <c r="DC164" s="310" t="e">
        <f t="shared" ca="1" si="533"/>
        <v>#VALUE!</v>
      </c>
      <c r="DD164" s="85" t="e">
        <f t="shared" si="534"/>
        <v>#VALUE!</v>
      </c>
      <c r="DE164" s="271" t="str">
        <f>IF(_xlfn.XLOOKUP($E164,'[1]Import Eletra'!$B:$B,'[1]Import Eletra'!$BG:$BG,,0,1)=0,"",_xlfn.XLOOKUP($E164,'[1]Import Eletra'!$B:$B,'[1]Import Eletra'!$BG:$BG,0,1))</f>
        <v/>
      </c>
      <c r="DF164" s="309">
        <f t="shared" si="422"/>
        <v>2</v>
      </c>
      <c r="DG164" s="309" t="e">
        <f t="shared" ca="1" si="535"/>
        <v>#VALUE!</v>
      </c>
      <c r="DH164" s="310" t="e">
        <f t="shared" ca="1" si="536"/>
        <v>#VALUE!</v>
      </c>
      <c r="DI164" s="85" t="e">
        <f t="shared" si="537"/>
        <v>#VALUE!</v>
      </c>
      <c r="DJ164" s="271" t="str">
        <f>IF(_xlfn.XLOOKUP($E164,'[1]Import Eletra'!$B:$B,'[1]Import Eletra'!$BH:$BH,,0,1)=0,"",_xlfn.XLOOKUP($E164,'[1]Import Eletra'!$B:$B,'[1]Import Eletra'!$BH:$BH,0,1))</f>
        <v/>
      </c>
      <c r="DK164" s="309">
        <f t="shared" si="426"/>
        <v>1</v>
      </c>
      <c r="DL164" s="309" t="e">
        <f t="shared" ca="1" si="538"/>
        <v>#VALUE!</v>
      </c>
      <c r="DM164" s="310" t="e">
        <f t="shared" ca="1" si="539"/>
        <v>#VALUE!</v>
      </c>
      <c r="DN164" s="312"/>
      <c r="DO164" s="313" t="e">
        <f t="shared" si="540"/>
        <v>#VALUE!</v>
      </c>
      <c r="DP164" s="59" t="str">
        <f>IF(_xlfn.XLOOKUP($E164,'[1]Import Eletra'!$B:$B,'[1]Import Eletra'!$O:$O,,0,1)=0,"",_xlfn.XLOOKUP($E164,'[1]Import Eletra'!$B:$B,'[1]Import Eletra'!$O:$O,0,1))</f>
        <v/>
      </c>
      <c r="DQ164" s="309">
        <f t="shared" si="430"/>
        <v>1</v>
      </c>
      <c r="DR164" s="309" t="e">
        <f t="shared" ca="1" si="541"/>
        <v>#VALUE!</v>
      </c>
      <c r="DS164" s="310" t="e">
        <f t="shared" ca="1" si="542"/>
        <v>#VALUE!</v>
      </c>
      <c r="DT164" s="314">
        <v>17</v>
      </c>
      <c r="DU164" s="140" t="e">
        <f t="shared" ca="1" si="543"/>
        <v>#VALUE!</v>
      </c>
      <c r="DV164" s="184" t="e">
        <f t="shared" ca="1" si="544"/>
        <v>#VALUE!</v>
      </c>
      <c r="DX164" s="316"/>
      <c r="DY164" s="108" t="str">
        <f>IF(_xlfn.XLOOKUP($E164,'[1]Import Eletra'!$B:$B,'[1]Import Eletra'!$DW:$DW,,0,1)=0,"",_xlfn.XLOOKUP($E164,'[1]Import Eletra'!$B:$B,'[1]Import Eletra'!$DW:$DW,0,1))</f>
        <v/>
      </c>
      <c r="EB164" s="317"/>
      <c r="ED164" s="406" t="str">
        <f>IF(_xlfn.XLOOKUP($E164,'[1]Import Eletra'!$B:$B,'[1]Import Eletra'!$BQ:$BQ,,0,1)=0,"",_xlfn.XLOOKUP($E164,'[1]Import Eletra'!$B:$B,'[1]Import Eletra'!$BQ:$BQ,0,1))</f>
        <v/>
      </c>
      <c r="EE164" s="407" t="str">
        <f>IF(_xlfn.XLOOKUP($E164,'[1]Import Eletra'!$B:$B,'[1]Import Eletra'!$BR:$BR,,0,1)=0,"",_xlfn.XLOOKUP($E164,'[1]Import Eletra'!$B:$B,'[1]Import Eletra'!$BR:$BR,0,1))</f>
        <v/>
      </c>
      <c r="EF164" s="406" t="str">
        <f>IF(_xlfn.XLOOKUP($E164,'[1]Import Eletra'!$B:$B,'[1]Import Eletra'!$BS:$BS,,0,1)=0,"",_xlfn.XLOOKUP($E164,'[1]Import Eletra'!$B:$B,'[1]Import Eletra'!$BS:$BS,0,1))</f>
        <v/>
      </c>
      <c r="EG164" s="407" t="str">
        <f>IF(_xlfn.XLOOKUP($E164,'[1]Import Eletra'!$B:$B,'[1]Import Eletra'!$BT:$BT,,0,1)=0,"",_xlfn.XLOOKUP($E164,'[1]Import Eletra'!$B:$B,'[1]Import Eletra'!$BT:$BT,0,1))</f>
        <v/>
      </c>
      <c r="EH164" s="406" t="str">
        <f>IF(_xlfn.XLOOKUP($E164,'[1]Import Eletra'!$B:$B,'[1]Import Eletra'!$BU:$BU,,0,1)=0,"",_xlfn.XLOOKUP($E164,'[1]Import Eletra'!$B:$B,'[1]Import Eletra'!$BU:$BU,0,1))</f>
        <v/>
      </c>
      <c r="EI164" s="407" t="str">
        <f>IF(_xlfn.XLOOKUP($E164,'[1]Import Eletra'!$B:$B,'[1]Import Eletra'!$BV:$BV,,0,1)=0,"",_xlfn.XLOOKUP($E164,'[1]Import Eletra'!$B:$B,'[1]Import Eletra'!$BV:$BV,0,1))</f>
        <v/>
      </c>
      <c r="EJ164" s="407" t="str">
        <f>IF(_xlfn.XLOOKUP($E164,'[1]Import Eletra'!$B:$B,'[1]Import Eletra'!$CI:$CI,,0,1)=0,"",_xlfn.XLOOKUP($E164,'[1]Import Eletra'!$B:$B,'[1]Import Eletra'!$CI:$CI,0,1))</f>
        <v/>
      </c>
      <c r="EK164" s="407" t="str">
        <f>IF(_xlfn.XLOOKUP($E164,'[1]Import Eletra'!$B:$B,'[1]Import Eletra'!$CD:$CD,,0,1)=0,"",_xlfn.XLOOKUP($E164,'[1]Import Eletra'!$B:$B,'[1]Import Eletra'!$CD:$CD,0,1))</f>
        <v/>
      </c>
      <c r="EL164" s="407" t="str">
        <f>IF(_xlfn.XLOOKUP($E164,'[1]Import Eletra'!$B:$B,'[1]Import Eletra'!$CE:$CE,,0,1)=0,"",_xlfn.XLOOKUP($E164,'[1]Import Eletra'!$B:$B,'[1]Import Eletra'!$CE:$CE,0,1))</f>
        <v/>
      </c>
      <c r="EM164" s="408" t="str">
        <f>IF(_xlfn.XLOOKUP($E164,'[1]Import Eletra'!$B:$B,'[1]Import Eletra'!$E:$E,,0,1)=0,"",_xlfn.XLOOKUP($E164,'[1]Import Eletra'!$B:$B,'[1]Import Eletra'!$E:$E,0,1))</f>
        <v/>
      </c>
      <c r="EN164" s="408" t="str">
        <f>IF(_xlfn.XLOOKUP($E164,'[1]Import Eletra'!$B:$B,'[1]Import Eletra'!$E:$E,,0,1)=0,"",_xlfn.XLOOKUP($E164,'[1]Import Eletra'!$B:$B,'[1]Import Eletra'!$E:$E,0,1))</f>
        <v/>
      </c>
      <c r="EO164" s="408" t="str">
        <f>IF(_xlfn.XLOOKUP($E164,'[1]Import Eletra'!$B:$B,'[1]Import Eletra'!$E:$E,,0,1)=0,"",_xlfn.XLOOKUP($E164,'[1]Import Eletra'!$B:$B,'[1]Import Eletra'!$E:$E,0,1))</f>
        <v/>
      </c>
      <c r="EP164" s="408" t="str">
        <f>IF(_xlfn.XLOOKUP($E164,'[1]Import Eletra'!$B:$B,'[1]Import Eletra'!$E:$E,,0,1)=0,"",_xlfn.XLOOKUP($E164,'[1]Import Eletra'!$B:$B,'[1]Import Eletra'!$E:$E,0,1))</f>
        <v/>
      </c>
    </row>
    <row r="165" spans="1:146" s="315" customFormat="1" ht="30" hidden="1" customHeight="1" outlineLevel="1">
      <c r="A165" s="305"/>
      <c r="B165" s="306"/>
      <c r="C165" s="306"/>
      <c r="D165" s="306"/>
      <c r="E165" s="367"/>
      <c r="F165" s="307" t="str">
        <f>IF(_xlfn.XLOOKUP($E165,'[1]Import Eletra'!$B:$B,'[1]Import Eletra'!$U:$U,,0,1)=0,"",_xlfn.XLOOKUP($E165,'[1]Import Eletra'!$B:$B,'[1]Import Eletra'!$U:$U,,0,1))</f>
        <v/>
      </c>
      <c r="G165" s="320" t="s">
        <v>244</v>
      </c>
      <c r="H165" s="59">
        <f>_xlfn.XLOOKUP($E165,'[1]Import Eletra'!$B:$B,'[1]Import Eletra'!$F:$F,,0,1)</f>
        <v>0</v>
      </c>
      <c r="I165" s="4">
        <f>_xlfn.XLOOKUP($E165,'[1]Import Eletra'!$B:$B,'[1]Import Eletra'!$G:$G,,0,1)</f>
        <v>0</v>
      </c>
      <c r="J165" s="331"/>
      <c r="K165" s="308"/>
      <c r="L165" s="308"/>
      <c r="M165" s="331" t="str">
        <f>IF(_xlfn.XLOOKUP($E165,'[1]Import Eletra'!$B:$B,'[1]Import Eletra'!$J:$J,,0,1)=0,"",_xlfn.XLOOKUP($E165,'[1]Import Eletra'!$B:$B,'[1]Import Eletra'!$J:$J,,0,1))</f>
        <v/>
      </c>
      <c r="N165" s="334" t="str">
        <f>IF(_xlfn.XLOOKUP($E165,'[1]Import Eletra'!$B:$B,'[1]Import Eletra'!$L:$L,,0,1)=0,"",_xlfn.XLOOKUP($E165,'[1]Import Eletra'!$B:$B,'[1]Import Eletra'!$L:$L,,0,1))</f>
        <v/>
      </c>
      <c r="O165" s="336" t="str">
        <f>IF(_xlfn.XLOOKUP($E165,'[1]Import Eletra'!$B:$B,'[1]Import Eletra'!$AK:$AK,,0,1)=0,"",_xlfn.XLOOKUP($E165,'[1]Import Eletra'!$B:$B,'[1]Import Eletra'!$AK:$AK,,0,1))</f>
        <v/>
      </c>
      <c r="P165" s="331" t="str">
        <f>IF(_xlfn.XLOOKUP($E165,'[1]Import Eletra'!$B:$B,'[1]Import Eletra'!$AL:$AL,,0,1)=0,"",_xlfn.XLOOKUP($E165,'[1]Import Eletra'!$B:$B,'[1]Import Eletra'!$AL:$AL,,0,1))</f>
        <v/>
      </c>
      <c r="Q165" s="331" t="str">
        <f>IF(_xlfn.XLOOKUP($E165,'[1]Import Eletra'!$B:$B,'[1]Import Eletra'!$AM:$AM,,0,1)=0,"",_xlfn.XLOOKUP($E165,'[1]Import Eletra'!$B:$B,'[1]Import Eletra'!$AM:$AM,,0,1))</f>
        <v/>
      </c>
      <c r="R165" s="331" t="str">
        <f>IF(_xlfn.XLOOKUP($E165,'[1]Import Eletra'!$B:$B,'[1]Import Eletra'!$AN:$AN,,0,1)=0,"",_xlfn.XLOOKUP($E165,'[1]Import Eletra'!$B:$B,'[1]Import Eletra'!$AN:$AN,,0,1))</f>
        <v/>
      </c>
      <c r="S165" s="331" t="str">
        <f>IF(_xlfn.XLOOKUP($E165,'[1]Import Eletra'!$B:$B,'[1]Import Eletra'!$AO:$AO,,0,1)=0,"",_xlfn.XLOOKUP($E165,'[1]Import Eletra'!$B:$B,'[1]Import Eletra'!$AO:$AO,,0,1))</f>
        <v/>
      </c>
      <c r="T165" s="331" t="str">
        <f>IF(_xlfn.XLOOKUP($E165,'[1]Import Eletra'!$B:$B,'[1]Import Eletra'!$AP:$AP,,0,1)=0,"",_xlfn.XLOOKUP($E165,'[1]Import Eletra'!$B:$B,'[1]Import Eletra'!$AP:$AP,,0,1))</f>
        <v/>
      </c>
      <c r="U165" s="338" t="str">
        <f>IF(_xlfn.XLOOKUP($E165,'[1]Import Eletra'!$B:$B,'[1]Import Eletra'!$AQ:$AQ,,0,1)=0,"",_xlfn.XLOOKUP($E165,'[1]Import Eletra'!$B:$B,'[1]Import Eletra'!$AQ:$AQ,,0,1))</f>
        <v/>
      </c>
      <c r="V165" s="343" t="str">
        <f>IF(_xlfn.XLOOKUP($E165,'[1]Import Eletra'!$B:$B,'[1]Import Eletra'!$AQ:$AQ,,0,1)=0,"",_xlfn.XLOOKUP($E165,'[1]Import Eletra'!$B:$B,'[1]Import Eletra'!$AQ:$AQ,,0,1))</f>
        <v/>
      </c>
      <c r="W165" s="336" t="e">
        <f t="shared" si="490"/>
        <v>#VALUE!</v>
      </c>
      <c r="X165" s="345" t="str">
        <f>IF(_xlfn.XLOOKUP($E165,'[1]Import Eletra'!$B:$B,'[1]Import Eletra'!$AR:$AR,,0,1)=0,"",_xlfn.XLOOKUP($E165,'[1]Import Eletra'!$B:$B,'[1]Import Eletra'!$AR:$AR,,0,1))</f>
        <v/>
      </c>
      <c r="Y165" s="309">
        <f t="shared" si="355"/>
        <v>0</v>
      </c>
      <c r="Z165" s="309" t="e">
        <f t="shared" ca="1" si="491"/>
        <v>#VALUE!</v>
      </c>
      <c r="AA165" s="310" t="e">
        <f t="shared" ca="1" si="357"/>
        <v>#VALUE!</v>
      </c>
      <c r="AB165" s="350" t="e">
        <f t="shared" si="492"/>
        <v>#VALUE!</v>
      </c>
      <c r="AC165" s="345" t="str">
        <f>IF(_xlfn.XLOOKUP($E165,'[1]Import Eletra'!$B:$B,'[1]Import Eletra'!$AD:$AD,,0,1)=0,"",_xlfn.XLOOKUP($E165,'[1]Import Eletra'!$B:$B,'[1]Import Eletra'!$AD:$AD,,0,1))</f>
        <v/>
      </c>
      <c r="AD165" s="309">
        <f t="shared" si="359"/>
        <v>0</v>
      </c>
      <c r="AE165" s="309" t="e">
        <f t="shared" ca="1" si="493"/>
        <v>#VALUE!</v>
      </c>
      <c r="AF165" s="310" t="e">
        <f t="shared" ca="1" si="494"/>
        <v>#VALUE!</v>
      </c>
      <c r="AG165" s="356" t="e">
        <f t="shared" si="495"/>
        <v>#VALUE!</v>
      </c>
      <c r="AH165" s="345" t="str">
        <f>IF(_xlfn.XLOOKUP($E165,'[1]Import Eletra'!$B:$B,'[1]Import Eletra'!$AE:$AE,,0,1)=0,"",_xlfn.XLOOKUP($E165,'[1]Import Eletra'!$B:$B,'[1]Import Eletra'!$AE:$AE,,0,1))</f>
        <v/>
      </c>
      <c r="AI165" s="309">
        <f t="shared" si="363"/>
        <v>0</v>
      </c>
      <c r="AJ165" s="309" t="e">
        <f t="shared" ca="1" si="496"/>
        <v>#VALUE!</v>
      </c>
      <c r="AK165" s="310" t="e">
        <f t="shared" ca="1" si="365"/>
        <v>#VALUE!</v>
      </c>
      <c r="AL165" s="356" t="e">
        <f t="shared" si="497"/>
        <v>#VALUE!</v>
      </c>
      <c r="AM165" s="345" t="str">
        <f>IF(_xlfn.XLOOKUP($E165,'[1]Import Eletra'!$B:$B,'[1]Import Eletra'!$AT:$AT,,0,1)=0,"",_xlfn.XLOOKUP($E165,'[1]Import Eletra'!$B:$B,'[1]Import Eletra'!$AT:$AT,,0,1))</f>
        <v/>
      </c>
      <c r="AN165" s="309">
        <f t="shared" si="367"/>
        <v>0</v>
      </c>
      <c r="AO165" s="309" t="e">
        <f t="shared" ca="1" si="498"/>
        <v>#VALUE!</v>
      </c>
      <c r="AP165" s="310" t="e">
        <f t="shared" ca="1" si="369"/>
        <v>#VALUE!</v>
      </c>
      <c r="AQ165" s="359" t="e">
        <f t="shared" si="499"/>
        <v>#VALUE!</v>
      </c>
      <c r="AR165" s="345" t="str">
        <f>IF(_xlfn.XLOOKUP($E165,'[1]Import Eletra'!$B:$B,'[1]Import Eletra'!$AU:$AU,,0,1)=0,"",_xlfn.XLOOKUP($E165,'[1]Import Eletra'!$B:$B,'[1]Import Eletra'!$AU:$AU,,0,1))</f>
        <v/>
      </c>
      <c r="AS165" s="309">
        <f t="shared" si="371"/>
        <v>1</v>
      </c>
      <c r="AT165" s="309" t="e">
        <f t="shared" ca="1" si="500"/>
        <v>#VALUE!</v>
      </c>
      <c r="AU165" s="310" t="e">
        <f t="shared" ca="1" si="373"/>
        <v>#VALUE!</v>
      </c>
      <c r="AV165" s="356" t="e">
        <f t="shared" si="501"/>
        <v>#VALUE!</v>
      </c>
      <c r="AW165" s="345" t="str">
        <f>IF(_xlfn.XLOOKUP($E165,'[1]Import Eletra'!$B:$B,'[1]Import Eletra'!$AU:$AU,,0,1)=0,"",_xlfn.XLOOKUP($E165,'[1]Import Eletra'!$B:$B,'[1]Import Eletra'!$AU:$AU,,0,1))</f>
        <v/>
      </c>
      <c r="AX165" s="309">
        <f t="shared" si="375"/>
        <v>0</v>
      </c>
      <c r="AY165" s="309" t="e">
        <f t="shared" ca="1" si="502"/>
        <v>#VALUE!</v>
      </c>
      <c r="AZ165" s="310" t="e">
        <f t="shared" ca="1" si="377"/>
        <v>#VALUE!</v>
      </c>
      <c r="BA165" s="359" t="e">
        <f t="shared" si="503"/>
        <v>#VALUE!</v>
      </c>
      <c r="BB165" s="345" t="str">
        <f>IF(_xlfn.XLOOKUP($E165,'[1]Import Eletra'!$B:$B,'[1]Import Eletra'!$AW:$AW,,0,1)=0,"",_xlfn.XLOOKUP($E165,'[1]Import Eletra'!$B:$B,'[1]Import Eletra'!$AW:$AW,,0,1))</f>
        <v/>
      </c>
      <c r="BC165" s="309">
        <f t="shared" si="379"/>
        <v>0</v>
      </c>
      <c r="BD165" s="309" t="e">
        <f t="shared" ca="1" si="504"/>
        <v>#VALUE!</v>
      </c>
      <c r="BE165" s="310" t="e">
        <f t="shared" ca="1" si="505"/>
        <v>#VALUE!</v>
      </c>
      <c r="BF165" s="336" t="e">
        <f t="shared" si="506"/>
        <v>#VALUE!</v>
      </c>
      <c r="BG165" s="345" t="str">
        <f>IF(_xlfn.XLOOKUP($E165,'[1]Import Eletra'!$B:$B,'[1]Import Eletra'!$AX:$AX,,0,1)=0,"",_xlfn.XLOOKUP($E165,'[1]Import Eletra'!$B:$B,'[1]Import Eletra'!$AX:$AX,,0,1))</f>
        <v/>
      </c>
      <c r="BH165" s="309">
        <f t="shared" si="383"/>
        <v>0</v>
      </c>
      <c r="BI165" s="309" t="e">
        <f t="shared" ca="1" si="507"/>
        <v>#VALUE!</v>
      </c>
      <c r="BJ165" s="310" t="e">
        <f t="shared" ca="1" si="385"/>
        <v>#VALUE!</v>
      </c>
      <c r="BK165" s="363" t="e">
        <f t="shared" si="508"/>
        <v>#VALUE!</v>
      </c>
      <c r="BL165" s="345" t="str">
        <f>IF(_xlfn.XLOOKUP($E165,'[1]Import Eletra'!$B:$B,'[1]Import Eletra'!$AY:$AY,,0,1)=0,"",_xlfn.XLOOKUP($E165,'[1]Import Eletra'!$B:$B,'[1]Import Eletra'!$AY:$AY,,0,1))</f>
        <v/>
      </c>
      <c r="BM165" s="309">
        <f t="shared" si="387"/>
        <v>0</v>
      </c>
      <c r="BN165" s="309" t="e">
        <f t="shared" ca="1" si="509"/>
        <v>#VALUE!</v>
      </c>
      <c r="BO165" s="310" t="e">
        <f t="shared" ca="1" si="510"/>
        <v>#VALUE!</v>
      </c>
      <c r="BP165" s="336" t="e">
        <f t="shared" si="511"/>
        <v>#VALUE!</v>
      </c>
      <c r="BQ165" s="345" t="str">
        <f>IF(_xlfn.XLOOKUP($E165,'[1]Import Eletra'!$B:$B,'[1]Import Eletra'!$AZ:$AZ,,0,1)=0,"",_xlfn.XLOOKUP($E165,'[1]Import Eletra'!$B:$B,'[1]Import Eletra'!$AZ:$AZ,,0,1))</f>
        <v/>
      </c>
      <c r="BR165" s="309">
        <f t="shared" si="391"/>
        <v>0</v>
      </c>
      <c r="BS165" s="309" t="e">
        <f t="shared" ca="1" si="512"/>
        <v>#VALUE!</v>
      </c>
      <c r="BT165" s="310" t="e">
        <f t="shared" ca="1" si="513"/>
        <v>#VALUE!</v>
      </c>
      <c r="BU165" s="363" t="e">
        <f t="shared" si="514"/>
        <v>#VALUE!</v>
      </c>
      <c r="BV165" s="345" t="str">
        <f>IF(_xlfn.XLOOKUP($E165,'[1]Import Eletra'!$B:$B,'[1]Import Eletra'!$BA:$BA,,0,1)=0,"",_xlfn.XLOOKUP($E165,'[1]Import Eletra'!$B:$B,'[1]Import Eletra'!$BA:$BA,,0,1))</f>
        <v/>
      </c>
      <c r="BW165" s="309">
        <f t="shared" si="395"/>
        <v>2</v>
      </c>
      <c r="BX165" s="309" t="e">
        <f t="shared" ca="1" si="515"/>
        <v>#VALUE!</v>
      </c>
      <c r="BY165" s="310" t="e">
        <f t="shared" ca="1" si="397"/>
        <v>#VALUE!</v>
      </c>
      <c r="BZ165" s="336" t="e">
        <f t="shared" si="516"/>
        <v>#VALUE!</v>
      </c>
      <c r="CA165" s="345" t="str">
        <f>IF(_xlfn.XLOOKUP($E165,'[1]Import Eletra'!$B:$B,'[1]Import Eletra'!$BB:$BB,,0,1)=0,"",_xlfn.XLOOKUP($E165,'[1]Import Eletra'!$B:$B,'[1]Import Eletra'!$BB:$BB,,0,1))</f>
        <v/>
      </c>
      <c r="CB165" s="309">
        <f t="shared" si="399"/>
        <v>0</v>
      </c>
      <c r="CC165" s="309" t="e">
        <f t="shared" ca="1" si="517"/>
        <v>#VALUE!</v>
      </c>
      <c r="CD165" s="310" t="e">
        <f t="shared" ca="1" si="518"/>
        <v>#VALUE!</v>
      </c>
      <c r="CE165" s="363" t="e">
        <f t="shared" si="519"/>
        <v>#VALUE!</v>
      </c>
      <c r="CF165" s="345" t="str">
        <f>IF(_xlfn.XLOOKUP($E165,'[1]Import Eletra'!$B:$B,'[1]Import Eletra'!$BC:$BC,,0,1)=0,"",_xlfn.XLOOKUP($E165,'[1]Import Eletra'!$B:$B,'[1]Import Eletra'!$BC:$BC,,0,1))</f>
        <v/>
      </c>
      <c r="CG165" s="309">
        <f t="shared" si="403"/>
        <v>0</v>
      </c>
      <c r="CH165" s="309" t="e">
        <f t="shared" ca="1" si="520"/>
        <v>#VALUE!</v>
      </c>
      <c r="CI165" s="310" t="e">
        <f t="shared" ca="1" si="521"/>
        <v>#VALUE!</v>
      </c>
      <c r="CJ165" s="336" t="e">
        <f t="shared" si="522"/>
        <v>#VALUE!</v>
      </c>
      <c r="CK165" s="345" t="str">
        <f>IF(_xlfn.XLOOKUP($E165,'[1]Import Eletra'!$B:$B,'[1]Import Eletra'!$BD:$BD,,0,1)=0,"",_xlfn.XLOOKUP($E165,'[1]Import Eletra'!$B:$B,'[1]Import Eletra'!$BD:$BD,,0,1))</f>
        <v/>
      </c>
      <c r="CL165" s="309"/>
      <c r="CM165" s="309" t="e">
        <f t="shared" ca="1" si="523"/>
        <v>#VALUE!</v>
      </c>
      <c r="CN165" s="310" t="e">
        <f t="shared" ca="1" si="524"/>
        <v>#VALUE!</v>
      </c>
      <c r="CO165" s="363" t="e">
        <f t="shared" si="525"/>
        <v>#VALUE!</v>
      </c>
      <c r="CP165" s="345" t="str">
        <f>IF(_xlfn.XLOOKUP($E165,'[1]Import Eletra'!$B:$B,'[1]Import Eletra'!$BE:$BE,,0,1)=0,"",_xlfn.XLOOKUP($E165,'[1]Import Eletra'!$B:$B,'[1]Import Eletra'!$BE:$BE,,0,1))</f>
        <v/>
      </c>
      <c r="CQ165" s="309">
        <f t="shared" si="410"/>
        <v>0</v>
      </c>
      <c r="CR165" s="309" t="e">
        <f t="shared" ca="1" si="526"/>
        <v>#VALUE!</v>
      </c>
      <c r="CS165" s="310" t="e">
        <f t="shared" ca="1" si="527"/>
        <v>#VALUE!</v>
      </c>
      <c r="CT165" s="336" t="e">
        <f t="shared" si="528"/>
        <v>#VALUE!</v>
      </c>
      <c r="CU165" s="345" t="str">
        <f>IF(_xlfn.XLOOKUP($E165,'[1]Import Eletra'!$B:$B,'[1]Import Eletra'!$BF:$BF,,0,1)=0,"",_xlfn.XLOOKUP($E165,'[1]Import Eletra'!$B:$B,'[1]Import Eletra'!$BF:$BF,,0,1))</f>
        <v/>
      </c>
      <c r="CV165" s="309">
        <f t="shared" si="414"/>
        <v>0</v>
      </c>
      <c r="CW165" s="309" t="e">
        <f t="shared" ca="1" si="529"/>
        <v>#VALUE!</v>
      </c>
      <c r="CX165" s="310" t="e">
        <f t="shared" ca="1" si="530"/>
        <v>#VALUE!</v>
      </c>
      <c r="CY165" s="85" t="e">
        <f t="shared" si="531"/>
        <v>#VALUE!</v>
      </c>
      <c r="CZ165" s="271" t="str">
        <f>IF(_xlfn.XLOOKUP($E165,'[1]Import Eletra'!$B:$B,'[1]Import Eletra'!$BF:$BF,,0,1)=0,"",_xlfn.XLOOKUP($E165,'[1]Import Eletra'!$B:$B,'[1]Import Eletra'!$BF:$BF,,0,1))</f>
        <v/>
      </c>
      <c r="DA165" s="311">
        <f t="shared" si="418"/>
        <v>0</v>
      </c>
      <c r="DB165" s="309" t="e">
        <f t="shared" ca="1" si="532"/>
        <v>#VALUE!</v>
      </c>
      <c r="DC165" s="310" t="e">
        <f t="shared" ca="1" si="533"/>
        <v>#VALUE!</v>
      </c>
      <c r="DD165" s="85" t="e">
        <f t="shared" si="534"/>
        <v>#VALUE!</v>
      </c>
      <c r="DE165" s="271" t="str">
        <f>IF(_xlfn.XLOOKUP($E165,'[1]Import Eletra'!$B:$B,'[1]Import Eletra'!$BG:$BG,,0,1)=0,"",_xlfn.XLOOKUP($E165,'[1]Import Eletra'!$B:$B,'[1]Import Eletra'!$BG:$BG,0,1))</f>
        <v/>
      </c>
      <c r="DF165" s="309">
        <f t="shared" si="422"/>
        <v>2</v>
      </c>
      <c r="DG165" s="309" t="e">
        <f t="shared" ca="1" si="535"/>
        <v>#VALUE!</v>
      </c>
      <c r="DH165" s="310" t="e">
        <f t="shared" ca="1" si="536"/>
        <v>#VALUE!</v>
      </c>
      <c r="DI165" s="85" t="e">
        <f t="shared" si="537"/>
        <v>#VALUE!</v>
      </c>
      <c r="DJ165" s="271" t="str">
        <f>IF(_xlfn.XLOOKUP($E165,'[1]Import Eletra'!$B:$B,'[1]Import Eletra'!$BH:$BH,,0,1)=0,"",_xlfn.XLOOKUP($E165,'[1]Import Eletra'!$B:$B,'[1]Import Eletra'!$BH:$BH,0,1))</f>
        <v/>
      </c>
      <c r="DK165" s="309">
        <f t="shared" si="426"/>
        <v>1</v>
      </c>
      <c r="DL165" s="309" t="e">
        <f t="shared" ca="1" si="538"/>
        <v>#VALUE!</v>
      </c>
      <c r="DM165" s="310" t="e">
        <f t="shared" ca="1" si="539"/>
        <v>#VALUE!</v>
      </c>
      <c r="DN165" s="312"/>
      <c r="DO165" s="313" t="e">
        <f t="shared" si="540"/>
        <v>#VALUE!</v>
      </c>
      <c r="DP165" s="59" t="str">
        <f>IF(_xlfn.XLOOKUP($E165,'[1]Import Eletra'!$B:$B,'[1]Import Eletra'!$O:$O,,0,1)=0,"",_xlfn.XLOOKUP($E165,'[1]Import Eletra'!$B:$B,'[1]Import Eletra'!$O:$O,0,1))</f>
        <v/>
      </c>
      <c r="DQ165" s="309">
        <f t="shared" si="430"/>
        <v>1</v>
      </c>
      <c r="DR165" s="309" t="e">
        <f t="shared" ca="1" si="541"/>
        <v>#VALUE!</v>
      </c>
      <c r="DS165" s="310" t="e">
        <f t="shared" ca="1" si="542"/>
        <v>#VALUE!</v>
      </c>
      <c r="DT165" s="314">
        <v>17</v>
      </c>
      <c r="DU165" s="140" t="e">
        <f t="shared" ca="1" si="543"/>
        <v>#VALUE!</v>
      </c>
      <c r="DV165" s="184" t="e">
        <f t="shared" ca="1" si="544"/>
        <v>#VALUE!</v>
      </c>
      <c r="DX165" s="316"/>
      <c r="DY165" s="108" t="str">
        <f>IF(_xlfn.XLOOKUP($E165,'[1]Import Eletra'!$B:$B,'[1]Import Eletra'!$DW:$DW,,0,1)=0,"",_xlfn.XLOOKUP($E165,'[1]Import Eletra'!$B:$B,'[1]Import Eletra'!$DW:$DW,0,1))</f>
        <v/>
      </c>
      <c r="EB165" s="317"/>
      <c r="ED165" s="406" t="str">
        <f>IF(_xlfn.XLOOKUP($E165,'[1]Import Eletra'!$B:$B,'[1]Import Eletra'!$BQ:$BQ,,0,1)=0,"",_xlfn.XLOOKUP($E165,'[1]Import Eletra'!$B:$B,'[1]Import Eletra'!$BQ:$BQ,0,1))</f>
        <v/>
      </c>
      <c r="EE165" s="407" t="str">
        <f>IF(_xlfn.XLOOKUP($E165,'[1]Import Eletra'!$B:$B,'[1]Import Eletra'!$BR:$BR,,0,1)=0,"",_xlfn.XLOOKUP($E165,'[1]Import Eletra'!$B:$B,'[1]Import Eletra'!$BR:$BR,0,1))</f>
        <v/>
      </c>
      <c r="EF165" s="406" t="str">
        <f>IF(_xlfn.XLOOKUP($E165,'[1]Import Eletra'!$B:$B,'[1]Import Eletra'!$BS:$BS,,0,1)=0,"",_xlfn.XLOOKUP($E165,'[1]Import Eletra'!$B:$B,'[1]Import Eletra'!$BS:$BS,0,1))</f>
        <v/>
      </c>
      <c r="EG165" s="407" t="str">
        <f>IF(_xlfn.XLOOKUP($E165,'[1]Import Eletra'!$B:$B,'[1]Import Eletra'!$BT:$BT,,0,1)=0,"",_xlfn.XLOOKUP($E165,'[1]Import Eletra'!$B:$B,'[1]Import Eletra'!$BT:$BT,0,1))</f>
        <v/>
      </c>
      <c r="EH165" s="406" t="str">
        <f>IF(_xlfn.XLOOKUP($E165,'[1]Import Eletra'!$B:$B,'[1]Import Eletra'!$BU:$BU,,0,1)=0,"",_xlfn.XLOOKUP($E165,'[1]Import Eletra'!$B:$B,'[1]Import Eletra'!$BU:$BU,0,1))</f>
        <v/>
      </c>
      <c r="EI165" s="407" t="str">
        <f>IF(_xlfn.XLOOKUP($E165,'[1]Import Eletra'!$B:$B,'[1]Import Eletra'!$BV:$BV,,0,1)=0,"",_xlfn.XLOOKUP($E165,'[1]Import Eletra'!$B:$B,'[1]Import Eletra'!$BV:$BV,0,1))</f>
        <v/>
      </c>
      <c r="EJ165" s="407" t="str">
        <f>IF(_xlfn.XLOOKUP($E165,'[1]Import Eletra'!$B:$B,'[1]Import Eletra'!$CI:$CI,,0,1)=0,"",_xlfn.XLOOKUP($E165,'[1]Import Eletra'!$B:$B,'[1]Import Eletra'!$CI:$CI,0,1))</f>
        <v/>
      </c>
      <c r="EK165" s="407" t="str">
        <f>IF(_xlfn.XLOOKUP($E165,'[1]Import Eletra'!$B:$B,'[1]Import Eletra'!$CD:$CD,,0,1)=0,"",_xlfn.XLOOKUP($E165,'[1]Import Eletra'!$B:$B,'[1]Import Eletra'!$CD:$CD,0,1))</f>
        <v/>
      </c>
      <c r="EL165" s="407" t="str">
        <f>IF(_xlfn.XLOOKUP($E165,'[1]Import Eletra'!$B:$B,'[1]Import Eletra'!$CE:$CE,,0,1)=0,"",_xlfn.XLOOKUP($E165,'[1]Import Eletra'!$B:$B,'[1]Import Eletra'!$CE:$CE,0,1))</f>
        <v/>
      </c>
      <c r="EM165" s="408" t="str">
        <f>IF(_xlfn.XLOOKUP($E165,'[1]Import Eletra'!$B:$B,'[1]Import Eletra'!$E:$E,,0,1)=0,"",_xlfn.XLOOKUP($E165,'[1]Import Eletra'!$B:$B,'[1]Import Eletra'!$E:$E,0,1))</f>
        <v/>
      </c>
      <c r="EN165" s="408" t="str">
        <f>IF(_xlfn.XLOOKUP($E165,'[1]Import Eletra'!$B:$B,'[1]Import Eletra'!$E:$E,,0,1)=0,"",_xlfn.XLOOKUP($E165,'[1]Import Eletra'!$B:$B,'[1]Import Eletra'!$E:$E,0,1))</f>
        <v/>
      </c>
      <c r="EO165" s="408" t="str">
        <f>IF(_xlfn.XLOOKUP($E165,'[1]Import Eletra'!$B:$B,'[1]Import Eletra'!$E:$E,,0,1)=0,"",_xlfn.XLOOKUP($E165,'[1]Import Eletra'!$B:$B,'[1]Import Eletra'!$E:$E,0,1))</f>
        <v/>
      </c>
      <c r="EP165" s="408" t="str">
        <f>IF(_xlfn.XLOOKUP($E165,'[1]Import Eletra'!$B:$B,'[1]Import Eletra'!$E:$E,,0,1)=0,"",_xlfn.XLOOKUP($E165,'[1]Import Eletra'!$B:$B,'[1]Import Eletra'!$E:$E,0,1))</f>
        <v/>
      </c>
    </row>
    <row r="166" spans="1:146" s="315" customFormat="1" ht="30" hidden="1" customHeight="1" outlineLevel="1">
      <c r="A166" s="305"/>
      <c r="B166" s="306"/>
      <c r="C166" s="306"/>
      <c r="D166" s="306"/>
      <c r="E166" s="367"/>
      <c r="F166" s="307" t="str">
        <f>IF(_xlfn.XLOOKUP($E166,'[1]Import Eletra'!$B:$B,'[1]Import Eletra'!$U:$U,,0,1)=0,"",_xlfn.XLOOKUP($E166,'[1]Import Eletra'!$B:$B,'[1]Import Eletra'!$U:$U,,0,1))</f>
        <v/>
      </c>
      <c r="G166" s="320" t="s">
        <v>244</v>
      </c>
      <c r="H166" s="59">
        <f>_xlfn.XLOOKUP($E166,'[1]Import Eletra'!$B:$B,'[1]Import Eletra'!$F:$F,,0,1)</f>
        <v>0</v>
      </c>
      <c r="I166" s="4">
        <f>_xlfn.XLOOKUP($E166,'[1]Import Eletra'!$B:$B,'[1]Import Eletra'!$G:$G,,0,1)</f>
        <v>0</v>
      </c>
      <c r="J166" s="331"/>
      <c r="K166" s="308"/>
      <c r="L166" s="308"/>
      <c r="M166" s="331" t="str">
        <f>IF(_xlfn.XLOOKUP($E166,'[1]Import Eletra'!$B:$B,'[1]Import Eletra'!$J:$J,,0,1)=0,"",_xlfn.XLOOKUP($E166,'[1]Import Eletra'!$B:$B,'[1]Import Eletra'!$J:$J,,0,1))</f>
        <v/>
      </c>
      <c r="N166" s="334" t="str">
        <f>IF(_xlfn.XLOOKUP($E166,'[1]Import Eletra'!$B:$B,'[1]Import Eletra'!$L:$L,,0,1)=0,"",_xlfn.XLOOKUP($E166,'[1]Import Eletra'!$B:$B,'[1]Import Eletra'!$L:$L,,0,1))</f>
        <v/>
      </c>
      <c r="O166" s="336" t="str">
        <f>IF(_xlfn.XLOOKUP($E166,'[1]Import Eletra'!$B:$B,'[1]Import Eletra'!$AK:$AK,,0,1)=0,"",_xlfn.XLOOKUP($E166,'[1]Import Eletra'!$B:$B,'[1]Import Eletra'!$AK:$AK,,0,1))</f>
        <v/>
      </c>
      <c r="P166" s="331" t="str">
        <f>IF(_xlfn.XLOOKUP($E166,'[1]Import Eletra'!$B:$B,'[1]Import Eletra'!$AL:$AL,,0,1)=0,"",_xlfn.XLOOKUP($E166,'[1]Import Eletra'!$B:$B,'[1]Import Eletra'!$AL:$AL,,0,1))</f>
        <v/>
      </c>
      <c r="Q166" s="331" t="str">
        <f>IF(_xlfn.XLOOKUP($E166,'[1]Import Eletra'!$B:$B,'[1]Import Eletra'!$AM:$AM,,0,1)=0,"",_xlfn.XLOOKUP($E166,'[1]Import Eletra'!$B:$B,'[1]Import Eletra'!$AM:$AM,,0,1))</f>
        <v/>
      </c>
      <c r="R166" s="331" t="str">
        <f>IF(_xlfn.XLOOKUP($E166,'[1]Import Eletra'!$B:$B,'[1]Import Eletra'!$AN:$AN,,0,1)=0,"",_xlfn.XLOOKUP($E166,'[1]Import Eletra'!$B:$B,'[1]Import Eletra'!$AN:$AN,,0,1))</f>
        <v/>
      </c>
      <c r="S166" s="331" t="str">
        <f>IF(_xlfn.XLOOKUP($E166,'[1]Import Eletra'!$B:$B,'[1]Import Eletra'!$AO:$AO,,0,1)=0,"",_xlfn.XLOOKUP($E166,'[1]Import Eletra'!$B:$B,'[1]Import Eletra'!$AO:$AO,,0,1))</f>
        <v/>
      </c>
      <c r="T166" s="331" t="str">
        <f>IF(_xlfn.XLOOKUP($E166,'[1]Import Eletra'!$B:$B,'[1]Import Eletra'!$AP:$AP,,0,1)=0,"",_xlfn.XLOOKUP($E166,'[1]Import Eletra'!$B:$B,'[1]Import Eletra'!$AP:$AP,,0,1))</f>
        <v/>
      </c>
      <c r="U166" s="338" t="str">
        <f>IF(_xlfn.XLOOKUP($E166,'[1]Import Eletra'!$B:$B,'[1]Import Eletra'!$AQ:$AQ,,0,1)=0,"",_xlfn.XLOOKUP($E166,'[1]Import Eletra'!$B:$B,'[1]Import Eletra'!$AQ:$AQ,,0,1))</f>
        <v/>
      </c>
      <c r="V166" s="343" t="str">
        <f>IF(_xlfn.XLOOKUP($E166,'[1]Import Eletra'!$B:$B,'[1]Import Eletra'!$AQ:$AQ,,0,1)=0,"",_xlfn.XLOOKUP($E166,'[1]Import Eletra'!$B:$B,'[1]Import Eletra'!$AQ:$AQ,,0,1))</f>
        <v/>
      </c>
      <c r="W166" s="336" t="e">
        <f t="shared" si="490"/>
        <v>#VALUE!</v>
      </c>
      <c r="X166" s="345" t="str">
        <f>IF(_xlfn.XLOOKUP($E166,'[1]Import Eletra'!$B:$B,'[1]Import Eletra'!$AR:$AR,,0,1)=0,"",_xlfn.XLOOKUP($E166,'[1]Import Eletra'!$B:$B,'[1]Import Eletra'!$AR:$AR,,0,1))</f>
        <v/>
      </c>
      <c r="Y166" s="309">
        <f t="shared" si="355"/>
        <v>0</v>
      </c>
      <c r="Z166" s="309" t="e">
        <f t="shared" ca="1" si="491"/>
        <v>#VALUE!</v>
      </c>
      <c r="AA166" s="310" t="e">
        <f t="shared" ca="1" si="357"/>
        <v>#VALUE!</v>
      </c>
      <c r="AB166" s="350" t="e">
        <f t="shared" si="492"/>
        <v>#VALUE!</v>
      </c>
      <c r="AC166" s="345" t="str">
        <f>IF(_xlfn.XLOOKUP($E166,'[1]Import Eletra'!$B:$B,'[1]Import Eletra'!$AD:$AD,,0,1)=0,"",_xlfn.XLOOKUP($E166,'[1]Import Eletra'!$B:$B,'[1]Import Eletra'!$AD:$AD,,0,1))</f>
        <v/>
      </c>
      <c r="AD166" s="309">
        <f t="shared" si="359"/>
        <v>0</v>
      </c>
      <c r="AE166" s="309" t="e">
        <f t="shared" ca="1" si="493"/>
        <v>#VALUE!</v>
      </c>
      <c r="AF166" s="310" t="e">
        <f t="shared" ca="1" si="494"/>
        <v>#VALUE!</v>
      </c>
      <c r="AG166" s="356" t="e">
        <f t="shared" si="495"/>
        <v>#VALUE!</v>
      </c>
      <c r="AH166" s="345" t="str">
        <f>IF(_xlfn.XLOOKUP($E166,'[1]Import Eletra'!$B:$B,'[1]Import Eletra'!$AE:$AE,,0,1)=0,"",_xlfn.XLOOKUP($E166,'[1]Import Eletra'!$B:$B,'[1]Import Eletra'!$AE:$AE,,0,1))</f>
        <v/>
      </c>
      <c r="AI166" s="309">
        <f t="shared" si="363"/>
        <v>0</v>
      </c>
      <c r="AJ166" s="309" t="e">
        <f t="shared" ca="1" si="496"/>
        <v>#VALUE!</v>
      </c>
      <c r="AK166" s="310" t="e">
        <f t="shared" ca="1" si="365"/>
        <v>#VALUE!</v>
      </c>
      <c r="AL166" s="356" t="e">
        <f t="shared" si="497"/>
        <v>#VALUE!</v>
      </c>
      <c r="AM166" s="345" t="str">
        <f>IF(_xlfn.XLOOKUP($E166,'[1]Import Eletra'!$B:$B,'[1]Import Eletra'!$AT:$AT,,0,1)=0,"",_xlfn.XLOOKUP($E166,'[1]Import Eletra'!$B:$B,'[1]Import Eletra'!$AT:$AT,,0,1))</f>
        <v/>
      </c>
      <c r="AN166" s="309">
        <f t="shared" si="367"/>
        <v>0</v>
      </c>
      <c r="AO166" s="309" t="e">
        <f t="shared" ca="1" si="498"/>
        <v>#VALUE!</v>
      </c>
      <c r="AP166" s="310" t="e">
        <f t="shared" ca="1" si="369"/>
        <v>#VALUE!</v>
      </c>
      <c r="AQ166" s="359" t="e">
        <f t="shared" si="499"/>
        <v>#VALUE!</v>
      </c>
      <c r="AR166" s="345" t="str">
        <f>IF(_xlfn.XLOOKUP($E166,'[1]Import Eletra'!$B:$B,'[1]Import Eletra'!$AU:$AU,,0,1)=0,"",_xlfn.XLOOKUP($E166,'[1]Import Eletra'!$B:$B,'[1]Import Eletra'!$AU:$AU,,0,1))</f>
        <v/>
      </c>
      <c r="AS166" s="309">
        <f t="shared" si="371"/>
        <v>1</v>
      </c>
      <c r="AT166" s="309" t="e">
        <f t="shared" ca="1" si="500"/>
        <v>#VALUE!</v>
      </c>
      <c r="AU166" s="310" t="e">
        <f t="shared" ca="1" si="373"/>
        <v>#VALUE!</v>
      </c>
      <c r="AV166" s="356" t="e">
        <f t="shared" si="501"/>
        <v>#VALUE!</v>
      </c>
      <c r="AW166" s="345" t="str">
        <f>IF(_xlfn.XLOOKUP($E166,'[1]Import Eletra'!$B:$B,'[1]Import Eletra'!$AU:$AU,,0,1)=0,"",_xlfn.XLOOKUP($E166,'[1]Import Eletra'!$B:$B,'[1]Import Eletra'!$AU:$AU,,0,1))</f>
        <v/>
      </c>
      <c r="AX166" s="309">
        <f t="shared" si="375"/>
        <v>0</v>
      </c>
      <c r="AY166" s="309" t="e">
        <f t="shared" ca="1" si="502"/>
        <v>#VALUE!</v>
      </c>
      <c r="AZ166" s="310" t="e">
        <f t="shared" ca="1" si="377"/>
        <v>#VALUE!</v>
      </c>
      <c r="BA166" s="359" t="e">
        <f t="shared" si="503"/>
        <v>#VALUE!</v>
      </c>
      <c r="BB166" s="345" t="str">
        <f>IF(_xlfn.XLOOKUP($E166,'[1]Import Eletra'!$B:$B,'[1]Import Eletra'!$AW:$AW,,0,1)=0,"",_xlfn.XLOOKUP($E166,'[1]Import Eletra'!$B:$B,'[1]Import Eletra'!$AW:$AW,,0,1))</f>
        <v/>
      </c>
      <c r="BC166" s="309">
        <f t="shared" si="379"/>
        <v>0</v>
      </c>
      <c r="BD166" s="309" t="e">
        <f t="shared" ca="1" si="504"/>
        <v>#VALUE!</v>
      </c>
      <c r="BE166" s="310" t="e">
        <f t="shared" ca="1" si="505"/>
        <v>#VALUE!</v>
      </c>
      <c r="BF166" s="336" t="e">
        <f t="shared" si="506"/>
        <v>#VALUE!</v>
      </c>
      <c r="BG166" s="345" t="str">
        <f>IF(_xlfn.XLOOKUP($E166,'[1]Import Eletra'!$B:$B,'[1]Import Eletra'!$AX:$AX,,0,1)=0,"",_xlfn.XLOOKUP($E166,'[1]Import Eletra'!$B:$B,'[1]Import Eletra'!$AX:$AX,,0,1))</f>
        <v/>
      </c>
      <c r="BH166" s="309">
        <f t="shared" si="383"/>
        <v>0</v>
      </c>
      <c r="BI166" s="309" t="e">
        <f t="shared" ca="1" si="507"/>
        <v>#VALUE!</v>
      </c>
      <c r="BJ166" s="310" t="e">
        <f t="shared" ca="1" si="385"/>
        <v>#VALUE!</v>
      </c>
      <c r="BK166" s="363" t="e">
        <f t="shared" si="508"/>
        <v>#VALUE!</v>
      </c>
      <c r="BL166" s="345" t="str">
        <f>IF(_xlfn.XLOOKUP($E166,'[1]Import Eletra'!$B:$B,'[1]Import Eletra'!$AY:$AY,,0,1)=0,"",_xlfn.XLOOKUP($E166,'[1]Import Eletra'!$B:$B,'[1]Import Eletra'!$AY:$AY,,0,1))</f>
        <v/>
      </c>
      <c r="BM166" s="309">
        <f t="shared" si="387"/>
        <v>0</v>
      </c>
      <c r="BN166" s="309" t="e">
        <f t="shared" ca="1" si="509"/>
        <v>#VALUE!</v>
      </c>
      <c r="BO166" s="310" t="e">
        <f t="shared" ca="1" si="510"/>
        <v>#VALUE!</v>
      </c>
      <c r="BP166" s="336" t="e">
        <f t="shared" si="511"/>
        <v>#VALUE!</v>
      </c>
      <c r="BQ166" s="345" t="str">
        <f>IF(_xlfn.XLOOKUP($E166,'[1]Import Eletra'!$B:$B,'[1]Import Eletra'!$AZ:$AZ,,0,1)=0,"",_xlfn.XLOOKUP($E166,'[1]Import Eletra'!$B:$B,'[1]Import Eletra'!$AZ:$AZ,,0,1))</f>
        <v/>
      </c>
      <c r="BR166" s="309">
        <f t="shared" si="391"/>
        <v>0</v>
      </c>
      <c r="BS166" s="309" t="e">
        <f t="shared" ca="1" si="512"/>
        <v>#VALUE!</v>
      </c>
      <c r="BT166" s="310" t="e">
        <f t="shared" ca="1" si="513"/>
        <v>#VALUE!</v>
      </c>
      <c r="BU166" s="363" t="e">
        <f t="shared" si="514"/>
        <v>#VALUE!</v>
      </c>
      <c r="BV166" s="345" t="str">
        <f>IF(_xlfn.XLOOKUP($E166,'[1]Import Eletra'!$B:$B,'[1]Import Eletra'!$BA:$BA,,0,1)=0,"",_xlfn.XLOOKUP($E166,'[1]Import Eletra'!$B:$B,'[1]Import Eletra'!$BA:$BA,,0,1))</f>
        <v/>
      </c>
      <c r="BW166" s="309">
        <f t="shared" si="395"/>
        <v>2</v>
      </c>
      <c r="BX166" s="309" t="e">
        <f t="shared" ca="1" si="515"/>
        <v>#VALUE!</v>
      </c>
      <c r="BY166" s="310" t="e">
        <f t="shared" ca="1" si="397"/>
        <v>#VALUE!</v>
      </c>
      <c r="BZ166" s="336" t="e">
        <f t="shared" si="516"/>
        <v>#VALUE!</v>
      </c>
      <c r="CA166" s="345" t="str">
        <f>IF(_xlfn.XLOOKUP($E166,'[1]Import Eletra'!$B:$B,'[1]Import Eletra'!$BB:$BB,,0,1)=0,"",_xlfn.XLOOKUP($E166,'[1]Import Eletra'!$B:$B,'[1]Import Eletra'!$BB:$BB,,0,1))</f>
        <v/>
      </c>
      <c r="CB166" s="309">
        <f t="shared" si="399"/>
        <v>0</v>
      </c>
      <c r="CC166" s="309" t="e">
        <f t="shared" ca="1" si="517"/>
        <v>#VALUE!</v>
      </c>
      <c r="CD166" s="310" t="e">
        <f t="shared" ca="1" si="518"/>
        <v>#VALUE!</v>
      </c>
      <c r="CE166" s="363" t="e">
        <f t="shared" si="519"/>
        <v>#VALUE!</v>
      </c>
      <c r="CF166" s="345" t="str">
        <f>IF(_xlfn.XLOOKUP($E166,'[1]Import Eletra'!$B:$B,'[1]Import Eletra'!$BC:$BC,,0,1)=0,"",_xlfn.XLOOKUP($E166,'[1]Import Eletra'!$B:$B,'[1]Import Eletra'!$BC:$BC,,0,1))</f>
        <v/>
      </c>
      <c r="CG166" s="309">
        <f t="shared" si="403"/>
        <v>0</v>
      </c>
      <c r="CH166" s="309" t="e">
        <f t="shared" ca="1" si="520"/>
        <v>#VALUE!</v>
      </c>
      <c r="CI166" s="310" t="e">
        <f t="shared" ca="1" si="521"/>
        <v>#VALUE!</v>
      </c>
      <c r="CJ166" s="336" t="e">
        <f t="shared" si="522"/>
        <v>#VALUE!</v>
      </c>
      <c r="CK166" s="345" t="str">
        <f>IF(_xlfn.XLOOKUP($E166,'[1]Import Eletra'!$B:$B,'[1]Import Eletra'!$BD:$BD,,0,1)=0,"",_xlfn.XLOOKUP($E166,'[1]Import Eletra'!$B:$B,'[1]Import Eletra'!$BD:$BD,,0,1))</f>
        <v/>
      </c>
      <c r="CL166" s="309"/>
      <c r="CM166" s="309" t="e">
        <f t="shared" ca="1" si="523"/>
        <v>#VALUE!</v>
      </c>
      <c r="CN166" s="310" t="e">
        <f t="shared" ca="1" si="524"/>
        <v>#VALUE!</v>
      </c>
      <c r="CO166" s="363" t="e">
        <f t="shared" si="525"/>
        <v>#VALUE!</v>
      </c>
      <c r="CP166" s="345" t="str">
        <f>IF(_xlfn.XLOOKUP($E166,'[1]Import Eletra'!$B:$B,'[1]Import Eletra'!$BE:$BE,,0,1)=0,"",_xlfn.XLOOKUP($E166,'[1]Import Eletra'!$B:$B,'[1]Import Eletra'!$BE:$BE,,0,1))</f>
        <v/>
      </c>
      <c r="CQ166" s="309">
        <f t="shared" si="410"/>
        <v>0</v>
      </c>
      <c r="CR166" s="309" t="e">
        <f t="shared" ca="1" si="526"/>
        <v>#VALUE!</v>
      </c>
      <c r="CS166" s="310" t="e">
        <f t="shared" ca="1" si="527"/>
        <v>#VALUE!</v>
      </c>
      <c r="CT166" s="336" t="e">
        <f t="shared" si="528"/>
        <v>#VALUE!</v>
      </c>
      <c r="CU166" s="345" t="str">
        <f>IF(_xlfn.XLOOKUP($E166,'[1]Import Eletra'!$B:$B,'[1]Import Eletra'!$BF:$BF,,0,1)=0,"",_xlfn.XLOOKUP($E166,'[1]Import Eletra'!$B:$B,'[1]Import Eletra'!$BF:$BF,,0,1))</f>
        <v/>
      </c>
      <c r="CV166" s="309">
        <f t="shared" si="414"/>
        <v>0</v>
      </c>
      <c r="CW166" s="309" t="e">
        <f t="shared" ca="1" si="529"/>
        <v>#VALUE!</v>
      </c>
      <c r="CX166" s="310" t="e">
        <f t="shared" ca="1" si="530"/>
        <v>#VALUE!</v>
      </c>
      <c r="CY166" s="85" t="e">
        <f t="shared" si="531"/>
        <v>#VALUE!</v>
      </c>
      <c r="CZ166" s="271" t="str">
        <f>IF(_xlfn.XLOOKUP($E166,'[1]Import Eletra'!$B:$B,'[1]Import Eletra'!$BF:$BF,,0,1)=0,"",_xlfn.XLOOKUP($E166,'[1]Import Eletra'!$B:$B,'[1]Import Eletra'!$BF:$BF,,0,1))</f>
        <v/>
      </c>
      <c r="DA166" s="311">
        <f t="shared" si="418"/>
        <v>0</v>
      </c>
      <c r="DB166" s="309" t="e">
        <f t="shared" ca="1" si="532"/>
        <v>#VALUE!</v>
      </c>
      <c r="DC166" s="310" t="e">
        <f t="shared" ca="1" si="533"/>
        <v>#VALUE!</v>
      </c>
      <c r="DD166" s="85" t="e">
        <f t="shared" si="534"/>
        <v>#VALUE!</v>
      </c>
      <c r="DE166" s="271" t="str">
        <f>IF(_xlfn.XLOOKUP($E166,'[1]Import Eletra'!$B:$B,'[1]Import Eletra'!$BG:$BG,,0,1)=0,"",_xlfn.XLOOKUP($E166,'[1]Import Eletra'!$B:$B,'[1]Import Eletra'!$BG:$BG,0,1))</f>
        <v/>
      </c>
      <c r="DF166" s="309">
        <f t="shared" si="422"/>
        <v>2</v>
      </c>
      <c r="DG166" s="309" t="e">
        <f t="shared" ca="1" si="535"/>
        <v>#VALUE!</v>
      </c>
      <c r="DH166" s="310" t="e">
        <f t="shared" ca="1" si="536"/>
        <v>#VALUE!</v>
      </c>
      <c r="DI166" s="85" t="e">
        <f t="shared" si="537"/>
        <v>#VALUE!</v>
      </c>
      <c r="DJ166" s="271" t="str">
        <f>IF(_xlfn.XLOOKUP($E166,'[1]Import Eletra'!$B:$B,'[1]Import Eletra'!$BH:$BH,,0,1)=0,"",_xlfn.XLOOKUP($E166,'[1]Import Eletra'!$B:$B,'[1]Import Eletra'!$BH:$BH,0,1))</f>
        <v/>
      </c>
      <c r="DK166" s="309">
        <f t="shared" si="426"/>
        <v>1</v>
      </c>
      <c r="DL166" s="309" t="e">
        <f t="shared" ca="1" si="538"/>
        <v>#VALUE!</v>
      </c>
      <c r="DM166" s="310" t="e">
        <f t="shared" ca="1" si="539"/>
        <v>#VALUE!</v>
      </c>
      <c r="DN166" s="312"/>
      <c r="DO166" s="313" t="e">
        <f t="shared" si="540"/>
        <v>#VALUE!</v>
      </c>
      <c r="DP166" s="59" t="str">
        <f>IF(_xlfn.XLOOKUP($E166,'[1]Import Eletra'!$B:$B,'[1]Import Eletra'!$O:$O,,0,1)=0,"",_xlfn.XLOOKUP($E166,'[1]Import Eletra'!$B:$B,'[1]Import Eletra'!$O:$O,0,1))</f>
        <v/>
      </c>
      <c r="DQ166" s="309">
        <f t="shared" si="430"/>
        <v>1</v>
      </c>
      <c r="DR166" s="309" t="e">
        <f t="shared" ca="1" si="541"/>
        <v>#VALUE!</v>
      </c>
      <c r="DS166" s="310" t="e">
        <f t="shared" ca="1" si="542"/>
        <v>#VALUE!</v>
      </c>
      <c r="DT166" s="314">
        <v>17</v>
      </c>
      <c r="DU166" s="140" t="e">
        <f t="shared" ca="1" si="543"/>
        <v>#VALUE!</v>
      </c>
      <c r="DV166" s="184" t="e">
        <f t="shared" ca="1" si="544"/>
        <v>#VALUE!</v>
      </c>
      <c r="DX166" s="316"/>
      <c r="DY166" s="108" t="str">
        <f>IF(_xlfn.XLOOKUP($E166,'[1]Import Eletra'!$B:$B,'[1]Import Eletra'!$DW:$DW,,0,1)=0,"",_xlfn.XLOOKUP($E166,'[1]Import Eletra'!$B:$B,'[1]Import Eletra'!$DW:$DW,0,1))</f>
        <v/>
      </c>
      <c r="EB166" s="317"/>
      <c r="ED166" s="406" t="str">
        <f>IF(_xlfn.XLOOKUP($E166,'[1]Import Eletra'!$B:$B,'[1]Import Eletra'!$BQ:$BQ,,0,1)=0,"",_xlfn.XLOOKUP($E166,'[1]Import Eletra'!$B:$B,'[1]Import Eletra'!$BQ:$BQ,0,1))</f>
        <v/>
      </c>
      <c r="EE166" s="407" t="str">
        <f>IF(_xlfn.XLOOKUP($E166,'[1]Import Eletra'!$B:$B,'[1]Import Eletra'!$BR:$BR,,0,1)=0,"",_xlfn.XLOOKUP($E166,'[1]Import Eletra'!$B:$B,'[1]Import Eletra'!$BR:$BR,0,1))</f>
        <v/>
      </c>
      <c r="EF166" s="406" t="str">
        <f>IF(_xlfn.XLOOKUP($E166,'[1]Import Eletra'!$B:$B,'[1]Import Eletra'!$BS:$BS,,0,1)=0,"",_xlfn.XLOOKUP($E166,'[1]Import Eletra'!$B:$B,'[1]Import Eletra'!$BS:$BS,0,1))</f>
        <v/>
      </c>
      <c r="EG166" s="407" t="str">
        <f>IF(_xlfn.XLOOKUP($E166,'[1]Import Eletra'!$B:$B,'[1]Import Eletra'!$BT:$BT,,0,1)=0,"",_xlfn.XLOOKUP($E166,'[1]Import Eletra'!$B:$B,'[1]Import Eletra'!$BT:$BT,0,1))</f>
        <v/>
      </c>
      <c r="EH166" s="406" t="str">
        <f>IF(_xlfn.XLOOKUP($E166,'[1]Import Eletra'!$B:$B,'[1]Import Eletra'!$BU:$BU,,0,1)=0,"",_xlfn.XLOOKUP($E166,'[1]Import Eletra'!$B:$B,'[1]Import Eletra'!$BU:$BU,0,1))</f>
        <v/>
      </c>
      <c r="EI166" s="407" t="str">
        <f>IF(_xlfn.XLOOKUP($E166,'[1]Import Eletra'!$B:$B,'[1]Import Eletra'!$BV:$BV,,0,1)=0,"",_xlfn.XLOOKUP($E166,'[1]Import Eletra'!$B:$B,'[1]Import Eletra'!$BV:$BV,0,1))</f>
        <v/>
      </c>
      <c r="EJ166" s="407" t="str">
        <f>IF(_xlfn.XLOOKUP($E166,'[1]Import Eletra'!$B:$B,'[1]Import Eletra'!$CI:$CI,,0,1)=0,"",_xlfn.XLOOKUP($E166,'[1]Import Eletra'!$B:$B,'[1]Import Eletra'!$CI:$CI,0,1))</f>
        <v/>
      </c>
      <c r="EK166" s="407" t="str">
        <f>IF(_xlfn.XLOOKUP($E166,'[1]Import Eletra'!$B:$B,'[1]Import Eletra'!$CD:$CD,,0,1)=0,"",_xlfn.XLOOKUP($E166,'[1]Import Eletra'!$B:$B,'[1]Import Eletra'!$CD:$CD,0,1))</f>
        <v/>
      </c>
      <c r="EL166" s="407" t="str">
        <f>IF(_xlfn.XLOOKUP($E166,'[1]Import Eletra'!$B:$B,'[1]Import Eletra'!$CE:$CE,,0,1)=0,"",_xlfn.XLOOKUP($E166,'[1]Import Eletra'!$B:$B,'[1]Import Eletra'!$CE:$CE,0,1))</f>
        <v/>
      </c>
      <c r="EM166" s="408" t="str">
        <f>IF(_xlfn.XLOOKUP($E166,'[1]Import Eletra'!$B:$B,'[1]Import Eletra'!$E:$E,,0,1)=0,"",_xlfn.XLOOKUP($E166,'[1]Import Eletra'!$B:$B,'[1]Import Eletra'!$E:$E,0,1))</f>
        <v/>
      </c>
      <c r="EN166" s="408" t="str">
        <f>IF(_xlfn.XLOOKUP($E166,'[1]Import Eletra'!$B:$B,'[1]Import Eletra'!$E:$E,,0,1)=0,"",_xlfn.XLOOKUP($E166,'[1]Import Eletra'!$B:$B,'[1]Import Eletra'!$E:$E,0,1))</f>
        <v/>
      </c>
      <c r="EO166" s="408" t="str">
        <f>IF(_xlfn.XLOOKUP($E166,'[1]Import Eletra'!$B:$B,'[1]Import Eletra'!$E:$E,,0,1)=0,"",_xlfn.XLOOKUP($E166,'[1]Import Eletra'!$B:$B,'[1]Import Eletra'!$E:$E,0,1))</f>
        <v/>
      </c>
      <c r="EP166" s="408" t="str">
        <f>IF(_xlfn.XLOOKUP($E166,'[1]Import Eletra'!$B:$B,'[1]Import Eletra'!$E:$E,,0,1)=0,"",_xlfn.XLOOKUP($E166,'[1]Import Eletra'!$B:$B,'[1]Import Eletra'!$E:$E,0,1))</f>
        <v/>
      </c>
    </row>
    <row r="167" spans="1:146" s="315" customFormat="1" ht="30" hidden="1" customHeight="1" outlineLevel="1">
      <c r="A167" s="305"/>
      <c r="B167" s="306"/>
      <c r="C167" s="306"/>
      <c r="D167" s="306"/>
      <c r="E167" s="367"/>
      <c r="F167" s="307" t="str">
        <f>IF(_xlfn.XLOOKUP($E167,'[1]Import Eletra'!$B:$B,'[1]Import Eletra'!$U:$U,,0,1)=0,"",_xlfn.XLOOKUP($E167,'[1]Import Eletra'!$B:$B,'[1]Import Eletra'!$U:$U,,0,1))</f>
        <v/>
      </c>
      <c r="G167" s="320" t="s">
        <v>244</v>
      </c>
      <c r="H167" s="59">
        <f>_xlfn.XLOOKUP($E167,'[1]Import Eletra'!$B:$B,'[1]Import Eletra'!$F:$F,,0,1)</f>
        <v>0</v>
      </c>
      <c r="I167" s="4">
        <f>_xlfn.XLOOKUP($E167,'[1]Import Eletra'!$B:$B,'[1]Import Eletra'!$G:$G,,0,1)</f>
        <v>0</v>
      </c>
      <c r="J167" s="331"/>
      <c r="K167" s="308"/>
      <c r="L167" s="308"/>
      <c r="M167" s="331" t="str">
        <f>IF(_xlfn.XLOOKUP($E167,'[1]Import Eletra'!$B:$B,'[1]Import Eletra'!$J:$J,,0,1)=0,"",_xlfn.XLOOKUP($E167,'[1]Import Eletra'!$B:$B,'[1]Import Eletra'!$J:$J,,0,1))</f>
        <v/>
      </c>
      <c r="N167" s="334" t="str">
        <f>IF(_xlfn.XLOOKUP($E167,'[1]Import Eletra'!$B:$B,'[1]Import Eletra'!$L:$L,,0,1)=0,"",_xlfn.XLOOKUP($E167,'[1]Import Eletra'!$B:$B,'[1]Import Eletra'!$L:$L,,0,1))</f>
        <v/>
      </c>
      <c r="O167" s="336" t="str">
        <f>IF(_xlfn.XLOOKUP($E167,'[1]Import Eletra'!$B:$B,'[1]Import Eletra'!$AK:$AK,,0,1)=0,"",_xlfn.XLOOKUP($E167,'[1]Import Eletra'!$B:$B,'[1]Import Eletra'!$AK:$AK,,0,1))</f>
        <v/>
      </c>
      <c r="P167" s="331" t="str">
        <f>IF(_xlfn.XLOOKUP($E167,'[1]Import Eletra'!$B:$B,'[1]Import Eletra'!$AL:$AL,,0,1)=0,"",_xlfn.XLOOKUP($E167,'[1]Import Eletra'!$B:$B,'[1]Import Eletra'!$AL:$AL,,0,1))</f>
        <v/>
      </c>
      <c r="Q167" s="331" t="str">
        <f>IF(_xlfn.XLOOKUP($E167,'[1]Import Eletra'!$B:$B,'[1]Import Eletra'!$AM:$AM,,0,1)=0,"",_xlfn.XLOOKUP($E167,'[1]Import Eletra'!$B:$B,'[1]Import Eletra'!$AM:$AM,,0,1))</f>
        <v/>
      </c>
      <c r="R167" s="331" t="str">
        <f>IF(_xlfn.XLOOKUP($E167,'[1]Import Eletra'!$B:$B,'[1]Import Eletra'!$AN:$AN,,0,1)=0,"",_xlfn.XLOOKUP($E167,'[1]Import Eletra'!$B:$B,'[1]Import Eletra'!$AN:$AN,,0,1))</f>
        <v/>
      </c>
      <c r="S167" s="331" t="str">
        <f>IF(_xlfn.XLOOKUP($E167,'[1]Import Eletra'!$B:$B,'[1]Import Eletra'!$AO:$AO,,0,1)=0,"",_xlfn.XLOOKUP($E167,'[1]Import Eletra'!$B:$B,'[1]Import Eletra'!$AO:$AO,,0,1))</f>
        <v/>
      </c>
      <c r="T167" s="331" t="str">
        <f>IF(_xlfn.XLOOKUP($E167,'[1]Import Eletra'!$B:$B,'[1]Import Eletra'!$AP:$AP,,0,1)=0,"",_xlfn.XLOOKUP($E167,'[1]Import Eletra'!$B:$B,'[1]Import Eletra'!$AP:$AP,,0,1))</f>
        <v/>
      </c>
      <c r="U167" s="338" t="str">
        <f>IF(_xlfn.XLOOKUP($E167,'[1]Import Eletra'!$B:$B,'[1]Import Eletra'!$AQ:$AQ,,0,1)=0,"",_xlfn.XLOOKUP($E167,'[1]Import Eletra'!$B:$B,'[1]Import Eletra'!$AQ:$AQ,,0,1))</f>
        <v/>
      </c>
      <c r="V167" s="343" t="str">
        <f>IF(_xlfn.XLOOKUP($E167,'[1]Import Eletra'!$B:$B,'[1]Import Eletra'!$AQ:$AQ,,0,1)=0,"",_xlfn.XLOOKUP($E167,'[1]Import Eletra'!$B:$B,'[1]Import Eletra'!$AQ:$AQ,,0,1))</f>
        <v/>
      </c>
      <c r="W167" s="336" t="e">
        <f t="shared" si="490"/>
        <v>#VALUE!</v>
      </c>
      <c r="X167" s="345" t="str">
        <f>IF(_xlfn.XLOOKUP($E167,'[1]Import Eletra'!$B:$B,'[1]Import Eletra'!$AR:$AR,,0,1)=0,"",_xlfn.XLOOKUP($E167,'[1]Import Eletra'!$B:$B,'[1]Import Eletra'!$AR:$AR,,0,1))</f>
        <v/>
      </c>
      <c r="Y167" s="309">
        <f t="shared" si="355"/>
        <v>0</v>
      </c>
      <c r="Z167" s="309" t="e">
        <f t="shared" ca="1" si="491"/>
        <v>#VALUE!</v>
      </c>
      <c r="AA167" s="310" t="e">
        <f t="shared" ca="1" si="357"/>
        <v>#VALUE!</v>
      </c>
      <c r="AB167" s="350" t="e">
        <f t="shared" si="492"/>
        <v>#VALUE!</v>
      </c>
      <c r="AC167" s="345" t="str">
        <f>IF(_xlfn.XLOOKUP($E167,'[1]Import Eletra'!$B:$B,'[1]Import Eletra'!$AD:$AD,,0,1)=0,"",_xlfn.XLOOKUP($E167,'[1]Import Eletra'!$B:$B,'[1]Import Eletra'!$AD:$AD,,0,1))</f>
        <v/>
      </c>
      <c r="AD167" s="309">
        <f t="shared" si="359"/>
        <v>0</v>
      </c>
      <c r="AE167" s="309" t="e">
        <f t="shared" ca="1" si="493"/>
        <v>#VALUE!</v>
      </c>
      <c r="AF167" s="310" t="e">
        <f t="shared" ca="1" si="494"/>
        <v>#VALUE!</v>
      </c>
      <c r="AG167" s="356" t="e">
        <f t="shared" si="495"/>
        <v>#VALUE!</v>
      </c>
      <c r="AH167" s="345" t="str">
        <f>IF(_xlfn.XLOOKUP($E167,'[1]Import Eletra'!$B:$B,'[1]Import Eletra'!$AE:$AE,,0,1)=0,"",_xlfn.XLOOKUP($E167,'[1]Import Eletra'!$B:$B,'[1]Import Eletra'!$AE:$AE,,0,1))</f>
        <v/>
      </c>
      <c r="AI167" s="309">
        <f t="shared" si="363"/>
        <v>0</v>
      </c>
      <c r="AJ167" s="309" t="e">
        <f t="shared" ca="1" si="496"/>
        <v>#VALUE!</v>
      </c>
      <c r="AK167" s="310" t="e">
        <f t="shared" ca="1" si="365"/>
        <v>#VALUE!</v>
      </c>
      <c r="AL167" s="356" t="e">
        <f t="shared" si="497"/>
        <v>#VALUE!</v>
      </c>
      <c r="AM167" s="345" t="str">
        <f>IF(_xlfn.XLOOKUP($E167,'[1]Import Eletra'!$B:$B,'[1]Import Eletra'!$AT:$AT,,0,1)=0,"",_xlfn.XLOOKUP($E167,'[1]Import Eletra'!$B:$B,'[1]Import Eletra'!$AT:$AT,,0,1))</f>
        <v/>
      </c>
      <c r="AN167" s="309">
        <f t="shared" si="367"/>
        <v>0</v>
      </c>
      <c r="AO167" s="309" t="e">
        <f t="shared" ca="1" si="498"/>
        <v>#VALUE!</v>
      </c>
      <c r="AP167" s="310" t="e">
        <f t="shared" ca="1" si="369"/>
        <v>#VALUE!</v>
      </c>
      <c r="AQ167" s="359" t="e">
        <f t="shared" si="499"/>
        <v>#VALUE!</v>
      </c>
      <c r="AR167" s="345" t="str">
        <f>IF(_xlfn.XLOOKUP($E167,'[1]Import Eletra'!$B:$B,'[1]Import Eletra'!$AU:$AU,,0,1)=0,"",_xlfn.XLOOKUP($E167,'[1]Import Eletra'!$B:$B,'[1]Import Eletra'!$AU:$AU,,0,1))</f>
        <v/>
      </c>
      <c r="AS167" s="309">
        <f t="shared" si="371"/>
        <v>1</v>
      </c>
      <c r="AT167" s="309" t="e">
        <f t="shared" ca="1" si="500"/>
        <v>#VALUE!</v>
      </c>
      <c r="AU167" s="310" t="e">
        <f t="shared" ca="1" si="373"/>
        <v>#VALUE!</v>
      </c>
      <c r="AV167" s="356" t="e">
        <f t="shared" si="501"/>
        <v>#VALUE!</v>
      </c>
      <c r="AW167" s="345" t="str">
        <f>IF(_xlfn.XLOOKUP($E167,'[1]Import Eletra'!$B:$B,'[1]Import Eletra'!$AU:$AU,,0,1)=0,"",_xlfn.XLOOKUP($E167,'[1]Import Eletra'!$B:$B,'[1]Import Eletra'!$AU:$AU,,0,1))</f>
        <v/>
      </c>
      <c r="AX167" s="309">
        <f t="shared" si="375"/>
        <v>0</v>
      </c>
      <c r="AY167" s="309" t="e">
        <f t="shared" ca="1" si="502"/>
        <v>#VALUE!</v>
      </c>
      <c r="AZ167" s="310" t="e">
        <f t="shared" ca="1" si="377"/>
        <v>#VALUE!</v>
      </c>
      <c r="BA167" s="359" t="e">
        <f t="shared" si="503"/>
        <v>#VALUE!</v>
      </c>
      <c r="BB167" s="345" t="str">
        <f>IF(_xlfn.XLOOKUP($E167,'[1]Import Eletra'!$B:$B,'[1]Import Eletra'!$AW:$AW,,0,1)=0,"",_xlfn.XLOOKUP($E167,'[1]Import Eletra'!$B:$B,'[1]Import Eletra'!$AW:$AW,,0,1))</f>
        <v/>
      </c>
      <c r="BC167" s="309">
        <f t="shared" si="379"/>
        <v>0</v>
      </c>
      <c r="BD167" s="309" t="e">
        <f t="shared" ca="1" si="504"/>
        <v>#VALUE!</v>
      </c>
      <c r="BE167" s="310" t="e">
        <f t="shared" ca="1" si="505"/>
        <v>#VALUE!</v>
      </c>
      <c r="BF167" s="336" t="e">
        <f t="shared" si="506"/>
        <v>#VALUE!</v>
      </c>
      <c r="BG167" s="345" t="str">
        <f>IF(_xlfn.XLOOKUP($E167,'[1]Import Eletra'!$B:$B,'[1]Import Eletra'!$AX:$AX,,0,1)=0,"",_xlfn.XLOOKUP($E167,'[1]Import Eletra'!$B:$B,'[1]Import Eletra'!$AX:$AX,,0,1))</f>
        <v/>
      </c>
      <c r="BH167" s="309">
        <f t="shared" si="383"/>
        <v>0</v>
      </c>
      <c r="BI167" s="309" t="e">
        <f t="shared" ca="1" si="507"/>
        <v>#VALUE!</v>
      </c>
      <c r="BJ167" s="310" t="e">
        <f t="shared" ca="1" si="385"/>
        <v>#VALUE!</v>
      </c>
      <c r="BK167" s="363" t="e">
        <f t="shared" si="508"/>
        <v>#VALUE!</v>
      </c>
      <c r="BL167" s="345" t="str">
        <f>IF(_xlfn.XLOOKUP($E167,'[1]Import Eletra'!$B:$B,'[1]Import Eletra'!$AY:$AY,,0,1)=0,"",_xlfn.XLOOKUP($E167,'[1]Import Eletra'!$B:$B,'[1]Import Eletra'!$AY:$AY,,0,1))</f>
        <v/>
      </c>
      <c r="BM167" s="309">
        <f t="shared" si="387"/>
        <v>0</v>
      </c>
      <c r="BN167" s="309" t="e">
        <f t="shared" ca="1" si="509"/>
        <v>#VALUE!</v>
      </c>
      <c r="BO167" s="310" t="e">
        <f t="shared" ca="1" si="510"/>
        <v>#VALUE!</v>
      </c>
      <c r="BP167" s="336" t="e">
        <f t="shared" si="511"/>
        <v>#VALUE!</v>
      </c>
      <c r="BQ167" s="345" t="str">
        <f>IF(_xlfn.XLOOKUP($E167,'[1]Import Eletra'!$B:$B,'[1]Import Eletra'!$AZ:$AZ,,0,1)=0,"",_xlfn.XLOOKUP($E167,'[1]Import Eletra'!$B:$B,'[1]Import Eletra'!$AZ:$AZ,,0,1))</f>
        <v/>
      </c>
      <c r="BR167" s="309">
        <f t="shared" si="391"/>
        <v>0</v>
      </c>
      <c r="BS167" s="309" t="e">
        <f t="shared" ca="1" si="512"/>
        <v>#VALUE!</v>
      </c>
      <c r="BT167" s="310" t="e">
        <f t="shared" ca="1" si="513"/>
        <v>#VALUE!</v>
      </c>
      <c r="BU167" s="363" t="e">
        <f t="shared" si="514"/>
        <v>#VALUE!</v>
      </c>
      <c r="BV167" s="345" t="str">
        <f>IF(_xlfn.XLOOKUP($E167,'[1]Import Eletra'!$B:$B,'[1]Import Eletra'!$BA:$BA,,0,1)=0,"",_xlfn.XLOOKUP($E167,'[1]Import Eletra'!$B:$B,'[1]Import Eletra'!$BA:$BA,,0,1))</f>
        <v/>
      </c>
      <c r="BW167" s="309">
        <f t="shared" si="395"/>
        <v>2</v>
      </c>
      <c r="BX167" s="309" t="e">
        <f t="shared" ca="1" si="515"/>
        <v>#VALUE!</v>
      </c>
      <c r="BY167" s="310" t="e">
        <f t="shared" ca="1" si="397"/>
        <v>#VALUE!</v>
      </c>
      <c r="BZ167" s="336" t="e">
        <f t="shared" si="516"/>
        <v>#VALUE!</v>
      </c>
      <c r="CA167" s="345" t="str">
        <f>IF(_xlfn.XLOOKUP($E167,'[1]Import Eletra'!$B:$B,'[1]Import Eletra'!$BB:$BB,,0,1)=0,"",_xlfn.XLOOKUP($E167,'[1]Import Eletra'!$B:$B,'[1]Import Eletra'!$BB:$BB,,0,1))</f>
        <v/>
      </c>
      <c r="CB167" s="309">
        <f t="shared" si="399"/>
        <v>0</v>
      </c>
      <c r="CC167" s="309" t="e">
        <f t="shared" ca="1" si="517"/>
        <v>#VALUE!</v>
      </c>
      <c r="CD167" s="310" t="e">
        <f t="shared" ca="1" si="518"/>
        <v>#VALUE!</v>
      </c>
      <c r="CE167" s="363" t="e">
        <f t="shared" si="519"/>
        <v>#VALUE!</v>
      </c>
      <c r="CF167" s="345" t="str">
        <f>IF(_xlfn.XLOOKUP($E167,'[1]Import Eletra'!$B:$B,'[1]Import Eletra'!$BC:$BC,,0,1)=0,"",_xlfn.XLOOKUP($E167,'[1]Import Eletra'!$B:$B,'[1]Import Eletra'!$BC:$BC,,0,1))</f>
        <v/>
      </c>
      <c r="CG167" s="309">
        <f t="shared" si="403"/>
        <v>0</v>
      </c>
      <c r="CH167" s="309" t="e">
        <f t="shared" ca="1" si="520"/>
        <v>#VALUE!</v>
      </c>
      <c r="CI167" s="310" t="e">
        <f t="shared" ca="1" si="521"/>
        <v>#VALUE!</v>
      </c>
      <c r="CJ167" s="336" t="e">
        <f t="shared" si="522"/>
        <v>#VALUE!</v>
      </c>
      <c r="CK167" s="345" t="str">
        <f>IF(_xlfn.XLOOKUP($E167,'[1]Import Eletra'!$B:$B,'[1]Import Eletra'!$BD:$BD,,0,1)=0,"",_xlfn.XLOOKUP($E167,'[1]Import Eletra'!$B:$B,'[1]Import Eletra'!$BD:$BD,,0,1))</f>
        <v/>
      </c>
      <c r="CL167" s="309"/>
      <c r="CM167" s="309" t="e">
        <f t="shared" ca="1" si="523"/>
        <v>#VALUE!</v>
      </c>
      <c r="CN167" s="310" t="e">
        <f t="shared" ca="1" si="524"/>
        <v>#VALUE!</v>
      </c>
      <c r="CO167" s="363" t="e">
        <f t="shared" si="525"/>
        <v>#VALUE!</v>
      </c>
      <c r="CP167" s="345" t="str">
        <f>IF(_xlfn.XLOOKUP($E167,'[1]Import Eletra'!$B:$B,'[1]Import Eletra'!$BE:$BE,,0,1)=0,"",_xlfn.XLOOKUP($E167,'[1]Import Eletra'!$B:$B,'[1]Import Eletra'!$BE:$BE,,0,1))</f>
        <v/>
      </c>
      <c r="CQ167" s="309">
        <f t="shared" si="410"/>
        <v>0</v>
      </c>
      <c r="CR167" s="309" t="e">
        <f t="shared" ca="1" si="526"/>
        <v>#VALUE!</v>
      </c>
      <c r="CS167" s="310" t="e">
        <f t="shared" ca="1" si="527"/>
        <v>#VALUE!</v>
      </c>
      <c r="CT167" s="336" t="e">
        <f t="shared" si="528"/>
        <v>#VALUE!</v>
      </c>
      <c r="CU167" s="345" t="str">
        <f>IF(_xlfn.XLOOKUP($E167,'[1]Import Eletra'!$B:$B,'[1]Import Eletra'!$BF:$BF,,0,1)=0,"",_xlfn.XLOOKUP($E167,'[1]Import Eletra'!$B:$B,'[1]Import Eletra'!$BF:$BF,,0,1))</f>
        <v/>
      </c>
      <c r="CV167" s="309">
        <f t="shared" si="414"/>
        <v>0</v>
      </c>
      <c r="CW167" s="309" t="e">
        <f t="shared" ca="1" si="529"/>
        <v>#VALUE!</v>
      </c>
      <c r="CX167" s="310" t="e">
        <f t="shared" ca="1" si="530"/>
        <v>#VALUE!</v>
      </c>
      <c r="CY167" s="85" t="e">
        <f t="shared" si="531"/>
        <v>#VALUE!</v>
      </c>
      <c r="CZ167" s="271" t="str">
        <f>IF(_xlfn.XLOOKUP($E167,'[1]Import Eletra'!$B:$B,'[1]Import Eletra'!$BF:$BF,,0,1)=0,"",_xlfn.XLOOKUP($E167,'[1]Import Eletra'!$B:$B,'[1]Import Eletra'!$BF:$BF,,0,1))</f>
        <v/>
      </c>
      <c r="DA167" s="311">
        <f t="shared" si="418"/>
        <v>0</v>
      </c>
      <c r="DB167" s="309" t="e">
        <f t="shared" ca="1" si="532"/>
        <v>#VALUE!</v>
      </c>
      <c r="DC167" s="310" t="e">
        <f t="shared" ca="1" si="533"/>
        <v>#VALUE!</v>
      </c>
      <c r="DD167" s="85" t="e">
        <f t="shared" si="534"/>
        <v>#VALUE!</v>
      </c>
      <c r="DE167" s="271" t="str">
        <f>IF(_xlfn.XLOOKUP($E167,'[1]Import Eletra'!$B:$B,'[1]Import Eletra'!$BG:$BG,,0,1)=0,"",_xlfn.XLOOKUP($E167,'[1]Import Eletra'!$B:$B,'[1]Import Eletra'!$BG:$BG,0,1))</f>
        <v/>
      </c>
      <c r="DF167" s="309">
        <f t="shared" si="422"/>
        <v>2</v>
      </c>
      <c r="DG167" s="309" t="e">
        <f t="shared" ca="1" si="535"/>
        <v>#VALUE!</v>
      </c>
      <c r="DH167" s="310" t="e">
        <f t="shared" ca="1" si="536"/>
        <v>#VALUE!</v>
      </c>
      <c r="DI167" s="85" t="e">
        <f t="shared" si="537"/>
        <v>#VALUE!</v>
      </c>
      <c r="DJ167" s="271" t="str">
        <f>IF(_xlfn.XLOOKUP($E167,'[1]Import Eletra'!$B:$B,'[1]Import Eletra'!$BH:$BH,,0,1)=0,"",_xlfn.XLOOKUP($E167,'[1]Import Eletra'!$B:$B,'[1]Import Eletra'!$BH:$BH,0,1))</f>
        <v/>
      </c>
      <c r="DK167" s="309">
        <f t="shared" si="426"/>
        <v>1</v>
      </c>
      <c r="DL167" s="309" t="e">
        <f t="shared" ca="1" si="538"/>
        <v>#VALUE!</v>
      </c>
      <c r="DM167" s="310" t="e">
        <f t="shared" ca="1" si="539"/>
        <v>#VALUE!</v>
      </c>
      <c r="DN167" s="312"/>
      <c r="DO167" s="313" t="e">
        <f t="shared" si="540"/>
        <v>#VALUE!</v>
      </c>
      <c r="DP167" s="59" t="str">
        <f>IF(_xlfn.XLOOKUP($E167,'[1]Import Eletra'!$B:$B,'[1]Import Eletra'!$O:$O,,0,1)=0,"",_xlfn.XLOOKUP($E167,'[1]Import Eletra'!$B:$B,'[1]Import Eletra'!$O:$O,0,1))</f>
        <v/>
      </c>
      <c r="DQ167" s="309">
        <f t="shared" si="430"/>
        <v>1</v>
      </c>
      <c r="DR167" s="309" t="e">
        <f t="shared" ca="1" si="541"/>
        <v>#VALUE!</v>
      </c>
      <c r="DS167" s="310" t="e">
        <f t="shared" ca="1" si="542"/>
        <v>#VALUE!</v>
      </c>
      <c r="DT167" s="314">
        <v>17</v>
      </c>
      <c r="DU167" s="140" t="e">
        <f t="shared" ca="1" si="543"/>
        <v>#VALUE!</v>
      </c>
      <c r="DV167" s="184" t="e">
        <f t="shared" ca="1" si="544"/>
        <v>#VALUE!</v>
      </c>
      <c r="DX167" s="316"/>
      <c r="DY167" s="108" t="str">
        <f>IF(_xlfn.XLOOKUP($E167,'[1]Import Eletra'!$B:$B,'[1]Import Eletra'!$DW:$DW,,0,1)=0,"",_xlfn.XLOOKUP($E167,'[1]Import Eletra'!$B:$B,'[1]Import Eletra'!$DW:$DW,0,1))</f>
        <v/>
      </c>
      <c r="EB167" s="317"/>
      <c r="ED167" s="406" t="str">
        <f>IF(_xlfn.XLOOKUP($E167,'[1]Import Eletra'!$B:$B,'[1]Import Eletra'!$BQ:$BQ,,0,1)=0,"",_xlfn.XLOOKUP($E167,'[1]Import Eletra'!$B:$B,'[1]Import Eletra'!$BQ:$BQ,0,1))</f>
        <v/>
      </c>
      <c r="EE167" s="407" t="str">
        <f>IF(_xlfn.XLOOKUP($E167,'[1]Import Eletra'!$B:$B,'[1]Import Eletra'!$BR:$BR,,0,1)=0,"",_xlfn.XLOOKUP($E167,'[1]Import Eletra'!$B:$B,'[1]Import Eletra'!$BR:$BR,0,1))</f>
        <v/>
      </c>
      <c r="EF167" s="406" t="str">
        <f>IF(_xlfn.XLOOKUP($E167,'[1]Import Eletra'!$B:$B,'[1]Import Eletra'!$BS:$BS,,0,1)=0,"",_xlfn.XLOOKUP($E167,'[1]Import Eletra'!$B:$B,'[1]Import Eletra'!$BS:$BS,0,1))</f>
        <v/>
      </c>
      <c r="EG167" s="407" t="str">
        <f>IF(_xlfn.XLOOKUP($E167,'[1]Import Eletra'!$B:$B,'[1]Import Eletra'!$BT:$BT,,0,1)=0,"",_xlfn.XLOOKUP($E167,'[1]Import Eletra'!$B:$B,'[1]Import Eletra'!$BT:$BT,0,1))</f>
        <v/>
      </c>
      <c r="EH167" s="406" t="str">
        <f>IF(_xlfn.XLOOKUP($E167,'[1]Import Eletra'!$B:$B,'[1]Import Eletra'!$BU:$BU,,0,1)=0,"",_xlfn.XLOOKUP($E167,'[1]Import Eletra'!$B:$B,'[1]Import Eletra'!$BU:$BU,0,1))</f>
        <v/>
      </c>
      <c r="EI167" s="407" t="str">
        <f>IF(_xlfn.XLOOKUP($E167,'[1]Import Eletra'!$B:$B,'[1]Import Eletra'!$BV:$BV,,0,1)=0,"",_xlfn.XLOOKUP($E167,'[1]Import Eletra'!$B:$B,'[1]Import Eletra'!$BV:$BV,0,1))</f>
        <v/>
      </c>
      <c r="EJ167" s="407" t="str">
        <f>IF(_xlfn.XLOOKUP($E167,'[1]Import Eletra'!$B:$B,'[1]Import Eletra'!$CI:$CI,,0,1)=0,"",_xlfn.XLOOKUP($E167,'[1]Import Eletra'!$B:$B,'[1]Import Eletra'!$CI:$CI,0,1))</f>
        <v/>
      </c>
      <c r="EK167" s="407" t="str">
        <f>IF(_xlfn.XLOOKUP($E167,'[1]Import Eletra'!$B:$B,'[1]Import Eletra'!$CD:$CD,,0,1)=0,"",_xlfn.XLOOKUP($E167,'[1]Import Eletra'!$B:$B,'[1]Import Eletra'!$CD:$CD,0,1))</f>
        <v/>
      </c>
      <c r="EL167" s="407" t="str">
        <f>IF(_xlfn.XLOOKUP($E167,'[1]Import Eletra'!$B:$B,'[1]Import Eletra'!$CE:$CE,,0,1)=0,"",_xlfn.XLOOKUP($E167,'[1]Import Eletra'!$B:$B,'[1]Import Eletra'!$CE:$CE,0,1))</f>
        <v/>
      </c>
      <c r="EM167" s="408" t="str">
        <f>IF(_xlfn.XLOOKUP($E167,'[1]Import Eletra'!$B:$B,'[1]Import Eletra'!$E:$E,,0,1)=0,"",_xlfn.XLOOKUP($E167,'[1]Import Eletra'!$B:$B,'[1]Import Eletra'!$E:$E,0,1))</f>
        <v/>
      </c>
      <c r="EN167" s="408" t="str">
        <f>IF(_xlfn.XLOOKUP($E167,'[1]Import Eletra'!$B:$B,'[1]Import Eletra'!$E:$E,,0,1)=0,"",_xlfn.XLOOKUP($E167,'[1]Import Eletra'!$B:$B,'[1]Import Eletra'!$E:$E,0,1))</f>
        <v/>
      </c>
      <c r="EO167" s="408" t="str">
        <f>IF(_xlfn.XLOOKUP($E167,'[1]Import Eletra'!$B:$B,'[1]Import Eletra'!$E:$E,,0,1)=0,"",_xlfn.XLOOKUP($E167,'[1]Import Eletra'!$B:$B,'[1]Import Eletra'!$E:$E,0,1))</f>
        <v/>
      </c>
      <c r="EP167" s="408" t="str">
        <f>IF(_xlfn.XLOOKUP($E167,'[1]Import Eletra'!$B:$B,'[1]Import Eletra'!$E:$E,,0,1)=0,"",_xlfn.XLOOKUP($E167,'[1]Import Eletra'!$B:$B,'[1]Import Eletra'!$E:$E,0,1))</f>
        <v/>
      </c>
    </row>
    <row r="168" spans="1:146" ht="30" hidden="1" customHeight="1" outlineLevel="1">
      <c r="B168" s="149"/>
      <c r="C168" s="149"/>
      <c r="J168" s="329"/>
      <c r="M168" s="329"/>
      <c r="N168" s="329"/>
      <c r="O168" s="329"/>
      <c r="P168" s="329"/>
      <c r="Q168" s="329"/>
      <c r="R168" s="329"/>
      <c r="S168" s="329"/>
      <c r="T168" s="329"/>
      <c r="U168" s="329"/>
      <c r="V168" s="342"/>
      <c r="W168" s="329"/>
      <c r="X168" s="329"/>
      <c r="AB168" s="329"/>
      <c r="AC168" s="353"/>
      <c r="AF168" s="150"/>
      <c r="AG168" s="329"/>
      <c r="AH168" s="329"/>
      <c r="AL168" s="329"/>
      <c r="AM168" s="329"/>
      <c r="AQ168" s="329"/>
      <c r="AR168" s="329"/>
      <c r="AV168" s="329"/>
      <c r="AW168" s="329"/>
      <c r="BA168" s="329"/>
      <c r="BB168" s="329"/>
      <c r="BF168" s="361"/>
      <c r="BG168" s="361"/>
      <c r="BK168" s="361"/>
      <c r="BL168" s="365"/>
      <c r="BP168" s="329"/>
      <c r="BQ168" s="342"/>
      <c r="BU168" s="329"/>
      <c r="BV168" s="342"/>
      <c r="BW168" s="153"/>
      <c r="BX168" s="153"/>
      <c r="BY168" s="153"/>
      <c r="BZ168" s="329"/>
      <c r="CA168" s="342"/>
      <c r="CE168" s="329"/>
      <c r="CF168" s="342"/>
      <c r="CJ168" s="329"/>
      <c r="CK168" s="342"/>
      <c r="CO168" s="329"/>
      <c r="CP168" s="342"/>
      <c r="CT168" s="329"/>
      <c r="CU168" s="342"/>
    </row>
    <row r="169" spans="1:146" ht="30" hidden="1" customHeight="1" outlineLevel="1">
      <c r="B169" s="149"/>
      <c r="C169" s="149"/>
      <c r="J169" s="329"/>
      <c r="M169" s="329"/>
      <c r="N169" s="329"/>
      <c r="O169" s="329"/>
      <c r="P169" s="329"/>
      <c r="Q169" s="329"/>
      <c r="R169" s="329"/>
      <c r="S169" s="329"/>
      <c r="T169" s="329"/>
      <c r="U169" s="329"/>
      <c r="V169" s="342"/>
      <c r="W169" s="329"/>
      <c r="X169" s="329"/>
      <c r="AB169" s="329"/>
      <c r="AC169" s="353"/>
      <c r="AF169" s="150"/>
      <c r="AG169" s="329"/>
      <c r="AH169" s="329"/>
      <c r="AL169" s="329"/>
      <c r="AM169" s="329"/>
      <c r="AQ169" s="329"/>
      <c r="AR169" s="329"/>
      <c r="AV169" s="329"/>
      <c r="AW169" s="329"/>
      <c r="BA169" s="329"/>
      <c r="BB169" s="329"/>
      <c r="BF169" s="361"/>
      <c r="BG169" s="361"/>
      <c r="BK169" s="361"/>
      <c r="BL169" s="365"/>
      <c r="BP169" s="329"/>
      <c r="BQ169" s="342"/>
      <c r="BU169" s="329"/>
      <c r="BV169" s="342"/>
      <c r="BW169" s="153"/>
      <c r="BX169" s="153"/>
      <c r="BY169" s="153"/>
      <c r="BZ169" s="329"/>
      <c r="CA169" s="342"/>
      <c r="CE169" s="329"/>
      <c r="CF169" s="342"/>
      <c r="CJ169" s="329"/>
      <c r="CK169" s="342"/>
      <c r="CO169" s="329"/>
      <c r="CP169" s="342"/>
      <c r="CT169" s="329"/>
      <c r="CU169" s="342"/>
    </row>
    <row r="170" spans="1:146" ht="30" hidden="1" customHeight="1" outlineLevel="1">
      <c r="B170" s="149"/>
      <c r="C170" s="149"/>
      <c r="J170" s="329"/>
      <c r="M170" s="329"/>
      <c r="N170" s="329"/>
      <c r="O170" s="329"/>
      <c r="P170" s="329"/>
      <c r="Q170" s="329"/>
      <c r="R170" s="329"/>
      <c r="S170" s="329"/>
      <c r="T170" s="329"/>
      <c r="U170" s="329"/>
      <c r="V170" s="342"/>
      <c r="W170" s="329"/>
      <c r="X170" s="329"/>
      <c r="AB170" s="329"/>
      <c r="AC170" s="353"/>
      <c r="AF170" s="150"/>
      <c r="AG170" s="329"/>
      <c r="AH170" s="329"/>
      <c r="AL170" s="329"/>
      <c r="AM170" s="329"/>
      <c r="AQ170" s="329"/>
      <c r="AR170" s="329"/>
      <c r="AV170" s="329"/>
      <c r="AW170" s="329"/>
      <c r="BA170" s="329"/>
      <c r="BB170" s="329"/>
      <c r="BF170" s="361"/>
      <c r="BG170" s="361"/>
      <c r="BK170" s="361"/>
      <c r="BL170" s="365"/>
      <c r="BP170" s="329"/>
      <c r="BQ170" s="342"/>
      <c r="BU170" s="329"/>
      <c r="BV170" s="342"/>
      <c r="BW170" s="153"/>
      <c r="BX170" s="153"/>
      <c r="BY170" s="153"/>
      <c r="BZ170" s="329"/>
      <c r="CA170" s="342"/>
      <c r="CE170" s="329"/>
      <c r="CF170" s="342"/>
      <c r="CJ170" s="329"/>
      <c r="CK170" s="342"/>
      <c r="CO170" s="329"/>
      <c r="CP170" s="342"/>
      <c r="CT170" s="329"/>
      <c r="CU170" s="342"/>
    </row>
    <row r="171" spans="1:146" ht="30" hidden="1" customHeight="1" outlineLevel="1">
      <c r="B171" s="149"/>
      <c r="C171" s="149"/>
      <c r="J171" s="329"/>
      <c r="M171" s="329"/>
      <c r="N171" s="329"/>
      <c r="O171" s="329"/>
      <c r="P171" s="329"/>
      <c r="Q171" s="329"/>
      <c r="R171" s="329"/>
      <c r="S171" s="329"/>
      <c r="T171" s="329"/>
      <c r="U171" s="329"/>
      <c r="V171" s="342"/>
      <c r="W171" s="329"/>
      <c r="X171" s="329"/>
      <c r="AB171" s="329"/>
      <c r="AC171" s="353"/>
      <c r="AF171" s="150"/>
      <c r="AG171" s="329"/>
      <c r="AH171" s="329"/>
      <c r="AL171" s="329"/>
      <c r="AM171" s="329"/>
      <c r="AQ171" s="329"/>
      <c r="AR171" s="329"/>
      <c r="AV171" s="329"/>
      <c r="AW171" s="329"/>
      <c r="BA171" s="329"/>
      <c r="BB171" s="329"/>
      <c r="BF171" s="361"/>
      <c r="BG171" s="361"/>
      <c r="BK171" s="361"/>
      <c r="BL171" s="365"/>
      <c r="BP171" s="329"/>
      <c r="BQ171" s="342"/>
      <c r="BU171" s="329"/>
      <c r="BV171" s="342"/>
      <c r="BW171" s="153"/>
      <c r="BX171" s="153"/>
      <c r="BY171" s="153"/>
      <c r="BZ171" s="329"/>
      <c r="CA171" s="342"/>
      <c r="CE171" s="329"/>
      <c r="CF171" s="342"/>
      <c r="CJ171" s="329"/>
      <c r="CK171" s="342"/>
      <c r="CO171" s="329"/>
      <c r="CP171" s="342"/>
      <c r="CT171" s="329"/>
      <c r="CU171" s="342"/>
    </row>
    <row r="172" spans="1:146" ht="30" hidden="1" customHeight="1" outlineLevel="1">
      <c r="B172" s="149"/>
      <c r="C172" s="149"/>
      <c r="J172" s="329"/>
      <c r="M172" s="329"/>
      <c r="N172" s="329"/>
      <c r="O172" s="329"/>
      <c r="P172" s="329"/>
      <c r="Q172" s="329"/>
      <c r="R172" s="329"/>
      <c r="S172" s="329"/>
      <c r="T172" s="329"/>
      <c r="U172" s="329"/>
      <c r="V172" s="342"/>
      <c r="W172" s="329"/>
      <c r="X172" s="329"/>
      <c r="AB172" s="329"/>
      <c r="AC172" s="353"/>
      <c r="AF172" s="150"/>
      <c r="AG172" s="329"/>
      <c r="AH172" s="329"/>
      <c r="AL172" s="329"/>
      <c r="AM172" s="329"/>
      <c r="AQ172" s="329"/>
      <c r="AR172" s="329"/>
      <c r="AV172" s="329"/>
      <c r="AW172" s="329"/>
      <c r="BA172" s="329"/>
      <c r="BB172" s="329"/>
      <c r="BF172" s="361"/>
      <c r="BG172" s="361"/>
      <c r="BK172" s="361"/>
      <c r="BL172" s="365"/>
      <c r="BP172" s="329"/>
      <c r="BQ172" s="342"/>
      <c r="BU172" s="329"/>
      <c r="BV172" s="342"/>
      <c r="BW172" s="153"/>
      <c r="BX172" s="153"/>
      <c r="BY172" s="153"/>
      <c r="BZ172" s="329"/>
      <c r="CA172" s="342"/>
      <c r="CE172" s="329"/>
      <c r="CF172" s="342"/>
      <c r="CJ172" s="329"/>
      <c r="CK172" s="342"/>
      <c r="CO172" s="329"/>
      <c r="CP172" s="342"/>
      <c r="CT172" s="329"/>
      <c r="CU172" s="342"/>
    </row>
    <row r="173" spans="1:146" ht="30" hidden="1" customHeight="1" outlineLevel="1">
      <c r="B173" s="149"/>
      <c r="C173" s="149"/>
      <c r="J173" s="329"/>
      <c r="M173" s="329"/>
      <c r="N173" s="329"/>
      <c r="O173" s="329"/>
      <c r="P173" s="329"/>
      <c r="Q173" s="329"/>
      <c r="R173" s="329"/>
      <c r="S173" s="329"/>
      <c r="T173" s="329"/>
      <c r="U173" s="329"/>
      <c r="V173" s="342"/>
      <c r="W173" s="329"/>
      <c r="X173" s="329"/>
      <c r="AB173" s="329"/>
      <c r="AC173" s="353"/>
      <c r="AF173" s="150"/>
      <c r="AG173" s="329"/>
      <c r="AH173" s="329"/>
      <c r="AL173" s="329"/>
      <c r="AM173" s="329"/>
      <c r="AQ173" s="329"/>
      <c r="AR173" s="329"/>
      <c r="AV173" s="329"/>
      <c r="AW173" s="329"/>
      <c r="BA173" s="329"/>
      <c r="BB173" s="329"/>
      <c r="BF173" s="361"/>
      <c r="BG173" s="361"/>
      <c r="BK173" s="361"/>
      <c r="BL173" s="365"/>
      <c r="BP173" s="329"/>
      <c r="BQ173" s="342"/>
      <c r="BU173" s="329"/>
      <c r="BV173" s="342"/>
      <c r="BW173" s="153"/>
      <c r="BX173" s="153"/>
      <c r="BY173" s="153"/>
      <c r="BZ173" s="329"/>
      <c r="CA173" s="342"/>
      <c r="CE173" s="329"/>
      <c r="CF173" s="342"/>
      <c r="CJ173" s="329"/>
      <c r="CK173" s="342"/>
      <c r="CO173" s="329"/>
      <c r="CP173" s="342"/>
      <c r="CT173" s="329"/>
      <c r="CU173" s="342"/>
    </row>
    <row r="174" spans="1:146" ht="30" hidden="1" customHeight="1" outlineLevel="1">
      <c r="B174" s="149"/>
      <c r="C174" s="149"/>
      <c r="J174" s="329"/>
      <c r="M174" s="329"/>
      <c r="N174" s="329"/>
      <c r="O174" s="329"/>
      <c r="P174" s="329"/>
      <c r="Q174" s="329"/>
      <c r="R174" s="329"/>
      <c r="S174" s="329"/>
      <c r="T174" s="329"/>
      <c r="U174" s="329"/>
      <c r="V174" s="342"/>
      <c r="W174" s="329"/>
      <c r="X174" s="329"/>
      <c r="AB174" s="329"/>
      <c r="AC174" s="353"/>
      <c r="AF174" s="150"/>
      <c r="AG174" s="329"/>
      <c r="AH174" s="329"/>
      <c r="AL174" s="329"/>
      <c r="AM174" s="329"/>
      <c r="AQ174" s="329"/>
      <c r="AR174" s="329"/>
      <c r="AV174" s="329"/>
      <c r="AW174" s="329"/>
      <c r="BA174" s="329"/>
      <c r="BB174" s="329"/>
      <c r="BF174" s="361"/>
      <c r="BG174" s="361"/>
      <c r="BK174" s="361"/>
      <c r="BL174" s="365"/>
      <c r="BP174" s="329"/>
      <c r="BQ174" s="342"/>
      <c r="BU174" s="329"/>
      <c r="BV174" s="342"/>
      <c r="BW174" s="153"/>
      <c r="BX174" s="153"/>
      <c r="BY174" s="153"/>
      <c r="BZ174" s="329"/>
      <c r="CA174" s="342"/>
      <c r="CE174" s="329"/>
      <c r="CF174" s="342"/>
      <c r="CJ174" s="329"/>
      <c r="CK174" s="342"/>
      <c r="CO174" s="329"/>
      <c r="CP174" s="342"/>
      <c r="CT174" s="329"/>
      <c r="CU174" s="342"/>
    </row>
    <row r="175" spans="1:146" ht="30" hidden="1" customHeight="1" outlineLevel="1">
      <c r="B175" s="149"/>
      <c r="C175" s="149"/>
      <c r="J175" s="329"/>
      <c r="M175" s="329"/>
      <c r="N175" s="329"/>
      <c r="O175" s="329"/>
      <c r="P175" s="329"/>
      <c r="Q175" s="329"/>
      <c r="R175" s="329"/>
      <c r="S175" s="329"/>
      <c r="T175" s="329"/>
      <c r="U175" s="329"/>
      <c r="V175" s="342"/>
      <c r="W175" s="329"/>
      <c r="X175" s="329"/>
      <c r="AB175" s="329"/>
      <c r="AC175" s="353"/>
      <c r="AF175" s="150"/>
      <c r="AG175" s="329"/>
      <c r="AH175" s="329"/>
      <c r="AL175" s="329"/>
      <c r="AM175" s="329"/>
      <c r="AQ175" s="329"/>
      <c r="AR175" s="329"/>
      <c r="AV175" s="329"/>
      <c r="AW175" s="329"/>
      <c r="BA175" s="329"/>
      <c r="BB175" s="329"/>
      <c r="BF175" s="361"/>
      <c r="BG175" s="361"/>
      <c r="BK175" s="361"/>
      <c r="BL175" s="365"/>
      <c r="BP175" s="329"/>
      <c r="BQ175" s="342"/>
      <c r="BU175" s="329"/>
      <c r="BV175" s="342"/>
      <c r="BW175" s="153"/>
      <c r="BX175" s="153"/>
      <c r="BY175" s="153"/>
      <c r="BZ175" s="329"/>
      <c r="CA175" s="342"/>
      <c r="CE175" s="329"/>
      <c r="CF175" s="342"/>
      <c r="CJ175" s="329"/>
      <c r="CK175" s="342"/>
      <c r="CO175" s="329"/>
      <c r="CP175" s="342"/>
      <c r="CT175" s="329"/>
      <c r="CU175" s="342"/>
    </row>
    <row r="176" spans="1:146" ht="30" hidden="1" customHeight="1" outlineLevel="1">
      <c r="B176" s="149"/>
      <c r="C176" s="149"/>
      <c r="J176" s="329"/>
      <c r="M176" s="329"/>
      <c r="N176" s="329"/>
      <c r="O176" s="329"/>
      <c r="P176" s="329"/>
      <c r="Q176" s="329"/>
      <c r="R176" s="329"/>
      <c r="S176" s="329"/>
      <c r="T176" s="329"/>
      <c r="U176" s="329"/>
      <c r="V176" s="342"/>
      <c r="W176" s="329"/>
      <c r="X176" s="329"/>
      <c r="AB176" s="329"/>
      <c r="AC176" s="353"/>
      <c r="AF176" s="150"/>
      <c r="AG176" s="329"/>
      <c r="AH176" s="329"/>
      <c r="AL176" s="329"/>
      <c r="AM176" s="329"/>
      <c r="AQ176" s="329"/>
      <c r="AR176" s="329"/>
      <c r="AV176" s="329"/>
      <c r="AW176" s="329"/>
      <c r="BA176" s="329"/>
      <c r="BB176" s="329"/>
      <c r="BF176" s="361"/>
      <c r="BG176" s="361"/>
      <c r="BK176" s="361"/>
      <c r="BL176" s="365"/>
      <c r="BP176" s="329"/>
      <c r="BQ176" s="342"/>
      <c r="BU176" s="329"/>
      <c r="BV176" s="342"/>
      <c r="BW176" s="153"/>
      <c r="BX176" s="153"/>
      <c r="BY176" s="153"/>
      <c r="BZ176" s="329"/>
      <c r="CA176" s="342"/>
      <c r="CE176" s="329"/>
      <c r="CF176" s="342"/>
      <c r="CJ176" s="329"/>
      <c r="CK176" s="342"/>
      <c r="CO176" s="329"/>
      <c r="CP176" s="342"/>
      <c r="CT176" s="329"/>
      <c r="CU176" s="342"/>
    </row>
    <row r="177" spans="2:99" ht="30" hidden="1" customHeight="1" outlineLevel="1">
      <c r="B177" s="149"/>
      <c r="C177" s="149"/>
      <c r="J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342"/>
      <c r="W177" s="329"/>
      <c r="X177" s="329"/>
      <c r="AB177" s="329"/>
      <c r="AC177" s="353"/>
      <c r="AF177" s="150"/>
      <c r="AG177" s="329"/>
      <c r="AH177" s="329"/>
      <c r="AL177" s="329"/>
      <c r="AM177" s="329"/>
      <c r="AQ177" s="329"/>
      <c r="AR177" s="329"/>
      <c r="AV177" s="329"/>
      <c r="AW177" s="329"/>
      <c r="BA177" s="329"/>
      <c r="BB177" s="329"/>
      <c r="BF177" s="361"/>
      <c r="BG177" s="361"/>
      <c r="BK177" s="361"/>
      <c r="BL177" s="365"/>
      <c r="BP177" s="329"/>
      <c r="BQ177" s="342"/>
      <c r="BU177" s="329"/>
      <c r="BV177" s="342"/>
      <c r="BW177" s="153"/>
      <c r="BX177" s="153"/>
      <c r="BY177" s="153"/>
      <c r="BZ177" s="329"/>
      <c r="CA177" s="342"/>
      <c r="CE177" s="329"/>
      <c r="CF177" s="342"/>
      <c r="CJ177" s="329"/>
      <c r="CK177" s="342"/>
      <c r="CO177" s="329"/>
      <c r="CP177" s="342"/>
      <c r="CT177" s="329"/>
      <c r="CU177" s="342"/>
    </row>
    <row r="178" spans="2:99" ht="30" hidden="1" customHeight="1" outlineLevel="1">
      <c r="B178" s="149"/>
      <c r="C178" s="149"/>
      <c r="J178" s="329"/>
      <c r="M178" s="329"/>
      <c r="N178" s="329"/>
      <c r="O178" s="329"/>
      <c r="P178" s="329"/>
      <c r="Q178" s="329"/>
      <c r="R178" s="329"/>
      <c r="S178" s="329"/>
      <c r="T178" s="329"/>
      <c r="U178" s="329"/>
      <c r="V178" s="342"/>
      <c r="W178" s="329"/>
      <c r="X178" s="329"/>
      <c r="AB178" s="329"/>
      <c r="AC178" s="353"/>
      <c r="AF178" s="150"/>
      <c r="AG178" s="329"/>
      <c r="AH178" s="329"/>
      <c r="AL178" s="329"/>
      <c r="AM178" s="329"/>
      <c r="AQ178" s="329"/>
      <c r="AR178" s="329"/>
      <c r="AV178" s="329"/>
      <c r="AW178" s="329"/>
      <c r="BA178" s="329"/>
      <c r="BB178" s="329"/>
      <c r="BF178" s="361"/>
      <c r="BG178" s="361"/>
      <c r="BK178" s="361"/>
      <c r="BL178" s="365"/>
      <c r="BP178" s="329"/>
      <c r="BQ178" s="342"/>
      <c r="BU178" s="329"/>
      <c r="BV178" s="342"/>
      <c r="BW178" s="153"/>
      <c r="BX178" s="153"/>
      <c r="BY178" s="153"/>
      <c r="BZ178" s="329"/>
      <c r="CA178" s="342"/>
      <c r="CE178" s="329"/>
      <c r="CF178" s="342"/>
      <c r="CJ178" s="329"/>
      <c r="CK178" s="342"/>
      <c r="CO178" s="329"/>
      <c r="CP178" s="342"/>
      <c r="CT178" s="329"/>
      <c r="CU178" s="342"/>
    </row>
    <row r="179" spans="2:99" ht="30" hidden="1" customHeight="1" outlineLevel="1">
      <c r="B179" s="149"/>
      <c r="C179" s="149"/>
      <c r="J179" s="329"/>
      <c r="M179" s="329"/>
      <c r="N179" s="329"/>
      <c r="O179" s="329"/>
      <c r="P179" s="329"/>
      <c r="Q179" s="329"/>
      <c r="R179" s="329"/>
      <c r="S179" s="329"/>
      <c r="T179" s="329"/>
      <c r="U179" s="329"/>
      <c r="V179" s="342"/>
      <c r="W179" s="329"/>
      <c r="X179" s="329"/>
      <c r="AB179" s="329"/>
      <c r="AC179" s="353"/>
      <c r="AF179" s="150"/>
      <c r="AG179" s="329"/>
      <c r="AH179" s="329"/>
      <c r="AL179" s="329"/>
      <c r="AM179" s="329"/>
      <c r="AQ179" s="329"/>
      <c r="AR179" s="329"/>
      <c r="AV179" s="329"/>
      <c r="AW179" s="329"/>
      <c r="BA179" s="329"/>
      <c r="BB179" s="329"/>
      <c r="BF179" s="361"/>
      <c r="BG179" s="361"/>
      <c r="BK179" s="361"/>
      <c r="BL179" s="365"/>
      <c r="BP179" s="329"/>
      <c r="BQ179" s="342"/>
      <c r="BU179" s="329"/>
      <c r="BV179" s="342"/>
      <c r="BW179" s="153"/>
      <c r="BX179" s="153"/>
      <c r="BY179" s="153"/>
      <c r="BZ179" s="329"/>
      <c r="CA179" s="342"/>
      <c r="CE179" s="329"/>
      <c r="CF179" s="342"/>
      <c r="CJ179" s="329"/>
      <c r="CK179" s="342"/>
      <c r="CO179" s="329"/>
      <c r="CP179" s="342"/>
      <c r="CT179" s="329"/>
      <c r="CU179" s="342"/>
    </row>
    <row r="180" spans="2:99" ht="30" hidden="1" customHeight="1" outlineLevel="1">
      <c r="B180" s="149"/>
      <c r="C180" s="149"/>
      <c r="J180" s="329"/>
      <c r="M180" s="329"/>
      <c r="N180" s="329"/>
      <c r="O180" s="329"/>
      <c r="P180" s="329"/>
      <c r="Q180" s="329"/>
      <c r="R180" s="329"/>
      <c r="S180" s="329"/>
      <c r="T180" s="329"/>
      <c r="U180" s="329"/>
      <c r="V180" s="342"/>
      <c r="W180" s="329"/>
      <c r="X180" s="329"/>
      <c r="AB180" s="329"/>
      <c r="AC180" s="353"/>
      <c r="AF180" s="150"/>
      <c r="AG180" s="329"/>
      <c r="AH180" s="329"/>
      <c r="AL180" s="329"/>
      <c r="AM180" s="329"/>
      <c r="AQ180" s="329"/>
      <c r="AR180" s="329"/>
      <c r="AV180" s="329"/>
      <c r="AW180" s="329"/>
      <c r="BA180" s="329"/>
      <c r="BB180" s="329"/>
      <c r="BF180" s="361"/>
      <c r="BG180" s="361"/>
      <c r="BK180" s="361"/>
      <c r="BL180" s="365"/>
      <c r="BP180" s="329"/>
      <c r="BQ180" s="342"/>
      <c r="BU180" s="329"/>
      <c r="BV180" s="342"/>
      <c r="BW180" s="153"/>
      <c r="BX180" s="153"/>
      <c r="BY180" s="153"/>
      <c r="BZ180" s="329"/>
      <c r="CA180" s="342"/>
      <c r="CE180" s="329"/>
      <c r="CF180" s="342"/>
      <c r="CJ180" s="329"/>
      <c r="CK180" s="342"/>
      <c r="CO180" s="329"/>
      <c r="CP180" s="342"/>
      <c r="CT180" s="329"/>
      <c r="CU180" s="342"/>
    </row>
    <row r="181" spans="2:99" ht="30" hidden="1" customHeight="1" outlineLevel="1">
      <c r="B181" s="149"/>
      <c r="C181" s="149"/>
      <c r="J181" s="329"/>
      <c r="M181" s="329"/>
      <c r="N181" s="329"/>
      <c r="O181" s="329"/>
      <c r="P181" s="329"/>
      <c r="Q181" s="329"/>
      <c r="R181" s="329"/>
      <c r="S181" s="329"/>
      <c r="T181" s="329"/>
      <c r="U181" s="329"/>
      <c r="V181" s="342"/>
      <c r="W181" s="329"/>
      <c r="X181" s="329"/>
      <c r="AB181" s="329"/>
      <c r="AC181" s="353"/>
      <c r="AF181" s="150"/>
      <c r="AG181" s="329"/>
      <c r="AH181" s="329"/>
      <c r="AL181" s="329"/>
      <c r="AM181" s="329"/>
      <c r="AQ181" s="329"/>
      <c r="AR181" s="329"/>
      <c r="AV181" s="329"/>
      <c r="AW181" s="329"/>
      <c r="BA181" s="329"/>
      <c r="BB181" s="329"/>
      <c r="BF181" s="361"/>
      <c r="BG181" s="361"/>
      <c r="BK181" s="361"/>
      <c r="BL181" s="365"/>
      <c r="BP181" s="329"/>
      <c r="BQ181" s="342"/>
      <c r="BU181" s="329"/>
      <c r="BV181" s="342"/>
      <c r="BW181" s="153"/>
      <c r="BX181" s="153"/>
      <c r="BY181" s="153"/>
      <c r="BZ181" s="329"/>
      <c r="CA181" s="342"/>
      <c r="CE181" s="329"/>
      <c r="CF181" s="342"/>
      <c r="CJ181" s="329"/>
      <c r="CK181" s="342"/>
      <c r="CO181" s="329"/>
      <c r="CP181" s="342"/>
      <c r="CT181" s="329"/>
      <c r="CU181" s="342"/>
    </row>
    <row r="182" spans="2:99" ht="30" hidden="1" customHeight="1" outlineLevel="1">
      <c r="B182" s="149"/>
      <c r="C182" s="149"/>
      <c r="AF182" s="150"/>
      <c r="BU182" s="153"/>
      <c r="BW182" s="153"/>
      <c r="BX182" s="153"/>
      <c r="BY182" s="153"/>
    </row>
    <row r="183" spans="2:99" ht="30" hidden="1" customHeight="1" outlineLevel="1">
      <c r="B183" s="149"/>
      <c r="C183" s="149"/>
      <c r="AF183" s="150"/>
      <c r="BU183" s="153"/>
      <c r="BW183" s="153"/>
      <c r="BX183" s="153"/>
      <c r="BY183" s="153"/>
    </row>
    <row r="184" spans="2:99" ht="30" hidden="1" customHeight="1" outlineLevel="1">
      <c r="B184" s="149"/>
      <c r="C184" s="149"/>
      <c r="AF184" s="150"/>
      <c r="BU184" s="153"/>
      <c r="BW184" s="153"/>
      <c r="BX184" s="153"/>
      <c r="BY184" s="153"/>
    </row>
    <row r="185" spans="2:99" ht="30" hidden="1" customHeight="1" outlineLevel="1">
      <c r="B185" s="149"/>
      <c r="C185" s="149"/>
      <c r="AF185" s="150"/>
      <c r="BU185" s="153"/>
      <c r="BW185" s="153"/>
      <c r="BX185" s="153"/>
      <c r="BY185" s="153"/>
    </row>
    <row r="186" spans="2:99" ht="30" hidden="1" customHeight="1" outlineLevel="1">
      <c r="B186" s="149"/>
      <c r="C186" s="149"/>
      <c r="AF186" s="150"/>
      <c r="BU186" s="153"/>
      <c r="BW186" s="153"/>
      <c r="BX186" s="153"/>
      <c r="BY186" s="153"/>
    </row>
    <row r="187" spans="2:99" ht="30" hidden="1" customHeight="1" outlineLevel="1">
      <c r="B187" s="149"/>
      <c r="C187" s="149"/>
      <c r="AF187" s="150"/>
      <c r="BU187" s="153"/>
      <c r="BW187" s="153"/>
      <c r="BX187" s="153"/>
      <c r="BY187" s="153"/>
    </row>
    <row r="188" spans="2:99" ht="30" hidden="1" customHeight="1" outlineLevel="1">
      <c r="B188" s="149"/>
      <c r="C188" s="149"/>
      <c r="AF188" s="150"/>
      <c r="BU188" s="153"/>
      <c r="BW188" s="153"/>
      <c r="BX188" s="153"/>
      <c r="BY188" s="153"/>
    </row>
    <row r="189" spans="2:99" ht="30" hidden="1" customHeight="1" outlineLevel="1">
      <c r="B189" s="149"/>
      <c r="C189" s="149"/>
      <c r="AF189" s="150"/>
      <c r="BU189" s="153"/>
      <c r="BW189" s="153"/>
      <c r="BX189" s="153"/>
      <c r="BY189" s="153"/>
    </row>
    <row r="190" spans="2:99" ht="30" hidden="1" customHeight="1" outlineLevel="1">
      <c r="B190" s="149"/>
      <c r="C190" s="149"/>
      <c r="AF190" s="150"/>
      <c r="BU190" s="153"/>
      <c r="BW190" s="153"/>
      <c r="BX190" s="153"/>
      <c r="BY190" s="153"/>
    </row>
    <row r="191" spans="2:99" ht="30" hidden="1" customHeight="1" outlineLevel="1">
      <c r="B191" s="149"/>
      <c r="C191" s="149"/>
      <c r="AF191" s="150"/>
      <c r="BU191" s="153"/>
      <c r="BW191" s="153"/>
      <c r="BX191" s="153"/>
      <c r="BY191" s="153"/>
    </row>
    <row r="192" spans="2:99" ht="30" customHeight="1" collapsed="1">
      <c r="B192" s="152"/>
      <c r="AF192" s="150"/>
      <c r="BU192" s="153"/>
      <c r="BW192" s="153"/>
      <c r="BX192" s="153"/>
      <c r="BY192" s="153"/>
    </row>
    <row r="193" spans="2:77" ht="30" customHeight="1">
      <c r="B193" s="152"/>
      <c r="AF193" s="150"/>
      <c r="BU193" s="153"/>
      <c r="BW193" s="153"/>
      <c r="BX193" s="153"/>
      <c r="BY193" s="153"/>
    </row>
    <row r="194" spans="2:77" ht="30" customHeight="1">
      <c r="B194" s="152"/>
      <c r="AF194" s="150"/>
      <c r="BU194" s="153"/>
      <c r="BW194" s="153"/>
      <c r="BX194" s="153"/>
      <c r="BY194" s="153"/>
    </row>
    <row r="195" spans="2:77" ht="30" customHeight="1">
      <c r="B195" s="152"/>
      <c r="AF195" s="150"/>
      <c r="BU195" s="153"/>
      <c r="BW195" s="153"/>
      <c r="BX195" s="153"/>
      <c r="BY195" s="153"/>
    </row>
    <row r="196" spans="2:77" ht="30" customHeight="1">
      <c r="B196" s="152"/>
      <c r="AF196" s="150"/>
      <c r="BU196" s="153"/>
      <c r="BW196" s="153"/>
      <c r="BX196" s="153"/>
      <c r="BY196" s="153"/>
    </row>
    <row r="197" spans="2:77" ht="30" customHeight="1">
      <c r="B197" s="152"/>
      <c r="AF197" s="150"/>
      <c r="BU197" s="153"/>
      <c r="BW197" s="153"/>
      <c r="BX197" s="153"/>
      <c r="BY197" s="153"/>
    </row>
    <row r="198" spans="2:77" ht="30" customHeight="1">
      <c r="B198" s="152"/>
      <c r="AF198" s="150"/>
      <c r="BU198" s="153"/>
      <c r="BW198" s="153"/>
      <c r="BX198" s="153"/>
      <c r="BY198" s="153"/>
    </row>
    <row r="199" spans="2:77" ht="30" customHeight="1">
      <c r="B199" s="152"/>
      <c r="AF199" s="150"/>
      <c r="BU199" s="153"/>
      <c r="BW199" s="153"/>
      <c r="BX199" s="153"/>
      <c r="BY199" s="153"/>
    </row>
    <row r="200" spans="2:77" ht="30" customHeight="1">
      <c r="B200" s="152"/>
      <c r="AF200" s="150"/>
      <c r="BU200" s="153"/>
      <c r="BW200" s="153"/>
      <c r="BX200" s="153"/>
      <c r="BY200" s="153"/>
    </row>
    <row r="201" spans="2:77" ht="30" customHeight="1">
      <c r="B201" s="152"/>
      <c r="AF201" s="150"/>
      <c r="BU201" s="153"/>
      <c r="BW201" s="153"/>
      <c r="BX201" s="153"/>
      <c r="BY201" s="153"/>
    </row>
    <row r="202" spans="2:77" ht="30" customHeight="1">
      <c r="B202" s="152"/>
      <c r="AF202" s="150"/>
      <c r="BU202" s="153"/>
      <c r="BW202" s="153"/>
      <c r="BX202" s="153"/>
      <c r="BY202" s="153"/>
    </row>
    <row r="203" spans="2:77" ht="30" customHeight="1">
      <c r="B203" s="152"/>
      <c r="AF203" s="150"/>
      <c r="BU203" s="153"/>
      <c r="BW203" s="153"/>
      <c r="BX203" s="153"/>
      <c r="BY203" s="153"/>
    </row>
    <row r="204" spans="2:77" ht="30" customHeight="1">
      <c r="B204" s="152"/>
      <c r="AF204" s="150"/>
      <c r="BU204" s="153"/>
      <c r="BW204" s="153"/>
      <c r="BX204" s="153"/>
      <c r="BY204" s="153"/>
    </row>
    <row r="205" spans="2:77" ht="30" customHeight="1">
      <c r="B205" s="152"/>
      <c r="AF205" s="150"/>
      <c r="BU205" s="153"/>
      <c r="BW205" s="153"/>
      <c r="BX205" s="153"/>
      <c r="BY205" s="153"/>
    </row>
    <row r="206" spans="2:77" ht="30" customHeight="1">
      <c r="B206" s="152"/>
      <c r="AF206" s="150"/>
      <c r="BU206" s="153"/>
      <c r="BW206" s="153"/>
      <c r="BX206" s="153"/>
      <c r="BY206" s="153"/>
    </row>
    <row r="207" spans="2:77" ht="30" customHeight="1">
      <c r="B207" s="152"/>
      <c r="AF207" s="150"/>
      <c r="BU207" s="153"/>
      <c r="BW207" s="153"/>
      <c r="BX207" s="153"/>
      <c r="BY207" s="153"/>
    </row>
    <row r="208" spans="2:77" ht="30" customHeight="1">
      <c r="B208" s="152"/>
      <c r="AF208" s="150"/>
      <c r="BU208" s="153"/>
      <c r="BW208" s="153"/>
      <c r="BX208" s="153"/>
      <c r="BY208" s="153"/>
    </row>
    <row r="209" spans="2:77" ht="30" customHeight="1">
      <c r="B209" s="152"/>
      <c r="AF209" s="150"/>
      <c r="BU209" s="153"/>
      <c r="BW209" s="153"/>
      <c r="BX209" s="153"/>
      <c r="BY209" s="153"/>
    </row>
    <row r="210" spans="2:77" ht="30" customHeight="1">
      <c r="B210" s="152"/>
      <c r="AF210" s="150"/>
      <c r="BU210" s="153"/>
      <c r="BW210" s="153"/>
      <c r="BX210" s="153"/>
      <c r="BY210" s="153"/>
    </row>
    <row r="211" spans="2:77" ht="30" customHeight="1">
      <c r="B211" s="152"/>
      <c r="AF211" s="150"/>
      <c r="BU211" s="153"/>
      <c r="BW211" s="153"/>
      <c r="BX211" s="153"/>
      <c r="BY211" s="153"/>
    </row>
    <row r="212" spans="2:77" ht="30" customHeight="1">
      <c r="B212" s="152"/>
      <c r="AF212" s="150"/>
      <c r="BU212" s="153"/>
      <c r="BW212" s="153"/>
      <c r="BX212" s="153"/>
      <c r="BY212" s="153"/>
    </row>
    <row r="213" spans="2:77" ht="30" customHeight="1">
      <c r="B213" s="152"/>
      <c r="AF213" s="150"/>
      <c r="BU213" s="153"/>
      <c r="BW213" s="153"/>
      <c r="BX213" s="153"/>
      <c r="BY213" s="153"/>
    </row>
    <row r="214" spans="2:77" ht="30" customHeight="1">
      <c r="B214" s="152"/>
      <c r="AF214" s="150"/>
      <c r="BU214" s="153"/>
      <c r="BW214" s="153"/>
      <c r="BX214" s="153"/>
      <c r="BY214" s="153"/>
    </row>
    <row r="215" spans="2:77" ht="30" customHeight="1">
      <c r="B215" s="152"/>
      <c r="AF215" s="150"/>
      <c r="BU215" s="153"/>
      <c r="BW215" s="153"/>
      <c r="BX215" s="153"/>
      <c r="BY215" s="153"/>
    </row>
    <row r="216" spans="2:77" ht="30" customHeight="1">
      <c r="B216" s="152"/>
      <c r="AF216" s="150"/>
      <c r="BU216" s="153"/>
      <c r="BW216" s="153"/>
      <c r="BX216" s="153"/>
      <c r="BY216" s="153"/>
    </row>
    <row r="217" spans="2:77" ht="30" customHeight="1">
      <c r="B217" s="152"/>
      <c r="AF217" s="150"/>
      <c r="BU217" s="153"/>
      <c r="BW217" s="153"/>
      <c r="BX217" s="153"/>
      <c r="BY217" s="153"/>
    </row>
    <row r="218" spans="2:77" ht="30" customHeight="1">
      <c r="B218" s="152"/>
      <c r="AF218" s="150"/>
      <c r="BU218" s="153"/>
      <c r="BW218" s="153"/>
      <c r="BX218" s="153"/>
      <c r="BY218" s="153"/>
    </row>
    <row r="219" spans="2:77" ht="30" customHeight="1">
      <c r="B219" s="152"/>
      <c r="AF219" s="150"/>
      <c r="BU219" s="153"/>
      <c r="BW219" s="153"/>
      <c r="BX219" s="153"/>
      <c r="BY219" s="153"/>
    </row>
    <row r="220" spans="2:77" ht="30" customHeight="1">
      <c r="B220" s="152"/>
      <c r="AF220" s="150"/>
      <c r="BU220" s="153"/>
      <c r="BW220" s="153"/>
      <c r="BX220" s="153"/>
      <c r="BY220" s="153"/>
    </row>
    <row r="221" spans="2:77" ht="30" customHeight="1">
      <c r="B221" s="152"/>
      <c r="AF221" s="150"/>
      <c r="BU221" s="153"/>
      <c r="BW221" s="153"/>
      <c r="BX221" s="153"/>
      <c r="BY221" s="153"/>
    </row>
    <row r="222" spans="2:77" ht="30" customHeight="1">
      <c r="B222" s="152"/>
      <c r="AF222" s="150"/>
      <c r="BU222" s="153"/>
      <c r="BW222" s="153"/>
      <c r="BX222" s="153"/>
      <c r="BY222" s="153"/>
    </row>
    <row r="223" spans="2:77" ht="30" customHeight="1">
      <c r="B223" s="152"/>
      <c r="AF223" s="150"/>
      <c r="BU223" s="153"/>
      <c r="BW223" s="153"/>
      <c r="BX223" s="153"/>
      <c r="BY223" s="153"/>
    </row>
    <row r="224" spans="2:77" ht="30" customHeight="1">
      <c r="B224" s="152"/>
      <c r="AF224" s="150"/>
      <c r="BU224" s="153"/>
      <c r="BW224" s="153"/>
      <c r="BX224" s="153"/>
      <c r="BY224" s="153"/>
    </row>
    <row r="225" spans="2:77" ht="30" customHeight="1">
      <c r="B225" s="152"/>
      <c r="AF225" s="150"/>
      <c r="BU225" s="153"/>
      <c r="BW225" s="153"/>
      <c r="BX225" s="153"/>
      <c r="BY225" s="153"/>
    </row>
    <row r="226" spans="2:77" ht="30" customHeight="1">
      <c r="B226" s="152"/>
      <c r="AF226" s="150"/>
      <c r="BU226" s="153"/>
      <c r="BW226" s="153"/>
      <c r="BX226" s="153"/>
      <c r="BY226" s="153"/>
    </row>
    <row r="227" spans="2:77" ht="30" customHeight="1">
      <c r="B227" s="152"/>
      <c r="AF227" s="150"/>
      <c r="BU227" s="153"/>
      <c r="BW227" s="153"/>
      <c r="BX227" s="153"/>
      <c r="BY227" s="153"/>
    </row>
    <row r="228" spans="2:77" ht="30" customHeight="1">
      <c r="B228" s="152"/>
      <c r="AF228" s="150"/>
      <c r="BU228" s="153"/>
      <c r="BW228" s="153"/>
      <c r="BX228" s="153"/>
      <c r="BY228" s="153"/>
    </row>
    <row r="229" spans="2:77" ht="30" customHeight="1">
      <c r="B229" s="152"/>
      <c r="AF229" s="150"/>
      <c r="BU229" s="153"/>
      <c r="BW229" s="153"/>
      <c r="BX229" s="153"/>
      <c r="BY229" s="153"/>
    </row>
    <row r="230" spans="2:77" ht="30" customHeight="1">
      <c r="B230" s="152"/>
      <c r="AF230" s="150"/>
      <c r="BU230" s="153"/>
      <c r="BW230" s="153"/>
      <c r="BX230" s="153"/>
      <c r="BY230" s="153"/>
    </row>
    <row r="231" spans="2:77" ht="30" customHeight="1">
      <c r="B231" s="152"/>
      <c r="AF231" s="150"/>
      <c r="BU231" s="153"/>
      <c r="BW231" s="153"/>
      <c r="BX231" s="153"/>
      <c r="BY231" s="153"/>
    </row>
    <row r="232" spans="2:77" ht="30" customHeight="1">
      <c r="B232" s="152"/>
      <c r="AF232" s="150"/>
      <c r="BU232" s="153"/>
      <c r="BW232" s="153"/>
      <c r="BX232" s="153"/>
      <c r="BY232" s="153"/>
    </row>
    <row r="233" spans="2:77" ht="30" customHeight="1">
      <c r="B233" s="152"/>
      <c r="H233" s="161"/>
      <c r="I233" s="162"/>
      <c r="J233" s="162"/>
      <c r="K233" s="162"/>
      <c r="L233" s="162"/>
      <c r="Y233" s="163"/>
      <c r="AD233" s="150"/>
      <c r="AE233" s="150"/>
      <c r="AF233" s="150"/>
      <c r="AI233" s="150"/>
      <c r="AJ233" s="150"/>
      <c r="AK233" s="150"/>
      <c r="AN233" s="150"/>
      <c r="AO233" s="150"/>
      <c r="AP233" s="150"/>
    </row>
    <row r="234" spans="2:77" ht="30" customHeight="1">
      <c r="B234" s="152"/>
      <c r="AF234" s="150"/>
    </row>
  </sheetData>
  <autoFilter ref="A8:LS90" xr:uid="{B0871E02-99D8-40A0-AD69-9148C2293127}"/>
  <sortState xmlns:xlrd2="http://schemas.microsoft.com/office/spreadsheetml/2017/richdata2" ref="A36:LM69">
    <sortCondition ref="N36:N69"/>
    <sortCondition ref="B36:B69"/>
    <sortCondition ref="C36:C69"/>
  </sortState>
  <mergeCells count="93">
    <mergeCell ref="DT2:DV3"/>
    <mergeCell ref="W2:AF2"/>
    <mergeCell ref="AV3:AZ3"/>
    <mergeCell ref="BK3:BO3"/>
    <mergeCell ref="BP3:BT3"/>
    <mergeCell ref="DN3:DS3"/>
    <mergeCell ref="AB3:AF3"/>
    <mergeCell ref="CY3:DC3"/>
    <mergeCell ref="BA3:BE3"/>
    <mergeCell ref="BF3:BJ3"/>
    <mergeCell ref="W3:AA3"/>
    <mergeCell ref="CT3:CX3"/>
    <mergeCell ref="CO6:CS6"/>
    <mergeCell ref="CT6:CX6"/>
    <mergeCell ref="AL4:AP4"/>
    <mergeCell ref="AL6:AP6"/>
    <mergeCell ref="DI4:DM4"/>
    <mergeCell ref="DD6:DH6"/>
    <mergeCell ref="DI6:DM6"/>
    <mergeCell ref="BA6:BE6"/>
    <mergeCell ref="DD4:DH4"/>
    <mergeCell ref="CO4:CS4"/>
    <mergeCell ref="CT4:CX4"/>
    <mergeCell ref="BF6:BJ6"/>
    <mergeCell ref="BF4:BJ4"/>
    <mergeCell ref="CE6:CI6"/>
    <mergeCell ref="CJ6:CN6"/>
    <mergeCell ref="BZ4:CD4"/>
    <mergeCell ref="DT4:DV4"/>
    <mergeCell ref="DT6:DV6"/>
    <mergeCell ref="AG3:AK3"/>
    <mergeCell ref="AL3:AP3"/>
    <mergeCell ref="AQ3:AU3"/>
    <mergeCell ref="DD3:DH3"/>
    <mergeCell ref="DI3:DM3"/>
    <mergeCell ref="CO3:CS3"/>
    <mergeCell ref="CJ4:CN4"/>
    <mergeCell ref="BU3:BY3"/>
    <mergeCell ref="BZ3:CD3"/>
    <mergeCell ref="CE3:CI3"/>
    <mergeCell ref="CE4:CI4"/>
    <mergeCell ref="CJ3:CN3"/>
    <mergeCell ref="BU4:BY4"/>
    <mergeCell ref="DO6:DS6"/>
    <mergeCell ref="BU6:BY6"/>
    <mergeCell ref="BZ6:CD6"/>
    <mergeCell ref="BK5:BO5"/>
    <mergeCell ref="BP5:BT5"/>
    <mergeCell ref="BU5:BY5"/>
    <mergeCell ref="BZ5:CD5"/>
    <mergeCell ref="AC6:AF6"/>
    <mergeCell ref="E2:N2"/>
    <mergeCell ref="C3:N3"/>
    <mergeCell ref="O3:U3"/>
    <mergeCell ref="O2:U2"/>
    <mergeCell ref="I6:M6"/>
    <mergeCell ref="W5:AA5"/>
    <mergeCell ref="AB5:AF5"/>
    <mergeCell ref="C4:S5"/>
    <mergeCell ref="W6:AA6"/>
    <mergeCell ref="W4:AA4"/>
    <mergeCell ref="AB4:AF4"/>
    <mergeCell ref="DT5:DV5"/>
    <mergeCell ref="DN5:DS5"/>
    <mergeCell ref="DN4:DS4"/>
    <mergeCell ref="DI5:DM5"/>
    <mergeCell ref="AG6:AK6"/>
    <mergeCell ref="AG5:AK5"/>
    <mergeCell ref="CY6:DC6"/>
    <mergeCell ref="BP4:BT4"/>
    <mergeCell ref="BP6:BT6"/>
    <mergeCell ref="CY4:DC4"/>
    <mergeCell ref="BK4:BO4"/>
    <mergeCell ref="BK6:BO6"/>
    <mergeCell ref="AQ4:AU4"/>
    <mergeCell ref="AV4:AZ4"/>
    <mergeCell ref="AQ6:AU6"/>
    <mergeCell ref="AV6:AZ6"/>
    <mergeCell ref="B4:B5"/>
    <mergeCell ref="CO5:CS5"/>
    <mergeCell ref="CT5:CX5"/>
    <mergeCell ref="CY5:DC5"/>
    <mergeCell ref="DD5:DH5"/>
    <mergeCell ref="T4:V5"/>
    <mergeCell ref="AL5:AP5"/>
    <mergeCell ref="AQ5:AU5"/>
    <mergeCell ref="AV5:AZ5"/>
    <mergeCell ref="BA5:BE5"/>
    <mergeCell ref="BF5:BJ5"/>
    <mergeCell ref="BA4:BE4"/>
    <mergeCell ref="AG4:AK4"/>
    <mergeCell ref="CE5:CI5"/>
    <mergeCell ref="CJ5:CN5"/>
  </mergeCells>
  <conditionalFormatting sqref="DM82 DS99:DS167 BE99:BE167 AA99:AA167 AF99:AF167 AK99:AK167 AP99:AP167 AU99:AU167 AZ99:AZ167 BJ99:BJ167 BO99:BO167 BT99:BT167 BY99:BY167 CD99:CD167 CI99:CI167 CN99:CN167 CS99:CS167 CX99:CX167 DC99:DC167 DM99:DM167 DH99:DH167 DV99:DV167 DH88:DH89 BO9:BO76 BT9:BT76 CD9:CD76 CI9:CI76 BY9:BY76 CN9:CN76 CS9:CS76 CX9:CX76 DC9:DC76 DH9:DH76 DM9:DM76 AK9:AK76 AP9:AP76 AU9:AU76 AZ9:AZ76 BJ9:BJ76 AA9:AA76 AF9:AF76 DH94 DS9:DS94 DV9:DV94 BE9:BE94 AA83:AA94 AF83:AF94 AK83:AK94 AP83:AP94 AU83:AU94 AZ83:AZ94 BJ83:BJ94 BO83:BO94 BT83:BT94 BY83:BY94 CD83:CD94 CI83:CI94 CN83:CN94 CS83:CS94 CX83:CX94 DC83:DC94 DM86:DM94">
    <cfRule type="cellIs" dxfId="139" priority="883" operator="greaterThan">
      <formula>$Y$9</formula>
    </cfRule>
  </conditionalFormatting>
  <conditionalFormatting sqref="DM82 DS99:DS167 BE99:BE167 AA99:AA167 AF99:AF167 AK99:AK167 AP99:AP167 AU99:AU167 AZ99:AZ167 BJ99:BJ167 BO99:BO167 BT99:BT167 BY99:BY167 CD99:CD167 CI99:CI167 CN99:CN167 CS99:CS167 CX99:CX167 DC99:DC167 DM99:DM167 DH99:DH167 DV99:DV167 DH88:DH89 BO9:BO76 BT9:BT76 CD9:CD76 CI9:CI76 BY9:BY76 CN9:CN76 CS9:CS76 CX9:CX76 DC9:DC76 DH9:DH76 DM9:DM76 AK9:AK76 AP9:AP76 AU9:AU76 AZ9:AZ76 BJ9:BJ76 AA9:AA76 AF9:AF76 DH94 DS9:DS94 DV9:DV94 BE9:BE94 AA83:AA94 AF83:AF94 AK83:AK94 AP83:AP94 AU83:AU94 AZ83:AZ94 BJ83:BJ94 BO83:BO94 BT83:BT94 BY83:BY94 CD83:CD94 CI83:CI94 CN83:CN94 CS83:CS94 CX83:CX94 DC83:DC94 DM86:DM94">
    <cfRule type="cellIs" dxfId="138" priority="882" operator="lessThanOrEqual">
      <formula>$Y$9</formula>
    </cfRule>
  </conditionalFormatting>
  <conditionalFormatting sqref="IO13 H99:H167 H9:H93">
    <cfRule type="cellIs" dxfId="137" priority="839" operator="equal">
      <formula>"DELIVERED"</formula>
    </cfRule>
  </conditionalFormatting>
  <conditionalFormatting sqref="IO13 H99:H167 H9:H93">
    <cfRule type="cellIs" dxfId="136" priority="838" operator="equal">
      <formula>"CUSTOMS CLEARANCE"</formula>
    </cfRule>
  </conditionalFormatting>
  <conditionalFormatting sqref="IO13 H99:H167 H9:H93">
    <cfRule type="cellIs" dxfId="135" priority="837" operator="equal">
      <formula>"WAITING ARRIVAL"</formula>
    </cfRule>
  </conditionalFormatting>
  <conditionalFormatting sqref="IS13 L99:L167 L9:L76 L83:L94">
    <cfRule type="cellIs" dxfId="134" priority="832" operator="lessThanOrEqual">
      <formula>30</formula>
    </cfRule>
  </conditionalFormatting>
  <conditionalFormatting sqref="IS13 L99:L167 L9:L76 L83:L94">
    <cfRule type="cellIs" dxfId="133" priority="831" operator="greaterThan">
      <formula>30</formula>
    </cfRule>
  </conditionalFormatting>
  <conditionalFormatting sqref="AA77:AA79">
    <cfRule type="cellIs" dxfId="132" priority="776" operator="greaterThan">
      <formula>$Y$9</formula>
    </cfRule>
  </conditionalFormatting>
  <conditionalFormatting sqref="AA77:AA79">
    <cfRule type="cellIs" dxfId="131" priority="775" operator="lessThanOrEqual">
      <formula>$Y$9</formula>
    </cfRule>
  </conditionalFormatting>
  <conditionalFormatting sqref="AF77:AF79">
    <cfRule type="cellIs" dxfId="130" priority="774" operator="greaterThan">
      <formula>$Y$9</formula>
    </cfRule>
  </conditionalFormatting>
  <conditionalFormatting sqref="AF77:AF79">
    <cfRule type="cellIs" dxfId="129" priority="773" operator="lessThanOrEqual">
      <formula>$Y$9</formula>
    </cfRule>
  </conditionalFormatting>
  <conditionalFormatting sqref="AK77:AK79">
    <cfRule type="cellIs" dxfId="128" priority="772" operator="greaterThan">
      <formula>$Y$9</formula>
    </cfRule>
  </conditionalFormatting>
  <conditionalFormatting sqref="AK77:AK79">
    <cfRule type="cellIs" dxfId="127" priority="771" operator="lessThanOrEqual">
      <formula>$Y$9</formula>
    </cfRule>
  </conditionalFormatting>
  <conditionalFormatting sqref="AP77:AP79">
    <cfRule type="cellIs" dxfId="126" priority="770" operator="greaterThan">
      <formula>$Y$9</formula>
    </cfRule>
  </conditionalFormatting>
  <conditionalFormatting sqref="AP77:AP79">
    <cfRule type="cellIs" dxfId="125" priority="769" operator="lessThanOrEqual">
      <formula>$Y$9</formula>
    </cfRule>
  </conditionalFormatting>
  <conditionalFormatting sqref="AU77:AU79">
    <cfRule type="cellIs" dxfId="124" priority="768" operator="greaterThan">
      <formula>$Y$9</formula>
    </cfRule>
  </conditionalFormatting>
  <conditionalFormatting sqref="AU77:AU79">
    <cfRule type="cellIs" dxfId="123" priority="767" operator="lessThanOrEqual">
      <formula>$Y$9</formula>
    </cfRule>
  </conditionalFormatting>
  <conditionalFormatting sqref="AZ77:AZ79">
    <cfRule type="cellIs" dxfId="122" priority="766" operator="greaterThan">
      <formula>$Y$9</formula>
    </cfRule>
  </conditionalFormatting>
  <conditionalFormatting sqref="AZ77:AZ79">
    <cfRule type="cellIs" dxfId="121" priority="765" operator="lessThanOrEqual">
      <formula>$Y$9</formula>
    </cfRule>
  </conditionalFormatting>
  <conditionalFormatting sqref="BJ77:BJ79">
    <cfRule type="cellIs" dxfId="120" priority="762" operator="greaterThan">
      <formula>$Y$9</formula>
    </cfRule>
  </conditionalFormatting>
  <conditionalFormatting sqref="BJ77:BJ79">
    <cfRule type="cellIs" dxfId="119" priority="761" operator="lessThanOrEqual">
      <formula>$Y$9</formula>
    </cfRule>
  </conditionalFormatting>
  <conditionalFormatting sqref="BO77:BO79">
    <cfRule type="cellIs" dxfId="118" priority="760" operator="greaterThan">
      <formula>$Y$9</formula>
    </cfRule>
  </conditionalFormatting>
  <conditionalFormatting sqref="BO77:BO79">
    <cfRule type="cellIs" dxfId="117" priority="759" operator="lessThanOrEqual">
      <formula>$Y$9</formula>
    </cfRule>
  </conditionalFormatting>
  <conditionalFormatting sqref="BT77:BT79">
    <cfRule type="cellIs" dxfId="116" priority="758" operator="greaterThan">
      <formula>$Y$9</formula>
    </cfRule>
  </conditionalFormatting>
  <conditionalFormatting sqref="BT77:BT79">
    <cfRule type="cellIs" dxfId="115" priority="757" operator="lessThanOrEqual">
      <formula>$Y$9</formula>
    </cfRule>
  </conditionalFormatting>
  <conditionalFormatting sqref="BY77:BY79">
    <cfRule type="cellIs" dxfId="114" priority="756" operator="greaterThan">
      <formula>$Y$9</formula>
    </cfRule>
  </conditionalFormatting>
  <conditionalFormatting sqref="BY77:BY79">
    <cfRule type="cellIs" dxfId="113" priority="755" operator="lessThanOrEqual">
      <formula>$Y$9</formula>
    </cfRule>
  </conditionalFormatting>
  <conditionalFormatting sqref="CD77:CD79">
    <cfRule type="cellIs" dxfId="112" priority="754" operator="greaterThan">
      <formula>$Y$9</formula>
    </cfRule>
  </conditionalFormatting>
  <conditionalFormatting sqref="CD77:CD79">
    <cfRule type="cellIs" dxfId="111" priority="753" operator="lessThanOrEqual">
      <formula>$Y$9</formula>
    </cfRule>
  </conditionalFormatting>
  <conditionalFormatting sqref="CI77:CI79">
    <cfRule type="cellIs" dxfId="110" priority="752" operator="greaterThan">
      <formula>$Y$9</formula>
    </cfRule>
  </conditionalFormatting>
  <conditionalFormatting sqref="CI77:CI79">
    <cfRule type="cellIs" dxfId="109" priority="751" operator="lessThanOrEqual">
      <formula>$Y$9</formula>
    </cfRule>
  </conditionalFormatting>
  <conditionalFormatting sqref="CN77:CN79">
    <cfRule type="cellIs" dxfId="108" priority="750" operator="greaterThan">
      <formula>$Y$9</formula>
    </cfRule>
  </conditionalFormatting>
  <conditionalFormatting sqref="CN77:CN79">
    <cfRule type="cellIs" dxfId="107" priority="749" operator="lessThanOrEqual">
      <formula>$Y$9</formula>
    </cfRule>
  </conditionalFormatting>
  <conditionalFormatting sqref="CS77:CS79">
    <cfRule type="cellIs" dxfId="106" priority="748" operator="greaterThan">
      <formula>$Y$9</formula>
    </cfRule>
  </conditionalFormatting>
  <conditionalFormatting sqref="CS77:CS79">
    <cfRule type="cellIs" dxfId="105" priority="747" operator="lessThanOrEqual">
      <formula>$Y$9</formula>
    </cfRule>
  </conditionalFormatting>
  <conditionalFormatting sqref="CX77:CX79">
    <cfRule type="cellIs" dxfId="104" priority="746" operator="greaterThan">
      <formula>$Y$9</formula>
    </cfRule>
  </conditionalFormatting>
  <conditionalFormatting sqref="CX77:CX79">
    <cfRule type="cellIs" dxfId="103" priority="745" operator="lessThanOrEqual">
      <formula>$Y$9</formula>
    </cfRule>
  </conditionalFormatting>
  <conditionalFormatting sqref="DC77:DC79">
    <cfRule type="cellIs" dxfId="102" priority="744" operator="greaterThan">
      <formula>$Y$9</formula>
    </cfRule>
  </conditionalFormatting>
  <conditionalFormatting sqref="DC77:DC79">
    <cfRule type="cellIs" dxfId="101" priority="743" operator="lessThanOrEqual">
      <formula>$Y$9</formula>
    </cfRule>
  </conditionalFormatting>
  <conditionalFormatting sqref="DH77:DH79">
    <cfRule type="cellIs" dxfId="100" priority="742" operator="greaterThan">
      <formula>$Y$9</formula>
    </cfRule>
  </conditionalFormatting>
  <conditionalFormatting sqref="DH77:DH79">
    <cfRule type="cellIs" dxfId="99" priority="741" operator="lessThanOrEqual">
      <formula>$Y$9</formula>
    </cfRule>
  </conditionalFormatting>
  <conditionalFormatting sqref="DM77:DM79">
    <cfRule type="cellIs" dxfId="98" priority="740" operator="greaterThan">
      <formula>$Y$9</formula>
    </cfRule>
  </conditionalFormatting>
  <conditionalFormatting sqref="DM77:DM79">
    <cfRule type="cellIs" dxfId="97" priority="739" operator="lessThanOrEqual">
      <formula>$Y$9</formula>
    </cfRule>
  </conditionalFormatting>
  <conditionalFormatting sqref="L77:L79">
    <cfRule type="cellIs" dxfId="96" priority="731" operator="lessThanOrEqual">
      <formula>30</formula>
    </cfRule>
  </conditionalFormatting>
  <conditionalFormatting sqref="L77:L79">
    <cfRule type="cellIs" dxfId="95" priority="730" operator="greaterThan">
      <formula>30</formula>
    </cfRule>
  </conditionalFormatting>
  <conditionalFormatting sqref="DM83:DM85">
    <cfRule type="cellIs" dxfId="94" priority="552" operator="greaterThan">
      <formula>$Y$9</formula>
    </cfRule>
  </conditionalFormatting>
  <conditionalFormatting sqref="DM83:DM85">
    <cfRule type="cellIs" dxfId="93" priority="551" operator="lessThanOrEqual">
      <formula>$Y$9</formula>
    </cfRule>
  </conditionalFormatting>
  <conditionalFormatting sqref="L85">
    <cfRule type="cellIs" dxfId="92" priority="496" operator="lessThanOrEqual">
      <formula>30</formula>
    </cfRule>
  </conditionalFormatting>
  <conditionalFormatting sqref="L85">
    <cfRule type="cellIs" dxfId="91" priority="495" operator="greaterThan">
      <formula>30</formula>
    </cfRule>
  </conditionalFormatting>
  <conditionalFormatting sqref="DM80:DM81">
    <cfRule type="cellIs" dxfId="90" priority="454" operator="greaterThan">
      <formula>$Y$9</formula>
    </cfRule>
  </conditionalFormatting>
  <conditionalFormatting sqref="DM80:DM81">
    <cfRule type="cellIs" dxfId="89" priority="453" operator="lessThanOrEqual">
      <formula>$Y$9</formula>
    </cfRule>
  </conditionalFormatting>
  <conditionalFormatting sqref="L80:L81">
    <cfRule type="cellIs" dxfId="88" priority="452" operator="lessThanOrEqual">
      <formula>30</formula>
    </cfRule>
  </conditionalFormatting>
  <conditionalFormatting sqref="L80:L81">
    <cfRule type="cellIs" dxfId="87" priority="451" operator="greaterThan">
      <formula>30</formula>
    </cfRule>
  </conditionalFormatting>
  <conditionalFormatting sqref="L82">
    <cfRule type="cellIs" dxfId="86" priority="412" operator="lessThanOrEqual">
      <formula>30</formula>
    </cfRule>
  </conditionalFormatting>
  <conditionalFormatting sqref="L82">
    <cfRule type="cellIs" dxfId="85" priority="411" operator="greaterThan">
      <formula>30</formula>
    </cfRule>
  </conditionalFormatting>
  <conditionalFormatting sqref="AA80:AA81">
    <cfRule type="cellIs" dxfId="84" priority="374" operator="greaterThan">
      <formula>$Y$9</formula>
    </cfRule>
  </conditionalFormatting>
  <conditionalFormatting sqref="AA80:AA81">
    <cfRule type="cellIs" dxfId="83" priority="373" operator="lessThanOrEqual">
      <formula>$Y$9</formula>
    </cfRule>
  </conditionalFormatting>
  <conditionalFormatting sqref="AF80:AF81">
    <cfRule type="cellIs" dxfId="82" priority="372" operator="greaterThan">
      <formula>$Y$9</formula>
    </cfRule>
  </conditionalFormatting>
  <conditionalFormatting sqref="AF80:AF81">
    <cfRule type="cellIs" dxfId="81" priority="371" operator="lessThanOrEqual">
      <formula>$Y$9</formula>
    </cfRule>
  </conditionalFormatting>
  <conditionalFormatting sqref="AK80:AK81">
    <cfRule type="cellIs" dxfId="80" priority="370" operator="greaterThan">
      <formula>$Y$9</formula>
    </cfRule>
  </conditionalFormatting>
  <conditionalFormatting sqref="AK80:AK81">
    <cfRule type="cellIs" dxfId="79" priority="369" operator="lessThanOrEqual">
      <formula>$Y$9</formula>
    </cfRule>
  </conditionalFormatting>
  <conditionalFormatting sqref="AP80:AP81">
    <cfRule type="cellIs" dxfId="78" priority="368" operator="greaterThan">
      <formula>$Y$9</formula>
    </cfRule>
  </conditionalFormatting>
  <conditionalFormatting sqref="AP80:AP81">
    <cfRule type="cellIs" dxfId="77" priority="367" operator="lessThanOrEqual">
      <formula>$Y$9</formula>
    </cfRule>
  </conditionalFormatting>
  <conditionalFormatting sqref="AU80:AU81">
    <cfRule type="cellIs" dxfId="76" priority="366" operator="greaterThan">
      <formula>$Y$9</formula>
    </cfRule>
  </conditionalFormatting>
  <conditionalFormatting sqref="AU80:AU81">
    <cfRule type="cellIs" dxfId="75" priority="365" operator="lessThanOrEqual">
      <formula>$Y$9</formula>
    </cfRule>
  </conditionalFormatting>
  <conditionalFormatting sqref="AZ80:AZ81">
    <cfRule type="cellIs" dxfId="74" priority="364" operator="greaterThan">
      <formula>$Y$9</formula>
    </cfRule>
  </conditionalFormatting>
  <conditionalFormatting sqref="AZ80:AZ81">
    <cfRule type="cellIs" dxfId="73" priority="363" operator="lessThanOrEqual">
      <formula>$Y$9</formula>
    </cfRule>
  </conditionalFormatting>
  <conditionalFormatting sqref="BJ80:BJ81">
    <cfRule type="cellIs" dxfId="72" priority="360" operator="greaterThan">
      <formula>$Y$9</formula>
    </cfRule>
  </conditionalFormatting>
  <conditionalFormatting sqref="BJ80:BJ81">
    <cfRule type="cellIs" dxfId="71" priority="359" operator="lessThanOrEqual">
      <formula>$Y$9</formula>
    </cfRule>
  </conditionalFormatting>
  <conditionalFormatting sqref="BO80:BO81">
    <cfRule type="cellIs" dxfId="70" priority="358" operator="greaterThan">
      <formula>$Y$9</formula>
    </cfRule>
  </conditionalFormatting>
  <conditionalFormatting sqref="BO80:BO81">
    <cfRule type="cellIs" dxfId="69" priority="357" operator="lessThanOrEqual">
      <formula>$Y$9</formula>
    </cfRule>
  </conditionalFormatting>
  <conditionalFormatting sqref="BT80:BT81">
    <cfRule type="cellIs" dxfId="68" priority="356" operator="greaterThan">
      <formula>$Y$9</formula>
    </cfRule>
  </conditionalFormatting>
  <conditionalFormatting sqref="BT80:BT81">
    <cfRule type="cellIs" dxfId="67" priority="355" operator="lessThanOrEqual">
      <formula>$Y$9</formula>
    </cfRule>
  </conditionalFormatting>
  <conditionalFormatting sqref="BY80:BY81">
    <cfRule type="cellIs" dxfId="66" priority="354" operator="greaterThan">
      <formula>$Y$9</formula>
    </cfRule>
  </conditionalFormatting>
  <conditionalFormatting sqref="BY80:BY81">
    <cfRule type="cellIs" dxfId="65" priority="353" operator="lessThanOrEqual">
      <formula>$Y$9</formula>
    </cfRule>
  </conditionalFormatting>
  <conditionalFormatting sqref="CD80:CD81">
    <cfRule type="cellIs" dxfId="64" priority="352" operator="greaterThan">
      <formula>$Y$9</formula>
    </cfRule>
  </conditionalFormatting>
  <conditionalFormatting sqref="CD80:CD81">
    <cfRule type="cellIs" dxfId="63" priority="351" operator="lessThanOrEqual">
      <formula>$Y$9</formula>
    </cfRule>
  </conditionalFormatting>
  <conditionalFormatting sqref="CI80:CI81">
    <cfRule type="cellIs" dxfId="62" priority="350" operator="greaterThan">
      <formula>$Y$9</formula>
    </cfRule>
  </conditionalFormatting>
  <conditionalFormatting sqref="CI80:CI81">
    <cfRule type="cellIs" dxfId="61" priority="349" operator="lessThanOrEqual">
      <formula>$Y$9</formula>
    </cfRule>
  </conditionalFormatting>
  <conditionalFormatting sqref="CN80:CN81">
    <cfRule type="cellIs" dxfId="60" priority="348" operator="greaterThan">
      <formula>$Y$9</formula>
    </cfRule>
  </conditionalFormatting>
  <conditionalFormatting sqref="CN80:CN81">
    <cfRule type="cellIs" dxfId="59" priority="347" operator="lessThanOrEqual">
      <formula>$Y$9</formula>
    </cfRule>
  </conditionalFormatting>
  <conditionalFormatting sqref="CS80:CS81">
    <cfRule type="cellIs" dxfId="58" priority="346" operator="greaterThan">
      <formula>$Y$9</formula>
    </cfRule>
  </conditionalFormatting>
  <conditionalFormatting sqref="CS80:CS81">
    <cfRule type="cellIs" dxfId="57" priority="345" operator="lessThanOrEqual">
      <formula>$Y$9</formula>
    </cfRule>
  </conditionalFormatting>
  <conditionalFormatting sqref="CX80:CX81">
    <cfRule type="cellIs" dxfId="56" priority="344" operator="greaterThan">
      <formula>$Y$9</formula>
    </cfRule>
  </conditionalFormatting>
  <conditionalFormatting sqref="CX80:CX81">
    <cfRule type="cellIs" dxfId="55" priority="343" operator="lessThanOrEqual">
      <formula>$Y$9</formula>
    </cfRule>
  </conditionalFormatting>
  <conditionalFormatting sqref="DC80:DC81">
    <cfRule type="cellIs" dxfId="54" priority="342" operator="greaterThan">
      <formula>$Y$9</formula>
    </cfRule>
  </conditionalFormatting>
  <conditionalFormatting sqref="DC80:DC81">
    <cfRule type="cellIs" dxfId="53" priority="341" operator="lessThanOrEqual">
      <formula>$Y$9</formula>
    </cfRule>
  </conditionalFormatting>
  <conditionalFormatting sqref="DH80:DH81">
    <cfRule type="cellIs" dxfId="52" priority="340" operator="greaterThan">
      <formula>$Y$9</formula>
    </cfRule>
  </conditionalFormatting>
  <conditionalFormatting sqref="DH80:DH81">
    <cfRule type="cellIs" dxfId="51" priority="339" operator="lessThanOrEqual">
      <formula>$Y$9</formula>
    </cfRule>
  </conditionalFormatting>
  <conditionalFormatting sqref="BJ82">
    <cfRule type="cellIs" dxfId="50" priority="288" operator="greaterThan">
      <formula>$Y$9</formula>
    </cfRule>
  </conditionalFormatting>
  <conditionalFormatting sqref="BJ82">
    <cfRule type="cellIs" dxfId="49" priority="287" operator="lessThanOrEqual">
      <formula>$Y$9</formula>
    </cfRule>
  </conditionalFormatting>
  <conditionalFormatting sqref="BO82">
    <cfRule type="cellIs" dxfId="48" priority="286" operator="greaterThan">
      <formula>$Y$9</formula>
    </cfRule>
  </conditionalFormatting>
  <conditionalFormatting sqref="BO82">
    <cfRule type="cellIs" dxfId="47" priority="285" operator="lessThanOrEqual">
      <formula>$Y$9</formula>
    </cfRule>
  </conditionalFormatting>
  <conditionalFormatting sqref="BT82">
    <cfRule type="cellIs" dxfId="46" priority="284" operator="greaterThan">
      <formula>$Y$9</formula>
    </cfRule>
  </conditionalFormatting>
  <conditionalFormatting sqref="BT82">
    <cfRule type="cellIs" dxfId="45" priority="283" operator="lessThanOrEqual">
      <formula>$Y$9</formula>
    </cfRule>
  </conditionalFormatting>
  <conditionalFormatting sqref="BY82">
    <cfRule type="cellIs" dxfId="44" priority="282" operator="greaterThan">
      <formula>$Y$9</formula>
    </cfRule>
  </conditionalFormatting>
  <conditionalFormatting sqref="BY82">
    <cfRule type="cellIs" dxfId="43" priority="281" operator="lessThanOrEqual">
      <formula>$Y$9</formula>
    </cfRule>
  </conditionalFormatting>
  <conditionalFormatting sqref="CD82">
    <cfRule type="cellIs" dxfId="42" priority="280" operator="greaterThan">
      <formula>$Y$9</formula>
    </cfRule>
  </conditionalFormatting>
  <conditionalFormatting sqref="CD82">
    <cfRule type="cellIs" dxfId="41" priority="279" operator="lessThanOrEqual">
      <formula>$Y$9</formula>
    </cfRule>
  </conditionalFormatting>
  <conditionalFormatting sqref="CI82">
    <cfRule type="cellIs" dxfId="40" priority="278" operator="greaterThan">
      <formula>$Y$9</formula>
    </cfRule>
  </conditionalFormatting>
  <conditionalFormatting sqref="CI82">
    <cfRule type="cellIs" dxfId="39" priority="277" operator="lessThanOrEqual">
      <formula>$Y$9</formula>
    </cfRule>
  </conditionalFormatting>
  <conditionalFormatting sqref="CN82">
    <cfRule type="cellIs" dxfId="38" priority="276" operator="greaterThan">
      <formula>$Y$9</formula>
    </cfRule>
  </conditionalFormatting>
  <conditionalFormatting sqref="CN82">
    <cfRule type="cellIs" dxfId="37" priority="275" operator="lessThanOrEqual">
      <formula>$Y$9</formula>
    </cfRule>
  </conditionalFormatting>
  <conditionalFormatting sqref="CS82">
    <cfRule type="cellIs" dxfId="36" priority="274" operator="greaterThan">
      <formula>$Y$9</formula>
    </cfRule>
  </conditionalFormatting>
  <conditionalFormatting sqref="CS82">
    <cfRule type="cellIs" dxfId="35" priority="273" operator="lessThanOrEqual">
      <formula>$Y$9</formula>
    </cfRule>
  </conditionalFormatting>
  <conditionalFormatting sqref="CX82">
    <cfRule type="cellIs" dxfId="34" priority="272" operator="greaterThan">
      <formula>$Y$9</formula>
    </cfRule>
  </conditionalFormatting>
  <conditionalFormatting sqref="CX82">
    <cfRule type="cellIs" dxfId="33" priority="271" operator="lessThanOrEqual">
      <formula>$Y$9</formula>
    </cfRule>
  </conditionalFormatting>
  <conditionalFormatting sqref="DC82">
    <cfRule type="cellIs" dxfId="32" priority="270" operator="greaterThan">
      <formula>$Y$9</formula>
    </cfRule>
  </conditionalFormatting>
  <conditionalFormatting sqref="DC82">
    <cfRule type="cellIs" dxfId="31" priority="269" operator="lessThanOrEqual">
      <formula>$Y$9</formula>
    </cfRule>
  </conditionalFormatting>
  <conditionalFormatting sqref="DH82">
    <cfRule type="cellIs" dxfId="30" priority="268" operator="greaterThan">
      <formula>$Y$9</formula>
    </cfRule>
  </conditionalFormatting>
  <conditionalFormatting sqref="DH82">
    <cfRule type="cellIs" dxfId="29" priority="267" operator="lessThanOrEqual">
      <formula>$Y$9</formula>
    </cfRule>
  </conditionalFormatting>
  <conditionalFormatting sqref="DH83:DH86">
    <cfRule type="cellIs" dxfId="28" priority="196" operator="greaterThan">
      <formula>$Y$9</formula>
    </cfRule>
  </conditionalFormatting>
  <conditionalFormatting sqref="DH83:DH86">
    <cfRule type="cellIs" dxfId="27" priority="195" operator="lessThanOrEqual">
      <formula>$Y$9</formula>
    </cfRule>
  </conditionalFormatting>
  <conditionalFormatting sqref="DC87">
    <cfRule type="cellIs" dxfId="26" priority="126" operator="greaterThan">
      <formula>$Y$9</formula>
    </cfRule>
  </conditionalFormatting>
  <conditionalFormatting sqref="DC87">
    <cfRule type="cellIs" dxfId="25" priority="125" operator="lessThanOrEqual">
      <formula>$Y$9</formula>
    </cfRule>
  </conditionalFormatting>
  <conditionalFormatting sqref="AZ82">
    <cfRule type="cellIs" dxfId="24" priority="120" operator="greaterThan">
      <formula>$Y$9</formula>
    </cfRule>
  </conditionalFormatting>
  <conditionalFormatting sqref="AZ82">
    <cfRule type="cellIs" dxfId="23" priority="119" operator="lessThanOrEqual">
      <formula>$Y$9</formula>
    </cfRule>
  </conditionalFormatting>
  <conditionalFormatting sqref="AU82">
    <cfRule type="cellIs" dxfId="22" priority="118" operator="greaterThan">
      <formula>$Y$9</formula>
    </cfRule>
  </conditionalFormatting>
  <conditionalFormatting sqref="AU82">
    <cfRule type="cellIs" dxfId="21" priority="117" operator="lessThanOrEqual">
      <formula>$Y$9</formula>
    </cfRule>
  </conditionalFormatting>
  <conditionalFormatting sqref="AP82">
    <cfRule type="cellIs" dxfId="20" priority="116" operator="greaterThan">
      <formula>$Y$9</formula>
    </cfRule>
  </conditionalFormatting>
  <conditionalFormatting sqref="AP82">
    <cfRule type="cellIs" dxfId="19" priority="115" operator="lessThanOrEqual">
      <formula>$Y$9</formula>
    </cfRule>
  </conditionalFormatting>
  <conditionalFormatting sqref="AK82">
    <cfRule type="cellIs" dxfId="18" priority="114" operator="greaterThan">
      <formula>$Y$9</formula>
    </cfRule>
  </conditionalFormatting>
  <conditionalFormatting sqref="AK82">
    <cfRule type="cellIs" dxfId="17" priority="113" operator="lessThanOrEqual">
      <formula>$Y$9</formula>
    </cfRule>
  </conditionalFormatting>
  <conditionalFormatting sqref="AF82">
    <cfRule type="cellIs" dxfId="16" priority="112" operator="greaterThan">
      <formula>$Y$9</formula>
    </cfRule>
  </conditionalFormatting>
  <conditionalFormatting sqref="AF82">
    <cfRule type="cellIs" dxfId="15" priority="111" operator="lessThanOrEqual">
      <formula>$Y$9</formula>
    </cfRule>
  </conditionalFormatting>
  <conditionalFormatting sqref="AA82">
    <cfRule type="cellIs" dxfId="14" priority="110" operator="greaterThan">
      <formula>$Y$9</formula>
    </cfRule>
  </conditionalFormatting>
  <conditionalFormatting sqref="AA82">
    <cfRule type="cellIs" dxfId="13" priority="109" operator="lessThanOrEqual">
      <formula>$Y$9</formula>
    </cfRule>
  </conditionalFormatting>
  <conditionalFormatting sqref="IO13 H99:H167 H9:H93">
    <cfRule type="cellIs" dxfId="12" priority="107" operator="equal">
      <formula>"PENDING DELIVERY"</formula>
    </cfRule>
  </conditionalFormatting>
  <conditionalFormatting sqref="E99:E115 E117:E167 E43:E48 E50:E76">
    <cfRule type="cellIs" dxfId="11" priority="94" operator="equal">
      <formula>"IMO"</formula>
    </cfRule>
  </conditionalFormatting>
  <conditionalFormatting sqref="DH87">
    <cfRule type="cellIs" dxfId="10" priority="91" operator="greaterThan">
      <formula>$Y$9</formula>
    </cfRule>
  </conditionalFormatting>
  <conditionalFormatting sqref="DH87">
    <cfRule type="cellIs" dxfId="9" priority="90" operator="lessThanOrEqual">
      <formula>$Y$9</formula>
    </cfRule>
  </conditionalFormatting>
  <conditionalFormatting sqref="E99:E113">
    <cfRule type="duplicateValues" dxfId="8" priority="1921"/>
  </conditionalFormatting>
  <conditionalFormatting sqref="DC90">
    <cfRule type="cellIs" dxfId="7" priority="8" operator="greaterThan">
      <formula>$Y$9</formula>
    </cfRule>
  </conditionalFormatting>
  <conditionalFormatting sqref="DC90">
    <cfRule type="cellIs" dxfId="6" priority="7" operator="lessThanOrEqual">
      <formula>$Y$9</formula>
    </cfRule>
  </conditionalFormatting>
  <conditionalFormatting sqref="DH90">
    <cfRule type="cellIs" dxfId="5" priority="6" operator="greaterThan">
      <formula>$Y$9</formula>
    </cfRule>
  </conditionalFormatting>
  <conditionalFormatting sqref="DH90">
    <cfRule type="cellIs" dxfId="4" priority="5" operator="lessThanOrEqual">
      <formula>$Y$9</formula>
    </cfRule>
  </conditionalFormatting>
  <conditionalFormatting sqref="DC91:DC93">
    <cfRule type="cellIs" dxfId="3" priority="4" operator="greaterThan">
      <formula>$Y$9</formula>
    </cfRule>
  </conditionalFormatting>
  <conditionalFormatting sqref="DC91:DC93">
    <cfRule type="cellIs" dxfId="2" priority="3" operator="lessThanOrEqual">
      <formula>$Y$9</formula>
    </cfRule>
  </conditionalFormatting>
  <conditionalFormatting sqref="DH91:DH93">
    <cfRule type="cellIs" dxfId="1" priority="2" operator="greaterThan">
      <formula>$Y$9</formula>
    </cfRule>
  </conditionalFormatting>
  <conditionalFormatting sqref="DH91:DH93">
    <cfRule type="cellIs" dxfId="0" priority="1" operator="lessThanOrEqual">
      <formula>$Y$9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D018EC629D044E9E0A3D32EF729CEA" ma:contentTypeVersion="6" ma:contentTypeDescription="Create a new document." ma:contentTypeScope="" ma:versionID="17e6e43f774b959f552d7f58bd5b96d9">
  <xsd:schema xmlns:xsd="http://www.w3.org/2001/XMLSchema" xmlns:xs="http://www.w3.org/2001/XMLSchema" xmlns:p="http://schemas.microsoft.com/office/2006/metadata/properties" xmlns:ns2="bc20253f-8d32-4b4d-a969-33bdf54c5bc2" xmlns:ns3="b5e17e13-8a83-4056-854d-744e676aef69" targetNamespace="http://schemas.microsoft.com/office/2006/metadata/properties" ma:root="true" ma:fieldsID="3912bb8d048c21ffb73978ad85991163" ns2:_="" ns3:_="">
    <xsd:import namespace="bc20253f-8d32-4b4d-a969-33bdf54c5bc2"/>
    <xsd:import namespace="b5e17e13-8a83-4056-854d-744e676aef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0253f-8d32-4b4d-a969-33bdf54c5b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17e13-8a83-4056-854d-744e676aef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9BA3B2-ACA4-48C6-8020-B3066BD212FA}"/>
</file>

<file path=customXml/itemProps2.xml><?xml version="1.0" encoding="utf-8"?>
<ds:datastoreItem xmlns:ds="http://schemas.openxmlformats.org/officeDocument/2006/customXml" ds:itemID="{9F36DEA3-A228-4958-BD7A-9941AF5526C3}"/>
</file>

<file path=customXml/itemProps3.xml><?xml version="1.0" encoding="utf-8"?>
<ds:datastoreItem xmlns:ds="http://schemas.openxmlformats.org/officeDocument/2006/customXml" ds:itemID="{01C17224-025B-43C1-90FD-9081C75C4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Eveline Maria Juca Bezerra</dc:creator>
  <cp:keywords/>
  <dc:description/>
  <cp:lastModifiedBy/>
  <cp:revision/>
  <dcterms:created xsi:type="dcterms:W3CDTF">2026-04-21T16:00:45Z</dcterms:created>
  <dcterms:modified xsi:type="dcterms:W3CDTF">2026-07-08T14:33:49Z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0x010100F5D018EC629D044E9E0A3D32EF729CEA</vt:lpwstr>
  </property>
</Properties>
</file>
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eletraenergy365-my.sharepoint.com/personal/catarina_beserra_eletraenergy_com/Documents/"/>
    </mc:Choice>
  </mc:AlternateContent>
  <xr:revisionPtr revIDLastSave="0" documentId="8_{6FFFD148-7871-41A5-91FA-9EB3E6B5052A}" xr6:coauthVersionLast="47" xr6:coauthVersionMax="47" xr10:uidLastSave="{00000000-0000-0000-0000-000000000000}"/>
  <bookViews>
    <workbookView xWindow="-28920" yWindow="1440" windowWidth="29040" windowHeight="15720" xr2:uid="{64C7D504-F051-417F-8F30-A0CC9FEBE112}"/>
  </bookViews>
  <sheets>
    <sheet name="Status" sheetId="3" r:id="rId1"/>
    <sheet name="BC" sheetId="2" r:id="rId2"/>
    <sheet name="Delivered" sheetId="4" r:id="rId3"/>
  </sheets>
  <definedNames>
    <definedName name="_xlnm._FilterDatabase" localSheetId="0" hidden="1">Status!$B$1:$AA$21</definedName>
    <definedName name="_xlnm._FilterDatabase" localSheetId="2" hidden="1">Delivered!$B$1:$AA$37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I10" i="3"/>
  <c r="J4" i="3"/>
  <c r="J3" i="3"/>
  <c r="I3" i="3"/>
  <c r="I4" i="3"/>
  <c r="N3" i="3"/>
  <c r="N39" i="4"/>
  <c r="N38" i="4"/>
  <c r="N37" i="4"/>
  <c r="N36" i="4"/>
  <c r="N35" i="4"/>
  <c r="N34" i="4"/>
  <c r="N33" i="4"/>
  <c r="N32" i="4"/>
  <c r="N31" i="4"/>
  <c r="N30" i="4"/>
  <c r="Y29" i="4"/>
  <c r="N29" i="4"/>
  <c r="J29" i="4"/>
  <c r="I29" i="4"/>
  <c r="Y28" i="4"/>
  <c r="N28" i="4"/>
  <c r="I28" i="4"/>
  <c r="Y27" i="4"/>
  <c r="N27" i="4"/>
  <c r="J27" i="4"/>
  <c r="I27" i="4"/>
  <c r="Y26" i="4"/>
  <c r="N26" i="4"/>
  <c r="J26" i="4"/>
  <c r="I26" i="4"/>
  <c r="Y25" i="4"/>
  <c r="N25" i="4"/>
  <c r="J25" i="4"/>
  <c r="I25" i="4"/>
  <c r="Y24" i="4"/>
  <c r="N24" i="4"/>
  <c r="J24" i="4"/>
  <c r="I24" i="4"/>
  <c r="Y23" i="4"/>
  <c r="N23" i="4"/>
  <c r="J23" i="4"/>
  <c r="I23" i="4"/>
  <c r="Y22" i="4"/>
  <c r="N22" i="4"/>
  <c r="J22" i="4"/>
  <c r="I22" i="4"/>
  <c r="Y21" i="4"/>
  <c r="N21" i="4"/>
  <c r="J21" i="4"/>
  <c r="I21" i="4"/>
  <c r="Y20" i="4"/>
  <c r="N20" i="4"/>
  <c r="J20" i="4"/>
  <c r="I20" i="4"/>
  <c r="Y19" i="4"/>
  <c r="N19" i="4"/>
  <c r="J19" i="4"/>
  <c r="I19" i="4"/>
  <c r="Y15" i="4"/>
  <c r="J15" i="4"/>
  <c r="Y14" i="4"/>
  <c r="N14" i="4"/>
  <c r="J14" i="4"/>
  <c r="Y13" i="4"/>
  <c r="J13" i="4"/>
  <c r="Y12" i="4"/>
  <c r="J12" i="4"/>
  <c r="J11" i="4"/>
  <c r="J10" i="4"/>
  <c r="J9" i="4"/>
  <c r="J8" i="4"/>
  <c r="J7" i="4"/>
  <c r="J6" i="4"/>
  <c r="J5" i="4"/>
  <c r="J4" i="4"/>
  <c r="J13" i="3"/>
  <c r="I13" i="3"/>
  <c r="J12" i="3"/>
  <c r="I12" i="3"/>
  <c r="N8" i="3"/>
  <c r="N10" i="3"/>
  <c r="N13" i="3"/>
  <c r="N12" i="3"/>
  <c r="N11" i="3"/>
  <c r="N9" i="3"/>
  <c r="N6" i="3"/>
  <c r="N5" i="3"/>
  <c r="N4" i="3"/>
  <c r="N7" i="3"/>
  <c r="J6" i="3"/>
  <c r="I6" i="3"/>
  <c r="J5" i="3"/>
  <c r="I5" i="3"/>
  <c r="J8" i="3"/>
  <c r="I8" i="3"/>
  <c r="Y8" i="3"/>
  <c r="J7" i="3"/>
  <c r="I7" i="3"/>
  <c r="J9" i="3"/>
  <c r="J11" i="3"/>
  <c r="I11" i="3"/>
  <c r="I9" i="3"/>
  <c r="Y9" i="3"/>
  <c r="Y5" i="3"/>
  <c r="Y4" i="3"/>
  <c r="Y3" i="3"/>
  <c r="Y7" i="3"/>
  <c r="Y13" i="3"/>
  <c r="Y12" i="3"/>
  <c r="Y11" i="3"/>
  <c r="Y10" i="3"/>
  <c r="Y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</authors>
  <commentList>
    <comment ref="AA5" authorId="0" shapeId="0" xr:uid="{C25F36FC-22A2-48AA-9280-6172F997ED85}">
      <text>
        <r>
          <rPr>
            <sz val="11"/>
            <color theme="1"/>
            <rFont val="Aptos Narrow"/>
            <family val="2"/>
            <scheme val="minor"/>
          </rPr>
          <t>In transit from Port to Eletra</t>
        </r>
      </text>
    </comment>
    <comment ref="AA8" authorId="0" shapeId="0" xr:uid="{B0BF7637-A801-4700-A126-141462AE3BE3}">
      <text>
        <r>
          <rPr>
            <sz val="11"/>
            <color theme="1"/>
            <rFont val="Aptos Narrow"/>
            <family val="2"/>
            <scheme val="minor"/>
          </rPr>
          <t>In transit from Port to Eletra</t>
        </r>
      </text>
    </comment>
    <comment ref="AA9" authorId="0" shapeId="0" xr:uid="{7C2AAE09-88EC-49AE-AC29-46E317D25FBA}">
      <text>
        <r>
          <rPr>
            <sz val="11"/>
            <color theme="1"/>
            <rFont val="Aptos Narrow"/>
            <family val="2"/>
            <scheme val="minor"/>
          </rPr>
          <t>The port scheduled pickup at 6:00 PM, estimated arrival at Eletra at 9:00 PM.</t>
        </r>
      </text>
    </comment>
    <comment ref="AA10" authorId="0" shapeId="0" xr:uid="{9AC73D37-3833-4669-AC41-3AFD7B1E5078}">
      <text>
        <r>
          <rPr>
            <sz val="11"/>
            <color theme="1"/>
            <rFont val="Aptos Narrow"/>
            <family val="2"/>
            <scheme val="minor"/>
          </rPr>
          <t>The port scheduled pickup at 6:00 PM, estimated arrival at Eletra at 9:00 PM.</t>
        </r>
      </text>
    </comment>
    <comment ref="AA17" authorId="0" shapeId="0" xr:uid="{305B39F7-D335-43F3-B72B-34BA7A1D7793}">
      <text>
        <r>
          <rPr>
            <sz val="11"/>
            <color theme="1"/>
            <rFont val="Aptos Narrow"/>
            <family val="2"/>
            <scheme val="minor"/>
          </rPr>
          <t>In transit from Port to Eletra</t>
        </r>
      </text>
    </comment>
  </commentList>
</comments>
</file>

<file path=xl/sharedStrings.xml><?xml version="1.0" encoding="utf-8"?>
<sst xmlns="http://schemas.openxmlformats.org/spreadsheetml/2006/main" count="585" uniqueCount="239">
  <si>
    <t>优先接待</t>
  </si>
  <si>
    <t>模态</t>
  </si>
  <si>
    <t>流程</t>
  </si>
  <si>
    <t>容器数量</t>
  </si>
  <si>
    <t>托盘/包装数量</t>
  </si>
  <si>
    <t>货物抵达港口日期</t>
  </si>
  <si>
    <t>状态 当前操作</t>
  </si>
  <si>
    <t>详情 当前操作</t>
  </si>
  <si>
    <t>负责部门</t>
  </si>
  <si>
    <t>预计抵达埃莱特拉</t>
  </si>
  <si>
    <t>海关清关时间</t>
  </si>
  <si>
    <t>重要观察</t>
  </si>
  <si>
    <t>最终当前操作</t>
  </si>
  <si>
    <t>下一步</t>
  </si>
  <si>
    <t>文件</t>
  </si>
  <si>
    <t>Order of Priority</t>
  </si>
  <si>
    <t>Modal</t>
  </si>
  <si>
    <t>Process</t>
  </si>
  <si>
    <t>Qty CTNR</t>
  </si>
  <si>
    <t>Qty Pallets/packages</t>
  </si>
  <si>
    <t>Date of Cargo Presence</t>
  </si>
  <si>
    <t>Status Current Action</t>
  </si>
  <si>
    <t>Details Current action</t>
  </si>
  <si>
    <t>Responsible Departament</t>
  </si>
  <si>
    <t>Expecting arrival at Eletra (ETE)</t>
  </si>
  <si>
    <t>Customs Clearance Time</t>
  </si>
  <si>
    <t>Remank</t>
  </si>
  <si>
    <t>Final Current Action</t>
  </si>
  <si>
    <t>Next Step</t>
  </si>
  <si>
    <t>Document</t>
  </si>
  <si>
    <t>Expecting arrival at Eletra</t>
  </si>
  <si>
    <t>Armazenagem paga?</t>
  </si>
  <si>
    <t>Sea</t>
  </si>
  <si>
    <t>NH-019A/2025</t>
  </si>
  <si>
    <t>16 packages</t>
  </si>
  <si>
    <t>CIPP (Port authority)/APM</t>
  </si>
  <si>
    <r>
      <rPr>
        <sz val="11"/>
        <color rgb="FF000000"/>
        <rFont val="Aptos Narrow"/>
      </rPr>
      <t>Cargo unloaded yesterday at the port. Storage fees paid</t>
    </r>
    <r>
      <rPr>
        <b/>
        <sz val="11"/>
        <color rgb="FF000000"/>
        <rFont val="Aptos Narrow"/>
      </rPr>
      <t>. The Port has only authorized transport to Eletra for tomorrow at noon.</t>
    </r>
  </si>
  <si>
    <t>Finance Team</t>
  </si>
  <si>
    <t>NF 8948</t>
  </si>
  <si>
    <t>Estimated delivery date at Eletra April 06th</t>
  </si>
  <si>
    <t>Z-001A/2026</t>
  </si>
  <si>
    <t>759 cartons/21 packages</t>
  </si>
  <si>
    <t>TAX TEAM</t>
  </si>
  <si>
    <t>NF</t>
  </si>
  <si>
    <t>NH-019B/2025</t>
  </si>
  <si>
    <t>13 packages</t>
  </si>
  <si>
    <r>
      <rPr>
        <sz val="11"/>
        <color rgb="FF000000"/>
        <rFont val="Aptos Narrow"/>
      </rPr>
      <t>Cargo unloaded yesterday at the port</t>
    </r>
    <r>
      <rPr>
        <b/>
        <sz val="11"/>
        <color rgb="FF000000"/>
        <rFont val="Aptos Narrow"/>
      </rPr>
      <t>. Storage will  be paid today to request transport authorization to Eletra. 
Comex Team is in direct contact with the port.</t>
    </r>
  </si>
  <si>
    <t>Estimated delivery date at Eletra April 08th</t>
  </si>
  <si>
    <t>Z-001B/2026</t>
  </si>
  <si>
    <t>619 cartons/20 packages</t>
  </si>
  <si>
    <t>SEFAZ (Tax Authority)</t>
  </si>
  <si>
    <r>
      <rPr>
        <sz val="11"/>
        <color rgb="FF000000"/>
        <rFont val="Aptos Narrow"/>
      </rPr>
      <t>Cargo unloaded yesterday at the port</t>
    </r>
    <r>
      <rPr>
        <b/>
        <sz val="11"/>
        <color rgb="FF000000"/>
        <rFont val="Aptos Narrow"/>
      </rPr>
      <t>. Storage will  be paid today. Invoice (NF) issued yesterday. Awaiting release of the invoice by SEFAZ (State Customs). We are in contact with SEFAZ to expedite the process.</t>
    </r>
  </si>
  <si>
    <t>RFB (Customs Authority)</t>
  </si>
  <si>
    <t>DUIMP</t>
  </si>
  <si>
    <t>Air</t>
  </si>
  <si>
    <t>IPH-008/2026</t>
  </si>
  <si>
    <t>2 packages</t>
  </si>
  <si>
    <t>GLME</t>
  </si>
  <si>
    <t>Estimated delivery date at Eletra April 07th</t>
  </si>
  <si>
    <t>Z-009/2026</t>
  </si>
  <si>
    <t>1 carton</t>
  </si>
  <si>
    <t>COMEX TEAM/BROKER</t>
  </si>
  <si>
    <t>BROKER</t>
  </si>
  <si>
    <t>Estimated delivery date at Eletra April 22th</t>
  </si>
  <si>
    <t>E-017/2025</t>
  </si>
  <si>
    <t>18 packages</t>
  </si>
  <si>
    <t>IT TEAM / TAX TEAM</t>
  </si>
  <si>
    <t>CIPP</t>
  </si>
  <si>
    <t>068G/2025</t>
  </si>
  <si>
    <t>36 pallets</t>
  </si>
  <si>
    <t>002A/2026</t>
  </si>
  <si>
    <t>002B/2026</t>
  </si>
  <si>
    <t>002C/2026</t>
  </si>
  <si>
    <t>001A/2026</t>
  </si>
  <si>
    <t>Waiting Arrival at port</t>
  </si>
  <si>
    <t>estimated time of arrival April 22th</t>
  </si>
  <si>
    <t>-</t>
  </si>
  <si>
    <t>001B/2026</t>
  </si>
  <si>
    <t>NH-001/2026</t>
  </si>
  <si>
    <t>estimated time of arrival April 14th</t>
  </si>
  <si>
    <t>Z-003A/2026</t>
  </si>
  <si>
    <t>Z-003B/2026</t>
  </si>
  <si>
    <t>estimated time of arrival April 21th</t>
  </si>
  <si>
    <t>003A/2026</t>
  </si>
  <si>
    <t>003C/2026</t>
  </si>
  <si>
    <t>003D/2026</t>
  </si>
  <si>
    <t>003H/2026</t>
  </si>
  <si>
    <t>estimated time of arrival April 26th</t>
  </si>
  <si>
    <t>003B/2026</t>
  </si>
  <si>
    <t>Waiting for the container to arrive at the port</t>
  </si>
  <si>
    <t>Presence of cargo</t>
  </si>
  <si>
    <t>2 - Pending cargo presence</t>
  </si>
  <si>
    <t>Waiting for the freight forwarder to notify arrival of cargo</t>
  </si>
  <si>
    <t>48h</t>
  </si>
  <si>
    <t>DUIMP registration</t>
  </si>
  <si>
    <t>CIPP / Customs Broker</t>
  </si>
  <si>
    <t>3 - Pending DUIMP registration</t>
  </si>
  <si>
    <t>Waiting for the Customs Broker to register the DUIMP</t>
  </si>
  <si>
    <t>24h</t>
  </si>
  <si>
    <t>Customs Broker</t>
  </si>
  <si>
    <t xml:space="preserve">3.1 - Pending customs clearance of the DUIMP </t>
  </si>
  <si>
    <t>Pending customs clearance of the DUIMP - Yellow Channel</t>
  </si>
  <si>
    <t>TBD</t>
  </si>
  <si>
    <t>Post-registration tax</t>
  </si>
  <si>
    <t>4 - Pending post-registration tax clearance</t>
  </si>
  <si>
    <t>Waiting for Eletra's Tax Team to complete post-registration</t>
  </si>
  <si>
    <t>Raw material resolution</t>
  </si>
  <si>
    <t>Tax Team Eletra</t>
  </si>
  <si>
    <t>5 - Pending raw material resolution</t>
  </si>
  <si>
    <t>Waiting for Eletra's Tax Team to sign raw material resolution</t>
  </si>
  <si>
    <t>Same day</t>
  </si>
  <si>
    <t>GLME approval</t>
  </si>
  <si>
    <t>6 - Pending benefit approval</t>
  </si>
  <si>
    <t>Awaiting approval of the GLME by SEFAZ</t>
  </si>
  <si>
    <t>72h</t>
  </si>
  <si>
    <t>Sending of storage invoice by CIPP</t>
  </si>
  <si>
    <t>7 - Pending storage invoice</t>
  </si>
  <si>
    <t>Waiting for CIPP to send storage invoice</t>
  </si>
  <si>
    <t>Validation of storage invoice by Eletra Tax Team</t>
  </si>
  <si>
    <t>Storage invoice</t>
  </si>
  <si>
    <t>8 - Pending storage invoice validation</t>
  </si>
  <si>
    <t>Waiting for Eletra's Tax Team to validate the storage invoice</t>
  </si>
  <si>
    <t>Payment of storage</t>
  </si>
  <si>
    <t>9 - Pending storage payment</t>
  </si>
  <si>
    <t>Waiting for Eletra's Finance Team to make the storage payment</t>
  </si>
  <si>
    <t>Storage write-off</t>
  </si>
  <si>
    <t>Finance Team Eletra</t>
  </si>
  <si>
    <t>10 - Pending removal from storage</t>
  </si>
  <si>
    <t>Waiting for CIPP to write off the storage payment</t>
  </si>
  <si>
    <t>Issuance of invoice</t>
  </si>
  <si>
    <t>11 - Pending issuance of invoice</t>
  </si>
  <si>
    <t>Waiting for Eletra's Tax Team to issue the invoice</t>
  </si>
  <si>
    <t>Approval of invoice</t>
  </si>
  <si>
    <t>Invoice (NF)</t>
  </si>
  <si>
    <t>12 - Pending approval of invoice</t>
  </si>
  <si>
    <t xml:space="preserve">Waiting for approval from SEFAZ </t>
  </si>
  <si>
    <t>Issuance of subsidiary invoices</t>
  </si>
  <si>
    <t>13 - Pending issuance of split invoices</t>
  </si>
  <si>
    <t>Waiting for Comex Team to issues split invoices</t>
  </si>
  <si>
    <t>Delivery of container to Eletra</t>
  </si>
  <si>
    <t>Split invoices</t>
  </si>
  <si>
    <t>14 - Pending delivery to Eletra/PCDM</t>
  </si>
  <si>
    <t>Waiting for the container to arrive at Eletra/PCDM</t>
  </si>
  <si>
    <t>Receipt of container</t>
  </si>
  <si>
    <t>15 - Delivered at Eletra/Livoltek</t>
  </si>
  <si>
    <t>Delivered and received at Eletra/Livoltek</t>
  </si>
  <si>
    <t>1 - Awaiting Arrival at port</t>
  </si>
  <si>
    <t>Aguardando o container chegar no porto</t>
  </si>
  <si>
    <t>Presença de carga</t>
  </si>
  <si>
    <t>2 - Pendente presença de carga</t>
  </si>
  <si>
    <t>Aguardando despachante notificar chegada da carga</t>
  </si>
  <si>
    <t>Regsitro da DUIMP</t>
  </si>
  <si>
    <t>CIPP / Customs Broekr</t>
  </si>
  <si>
    <t>3 - Pendente registro da DUIMP</t>
  </si>
  <si>
    <t>Aguardando despachante realizar registro da DUIMP</t>
  </si>
  <si>
    <t>Pós registro Fiscal</t>
  </si>
  <si>
    <t>4 - Pendente pós registro Fiscal</t>
  </si>
  <si>
    <t>Aguadandando Time Fiscal Eletra realizar o pós registro</t>
  </si>
  <si>
    <t>Resolução de matéria-prima</t>
  </si>
  <si>
    <t>5 - Pendente resolução de matéria-prima</t>
  </si>
  <si>
    <t>Aguardando Time Fiscal Eletra assinar resolução de matéria-prima</t>
  </si>
  <si>
    <t>Mesmo dia</t>
  </si>
  <si>
    <t>Deferimento da GLME</t>
  </si>
  <si>
    <t>awaiting approval of the GLME by SEFAZ</t>
  </si>
  <si>
    <t>Envio do boleto de armazenagem pela CIPP</t>
  </si>
  <si>
    <t>7 - Pendente boleto de armazenagem</t>
  </si>
  <si>
    <t xml:space="preserve">Aguardando CIPP enviar boleto de armazenagem </t>
  </si>
  <si>
    <t>Validação do boelto de armazenagem pelo Time Fiscal Eletra</t>
  </si>
  <si>
    <t>8 - Pendente validação do boleto de armazenagem</t>
  </si>
  <si>
    <t>Aguardando Time Fiscal Eletra validar o boleto de armazenagem</t>
  </si>
  <si>
    <t>Pagamento da armazenagem</t>
  </si>
  <si>
    <t>9 - Pendente pagamento da armazenagem</t>
  </si>
  <si>
    <t>Aguardando Time Financeiro Eletra realizar pagamento da armazenagem</t>
  </si>
  <si>
    <t>Baixa da armazenagem</t>
  </si>
  <si>
    <t>10 - Pendente baixa da armazenagem</t>
  </si>
  <si>
    <t>Aguardando CIPP realizar baixa no pagamento da armazenagem</t>
  </si>
  <si>
    <t>Emissão da Nota Fiscal</t>
  </si>
  <si>
    <t>11 - Pendente emissão da Nota Fiscal</t>
  </si>
  <si>
    <t>Aguardando Time Fiscal Eletra emitir nota fiscal</t>
  </si>
  <si>
    <t>Homologação da Nota Fiscal</t>
  </si>
  <si>
    <t>12 - Pendente homologação da Nota Fiscal</t>
  </si>
  <si>
    <t xml:space="preserve">Aguardando aprovação da SEFAZ </t>
  </si>
  <si>
    <t>Emissão das Notas Fiscais Filhas</t>
  </si>
  <si>
    <t>13 - Pendente emissão das notas filhas</t>
  </si>
  <si>
    <t>Aguardando Time Fiscal Eletra emitir notas fiscais filhas</t>
  </si>
  <si>
    <t>Entrega do conteiner na Eletra</t>
  </si>
  <si>
    <t>14 - Pendente entrega na Eletra</t>
  </si>
  <si>
    <t>Aguardando chegada do conteiner na Eletra</t>
  </si>
  <si>
    <t>Recebimento do conteiner</t>
  </si>
  <si>
    <t>Date of Port Arrival</t>
  </si>
  <si>
    <t>006/2026</t>
  </si>
  <si>
    <t>n/a</t>
  </si>
  <si>
    <t>Delivered</t>
  </si>
  <si>
    <t>CK Logistics</t>
  </si>
  <si>
    <t>(March 27th)</t>
  </si>
  <si>
    <t>NF 8951</t>
  </si>
  <si>
    <t>Delivered at March 27th</t>
  </si>
  <si>
    <t>064A/2025</t>
  </si>
  <si>
    <t>CK Logistic</t>
  </si>
  <si>
    <t>Today (March 20th)</t>
  </si>
  <si>
    <t>Estimated delivery at Eletra today March 20th</t>
  </si>
  <si>
    <t>064B/2025</t>
  </si>
  <si>
    <t>Delivered at Eletra today March 20th</t>
  </si>
  <si>
    <t>064C/2025</t>
  </si>
  <si>
    <t>Receiving Team</t>
  </si>
  <si>
    <t>Today (March 24th)</t>
  </si>
  <si>
    <t>Receivement</t>
  </si>
  <si>
    <t>Estimated date at Eletra March 24th</t>
  </si>
  <si>
    <t>064E/2025</t>
  </si>
  <si>
    <t>064F/2025</t>
  </si>
  <si>
    <t>064G/2025</t>
  </si>
  <si>
    <t>068A/2025</t>
  </si>
  <si>
    <t>068B/2025</t>
  </si>
  <si>
    <t>54 pallets</t>
  </si>
  <si>
    <t>COMEX TEAM/CK LOGISTICS</t>
  </si>
  <si>
    <t>NF 9062</t>
  </si>
  <si>
    <t>Estimated time arrival to Eletra at April 07th. SEFAZ didn´t authorized Fiscal Note, and due te holiday, we expect the auhorization at April 06th</t>
  </si>
  <si>
    <t>Possibilidade de risco</t>
  </si>
  <si>
    <t>068C/2025</t>
  </si>
  <si>
    <t>139 pallets</t>
  </si>
  <si>
    <t>NF 9085</t>
  </si>
  <si>
    <t>Estimated time arrival to Eletra at April 07th. SEFAZ didn´t auhtorized Fiscal Note, and due te holiday, we expect the auhorization at April 06th</t>
  </si>
  <si>
    <t>068D/2025</t>
  </si>
  <si>
    <t>163 pallets</t>
  </si>
  <si>
    <t>NF 9083</t>
  </si>
  <si>
    <t>068E/2025</t>
  </si>
  <si>
    <t>Comex Team</t>
  </si>
  <si>
    <t>NF 8989</t>
  </si>
  <si>
    <t>Estimated time arrival to Eletra: April 02th</t>
  </si>
  <si>
    <t>068F/2025</t>
  </si>
  <si>
    <t>HB-001/2026</t>
  </si>
  <si>
    <t xml:space="preserve">Awaiting for the material  to arrive at Eletra </t>
  </si>
  <si>
    <t>CK Logistic (Transport Company)</t>
  </si>
  <si>
    <t>Delivery of material to Eletra</t>
  </si>
  <si>
    <t>NF (Invoice)</t>
  </si>
  <si>
    <t>NH-017/2025</t>
  </si>
  <si>
    <t>NF 8961</t>
  </si>
  <si>
    <t>TAX TEAM/IT TEAM</t>
  </si>
  <si>
    <t>Waiting Invoice (NF) file from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</si>
</sst>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4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rgb="FFFFFFFF"/>
      <name val="Aptos Narrow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8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4EA72E"/>
        <bgColor rgb="FF4EA72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4EA72E"/>
      </left>
      <right/>
      <top style="thin">
        <color rgb="FF4EA72E"/>
      </top>
      <bottom/>
      <diagonal/>
    </border>
    <border>
      <left/>
      <right/>
      <top style="thin">
        <color rgb="FF4EA72E"/>
      </top>
      <bottom/>
      <diagonal/>
    </border>
    <border>
      <left/>
      <right style="thin">
        <color rgb="FF4EA72E"/>
      </right>
      <top style="thin">
        <color rgb="FF4EA72E"/>
      </top>
      <bottom/>
      <diagonal/>
    </border>
    <border>
      <left/>
      <right style="thin">
        <color rgb="FF4EA72E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4EA72E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 wrapText="1"/>
    </xf>
    <xf numFmtId="0" fontId="5" fillId="4" borderId="5" xfId="0" quotePrefix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16" fontId="5" fillId="7" borderId="5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0" fillId="8" borderId="0" xfId="0" applyNumberFormat="1" applyFill="1" applyAlignment="1">
      <alignment vertical="center"/>
    </xf>
    <xf numFmtId="0" fontId="3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14" fontId="4" fillId="7" borderId="5" xfId="0" applyNumberFormat="1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4" fontId="0" fillId="7" borderId="0" xfId="0" applyNumberFormat="1" applyFill="1" applyAlignment="1">
      <alignment vertical="center"/>
    </xf>
    <xf numFmtId="0" fontId="3" fillId="7" borderId="5" xfId="0" quotePrefix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5" fillId="7" borderId="5" xfId="0" quotePrefix="1" applyFont="1" applyFill="1" applyBorder="1" applyAlignment="1">
      <alignment horizontal="center" vertical="center"/>
    </xf>
    <xf numFmtId="14" fontId="5" fillId="7" borderId="5" xfId="0" applyNumberFormat="1" applyFont="1" applyFill="1" applyBorder="1" applyAlignment="1">
      <alignment horizontal="center" vertical="center" wrapText="1"/>
    </xf>
    <xf numFmtId="14" fontId="3" fillId="4" borderId="5" xfId="0" applyNumberFormat="1" applyFont="1" applyFill="1" applyBorder="1" applyAlignment="1">
      <alignment horizontal="center" vertical="center"/>
    </xf>
    <xf numFmtId="14" fontId="3" fillId="7" borderId="12" xfId="0" applyNumberFormat="1" applyFont="1" applyFill="1" applyBorder="1" applyAlignment="1">
      <alignment horizontal="center" vertical="center"/>
    </xf>
    <xf numFmtId="14" fontId="5" fillId="4" borderId="9" xfId="0" applyNumberFormat="1" applyFont="1" applyFill="1" applyBorder="1" applyAlignment="1">
      <alignment horizontal="center" vertical="center"/>
    </xf>
    <xf numFmtId="14" fontId="5" fillId="4" borderId="13" xfId="0" applyNumberFormat="1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14" fontId="8" fillId="7" borderId="13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14" fontId="8" fillId="7" borderId="9" xfId="0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14" fontId="1" fillId="7" borderId="8" xfId="0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14" fontId="1" fillId="7" borderId="5" xfId="0" applyNumberFormat="1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14" fontId="8" fillId="7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4" fillId="9" borderId="5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164" fontId="4" fillId="9" borderId="8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164" fontId="4" fillId="4" borderId="8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1A88-A571-423A-AA75-82C01290EC61}">
  <dimension ref="B1:AC23"/>
  <sheetViews>
    <sheetView showGridLines="0" tabSelected="1" topLeftCell="A6" workbookViewId="0">
      <selection activeCell="L14" sqref="L14:L23"/>
    </sheetView>
  </sheetViews>
  <sheetFormatPr defaultRowHeight="15"/>
  <cols>
    <col min="1" max="1" width="1.7109375" style="3" customWidth="1"/>
    <col min="2" max="2" width="8.85546875" style="3" customWidth="1"/>
    <col min="3" max="3" width="1.28515625" style="3" customWidth="1"/>
    <col min="4" max="4" width="6.5703125" style="3" bestFit="1" customWidth="1"/>
    <col min="5" max="5" width="15.140625" style="3" customWidth="1"/>
    <col min="6" max="6" width="7.28515625" style="3" customWidth="1"/>
    <col min="7" max="7" width="16" style="3" customWidth="1"/>
    <col min="8" max="8" width="14" style="115" customWidth="1"/>
    <col min="9" max="9" width="28.5703125" style="3" customWidth="1"/>
    <col min="10" max="10" width="36.28515625" style="3" customWidth="1"/>
    <col min="11" max="11" width="22.85546875" style="115" customWidth="1"/>
    <col min="12" max="12" width="15.42578125" style="54" customWidth="1"/>
    <col min="13" max="13" width="1" style="47" customWidth="1"/>
    <col min="14" max="14" width="7.42578125" style="96" customWidth="1"/>
    <col min="15" max="15" width="1.140625" style="47" customWidth="1"/>
    <col min="16" max="16" width="72.28515625" style="47" customWidth="1"/>
    <col min="17" max="22" width="4" style="47" customWidth="1"/>
    <col min="23" max="23" width="19.7109375" style="3" customWidth="1"/>
    <col min="24" max="24" width="19.140625" style="3" customWidth="1"/>
    <col min="25" max="25" width="37.85546875" style="3" bestFit="1" customWidth="1"/>
    <col min="26" max="26" width="12.5703125" style="3" customWidth="1"/>
    <col min="27" max="27" width="41.140625" style="3" customWidth="1"/>
    <col min="28" max="28" width="4.140625" style="3" customWidth="1"/>
    <col min="29" max="29" width="19.140625" style="3" bestFit="1" customWidth="1"/>
    <col min="30" max="34" width="9.140625" style="3"/>
    <col min="35" max="35" width="19" style="3" customWidth="1"/>
    <col min="36" max="16384" width="9.140625" style="3"/>
  </cols>
  <sheetData>
    <row r="1" spans="2:29" ht="31.5">
      <c r="B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5" t="s">
        <v>9</v>
      </c>
      <c r="N1" s="118" t="s">
        <v>10</v>
      </c>
      <c r="P1" s="2" t="s">
        <v>11</v>
      </c>
      <c r="W1" s="2" t="s">
        <v>12</v>
      </c>
      <c r="X1" s="2" t="s">
        <v>8</v>
      </c>
      <c r="Y1" s="2" t="s">
        <v>13</v>
      </c>
      <c r="Z1" s="2" t="s">
        <v>14</v>
      </c>
      <c r="AA1" s="2" t="s">
        <v>9</v>
      </c>
      <c r="AB1" s="2"/>
    </row>
    <row r="2" spans="2:29" s="90" customFormat="1" ht="57.75" customHeight="1">
      <c r="B2" s="108" t="s">
        <v>15</v>
      </c>
      <c r="D2" s="101" t="s">
        <v>16</v>
      </c>
      <c r="E2" s="101" t="s">
        <v>17</v>
      </c>
      <c r="F2" s="102" t="s">
        <v>18</v>
      </c>
      <c r="G2" s="102" t="s">
        <v>19</v>
      </c>
      <c r="H2" s="102" t="s">
        <v>20</v>
      </c>
      <c r="I2" s="101" t="s">
        <v>21</v>
      </c>
      <c r="J2" s="101" t="s">
        <v>22</v>
      </c>
      <c r="K2" s="102" t="s">
        <v>23</v>
      </c>
      <c r="L2" s="103" t="s">
        <v>24</v>
      </c>
      <c r="M2" s="100"/>
      <c r="N2" s="116" t="s">
        <v>25</v>
      </c>
      <c r="O2" s="100"/>
      <c r="P2" s="110" t="s">
        <v>26</v>
      </c>
      <c r="Q2" s="100"/>
      <c r="R2" s="100"/>
      <c r="S2" s="100"/>
      <c r="T2" s="100"/>
      <c r="U2" s="100"/>
      <c r="V2" s="100"/>
      <c r="W2" s="5" t="s">
        <v>27</v>
      </c>
      <c r="X2" s="7" t="s">
        <v>23</v>
      </c>
      <c r="Y2" s="5" t="s">
        <v>28</v>
      </c>
      <c r="Z2" s="5" t="s">
        <v>29</v>
      </c>
      <c r="AA2" s="6" t="s">
        <v>30</v>
      </c>
      <c r="AB2" s="29"/>
      <c r="AC2" s="91" t="s">
        <v>31</v>
      </c>
    </row>
    <row r="3" spans="2:29" ht="29.25">
      <c r="B3" s="109">
        <v>1</v>
      </c>
      <c r="D3" s="104" t="s">
        <v>32</v>
      </c>
      <c r="E3" s="119" t="s">
        <v>33</v>
      </c>
      <c r="F3" s="105">
        <v>0.5</v>
      </c>
      <c r="G3" s="105" t="s">
        <v>34</v>
      </c>
      <c r="H3" s="117">
        <v>46093</v>
      </c>
      <c r="I3" s="106" t="str">
        <f>BC!$A$15</f>
        <v>14 - Pending delivery to Eletra/PCDM</v>
      </c>
      <c r="J3" s="104" t="str">
        <f>BC!$B$15</f>
        <v>Waiting for the container to arrive at Eletra/PCDM</v>
      </c>
      <c r="K3" s="28" t="s">
        <v>35</v>
      </c>
      <c r="L3" s="107">
        <v>46122</v>
      </c>
      <c r="N3" s="97">
        <f>L3-H3</f>
        <v>29</v>
      </c>
      <c r="P3" s="111" t="s">
        <v>36</v>
      </c>
      <c r="W3" s="21">
        <v>46114</v>
      </c>
      <c r="X3" s="22" t="s">
        <v>37</v>
      </c>
      <c r="Y3" s="20" t="str">
        <f>BC!$A$15</f>
        <v>14 - Pending delivery to Eletra/PCDM</v>
      </c>
      <c r="Z3" s="20" t="s">
        <v>38</v>
      </c>
      <c r="AA3" s="18" t="s">
        <v>39</v>
      </c>
      <c r="AB3" s="31"/>
    </row>
    <row r="4" spans="2:29" ht="29.25">
      <c r="B4" s="17">
        <v>1</v>
      </c>
      <c r="D4" s="23" t="s">
        <v>32</v>
      </c>
      <c r="E4" s="120" t="s">
        <v>40</v>
      </c>
      <c r="F4" s="24">
        <v>0.5</v>
      </c>
      <c r="G4" s="98" t="s">
        <v>41</v>
      </c>
      <c r="H4" s="93">
        <v>46093</v>
      </c>
      <c r="I4" s="106" t="str">
        <f>BC!$A$15</f>
        <v>14 - Pending delivery to Eletra/PCDM</v>
      </c>
      <c r="J4" s="104" t="str">
        <f>BC!$B$15</f>
        <v>Waiting for the container to arrive at Eletra/PCDM</v>
      </c>
      <c r="K4" s="28" t="s">
        <v>35</v>
      </c>
      <c r="L4" s="92">
        <v>46122</v>
      </c>
      <c r="N4" s="97">
        <f>L4-H4</f>
        <v>29</v>
      </c>
      <c r="P4" s="111" t="s">
        <v>36</v>
      </c>
      <c r="W4" s="21">
        <v>46114</v>
      </c>
      <c r="X4" s="17" t="s">
        <v>42</v>
      </c>
      <c r="Y4" s="19" t="str">
        <f>BC!$A$13</f>
        <v>12 - Pending approval of invoice</v>
      </c>
      <c r="Z4" s="22" t="s">
        <v>43</v>
      </c>
      <c r="AA4" s="34" t="s">
        <v>39</v>
      </c>
      <c r="AB4" s="31"/>
    </row>
    <row r="5" spans="2:29" ht="43.5">
      <c r="B5" s="26">
        <v>1</v>
      </c>
      <c r="D5" s="18" t="s">
        <v>32</v>
      </c>
      <c r="E5" s="121" t="s">
        <v>44</v>
      </c>
      <c r="F5" s="20">
        <v>0.5</v>
      </c>
      <c r="G5" s="20" t="s">
        <v>45</v>
      </c>
      <c r="H5" s="93">
        <v>46093</v>
      </c>
      <c r="I5" s="19" t="str">
        <f>BC!A15</f>
        <v>14 - Pending delivery to Eletra/PCDM</v>
      </c>
      <c r="J5" s="18" t="str">
        <f>BC!B15</f>
        <v>Waiting for the container to arrive at Eletra/PCDM</v>
      </c>
      <c r="K5" s="112" t="s">
        <v>35</v>
      </c>
      <c r="L5" s="92">
        <v>46122</v>
      </c>
      <c r="N5" s="97">
        <f>L5-H5</f>
        <v>29</v>
      </c>
      <c r="P5" s="95" t="s">
        <v>46</v>
      </c>
      <c r="W5" s="21">
        <v>46114</v>
      </c>
      <c r="X5" s="22" t="s">
        <v>37</v>
      </c>
      <c r="Y5" s="20" t="str">
        <f>BC!$A$15</f>
        <v>14 - Pending delivery to Eletra/PCDM</v>
      </c>
      <c r="Z5" s="20" t="s">
        <v>43</v>
      </c>
      <c r="AA5" s="18" t="s">
        <v>47</v>
      </c>
      <c r="AB5" s="31"/>
    </row>
    <row r="6" spans="2:29" ht="43.5">
      <c r="B6" s="17">
        <v>1</v>
      </c>
      <c r="D6" s="23" t="s">
        <v>32</v>
      </c>
      <c r="E6" s="122" t="s">
        <v>48</v>
      </c>
      <c r="F6" s="24">
        <v>0.5</v>
      </c>
      <c r="G6" s="99" t="s">
        <v>49</v>
      </c>
      <c r="H6" s="93">
        <v>46093</v>
      </c>
      <c r="I6" s="49" t="str">
        <f>BC!A13</f>
        <v>12 - Pending approval of invoice</v>
      </c>
      <c r="J6" s="18" t="str">
        <f>BC!B13</f>
        <v xml:space="preserve">Waiting for approval from SEFAZ </v>
      </c>
      <c r="K6" s="113" t="s">
        <v>50</v>
      </c>
      <c r="L6" s="94">
        <v>46127</v>
      </c>
      <c r="N6" s="97">
        <f>L6-H6</f>
        <v>34</v>
      </c>
      <c r="P6" s="95" t="s">
        <v>51</v>
      </c>
      <c r="W6" s="21">
        <v>46114</v>
      </c>
      <c r="X6" s="17" t="s">
        <v>52</v>
      </c>
      <c r="Y6" s="17" t="str">
        <f>BC!A5</f>
        <v>4 - Pending post-registration tax clearance</v>
      </c>
      <c r="Z6" s="22" t="s">
        <v>53</v>
      </c>
      <c r="AA6" s="35" t="s">
        <v>39</v>
      </c>
      <c r="AB6" s="31"/>
    </row>
    <row r="7" spans="2:29" ht="24" customHeight="1">
      <c r="B7" s="26">
        <v>2</v>
      </c>
      <c r="D7" s="18" t="s">
        <v>54</v>
      </c>
      <c r="E7" s="123" t="s">
        <v>55</v>
      </c>
      <c r="F7" s="20"/>
      <c r="G7" s="20" t="s">
        <v>56</v>
      </c>
      <c r="H7" s="93">
        <v>46098</v>
      </c>
      <c r="I7" s="19" t="str">
        <f>BC!$A$13</f>
        <v>12 - Pending approval of invoice</v>
      </c>
      <c r="J7" s="18" t="str">
        <f>BC!$B$13</f>
        <v xml:space="preserve">Waiting for approval from SEFAZ </v>
      </c>
      <c r="K7" s="112" t="s">
        <v>50</v>
      </c>
      <c r="L7" s="92">
        <v>46122</v>
      </c>
      <c r="N7" s="97">
        <f>L7-H7</f>
        <v>24</v>
      </c>
      <c r="W7" s="21">
        <v>46114</v>
      </c>
      <c r="X7" s="22" t="s">
        <v>42</v>
      </c>
      <c r="Y7" s="20" t="str">
        <f>BC!A6</f>
        <v>5 - Pending raw material resolution</v>
      </c>
      <c r="Z7" s="20" t="s">
        <v>57</v>
      </c>
      <c r="AA7" s="18" t="s">
        <v>58</v>
      </c>
      <c r="AB7" s="31"/>
    </row>
    <row r="8" spans="2:29" ht="24" customHeight="1">
      <c r="B8" s="19">
        <v>1</v>
      </c>
      <c r="D8" s="18" t="s">
        <v>54</v>
      </c>
      <c r="E8" s="122" t="s">
        <v>59</v>
      </c>
      <c r="F8" s="20"/>
      <c r="G8" s="20" t="s">
        <v>60</v>
      </c>
      <c r="H8" s="93">
        <v>46119</v>
      </c>
      <c r="I8" s="19" t="str">
        <f>BC!A3</f>
        <v>3 - Pending DUIMP registration</v>
      </c>
      <c r="J8" s="18" t="str">
        <f>BC!A3</f>
        <v>3 - Pending DUIMP registration</v>
      </c>
      <c r="K8" s="112" t="s">
        <v>61</v>
      </c>
      <c r="L8" s="94">
        <v>46126</v>
      </c>
      <c r="N8" s="97">
        <f>L8-H8</f>
        <v>7</v>
      </c>
      <c r="W8" s="21">
        <v>46113</v>
      </c>
      <c r="X8" s="22" t="s">
        <v>62</v>
      </c>
      <c r="Y8" s="20" t="str">
        <f>BC!A6</f>
        <v>5 - Pending raw material resolution</v>
      </c>
      <c r="Z8" s="20" t="s">
        <v>53</v>
      </c>
      <c r="AA8" s="19" t="s">
        <v>63</v>
      </c>
      <c r="AB8" s="30"/>
    </row>
    <row r="9" spans="2:29" ht="29.25">
      <c r="B9" s="19">
        <v>4</v>
      </c>
      <c r="D9" s="18" t="s">
        <v>32</v>
      </c>
      <c r="E9" s="124" t="s">
        <v>64</v>
      </c>
      <c r="F9" s="20">
        <v>1</v>
      </c>
      <c r="G9" s="56" t="s">
        <v>65</v>
      </c>
      <c r="H9" s="93">
        <v>46092</v>
      </c>
      <c r="I9" s="44" t="str">
        <f>BC!$A$12</f>
        <v>11 - Pending issuance of invoice</v>
      </c>
      <c r="J9" s="48" t="str">
        <f>BC!$B$12</f>
        <v>Waiting for Eletra's Tax Team to issue the invoice</v>
      </c>
      <c r="K9" s="112" t="s">
        <v>66</v>
      </c>
      <c r="L9" s="93">
        <v>46127</v>
      </c>
      <c r="N9" s="97">
        <f>L9-H9</f>
        <v>35</v>
      </c>
      <c r="W9" s="21">
        <v>46114</v>
      </c>
      <c r="X9" s="17" t="s">
        <v>67</v>
      </c>
      <c r="Y9" s="19" t="str">
        <f>BC!A2</f>
        <v>2 - Pending cargo presence</v>
      </c>
      <c r="Z9" s="20"/>
      <c r="AA9" s="19" t="s">
        <v>63</v>
      </c>
      <c r="AB9" s="30"/>
    </row>
    <row r="10" spans="2:29" ht="29.25">
      <c r="B10" s="19">
        <v>4</v>
      </c>
      <c r="D10" s="18" t="s">
        <v>32</v>
      </c>
      <c r="E10" s="125" t="s">
        <v>68</v>
      </c>
      <c r="F10" s="20">
        <v>2</v>
      </c>
      <c r="G10" s="20" t="s">
        <v>69</v>
      </c>
      <c r="H10" s="93">
        <v>46113</v>
      </c>
      <c r="I10" s="17" t="str">
        <f>BC!A12</f>
        <v>11 - Pending issuance of invoice</v>
      </c>
      <c r="J10" s="18" t="str">
        <f>BC!$B$12</f>
        <v>Waiting for Eletra's Tax Team to issue the invoice</v>
      </c>
      <c r="K10" s="112" t="s">
        <v>42</v>
      </c>
      <c r="L10" s="93">
        <v>46134</v>
      </c>
      <c r="N10" s="97">
        <f>L10-H10</f>
        <v>21</v>
      </c>
      <c r="W10" s="21">
        <v>46113</v>
      </c>
      <c r="X10" s="22" t="s">
        <v>62</v>
      </c>
      <c r="Y10" s="20" t="str">
        <f>BC!A5</f>
        <v>4 - Pending post-registration tax clearance</v>
      </c>
      <c r="Z10" s="20" t="s">
        <v>53</v>
      </c>
      <c r="AA10" s="19" t="s">
        <v>63</v>
      </c>
      <c r="AB10" s="30"/>
    </row>
    <row r="11" spans="2:29" ht="29.25">
      <c r="B11" s="19">
        <v>4</v>
      </c>
      <c r="D11" s="18" t="s">
        <v>32</v>
      </c>
      <c r="E11" s="124" t="s">
        <v>70</v>
      </c>
      <c r="F11" s="20">
        <v>2</v>
      </c>
      <c r="G11" s="68"/>
      <c r="H11" s="93">
        <v>46118</v>
      </c>
      <c r="I11" s="18" t="str">
        <f>BC!$A$5</f>
        <v>4 - Pending post-registration tax clearance</v>
      </c>
      <c r="J11" s="18" t="str">
        <f>BC!$B$5</f>
        <v>Waiting for Eletra's Tax Team to complete post-registration</v>
      </c>
      <c r="K11" s="112" t="s">
        <v>42</v>
      </c>
      <c r="L11" s="93">
        <v>46134</v>
      </c>
      <c r="N11" s="97">
        <f>L11-H11</f>
        <v>16</v>
      </c>
      <c r="W11" s="21">
        <v>46114</v>
      </c>
      <c r="X11" s="17" t="s">
        <v>67</v>
      </c>
      <c r="Y11" s="19" t="str">
        <f>BC!A3</f>
        <v>3 - Pending DUIMP registration</v>
      </c>
      <c r="Z11" s="20"/>
      <c r="AA11" s="19" t="s">
        <v>63</v>
      </c>
      <c r="AB11" s="30"/>
    </row>
    <row r="12" spans="2:29" ht="29.25">
      <c r="B12" s="19">
        <v>4</v>
      </c>
      <c r="D12" s="18" t="s">
        <v>32</v>
      </c>
      <c r="E12" s="126" t="s">
        <v>71</v>
      </c>
      <c r="F12" s="20">
        <v>0.5</v>
      </c>
      <c r="G12" s="68"/>
      <c r="H12" s="93">
        <v>46120</v>
      </c>
      <c r="I12" s="20" t="str">
        <f>BC!$A$3</f>
        <v>3 - Pending DUIMP registration</v>
      </c>
      <c r="J12" s="18" t="str">
        <f>BC!$B$3</f>
        <v>Waiting for the Customs Broker to register the DUIMP</v>
      </c>
      <c r="K12" s="112" t="s">
        <v>61</v>
      </c>
      <c r="L12" s="93">
        <v>46134</v>
      </c>
      <c r="N12" s="97">
        <f>L12-H12</f>
        <v>14</v>
      </c>
      <c r="W12" s="21">
        <v>46114</v>
      </c>
      <c r="X12" s="17" t="s">
        <v>67</v>
      </c>
      <c r="Y12" s="19" t="str">
        <f>BC!A3</f>
        <v>3 - Pending DUIMP registration</v>
      </c>
      <c r="Z12" s="20"/>
      <c r="AA12" s="19" t="s">
        <v>63</v>
      </c>
      <c r="AB12" s="30"/>
    </row>
    <row r="13" spans="2:29" ht="29.25">
      <c r="B13" s="19">
        <v>4</v>
      </c>
      <c r="D13" s="18" t="s">
        <v>32</v>
      </c>
      <c r="E13" s="126" t="s">
        <v>72</v>
      </c>
      <c r="F13" s="20">
        <v>0.5</v>
      </c>
      <c r="G13" s="20" t="s">
        <v>56</v>
      </c>
      <c r="H13" s="93">
        <v>46120</v>
      </c>
      <c r="I13" s="20" t="str">
        <f>BC!$A$3</f>
        <v>3 - Pending DUIMP registration</v>
      </c>
      <c r="J13" s="18" t="str">
        <f>BC!$B$3</f>
        <v>Waiting for the Customs Broker to register the DUIMP</v>
      </c>
      <c r="K13" s="112" t="s">
        <v>61</v>
      </c>
      <c r="L13" s="93">
        <v>46134</v>
      </c>
      <c r="N13" s="97">
        <f>L13-H13</f>
        <v>14</v>
      </c>
      <c r="W13" s="21">
        <v>46114</v>
      </c>
      <c r="X13" s="17" t="s">
        <v>67</v>
      </c>
      <c r="Y13" s="19" t="str">
        <f>BC!A3</f>
        <v>3 - Pending DUIMP registration</v>
      </c>
      <c r="Z13" s="20"/>
      <c r="AA13" s="19" t="s">
        <v>63</v>
      </c>
      <c r="AB13" s="30"/>
    </row>
    <row r="14" spans="2:29" ht="15.75">
      <c r="B14" s="8">
        <v>4</v>
      </c>
      <c r="D14" s="9" t="s">
        <v>32</v>
      </c>
      <c r="E14" s="127" t="s">
        <v>73</v>
      </c>
      <c r="F14" s="10"/>
      <c r="G14" s="10"/>
      <c r="H14" s="53"/>
      <c r="I14" s="10" t="s">
        <v>74</v>
      </c>
      <c r="J14" s="9" t="s">
        <v>75</v>
      </c>
      <c r="K14" s="114"/>
      <c r="L14" s="128">
        <v>46153</v>
      </c>
      <c r="N14" s="97"/>
      <c r="W14" s="14" t="s">
        <v>76</v>
      </c>
      <c r="X14" s="13"/>
      <c r="Y14" s="10"/>
      <c r="Z14" s="10"/>
      <c r="AA14" s="10"/>
      <c r="AB14" s="32"/>
    </row>
    <row r="15" spans="2:29" ht="15.75">
      <c r="B15" s="8">
        <v>4</v>
      </c>
      <c r="D15" s="9" t="s">
        <v>32</v>
      </c>
      <c r="E15" s="127" t="s">
        <v>77</v>
      </c>
      <c r="F15" s="10"/>
      <c r="G15" s="10"/>
      <c r="H15" s="53"/>
      <c r="I15" s="10" t="s">
        <v>74</v>
      </c>
      <c r="J15" s="9" t="s">
        <v>75</v>
      </c>
      <c r="K15" s="114"/>
      <c r="L15" s="128">
        <v>46153</v>
      </c>
      <c r="N15" s="97"/>
      <c r="W15" s="14" t="s">
        <v>76</v>
      </c>
      <c r="X15" s="13"/>
      <c r="Y15" s="15"/>
      <c r="Z15" s="10"/>
      <c r="AA15" s="10"/>
      <c r="AB15" s="32"/>
    </row>
    <row r="16" spans="2:29" ht="15.75">
      <c r="B16" s="8">
        <v>3</v>
      </c>
      <c r="D16" s="9" t="s">
        <v>32</v>
      </c>
      <c r="E16" s="127" t="s">
        <v>78</v>
      </c>
      <c r="F16" s="10"/>
      <c r="G16" s="10"/>
      <c r="H16" s="53"/>
      <c r="I16" s="10" t="s">
        <v>74</v>
      </c>
      <c r="J16" s="9" t="s">
        <v>79</v>
      </c>
      <c r="K16" s="114"/>
      <c r="L16" s="128">
        <v>46146</v>
      </c>
      <c r="N16" s="97"/>
      <c r="W16" s="12" t="s">
        <v>76</v>
      </c>
      <c r="X16" s="13"/>
      <c r="Y16" s="10"/>
      <c r="Z16" s="10"/>
      <c r="AA16" s="10"/>
      <c r="AB16" s="32"/>
    </row>
    <row r="17" spans="2:28" ht="15.75">
      <c r="B17" s="8">
        <v>4</v>
      </c>
      <c r="D17" s="9" t="s">
        <v>32</v>
      </c>
      <c r="E17" s="127" t="s">
        <v>80</v>
      </c>
      <c r="F17" s="10"/>
      <c r="G17" s="10"/>
      <c r="H17" s="53"/>
      <c r="I17" s="10" t="s">
        <v>74</v>
      </c>
      <c r="J17" s="9" t="s">
        <v>79</v>
      </c>
      <c r="K17" s="114"/>
      <c r="L17" s="128">
        <v>46146</v>
      </c>
      <c r="N17" s="97"/>
      <c r="W17" s="12" t="s">
        <v>76</v>
      </c>
      <c r="X17" s="13"/>
      <c r="Y17" s="10"/>
      <c r="Z17" s="10"/>
      <c r="AA17" s="10"/>
      <c r="AB17" s="32"/>
    </row>
    <row r="18" spans="2:28" ht="15.75">
      <c r="B18" s="8">
        <v>4</v>
      </c>
      <c r="D18" s="9" t="s">
        <v>32</v>
      </c>
      <c r="E18" s="127" t="s">
        <v>81</v>
      </c>
      <c r="F18" s="10"/>
      <c r="G18" s="10"/>
      <c r="H18" s="53"/>
      <c r="I18" s="10" t="s">
        <v>74</v>
      </c>
      <c r="J18" s="9" t="s">
        <v>82</v>
      </c>
      <c r="K18" s="114"/>
      <c r="L18" s="128">
        <v>46153</v>
      </c>
      <c r="N18" s="97"/>
      <c r="W18" s="12" t="s">
        <v>76</v>
      </c>
      <c r="X18" s="13"/>
      <c r="Y18" s="10"/>
      <c r="Z18" s="10"/>
      <c r="AA18" s="10"/>
      <c r="AB18" s="32"/>
    </row>
    <row r="19" spans="2:28" ht="15.75">
      <c r="B19" s="8">
        <v>3</v>
      </c>
      <c r="D19" s="9" t="s">
        <v>32</v>
      </c>
      <c r="E19" s="127" t="s">
        <v>83</v>
      </c>
      <c r="F19" s="10"/>
      <c r="G19" s="10"/>
      <c r="H19" s="53"/>
      <c r="I19" s="10" t="s">
        <v>74</v>
      </c>
      <c r="J19" s="9" t="s">
        <v>82</v>
      </c>
      <c r="K19" s="114"/>
      <c r="L19" s="128">
        <v>46153</v>
      </c>
      <c r="N19" s="97"/>
      <c r="W19" s="12" t="s">
        <v>76</v>
      </c>
      <c r="X19" s="13"/>
      <c r="Y19" s="10"/>
      <c r="Z19" s="10"/>
      <c r="AA19" s="10"/>
      <c r="AB19" s="32"/>
    </row>
    <row r="20" spans="2:28" ht="15.75">
      <c r="B20" s="8">
        <v>3</v>
      </c>
      <c r="D20" s="9" t="s">
        <v>32</v>
      </c>
      <c r="E20" s="127" t="s">
        <v>84</v>
      </c>
      <c r="F20" s="10"/>
      <c r="G20" s="10"/>
      <c r="H20" s="53"/>
      <c r="I20" s="10" t="s">
        <v>74</v>
      </c>
      <c r="J20" s="9" t="s">
        <v>82</v>
      </c>
      <c r="K20" s="114"/>
      <c r="L20" s="128">
        <v>46153</v>
      </c>
      <c r="N20" s="97"/>
      <c r="W20" s="12" t="s">
        <v>76</v>
      </c>
      <c r="X20" s="13"/>
      <c r="Y20" s="10"/>
      <c r="Z20" s="10"/>
      <c r="AA20" s="10"/>
      <c r="AB20" s="32"/>
    </row>
    <row r="21" spans="2:28" ht="15.75">
      <c r="B21" s="8">
        <v>3</v>
      </c>
      <c r="D21" s="9" t="s">
        <v>32</v>
      </c>
      <c r="E21" s="127" t="s">
        <v>85</v>
      </c>
      <c r="F21" s="10"/>
      <c r="G21" s="10"/>
      <c r="H21" s="53"/>
      <c r="I21" s="10" t="s">
        <v>74</v>
      </c>
      <c r="J21" s="9" t="s">
        <v>82</v>
      </c>
      <c r="K21" s="114"/>
      <c r="L21" s="128">
        <v>46153</v>
      </c>
      <c r="N21" s="97"/>
      <c r="W21" s="12" t="s">
        <v>76</v>
      </c>
      <c r="X21" s="13"/>
      <c r="Y21" s="10"/>
      <c r="Z21" s="10"/>
      <c r="AA21" s="10"/>
      <c r="AB21" s="32"/>
    </row>
    <row r="22" spans="2:28" ht="15.75">
      <c r="B22" s="8">
        <v>3</v>
      </c>
      <c r="D22" s="9" t="s">
        <v>32</v>
      </c>
      <c r="E22" s="127" t="s">
        <v>86</v>
      </c>
      <c r="F22" s="10"/>
      <c r="G22" s="10"/>
      <c r="H22" s="53"/>
      <c r="I22" s="10" t="s">
        <v>74</v>
      </c>
      <c r="J22" s="9" t="s">
        <v>87</v>
      </c>
      <c r="K22" s="114"/>
      <c r="L22" s="128">
        <v>46153</v>
      </c>
      <c r="N22" s="97"/>
      <c r="W22" s="12" t="s">
        <v>76</v>
      </c>
      <c r="X22" s="13"/>
      <c r="Y22" s="10"/>
      <c r="Z22" s="10"/>
      <c r="AA22" s="10"/>
      <c r="AB22" s="32"/>
    </row>
    <row r="23" spans="2:28" ht="15.75">
      <c r="B23" s="8">
        <v>4</v>
      </c>
      <c r="D23" s="9" t="s">
        <v>32</v>
      </c>
      <c r="E23" s="127" t="s">
        <v>88</v>
      </c>
      <c r="F23" s="10"/>
      <c r="G23" s="10"/>
      <c r="H23" s="53"/>
      <c r="I23" s="10" t="s">
        <v>74</v>
      </c>
      <c r="J23" s="9" t="s">
        <v>82</v>
      </c>
      <c r="K23" s="114"/>
      <c r="L23" s="128">
        <v>46153</v>
      </c>
      <c r="N23" s="97"/>
      <c r="W23" s="12" t="s">
        <v>76</v>
      </c>
      <c r="X23" s="13"/>
      <c r="Y23" s="10"/>
      <c r="Z23" s="10"/>
      <c r="AA23" s="10"/>
      <c r="AB23" s="32"/>
    </row>
  </sheetData>
  <autoFilter ref="B1:AA23" xr:uid="{15D61A88-A571-423A-AA75-82C01290EC6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FB1-C696-42A2-8978-FFE2FB61A14A}">
  <dimension ref="A1:F32"/>
  <sheetViews>
    <sheetView workbookViewId="0">
      <selection activeCell="B12" sqref="B12"/>
    </sheetView>
  </sheetViews>
  <sheetFormatPr defaultRowHeight="15" customHeight="1"/>
  <cols>
    <col min="1" max="1" width="64.7109375" bestFit="1" customWidth="1"/>
    <col min="2" max="2" width="64.5703125" bestFit="1" customWidth="1"/>
    <col min="3" max="3" width="10.42578125" bestFit="1" customWidth="1"/>
    <col min="4" max="4" width="53.85546875" bestFit="1" customWidth="1"/>
    <col min="5" max="5" width="20.7109375" bestFit="1" customWidth="1"/>
    <col min="6" max="6" width="14.28515625" bestFit="1" customWidth="1"/>
  </cols>
  <sheetData>
    <row r="1" spans="1:6" ht="15" customHeight="1">
      <c r="B1" t="s">
        <v>89</v>
      </c>
      <c r="D1" t="s">
        <v>90</v>
      </c>
    </row>
    <row r="2" spans="1:6" ht="14.45">
      <c r="A2" t="s">
        <v>91</v>
      </c>
      <c r="B2" t="s">
        <v>92</v>
      </c>
      <c r="C2" t="s">
        <v>93</v>
      </c>
      <c r="D2" t="s">
        <v>94</v>
      </c>
      <c r="E2" t="s">
        <v>95</v>
      </c>
    </row>
    <row r="3" spans="1:6" ht="14.45">
      <c r="A3" t="s">
        <v>96</v>
      </c>
      <c r="B3" t="s">
        <v>97</v>
      </c>
      <c r="C3" t="s">
        <v>98</v>
      </c>
      <c r="E3" t="s">
        <v>99</v>
      </c>
      <c r="F3" t="s">
        <v>53</v>
      </c>
    </row>
    <row r="4" spans="1:6" ht="14.45">
      <c r="A4" t="s">
        <v>100</v>
      </c>
      <c r="B4" t="s">
        <v>101</v>
      </c>
      <c r="C4" t="s">
        <v>102</v>
      </c>
      <c r="D4" t="s">
        <v>103</v>
      </c>
    </row>
    <row r="5" spans="1:6" ht="14.45">
      <c r="A5" t="s">
        <v>104</v>
      </c>
      <c r="B5" t="s">
        <v>105</v>
      </c>
      <c r="C5" t="s">
        <v>98</v>
      </c>
      <c r="D5" t="s">
        <v>106</v>
      </c>
      <c r="E5" t="s">
        <v>107</v>
      </c>
    </row>
    <row r="6" spans="1:6" ht="14.45">
      <c r="A6" t="s">
        <v>108</v>
      </c>
      <c r="B6" t="s">
        <v>109</v>
      </c>
      <c r="C6" t="s">
        <v>110</v>
      </c>
      <c r="D6" t="s">
        <v>111</v>
      </c>
      <c r="E6" t="s">
        <v>107</v>
      </c>
    </row>
    <row r="7" spans="1:6" ht="14.45">
      <c r="A7" t="s">
        <v>112</v>
      </c>
      <c r="B7" t="s">
        <v>113</v>
      </c>
      <c r="C7" t="s">
        <v>114</v>
      </c>
      <c r="D7" t="s">
        <v>115</v>
      </c>
      <c r="E7" t="s">
        <v>50</v>
      </c>
      <c r="F7" t="s">
        <v>57</v>
      </c>
    </row>
    <row r="8" spans="1:6" ht="14.45">
      <c r="A8" t="s">
        <v>116</v>
      </c>
      <c r="B8" t="s">
        <v>117</v>
      </c>
      <c r="C8" t="s">
        <v>93</v>
      </c>
      <c r="D8" t="s">
        <v>118</v>
      </c>
      <c r="E8" t="s">
        <v>67</v>
      </c>
      <c r="F8" t="s">
        <v>119</v>
      </c>
    </row>
    <row r="9" spans="1:6" ht="14.45">
      <c r="A9" t="s">
        <v>120</v>
      </c>
      <c r="B9" t="s">
        <v>121</v>
      </c>
      <c r="C9" t="s">
        <v>98</v>
      </c>
      <c r="D9" t="s">
        <v>122</v>
      </c>
      <c r="E9" t="s">
        <v>107</v>
      </c>
      <c r="F9" t="s">
        <v>119</v>
      </c>
    </row>
    <row r="10" spans="1:6" ht="14.45">
      <c r="A10" t="s">
        <v>123</v>
      </c>
      <c r="B10" t="s">
        <v>124</v>
      </c>
      <c r="C10" t="s">
        <v>98</v>
      </c>
      <c r="D10" t="s">
        <v>125</v>
      </c>
      <c r="E10" t="s">
        <v>126</v>
      </c>
      <c r="F10" t="s">
        <v>119</v>
      </c>
    </row>
    <row r="11" spans="1:6" ht="15" customHeight="1">
      <c r="A11" t="s">
        <v>127</v>
      </c>
      <c r="B11" t="s">
        <v>128</v>
      </c>
      <c r="C11" t="s">
        <v>98</v>
      </c>
      <c r="D11" t="s">
        <v>129</v>
      </c>
      <c r="E11" t="s">
        <v>67</v>
      </c>
      <c r="F11" t="s">
        <v>119</v>
      </c>
    </row>
    <row r="12" spans="1:6" ht="15" customHeight="1">
      <c r="A12" t="s">
        <v>130</v>
      </c>
      <c r="B12" t="s">
        <v>131</v>
      </c>
      <c r="C12" t="s">
        <v>98</v>
      </c>
      <c r="D12" t="s">
        <v>132</v>
      </c>
      <c r="E12" t="s">
        <v>107</v>
      </c>
      <c r="F12" t="s">
        <v>133</v>
      </c>
    </row>
    <row r="13" spans="1:6" ht="15" customHeight="1">
      <c r="A13" t="s">
        <v>134</v>
      </c>
      <c r="B13" t="s">
        <v>135</v>
      </c>
      <c r="C13" t="s">
        <v>93</v>
      </c>
      <c r="D13" t="s">
        <v>136</v>
      </c>
      <c r="E13" t="s">
        <v>50</v>
      </c>
      <c r="F13" t="s">
        <v>133</v>
      </c>
    </row>
    <row r="14" spans="1:6" ht="15" customHeight="1">
      <c r="A14" t="s">
        <v>137</v>
      </c>
      <c r="B14" t="s">
        <v>138</v>
      </c>
      <c r="C14" t="s">
        <v>110</v>
      </c>
      <c r="D14" t="s">
        <v>139</v>
      </c>
      <c r="E14" t="s">
        <v>107</v>
      </c>
      <c r="F14" t="s">
        <v>140</v>
      </c>
    </row>
    <row r="15" spans="1:6" ht="15" customHeight="1">
      <c r="A15" t="s">
        <v>141</v>
      </c>
      <c r="B15" t="s">
        <v>142</v>
      </c>
      <c r="D15" t="s">
        <v>143</v>
      </c>
    </row>
    <row r="16" spans="1:6" ht="15" customHeight="1">
      <c r="A16" t="s">
        <v>144</v>
      </c>
      <c r="B16" t="s">
        <v>145</v>
      </c>
    </row>
    <row r="17" spans="1:5" ht="15" customHeight="1">
      <c r="B17" t="s">
        <v>97</v>
      </c>
    </row>
    <row r="18" spans="1:5" ht="14.45"/>
    <row r="19" spans="1:5" ht="14.45">
      <c r="A19" t="s">
        <v>146</v>
      </c>
      <c r="B19" t="s">
        <v>147</v>
      </c>
      <c r="D19" t="s">
        <v>148</v>
      </c>
    </row>
    <row r="20" spans="1:5" ht="14.45">
      <c r="A20" t="s">
        <v>149</v>
      </c>
      <c r="B20" t="s">
        <v>150</v>
      </c>
      <c r="C20" t="s">
        <v>93</v>
      </c>
      <c r="D20" t="s">
        <v>151</v>
      </c>
      <c r="E20" t="s">
        <v>152</v>
      </c>
    </row>
    <row r="21" spans="1:5" ht="14.45">
      <c r="A21" t="s">
        <v>153</v>
      </c>
      <c r="B21" t="s">
        <v>154</v>
      </c>
      <c r="C21" t="s">
        <v>98</v>
      </c>
      <c r="D21" t="s">
        <v>155</v>
      </c>
      <c r="E21" t="s">
        <v>99</v>
      </c>
    </row>
    <row r="22" spans="1:5" ht="14.45">
      <c r="A22" t="s">
        <v>156</v>
      </c>
      <c r="B22" t="s">
        <v>157</v>
      </c>
      <c r="C22" t="s">
        <v>98</v>
      </c>
      <c r="D22" t="s">
        <v>158</v>
      </c>
      <c r="E22" t="s">
        <v>107</v>
      </c>
    </row>
    <row r="23" spans="1:5" ht="14.45">
      <c r="A23" t="s">
        <v>159</v>
      </c>
      <c r="B23" t="s">
        <v>160</v>
      </c>
      <c r="C23" t="s">
        <v>161</v>
      </c>
      <c r="D23" t="s">
        <v>162</v>
      </c>
      <c r="E23" t="s">
        <v>107</v>
      </c>
    </row>
    <row r="24" spans="1:5" ht="14.45">
      <c r="A24" t="s">
        <v>112</v>
      </c>
      <c r="B24" t="s">
        <v>163</v>
      </c>
      <c r="C24" t="s">
        <v>114</v>
      </c>
      <c r="D24" t="s">
        <v>164</v>
      </c>
      <c r="E24" t="s">
        <v>50</v>
      </c>
    </row>
    <row r="25" spans="1:5" ht="14.45">
      <c r="A25" t="s">
        <v>165</v>
      </c>
      <c r="B25" t="s">
        <v>166</v>
      </c>
      <c r="C25" t="s">
        <v>93</v>
      </c>
      <c r="D25" t="s">
        <v>167</v>
      </c>
      <c r="E25" t="s">
        <v>67</v>
      </c>
    </row>
    <row r="26" spans="1:5" ht="14.45">
      <c r="A26" t="s">
        <v>168</v>
      </c>
      <c r="B26" t="s">
        <v>169</v>
      </c>
      <c r="C26" t="s">
        <v>98</v>
      </c>
      <c r="D26" t="s">
        <v>170</v>
      </c>
      <c r="E26" t="s">
        <v>107</v>
      </c>
    </row>
    <row r="27" spans="1:5" ht="14.45">
      <c r="A27" t="s">
        <v>171</v>
      </c>
      <c r="B27" t="s">
        <v>172</v>
      </c>
      <c r="C27" t="s">
        <v>98</v>
      </c>
      <c r="D27" t="s">
        <v>173</v>
      </c>
      <c r="E27" t="s">
        <v>126</v>
      </c>
    </row>
    <row r="28" spans="1:5" ht="14.45">
      <c r="A28" t="s">
        <v>174</v>
      </c>
      <c r="B28" t="s">
        <v>175</v>
      </c>
      <c r="C28" t="s">
        <v>98</v>
      </c>
      <c r="D28" t="s">
        <v>176</v>
      </c>
      <c r="E28" t="s">
        <v>67</v>
      </c>
    </row>
    <row r="29" spans="1:5" ht="14.45">
      <c r="A29" t="s">
        <v>177</v>
      </c>
      <c r="B29" t="s">
        <v>178</v>
      </c>
      <c r="C29" t="s">
        <v>98</v>
      </c>
      <c r="D29" t="s">
        <v>179</v>
      </c>
      <c r="E29" t="s">
        <v>107</v>
      </c>
    </row>
    <row r="30" spans="1:5" ht="14.45">
      <c r="A30" t="s">
        <v>180</v>
      </c>
      <c r="B30" t="s">
        <v>181</v>
      </c>
      <c r="C30" t="s">
        <v>93</v>
      </c>
      <c r="D30" t="s">
        <v>182</v>
      </c>
      <c r="E30" t="s">
        <v>50</v>
      </c>
    </row>
    <row r="31" spans="1:5" ht="14.45">
      <c r="A31" t="s">
        <v>183</v>
      </c>
      <c r="B31" t="s">
        <v>184</v>
      </c>
      <c r="C31" t="s">
        <v>161</v>
      </c>
      <c r="D31" t="s">
        <v>185</v>
      </c>
      <c r="E31" t="s">
        <v>107</v>
      </c>
    </row>
    <row r="32" spans="1:5" ht="15" customHeight="1">
      <c r="A32" t="s">
        <v>186</v>
      </c>
      <c r="B32" t="s">
        <v>187</v>
      </c>
      <c r="D32" t="s">
        <v>188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2473-A1B6-4327-A796-23167914B7B0}">
  <dimension ref="A1:AI39"/>
  <sheetViews>
    <sheetView showGridLines="0" workbookViewId="0">
      <selection activeCell="H4" sqref="H4"/>
    </sheetView>
  </sheetViews>
  <sheetFormatPr defaultRowHeight="15"/>
  <cols>
    <col min="1" max="1" width="9.140625" style="3"/>
    <col min="2" max="2" width="10.140625" style="3" customWidth="1"/>
    <col min="3" max="3" width="1.28515625" style="3" customWidth="1"/>
    <col min="4" max="4" width="6.5703125" style="3" bestFit="1" customWidth="1"/>
    <col min="5" max="5" width="14.140625" style="3" bestFit="1" customWidth="1"/>
    <col min="6" max="6" width="10.42578125" style="3" customWidth="1"/>
    <col min="7" max="7" width="23.140625" style="3" bestFit="1" customWidth="1"/>
    <col min="8" max="8" width="18" style="3" bestFit="1" customWidth="1"/>
    <col min="9" max="9" width="37.85546875" style="3" bestFit="1" customWidth="1"/>
    <col min="10" max="10" width="55.140625" style="3" customWidth="1"/>
    <col min="11" max="11" width="31.85546875" style="3" bestFit="1" customWidth="1"/>
    <col min="12" max="12" width="21.42578125" style="54" customWidth="1"/>
    <col min="13" max="13" width="4" style="47" customWidth="1"/>
    <col min="14" max="14" width="11.140625" style="74" bestFit="1" customWidth="1"/>
    <col min="15" max="22" width="4" style="47" customWidth="1"/>
    <col min="23" max="23" width="19.7109375" style="3" customWidth="1"/>
    <col min="24" max="24" width="19.140625" style="3" customWidth="1"/>
    <col min="25" max="25" width="37.85546875" style="3" bestFit="1" customWidth="1"/>
    <col min="26" max="26" width="12.5703125" style="3" customWidth="1"/>
    <col min="27" max="27" width="41.140625" style="3" customWidth="1"/>
    <col min="28" max="28" width="4.140625" style="3" customWidth="1"/>
    <col min="29" max="29" width="19.140625" style="3" bestFit="1" customWidth="1"/>
    <col min="30" max="34" width="9.140625" style="3"/>
    <col min="35" max="35" width="19" style="3" customWidth="1"/>
    <col min="36" max="16384" width="9.140625" style="3"/>
  </cols>
  <sheetData>
    <row r="1" spans="1:35">
      <c r="B1" s="1" t="s">
        <v>0</v>
      </c>
      <c r="D1" s="1" t="s">
        <v>1</v>
      </c>
      <c r="E1" s="2" t="s">
        <v>2</v>
      </c>
      <c r="F1" s="2" t="s">
        <v>3</v>
      </c>
      <c r="G1" s="2"/>
      <c r="H1" s="2"/>
      <c r="I1" s="2" t="s">
        <v>6</v>
      </c>
      <c r="J1" s="2" t="s">
        <v>7</v>
      </c>
      <c r="K1" s="2" t="s">
        <v>8</v>
      </c>
      <c r="L1" s="45" t="s">
        <v>9</v>
      </c>
      <c r="W1" s="2" t="s">
        <v>12</v>
      </c>
      <c r="X1" s="2" t="s">
        <v>8</v>
      </c>
      <c r="Y1" s="2" t="s">
        <v>13</v>
      </c>
      <c r="Z1" s="2" t="s">
        <v>14</v>
      </c>
      <c r="AA1" s="2" t="s">
        <v>9</v>
      </c>
      <c r="AB1" s="2"/>
    </row>
    <row r="2" spans="1:35" ht="29.25">
      <c r="B2" s="130" t="s">
        <v>15</v>
      </c>
      <c r="D2" s="4" t="s">
        <v>16</v>
      </c>
      <c r="E2" s="5" t="s">
        <v>17</v>
      </c>
      <c r="F2" s="132" t="s">
        <v>18</v>
      </c>
      <c r="G2" s="132" t="s">
        <v>19</v>
      </c>
      <c r="H2" s="132" t="s">
        <v>189</v>
      </c>
      <c r="I2" s="5" t="s">
        <v>21</v>
      </c>
      <c r="J2" s="5" t="s">
        <v>22</v>
      </c>
      <c r="K2" s="7" t="s">
        <v>23</v>
      </c>
      <c r="L2" s="50" t="s">
        <v>24</v>
      </c>
      <c r="W2" s="5" t="s">
        <v>27</v>
      </c>
      <c r="X2" s="7" t="s">
        <v>23</v>
      </c>
      <c r="Y2" s="5" t="s">
        <v>28</v>
      </c>
      <c r="Z2" s="5" t="s">
        <v>29</v>
      </c>
      <c r="AA2" s="6" t="s">
        <v>30</v>
      </c>
      <c r="AB2" s="29"/>
      <c r="AC2" s="133" t="s">
        <v>31</v>
      </c>
      <c r="AD2" s="129"/>
      <c r="AE2" s="129"/>
      <c r="AF2" s="129"/>
    </row>
    <row r="3" spans="1:35">
      <c r="B3" s="131"/>
      <c r="D3" s="4"/>
      <c r="E3" s="5"/>
      <c r="F3" s="132"/>
      <c r="G3" s="132"/>
      <c r="H3" s="132"/>
      <c r="I3" s="5"/>
      <c r="J3" s="5"/>
      <c r="K3" s="7"/>
      <c r="L3" s="46"/>
      <c r="W3" s="16"/>
      <c r="X3" s="7"/>
      <c r="Y3" s="5"/>
      <c r="Z3" s="5"/>
      <c r="AA3" s="6"/>
      <c r="AB3" s="29"/>
      <c r="AC3" s="133"/>
      <c r="AD3" s="129"/>
      <c r="AE3" s="129"/>
      <c r="AF3" s="129"/>
    </row>
    <row r="4" spans="1:35" s="37" customFormat="1">
      <c r="B4" s="42"/>
      <c r="D4" s="40" t="s">
        <v>54</v>
      </c>
      <c r="E4" s="38" t="s">
        <v>190</v>
      </c>
      <c r="F4" s="75" t="s">
        <v>191</v>
      </c>
      <c r="G4" s="76"/>
      <c r="H4" s="76"/>
      <c r="I4" s="77" t="s">
        <v>192</v>
      </c>
      <c r="J4" s="78" t="str">
        <f>BC!$B$16</f>
        <v>Delivered and received at Eletra/Livoltek</v>
      </c>
      <c r="K4" s="36" t="s">
        <v>193</v>
      </c>
      <c r="L4" s="79"/>
      <c r="M4" s="57"/>
      <c r="O4" s="57"/>
      <c r="P4" s="57"/>
      <c r="Q4" s="57"/>
      <c r="R4" s="57"/>
      <c r="S4" s="57"/>
      <c r="T4" s="57"/>
      <c r="U4" s="57"/>
      <c r="V4" s="57"/>
      <c r="W4" s="64" t="s">
        <v>194</v>
      </c>
      <c r="X4" s="36" t="s">
        <v>193</v>
      </c>
      <c r="Y4" s="80"/>
      <c r="Z4" s="58" t="s">
        <v>195</v>
      </c>
      <c r="AA4" s="40" t="s">
        <v>196</v>
      </c>
      <c r="AB4" s="43"/>
    </row>
    <row r="5" spans="1:35" s="37" customFormat="1">
      <c r="B5" s="42"/>
      <c r="D5" s="40" t="s">
        <v>32</v>
      </c>
      <c r="E5" s="61" t="s">
        <v>197</v>
      </c>
      <c r="F5" s="38"/>
      <c r="G5" s="38"/>
      <c r="H5" s="38"/>
      <c r="I5" s="77" t="s">
        <v>192</v>
      </c>
      <c r="J5" s="81" t="str">
        <f>BC!$B$16</f>
        <v>Delivered and received at Eletra/Livoltek</v>
      </c>
      <c r="K5" s="36" t="s">
        <v>198</v>
      </c>
      <c r="L5" s="82"/>
      <c r="M5" s="57"/>
      <c r="O5" s="57"/>
      <c r="P5" s="57"/>
      <c r="Q5" s="57"/>
      <c r="R5" s="57"/>
      <c r="S5" s="57"/>
      <c r="T5" s="57"/>
      <c r="U5" s="57"/>
      <c r="V5" s="57"/>
      <c r="W5" s="64" t="s">
        <v>199</v>
      </c>
      <c r="X5" s="36" t="s">
        <v>198</v>
      </c>
      <c r="Y5" s="38" t="s">
        <v>139</v>
      </c>
      <c r="Z5" s="38" t="s">
        <v>76</v>
      </c>
      <c r="AA5" s="40" t="s">
        <v>200</v>
      </c>
      <c r="AB5" s="43"/>
    </row>
    <row r="6" spans="1:35" s="37" customFormat="1">
      <c r="B6" s="36"/>
      <c r="D6" s="38" t="s">
        <v>32</v>
      </c>
      <c r="E6" s="61" t="s">
        <v>201</v>
      </c>
      <c r="F6" s="38"/>
      <c r="G6" s="38"/>
      <c r="H6" s="38"/>
      <c r="I6" s="77" t="s">
        <v>192</v>
      </c>
      <c r="J6" s="81" t="str">
        <f>BC!$B$16</f>
        <v>Delivered and received at Eletra/Livoltek</v>
      </c>
      <c r="K6" s="36" t="s">
        <v>198</v>
      </c>
      <c r="L6" s="82"/>
      <c r="M6" s="57"/>
      <c r="O6" s="57"/>
      <c r="P6" s="57"/>
      <c r="Q6" s="57"/>
      <c r="R6" s="57"/>
      <c r="S6" s="57"/>
      <c r="T6" s="57"/>
      <c r="U6" s="57"/>
      <c r="V6" s="57"/>
      <c r="W6" s="64" t="s">
        <v>199</v>
      </c>
      <c r="X6" s="36" t="s">
        <v>198</v>
      </c>
      <c r="Y6" s="38" t="s">
        <v>139</v>
      </c>
      <c r="Z6" s="38" t="s">
        <v>76</v>
      </c>
      <c r="AA6" s="40" t="s">
        <v>202</v>
      </c>
      <c r="AB6" s="43"/>
    </row>
    <row r="7" spans="1:35" s="37" customFormat="1">
      <c r="B7" s="36"/>
      <c r="D7" s="38" t="s">
        <v>32</v>
      </c>
      <c r="E7" s="61" t="s">
        <v>203</v>
      </c>
      <c r="F7" s="38">
        <v>3</v>
      </c>
      <c r="G7" s="38"/>
      <c r="H7" s="38"/>
      <c r="I7" s="77" t="s">
        <v>192</v>
      </c>
      <c r="J7" s="81" t="str">
        <f>BC!$B$16</f>
        <v>Delivered and received at Eletra/Livoltek</v>
      </c>
      <c r="K7" s="36" t="s">
        <v>204</v>
      </c>
      <c r="L7" s="82"/>
      <c r="M7" s="57"/>
      <c r="O7" s="57"/>
      <c r="P7" s="57"/>
      <c r="Q7" s="57"/>
      <c r="R7" s="57"/>
      <c r="S7" s="57"/>
      <c r="T7" s="57"/>
      <c r="U7" s="57"/>
      <c r="V7" s="57"/>
      <c r="W7" s="64" t="s">
        <v>205</v>
      </c>
      <c r="X7" s="36" t="s">
        <v>204</v>
      </c>
      <c r="Y7" s="38" t="s">
        <v>206</v>
      </c>
      <c r="Z7" s="38"/>
      <c r="AA7" s="40" t="s">
        <v>207</v>
      </c>
      <c r="AB7" s="43"/>
    </row>
    <row r="8" spans="1:35" s="37" customFormat="1">
      <c r="B8" s="36"/>
      <c r="D8" s="38" t="s">
        <v>32</v>
      </c>
      <c r="E8" s="61" t="s">
        <v>208</v>
      </c>
      <c r="F8" s="38"/>
      <c r="G8" s="38"/>
      <c r="H8" s="38"/>
      <c r="I8" s="77" t="s">
        <v>192</v>
      </c>
      <c r="J8" s="81" t="str">
        <f>BC!$B$16</f>
        <v>Delivered and received at Eletra/Livoltek</v>
      </c>
      <c r="K8" s="36" t="s">
        <v>198</v>
      </c>
      <c r="L8" s="82"/>
      <c r="M8" s="57"/>
      <c r="O8" s="57"/>
      <c r="P8" s="57"/>
      <c r="Q8" s="57"/>
      <c r="R8" s="57"/>
      <c r="S8" s="57"/>
      <c r="T8" s="57"/>
      <c r="U8" s="57"/>
      <c r="V8" s="57"/>
      <c r="W8" s="64" t="s">
        <v>199</v>
      </c>
      <c r="X8" s="36" t="s">
        <v>198</v>
      </c>
      <c r="Y8" s="38" t="s">
        <v>139</v>
      </c>
      <c r="Z8" s="38" t="s">
        <v>76</v>
      </c>
      <c r="AA8" s="40" t="s">
        <v>200</v>
      </c>
      <c r="AB8" s="43"/>
    </row>
    <row r="9" spans="1:35" s="37" customFormat="1">
      <c r="B9" s="42"/>
      <c r="D9" s="40" t="s">
        <v>32</v>
      </c>
      <c r="E9" s="61" t="s">
        <v>209</v>
      </c>
      <c r="F9" s="38"/>
      <c r="G9" s="38"/>
      <c r="H9" s="38"/>
      <c r="I9" s="77" t="s">
        <v>192</v>
      </c>
      <c r="J9" s="81" t="str">
        <f>BC!$B$16</f>
        <v>Delivered and received at Eletra/Livoltek</v>
      </c>
      <c r="K9" s="36" t="s">
        <v>198</v>
      </c>
      <c r="L9" s="82"/>
      <c r="M9" s="57"/>
      <c r="O9" s="57"/>
      <c r="P9" s="57"/>
      <c r="Q9" s="57"/>
      <c r="R9" s="57"/>
      <c r="S9" s="57"/>
      <c r="T9" s="57"/>
      <c r="U9" s="57"/>
      <c r="V9" s="57"/>
      <c r="W9" s="64" t="s">
        <v>199</v>
      </c>
      <c r="X9" s="36" t="s">
        <v>198</v>
      </c>
      <c r="Y9" s="38" t="s">
        <v>139</v>
      </c>
      <c r="Z9" s="38" t="s">
        <v>76</v>
      </c>
      <c r="AA9" s="40" t="s">
        <v>200</v>
      </c>
      <c r="AB9" s="43"/>
    </row>
    <row r="10" spans="1:35" s="37" customFormat="1">
      <c r="B10" s="42"/>
      <c r="D10" s="40" t="s">
        <v>32</v>
      </c>
      <c r="E10" s="61" t="s">
        <v>210</v>
      </c>
      <c r="F10" s="38"/>
      <c r="G10" s="38"/>
      <c r="H10" s="38"/>
      <c r="I10" s="77" t="s">
        <v>192</v>
      </c>
      <c r="J10" s="81" t="str">
        <f>BC!$B$16</f>
        <v>Delivered and received at Eletra/Livoltek</v>
      </c>
      <c r="K10" s="36" t="s">
        <v>198</v>
      </c>
      <c r="L10" s="82"/>
      <c r="M10" s="57"/>
      <c r="O10" s="57"/>
      <c r="P10" s="57"/>
      <c r="Q10" s="57"/>
      <c r="R10" s="57"/>
      <c r="S10" s="57"/>
      <c r="T10" s="57"/>
      <c r="U10" s="57"/>
      <c r="V10" s="57"/>
      <c r="W10" s="64" t="s">
        <v>199</v>
      </c>
      <c r="X10" s="36" t="s">
        <v>198</v>
      </c>
      <c r="Y10" s="38" t="s">
        <v>139</v>
      </c>
      <c r="Z10" s="38" t="s">
        <v>76</v>
      </c>
      <c r="AA10" s="40" t="s">
        <v>200</v>
      </c>
      <c r="AB10" s="43"/>
    </row>
    <row r="11" spans="1:35" s="37" customFormat="1">
      <c r="B11" s="42"/>
      <c r="D11" s="40" t="s">
        <v>32</v>
      </c>
      <c r="E11" s="38" t="s">
        <v>211</v>
      </c>
      <c r="F11" s="83">
        <v>0.5</v>
      </c>
      <c r="G11" s="83"/>
      <c r="H11" s="83"/>
      <c r="I11" s="77" t="s">
        <v>192</v>
      </c>
      <c r="J11" s="84" t="str">
        <f>BC!$B$16</f>
        <v>Delivered and received at Eletra/Livoltek</v>
      </c>
      <c r="K11" s="36" t="s">
        <v>204</v>
      </c>
      <c r="L11" s="85"/>
      <c r="M11" s="57"/>
      <c r="O11" s="57"/>
      <c r="P11" s="57"/>
      <c r="Q11" s="57"/>
      <c r="R11" s="57"/>
      <c r="S11" s="57"/>
      <c r="T11" s="57"/>
      <c r="U11" s="57"/>
      <c r="V11" s="57"/>
      <c r="W11" s="40" t="s">
        <v>205</v>
      </c>
      <c r="X11" s="36" t="s">
        <v>204</v>
      </c>
      <c r="Y11" s="38" t="s">
        <v>206</v>
      </c>
      <c r="Z11" s="38">
        <v>8933</v>
      </c>
      <c r="AA11" s="40" t="s">
        <v>207</v>
      </c>
      <c r="AB11" s="43"/>
    </row>
    <row r="12" spans="1:35" s="37" customFormat="1" ht="57.75">
      <c r="B12" s="36">
        <v>1</v>
      </c>
      <c r="D12" s="38" t="s">
        <v>32</v>
      </c>
      <c r="E12" s="39" t="s">
        <v>212</v>
      </c>
      <c r="F12" s="38">
        <v>1</v>
      </c>
      <c r="G12" s="38" t="s">
        <v>213</v>
      </c>
      <c r="H12" s="38"/>
      <c r="I12" s="77" t="s">
        <v>192</v>
      </c>
      <c r="J12" s="84" t="str">
        <f>BC!$B$16</f>
        <v>Delivered and received at Eletra/Livoltek</v>
      </c>
      <c r="K12" s="36" t="s">
        <v>214</v>
      </c>
      <c r="L12" s="52">
        <v>46120</v>
      </c>
      <c r="M12" s="57"/>
      <c r="N12" s="74"/>
      <c r="O12" s="57"/>
      <c r="P12" s="57"/>
      <c r="Q12" s="57"/>
      <c r="R12" s="57"/>
      <c r="S12" s="57"/>
      <c r="T12" s="57"/>
      <c r="U12" s="57"/>
      <c r="V12" s="57"/>
      <c r="W12" s="41">
        <v>46118</v>
      </c>
      <c r="X12" s="36" t="s">
        <v>50</v>
      </c>
      <c r="Y12" s="42" t="str">
        <f>BC!$A$15</f>
        <v>14 - Pending delivery to Eletra/PCDM</v>
      </c>
      <c r="Z12" s="58" t="s">
        <v>215</v>
      </c>
      <c r="AA12" s="42" t="s">
        <v>216</v>
      </c>
      <c r="AB12" s="59"/>
      <c r="AI12" s="60" t="s">
        <v>217</v>
      </c>
    </row>
    <row r="13" spans="1:35" s="37" customFormat="1" ht="57.75">
      <c r="B13" s="42">
        <v>2</v>
      </c>
      <c r="D13" s="40" t="s">
        <v>32</v>
      </c>
      <c r="E13" s="39" t="s">
        <v>218</v>
      </c>
      <c r="F13" s="38">
        <v>3</v>
      </c>
      <c r="G13" s="38" t="s">
        <v>219</v>
      </c>
      <c r="H13" s="38"/>
      <c r="I13" s="77" t="s">
        <v>192</v>
      </c>
      <c r="J13" s="84" t="str">
        <f>BC!$B$16</f>
        <v>Delivered and received at Eletra/Livoltek</v>
      </c>
      <c r="K13" s="36" t="s">
        <v>214</v>
      </c>
      <c r="L13" s="52">
        <v>46119</v>
      </c>
      <c r="M13" s="57"/>
      <c r="N13" s="74"/>
      <c r="O13" s="57"/>
      <c r="P13" s="57"/>
      <c r="Q13" s="57"/>
      <c r="R13" s="57"/>
      <c r="S13" s="57"/>
      <c r="T13" s="57"/>
      <c r="U13" s="57"/>
      <c r="V13" s="57"/>
      <c r="W13" s="41">
        <v>46118</v>
      </c>
      <c r="X13" s="36" t="s">
        <v>50</v>
      </c>
      <c r="Y13" s="42" t="str">
        <f>BC!$A$15</f>
        <v>14 - Pending delivery to Eletra/PCDM</v>
      </c>
      <c r="Z13" s="58" t="s">
        <v>220</v>
      </c>
      <c r="AA13" s="42" t="s">
        <v>221</v>
      </c>
      <c r="AB13" s="43"/>
    </row>
    <row r="14" spans="1:35" s="37" customFormat="1" ht="57.75">
      <c r="B14" s="42">
        <v>1</v>
      </c>
      <c r="D14" s="40" t="s">
        <v>32</v>
      </c>
      <c r="E14" s="39" t="s">
        <v>222</v>
      </c>
      <c r="F14" s="38">
        <v>3</v>
      </c>
      <c r="G14" s="38" t="s">
        <v>223</v>
      </c>
      <c r="H14" s="67">
        <v>46093</v>
      </c>
      <c r="I14" s="77" t="s">
        <v>192</v>
      </c>
      <c r="J14" s="40" t="str">
        <f>BC!B15</f>
        <v>Waiting for the container to arrive at Eletra/PCDM</v>
      </c>
      <c r="K14" s="36" t="s">
        <v>214</v>
      </c>
      <c r="L14" s="52">
        <v>46121</v>
      </c>
      <c r="M14" s="57"/>
      <c r="N14" s="74">
        <f>L14-H14</f>
        <v>28</v>
      </c>
      <c r="O14" s="57"/>
      <c r="P14" s="57"/>
      <c r="Q14" s="57"/>
      <c r="R14" s="57"/>
      <c r="S14" s="57"/>
      <c r="T14" s="57"/>
      <c r="U14" s="57"/>
      <c r="V14" s="57"/>
      <c r="W14" s="41">
        <v>46118</v>
      </c>
      <c r="X14" s="36" t="s">
        <v>50</v>
      </c>
      <c r="Y14" s="42" t="str">
        <f>BC!$A$15</f>
        <v>14 - Pending delivery to Eletra/PCDM</v>
      </c>
      <c r="Z14" s="38" t="s">
        <v>224</v>
      </c>
      <c r="AA14" s="40" t="s">
        <v>221</v>
      </c>
      <c r="AB14" s="43"/>
    </row>
    <row r="15" spans="1:35" s="37" customFormat="1">
      <c r="A15" s="3"/>
      <c r="B15" s="36">
        <v>1</v>
      </c>
      <c r="C15" s="3"/>
      <c r="D15" s="38" t="s">
        <v>32</v>
      </c>
      <c r="E15" s="39" t="s">
        <v>225</v>
      </c>
      <c r="F15" s="38">
        <v>2</v>
      </c>
      <c r="G15" s="38"/>
      <c r="H15" s="38"/>
      <c r="I15" s="77" t="s">
        <v>192</v>
      </c>
      <c r="J15" s="40" t="str">
        <f>BC!$B$16</f>
        <v>Delivered and received at Eletra/Livoltek</v>
      </c>
      <c r="K15" s="36" t="s">
        <v>226</v>
      </c>
      <c r="L15" s="52">
        <v>46114</v>
      </c>
      <c r="M15" s="47"/>
      <c r="N15" s="74"/>
      <c r="O15" s="47"/>
      <c r="P15" s="47"/>
      <c r="Q15" s="47"/>
      <c r="R15" s="47"/>
      <c r="S15" s="47"/>
      <c r="T15" s="47"/>
      <c r="U15" s="47"/>
      <c r="V15" s="47"/>
      <c r="W15" s="41">
        <v>46114</v>
      </c>
      <c r="X15" s="36" t="s">
        <v>226</v>
      </c>
      <c r="Y15" s="42" t="str">
        <f>BC!A16</f>
        <v>15 - Delivered at Eletra/Livoltek</v>
      </c>
      <c r="Z15" s="36" t="s">
        <v>227</v>
      </c>
      <c r="AA15" s="40" t="s">
        <v>228</v>
      </c>
      <c r="AB15" s="43"/>
    </row>
    <row r="16" spans="1:35" s="37" customFormat="1">
      <c r="B16" s="36">
        <v>2</v>
      </c>
      <c r="D16" s="38" t="s">
        <v>32</v>
      </c>
      <c r="E16" s="38" t="s">
        <v>229</v>
      </c>
      <c r="F16" s="38">
        <v>0.5</v>
      </c>
      <c r="G16" s="38"/>
      <c r="H16" s="38"/>
      <c r="I16" s="38" t="s">
        <v>192</v>
      </c>
      <c r="J16" s="40"/>
      <c r="K16" s="36" t="s">
        <v>204</v>
      </c>
      <c r="L16" s="87"/>
      <c r="M16" s="57"/>
      <c r="O16" s="57"/>
      <c r="P16" s="57"/>
      <c r="Q16" s="57"/>
      <c r="R16" s="57"/>
      <c r="S16" s="57"/>
      <c r="T16" s="57"/>
      <c r="U16" s="57"/>
      <c r="V16" s="57"/>
      <c r="W16" s="40" t="s">
        <v>205</v>
      </c>
      <c r="X16" s="36" t="s">
        <v>204</v>
      </c>
      <c r="Y16" s="38" t="s">
        <v>206</v>
      </c>
      <c r="Z16" s="58"/>
      <c r="AA16" s="40" t="s">
        <v>207</v>
      </c>
      <c r="AB16" s="43"/>
    </row>
    <row r="17" spans="2:28" s="37" customFormat="1">
      <c r="B17" s="36"/>
      <c r="D17" s="38" t="s">
        <v>54</v>
      </c>
      <c r="E17" s="38" t="s">
        <v>230</v>
      </c>
      <c r="F17" s="38"/>
      <c r="G17" s="75"/>
      <c r="H17" s="75"/>
      <c r="I17" s="86" t="s">
        <v>192</v>
      </c>
      <c r="J17" s="40" t="s">
        <v>231</v>
      </c>
      <c r="K17" s="36" t="s">
        <v>232</v>
      </c>
      <c r="L17" s="87"/>
      <c r="M17" s="57"/>
      <c r="O17" s="57"/>
      <c r="P17" s="57"/>
      <c r="Q17" s="57"/>
      <c r="R17" s="57"/>
      <c r="S17" s="57"/>
      <c r="T17" s="57"/>
      <c r="U17" s="57"/>
      <c r="V17" s="57"/>
      <c r="W17" s="40" t="s">
        <v>199</v>
      </c>
      <c r="X17" s="36" t="s">
        <v>232</v>
      </c>
      <c r="Y17" s="38" t="s">
        <v>233</v>
      </c>
      <c r="Z17" s="38" t="s">
        <v>234</v>
      </c>
      <c r="AA17" s="40" t="s">
        <v>200</v>
      </c>
      <c r="AB17" s="43"/>
    </row>
    <row r="18" spans="2:28" s="37" customFormat="1">
      <c r="B18" s="36"/>
      <c r="D18" s="38" t="s">
        <v>32</v>
      </c>
      <c r="E18" s="88" t="s">
        <v>235</v>
      </c>
      <c r="F18" s="61">
        <v>1</v>
      </c>
      <c r="G18" s="61"/>
      <c r="H18" s="61"/>
      <c r="I18" s="42" t="s">
        <v>192</v>
      </c>
      <c r="J18" s="80"/>
      <c r="K18" s="36" t="s">
        <v>193</v>
      </c>
      <c r="L18" s="89"/>
      <c r="M18" s="57"/>
      <c r="O18" s="57"/>
      <c r="P18" s="57"/>
      <c r="Q18" s="57"/>
      <c r="R18" s="57"/>
      <c r="S18" s="57"/>
      <c r="T18" s="57"/>
      <c r="U18" s="57"/>
      <c r="V18" s="57"/>
      <c r="W18" s="40" t="s">
        <v>194</v>
      </c>
      <c r="X18" s="36" t="s">
        <v>193</v>
      </c>
      <c r="Y18" s="80"/>
      <c r="Z18" s="38" t="s">
        <v>236</v>
      </c>
      <c r="AA18" s="40" t="s">
        <v>196</v>
      </c>
      <c r="AB18" s="43"/>
    </row>
    <row r="19" spans="2:28">
      <c r="B19" s="26">
        <v>2</v>
      </c>
      <c r="D19" s="18" t="s">
        <v>54</v>
      </c>
      <c r="E19" s="33" t="s">
        <v>55</v>
      </c>
      <c r="F19" s="20"/>
      <c r="G19" s="20" t="s">
        <v>56</v>
      </c>
      <c r="H19" s="68">
        <v>46098</v>
      </c>
      <c r="I19" s="19" t="str">
        <f>BC!$A$13</f>
        <v>12 - Pending approval of invoice</v>
      </c>
      <c r="J19" s="18" t="str">
        <f>BC!$B$13</f>
        <v xml:space="preserve">Waiting for approval from SEFAZ </v>
      </c>
      <c r="K19" s="17" t="s">
        <v>50</v>
      </c>
      <c r="L19" s="51">
        <v>46121</v>
      </c>
      <c r="N19" s="74">
        <f>L19-H19</f>
        <v>23</v>
      </c>
      <c r="W19" s="21">
        <v>46114</v>
      </c>
      <c r="X19" s="22" t="s">
        <v>42</v>
      </c>
      <c r="Y19" s="20" t="str">
        <f>BC!A6</f>
        <v>5 - Pending raw material resolution</v>
      </c>
      <c r="Z19" s="20" t="s">
        <v>57</v>
      </c>
      <c r="AA19" s="18" t="s">
        <v>58</v>
      </c>
      <c r="AB19" s="31"/>
    </row>
    <row r="20" spans="2:28" s="37" customFormat="1">
      <c r="B20" s="36">
        <v>1</v>
      </c>
      <c r="D20" s="61" t="s">
        <v>32</v>
      </c>
      <c r="E20" s="39" t="s">
        <v>33</v>
      </c>
      <c r="F20" s="62">
        <v>0.5</v>
      </c>
      <c r="G20" s="62" t="s">
        <v>34</v>
      </c>
      <c r="H20" s="69">
        <v>46093</v>
      </c>
      <c r="I20" s="63" t="str">
        <f>BC!A15</f>
        <v>14 - Pending delivery to Eletra/PCDM</v>
      </c>
      <c r="J20" s="64" t="str">
        <f>BC!B15</f>
        <v>Waiting for the container to arrive at Eletra/PCDM</v>
      </c>
      <c r="K20" s="36" t="s">
        <v>35</v>
      </c>
      <c r="L20" s="52">
        <v>46121</v>
      </c>
      <c r="M20" s="57"/>
      <c r="N20" s="74">
        <f t="shared" ref="N20:N39" si="0">L20-H20</f>
        <v>28</v>
      </c>
      <c r="O20" s="57"/>
      <c r="P20" s="57"/>
      <c r="Q20" s="57"/>
      <c r="R20" s="57"/>
      <c r="S20" s="57"/>
      <c r="T20" s="57"/>
      <c r="U20" s="57"/>
      <c r="V20" s="57"/>
      <c r="W20" s="41">
        <v>46114</v>
      </c>
      <c r="X20" s="36" t="s">
        <v>37</v>
      </c>
      <c r="Y20" s="42" t="str">
        <f>BC!$A$15</f>
        <v>14 - Pending delivery to Eletra/PCDM</v>
      </c>
      <c r="Z20" s="38" t="s">
        <v>38</v>
      </c>
      <c r="AA20" s="65" t="s">
        <v>39</v>
      </c>
      <c r="AB20" s="43"/>
    </row>
    <row r="21" spans="2:28">
      <c r="B21" s="17">
        <v>1</v>
      </c>
      <c r="D21" s="23" t="s">
        <v>32</v>
      </c>
      <c r="E21" s="34" t="s">
        <v>40</v>
      </c>
      <c r="F21" s="24">
        <v>0.5</v>
      </c>
      <c r="G21" s="24" t="s">
        <v>41</v>
      </c>
      <c r="H21" s="70">
        <v>46093</v>
      </c>
      <c r="I21" s="19" t="str">
        <f>BC!$A$13</f>
        <v>12 - Pending approval of invoice</v>
      </c>
      <c r="J21" s="18" t="str">
        <f>BC!$B$13</f>
        <v xml:space="preserve">Waiting for approval from SEFAZ </v>
      </c>
      <c r="K21" s="17" t="s">
        <v>50</v>
      </c>
      <c r="L21" s="51">
        <v>46122</v>
      </c>
      <c r="N21" s="74">
        <f t="shared" si="0"/>
        <v>29</v>
      </c>
      <c r="W21" s="21">
        <v>46114</v>
      </c>
      <c r="X21" s="17" t="s">
        <v>42</v>
      </c>
      <c r="Y21" s="19" t="str">
        <f>BC!$A$13</f>
        <v>12 - Pending approval of invoice</v>
      </c>
      <c r="Z21" s="22" t="s">
        <v>43</v>
      </c>
      <c r="AA21" s="34" t="s">
        <v>39</v>
      </c>
      <c r="AB21" s="31"/>
    </row>
    <row r="22" spans="2:28" s="37" customFormat="1">
      <c r="B22" s="36">
        <v>1</v>
      </c>
      <c r="D22" s="61" t="s">
        <v>32</v>
      </c>
      <c r="E22" s="39" t="s">
        <v>44</v>
      </c>
      <c r="F22" s="62">
        <v>0.5</v>
      </c>
      <c r="G22" s="62" t="s">
        <v>45</v>
      </c>
      <c r="H22" s="69">
        <v>46093</v>
      </c>
      <c r="I22" s="63" t="str">
        <f>BC!A15</f>
        <v>14 - Pending delivery to Eletra/PCDM</v>
      </c>
      <c r="J22" s="64" t="str">
        <f>BC!B15</f>
        <v>Waiting for the container to arrive at Eletra/PCDM</v>
      </c>
      <c r="K22" s="36" t="s">
        <v>35</v>
      </c>
      <c r="L22" s="52">
        <v>46121</v>
      </c>
      <c r="M22" s="57"/>
      <c r="N22" s="74">
        <f t="shared" si="0"/>
        <v>28</v>
      </c>
      <c r="O22" s="57"/>
      <c r="P22" s="57"/>
      <c r="Q22" s="57"/>
      <c r="R22" s="57"/>
      <c r="S22" s="57"/>
      <c r="T22" s="57"/>
      <c r="U22" s="57"/>
      <c r="V22" s="57"/>
      <c r="W22" s="41">
        <v>46114</v>
      </c>
      <c r="X22" s="36" t="s">
        <v>37</v>
      </c>
      <c r="Y22" s="42" t="str">
        <f>BC!$A$15</f>
        <v>14 - Pending delivery to Eletra/PCDM</v>
      </c>
      <c r="Z22" s="66" t="s">
        <v>43</v>
      </c>
      <c r="AA22" s="65" t="s">
        <v>47</v>
      </c>
      <c r="AB22" s="43"/>
    </row>
    <row r="23" spans="2:28">
      <c r="B23" s="17">
        <v>1</v>
      </c>
      <c r="D23" s="23" t="s">
        <v>32</v>
      </c>
      <c r="E23" s="35" t="s">
        <v>48</v>
      </c>
      <c r="F23" s="24">
        <v>0.5</v>
      </c>
      <c r="G23" s="55" t="s">
        <v>49</v>
      </c>
      <c r="H23" s="71">
        <v>46093</v>
      </c>
      <c r="I23" s="49" t="str">
        <f>BC!A13</f>
        <v>12 - Pending approval of invoice</v>
      </c>
      <c r="J23" s="18" t="str">
        <f>BC!B13</f>
        <v xml:space="preserve">Waiting for approval from SEFAZ </v>
      </c>
      <c r="K23" s="19" t="s">
        <v>50</v>
      </c>
      <c r="L23" s="51">
        <v>46127</v>
      </c>
      <c r="N23" s="74">
        <f t="shared" si="0"/>
        <v>34</v>
      </c>
      <c r="W23" s="21">
        <v>46114</v>
      </c>
      <c r="X23" s="17" t="s">
        <v>52</v>
      </c>
      <c r="Y23" s="17" t="str">
        <f>BC!A5</f>
        <v>4 - Pending post-registration tax clearance</v>
      </c>
      <c r="Z23" s="22" t="s">
        <v>53</v>
      </c>
      <c r="AA23" s="35" t="s">
        <v>39</v>
      </c>
      <c r="AB23" s="31"/>
    </row>
    <row r="24" spans="2:28">
      <c r="B24" s="19">
        <v>4</v>
      </c>
      <c r="D24" s="18" t="s">
        <v>32</v>
      </c>
      <c r="E24" s="27" t="s">
        <v>64</v>
      </c>
      <c r="F24" s="20">
        <v>1</v>
      </c>
      <c r="G24" s="56" t="s">
        <v>65</v>
      </c>
      <c r="H24" s="72">
        <v>46092</v>
      </c>
      <c r="I24" s="44" t="str">
        <f>BC!$A$12</f>
        <v>11 - Pending issuance of invoice</v>
      </c>
      <c r="J24" s="48" t="str">
        <f>BC!$B$12</f>
        <v>Waiting for Eletra's Tax Team to issue the invoice</v>
      </c>
      <c r="K24" s="17" t="s">
        <v>237</v>
      </c>
      <c r="L24" s="51">
        <v>46127</v>
      </c>
      <c r="N24" s="74">
        <f t="shared" si="0"/>
        <v>35</v>
      </c>
      <c r="W24" s="21">
        <v>46114</v>
      </c>
      <c r="X24" s="17" t="s">
        <v>67</v>
      </c>
      <c r="Y24" s="19" t="str">
        <f>BC!A2</f>
        <v>2 - Pending cargo presence</v>
      </c>
      <c r="Z24" s="20"/>
      <c r="AA24" s="19" t="s">
        <v>63</v>
      </c>
      <c r="AB24" s="30"/>
    </row>
    <row r="25" spans="2:28">
      <c r="B25" s="19">
        <v>4</v>
      </c>
      <c r="D25" s="18" t="s">
        <v>32</v>
      </c>
      <c r="E25" s="27" t="s">
        <v>70</v>
      </c>
      <c r="F25" s="20">
        <v>2</v>
      </c>
      <c r="G25" s="68">
        <v>46112</v>
      </c>
      <c r="H25" s="68">
        <v>46118</v>
      </c>
      <c r="I25" s="20" t="str">
        <f>BC!$A$5</f>
        <v>4 - Pending post-registration tax clearance</v>
      </c>
      <c r="J25" s="18" t="str">
        <f>BC!$B$5</f>
        <v>Waiting for Eletra's Tax Team to complete post-registration</v>
      </c>
      <c r="K25" s="17" t="s">
        <v>42</v>
      </c>
      <c r="L25" s="51">
        <v>46134</v>
      </c>
      <c r="N25" s="74">
        <f t="shared" si="0"/>
        <v>16</v>
      </c>
      <c r="W25" s="21">
        <v>46114</v>
      </c>
      <c r="X25" s="17" t="s">
        <v>67</v>
      </c>
      <c r="Y25" s="19" t="str">
        <f>BC!A3</f>
        <v>3 - Pending DUIMP registration</v>
      </c>
      <c r="Z25" s="20"/>
      <c r="AA25" s="19" t="s">
        <v>63</v>
      </c>
      <c r="AB25" s="30"/>
    </row>
    <row r="26" spans="2:28">
      <c r="B26" s="19">
        <v>4</v>
      </c>
      <c r="D26" s="18" t="s">
        <v>32</v>
      </c>
      <c r="E26" s="28" t="s">
        <v>71</v>
      </c>
      <c r="F26" s="20">
        <v>0.5</v>
      </c>
      <c r="G26" s="68">
        <v>46112</v>
      </c>
      <c r="H26" s="68">
        <v>46120</v>
      </c>
      <c r="I26" s="20" t="str">
        <f>BC!$A$3</f>
        <v>3 - Pending DUIMP registration</v>
      </c>
      <c r="J26" s="18" t="str">
        <f>BC!$B$3</f>
        <v>Waiting for the Customs Broker to register the DUIMP</v>
      </c>
      <c r="K26" s="17" t="s">
        <v>61</v>
      </c>
      <c r="L26" s="51">
        <v>46134</v>
      </c>
      <c r="N26" s="74">
        <f t="shared" si="0"/>
        <v>14</v>
      </c>
      <c r="W26" s="21">
        <v>46114</v>
      </c>
      <c r="X26" s="17" t="s">
        <v>67</v>
      </c>
      <c r="Y26" s="19" t="str">
        <f>BC!A3</f>
        <v>3 - Pending DUIMP registration</v>
      </c>
      <c r="Z26" s="20"/>
      <c r="AA26" s="19" t="s">
        <v>63</v>
      </c>
      <c r="AB26" s="30"/>
    </row>
    <row r="27" spans="2:28">
      <c r="B27" s="19">
        <v>4</v>
      </c>
      <c r="D27" s="18" t="s">
        <v>32</v>
      </c>
      <c r="E27" s="28" t="s">
        <v>72</v>
      </c>
      <c r="F27" s="20">
        <v>0.5</v>
      </c>
      <c r="G27" s="20" t="s">
        <v>56</v>
      </c>
      <c r="H27" s="68">
        <v>46120</v>
      </c>
      <c r="I27" s="20" t="str">
        <f>BC!$A$3</f>
        <v>3 - Pending DUIMP registration</v>
      </c>
      <c r="J27" s="18" t="str">
        <f>BC!$B$3</f>
        <v>Waiting for the Customs Broker to register the DUIMP</v>
      </c>
      <c r="K27" s="17" t="s">
        <v>61</v>
      </c>
      <c r="L27" s="51">
        <v>46134</v>
      </c>
      <c r="N27" s="74">
        <f t="shared" si="0"/>
        <v>14</v>
      </c>
      <c r="W27" s="21">
        <v>46114</v>
      </c>
      <c r="X27" s="17" t="s">
        <v>67</v>
      </c>
      <c r="Y27" s="19" t="str">
        <f>BC!A3</f>
        <v>3 - Pending DUIMP registration</v>
      </c>
      <c r="Z27" s="20"/>
      <c r="AA27" s="19" t="s">
        <v>63</v>
      </c>
      <c r="AB27" s="30"/>
    </row>
    <row r="28" spans="2:28">
      <c r="B28" s="19">
        <v>4</v>
      </c>
      <c r="D28" s="18" t="s">
        <v>32</v>
      </c>
      <c r="E28" s="25" t="s">
        <v>68</v>
      </c>
      <c r="F28" s="20">
        <v>2</v>
      </c>
      <c r="G28" s="20" t="s">
        <v>69</v>
      </c>
      <c r="H28" s="68">
        <v>46113</v>
      </c>
      <c r="I28" s="19" t="str">
        <f>BC!A13</f>
        <v>12 - Pending approval of invoice</v>
      </c>
      <c r="J28" s="18" t="s">
        <v>238</v>
      </c>
      <c r="K28" s="17" t="s">
        <v>61</v>
      </c>
      <c r="L28" s="51">
        <v>46134</v>
      </c>
      <c r="N28" s="74">
        <f t="shared" si="0"/>
        <v>21</v>
      </c>
      <c r="W28" s="21">
        <v>46113</v>
      </c>
      <c r="X28" s="22" t="s">
        <v>62</v>
      </c>
      <c r="Y28" s="20" t="str">
        <f>BC!A5</f>
        <v>4 - Pending post-registration tax clearance</v>
      </c>
      <c r="Z28" s="20" t="s">
        <v>53</v>
      </c>
      <c r="AA28" s="19" t="s">
        <v>63</v>
      </c>
      <c r="AB28" s="30"/>
    </row>
    <row r="29" spans="2:28">
      <c r="B29" s="19">
        <v>1</v>
      </c>
      <c r="D29" s="18" t="s">
        <v>54</v>
      </c>
      <c r="E29" s="25" t="s">
        <v>59</v>
      </c>
      <c r="F29" s="20"/>
      <c r="G29" s="20" t="s">
        <v>60</v>
      </c>
      <c r="H29" s="68">
        <v>46119</v>
      </c>
      <c r="I29" s="19" t="str">
        <f>BC!A3</f>
        <v>3 - Pending DUIMP registration</v>
      </c>
      <c r="J29" s="18" t="str">
        <f>BC!A3</f>
        <v>3 - Pending DUIMP registration</v>
      </c>
      <c r="K29" s="17" t="s">
        <v>61</v>
      </c>
      <c r="L29" s="51">
        <v>46126</v>
      </c>
      <c r="N29" s="74">
        <f t="shared" si="0"/>
        <v>7</v>
      </c>
      <c r="W29" s="21">
        <v>46113</v>
      </c>
      <c r="X29" s="22" t="s">
        <v>62</v>
      </c>
      <c r="Y29" s="20" t="str">
        <f>BC!A6</f>
        <v>5 - Pending raw material resolution</v>
      </c>
      <c r="Z29" s="20" t="s">
        <v>53</v>
      </c>
      <c r="AA29" s="19" t="s">
        <v>63</v>
      </c>
      <c r="AB29" s="30"/>
    </row>
    <row r="30" spans="2:28">
      <c r="B30" s="8">
        <v>5</v>
      </c>
      <c r="D30" s="9" t="s">
        <v>32</v>
      </c>
      <c r="E30" s="10" t="s">
        <v>73</v>
      </c>
      <c r="F30" s="10"/>
      <c r="G30" s="10"/>
      <c r="H30" s="73"/>
      <c r="I30" s="10" t="s">
        <v>74</v>
      </c>
      <c r="J30" s="9" t="s">
        <v>75</v>
      </c>
      <c r="K30" s="11"/>
      <c r="L30" s="53">
        <v>46153</v>
      </c>
      <c r="N30" s="74">
        <f t="shared" si="0"/>
        <v>46153</v>
      </c>
      <c r="W30" s="14" t="s">
        <v>76</v>
      </c>
      <c r="X30" s="13"/>
      <c r="Y30" s="10"/>
      <c r="Z30" s="10"/>
      <c r="AA30" s="10"/>
      <c r="AB30" s="32"/>
    </row>
    <row r="31" spans="2:28">
      <c r="B31" s="8">
        <v>5</v>
      </c>
      <c r="D31" s="9" t="s">
        <v>32</v>
      </c>
      <c r="E31" s="10" t="s">
        <v>77</v>
      </c>
      <c r="F31" s="10"/>
      <c r="G31" s="10"/>
      <c r="H31" s="73"/>
      <c r="I31" s="10" t="s">
        <v>74</v>
      </c>
      <c r="J31" s="9" t="s">
        <v>75</v>
      </c>
      <c r="K31" s="11"/>
      <c r="L31" s="53">
        <v>46153</v>
      </c>
      <c r="N31" s="74">
        <f t="shared" si="0"/>
        <v>46153</v>
      </c>
      <c r="W31" s="14" t="s">
        <v>76</v>
      </c>
      <c r="X31" s="13"/>
      <c r="Y31" s="15"/>
      <c r="Z31" s="10"/>
      <c r="AA31" s="10"/>
      <c r="AB31" s="32"/>
    </row>
    <row r="32" spans="2:28">
      <c r="B32" s="8">
        <v>3</v>
      </c>
      <c r="D32" s="9" t="s">
        <v>32</v>
      </c>
      <c r="E32" s="10" t="s">
        <v>78</v>
      </c>
      <c r="F32" s="10"/>
      <c r="G32" s="10"/>
      <c r="H32" s="73"/>
      <c r="I32" s="10" t="s">
        <v>74</v>
      </c>
      <c r="J32" s="9" t="s">
        <v>79</v>
      </c>
      <c r="K32" s="11"/>
      <c r="L32" s="53">
        <v>46146</v>
      </c>
      <c r="N32" s="74">
        <f t="shared" si="0"/>
        <v>46146</v>
      </c>
      <c r="W32" s="12" t="s">
        <v>76</v>
      </c>
      <c r="X32" s="13"/>
      <c r="Y32" s="10"/>
      <c r="Z32" s="10"/>
      <c r="AA32" s="10"/>
      <c r="AB32" s="32"/>
    </row>
    <row r="33" spans="2:28">
      <c r="B33" s="8">
        <v>5</v>
      </c>
      <c r="D33" s="9" t="s">
        <v>32</v>
      </c>
      <c r="E33" s="10" t="s">
        <v>80</v>
      </c>
      <c r="F33" s="10"/>
      <c r="G33" s="10"/>
      <c r="H33" s="73"/>
      <c r="I33" s="10" t="s">
        <v>74</v>
      </c>
      <c r="J33" s="9" t="s">
        <v>79</v>
      </c>
      <c r="K33" s="11"/>
      <c r="L33" s="53">
        <v>46146</v>
      </c>
      <c r="N33" s="74">
        <f t="shared" si="0"/>
        <v>46146</v>
      </c>
      <c r="W33" s="12" t="s">
        <v>76</v>
      </c>
      <c r="X33" s="13"/>
      <c r="Y33" s="10"/>
      <c r="Z33" s="10"/>
      <c r="AA33" s="10"/>
      <c r="AB33" s="32"/>
    </row>
    <row r="34" spans="2:28">
      <c r="B34" s="8">
        <v>5</v>
      </c>
      <c r="D34" s="9" t="s">
        <v>32</v>
      </c>
      <c r="E34" s="10" t="s">
        <v>81</v>
      </c>
      <c r="F34" s="10"/>
      <c r="G34" s="10"/>
      <c r="H34" s="73"/>
      <c r="I34" s="10" t="s">
        <v>74</v>
      </c>
      <c r="J34" s="9" t="s">
        <v>82</v>
      </c>
      <c r="K34" s="11"/>
      <c r="L34" s="53">
        <v>46153</v>
      </c>
      <c r="N34" s="74">
        <f t="shared" si="0"/>
        <v>46153</v>
      </c>
      <c r="W34" s="12" t="s">
        <v>76</v>
      </c>
      <c r="X34" s="13"/>
      <c r="Y34" s="10"/>
      <c r="Z34" s="10"/>
      <c r="AA34" s="10"/>
      <c r="AB34" s="32"/>
    </row>
    <row r="35" spans="2:28">
      <c r="B35" s="8">
        <v>3</v>
      </c>
      <c r="D35" s="9" t="s">
        <v>32</v>
      </c>
      <c r="E35" s="10" t="s">
        <v>83</v>
      </c>
      <c r="F35" s="10"/>
      <c r="G35" s="10"/>
      <c r="H35" s="73"/>
      <c r="I35" s="10" t="s">
        <v>74</v>
      </c>
      <c r="J35" s="9" t="s">
        <v>82</v>
      </c>
      <c r="K35" s="11"/>
      <c r="L35" s="53">
        <v>46153</v>
      </c>
      <c r="N35" s="74">
        <f t="shared" si="0"/>
        <v>46153</v>
      </c>
      <c r="W35" s="12" t="s">
        <v>76</v>
      </c>
      <c r="X35" s="13"/>
      <c r="Y35" s="10"/>
      <c r="Z35" s="10"/>
      <c r="AA35" s="10"/>
      <c r="AB35" s="32"/>
    </row>
    <row r="36" spans="2:28">
      <c r="B36" s="8">
        <v>3</v>
      </c>
      <c r="D36" s="9" t="s">
        <v>32</v>
      </c>
      <c r="E36" s="10" t="s">
        <v>84</v>
      </c>
      <c r="F36" s="10"/>
      <c r="G36" s="10"/>
      <c r="H36" s="73"/>
      <c r="I36" s="10" t="s">
        <v>74</v>
      </c>
      <c r="J36" s="9" t="s">
        <v>82</v>
      </c>
      <c r="K36" s="11"/>
      <c r="L36" s="53">
        <v>46153</v>
      </c>
      <c r="N36" s="74">
        <f t="shared" si="0"/>
        <v>46153</v>
      </c>
      <c r="W36" s="12" t="s">
        <v>76</v>
      </c>
      <c r="X36" s="13"/>
      <c r="Y36" s="10"/>
      <c r="Z36" s="10"/>
      <c r="AA36" s="10"/>
      <c r="AB36" s="32"/>
    </row>
    <row r="37" spans="2:28">
      <c r="B37" s="8">
        <v>3</v>
      </c>
      <c r="D37" s="9" t="s">
        <v>32</v>
      </c>
      <c r="E37" s="10" t="s">
        <v>85</v>
      </c>
      <c r="F37" s="10"/>
      <c r="G37" s="10"/>
      <c r="H37" s="73"/>
      <c r="I37" s="10" t="s">
        <v>74</v>
      </c>
      <c r="J37" s="9" t="s">
        <v>82</v>
      </c>
      <c r="K37" s="11"/>
      <c r="L37" s="53">
        <v>46153</v>
      </c>
      <c r="N37" s="74">
        <f t="shared" si="0"/>
        <v>46153</v>
      </c>
      <c r="W37" s="12" t="s">
        <v>76</v>
      </c>
      <c r="X37" s="13"/>
      <c r="Y37" s="10"/>
      <c r="Z37" s="10"/>
      <c r="AA37" s="10"/>
      <c r="AB37" s="32"/>
    </row>
    <row r="38" spans="2:28">
      <c r="B38" s="8">
        <v>3</v>
      </c>
      <c r="D38" s="9" t="s">
        <v>32</v>
      </c>
      <c r="E38" s="10" t="s">
        <v>86</v>
      </c>
      <c r="F38" s="10"/>
      <c r="G38" s="10"/>
      <c r="H38" s="73"/>
      <c r="I38" s="10" t="s">
        <v>74</v>
      </c>
      <c r="J38" s="9" t="s">
        <v>87</v>
      </c>
      <c r="K38" s="11"/>
      <c r="L38" s="53">
        <v>46153</v>
      </c>
      <c r="N38" s="74">
        <f t="shared" si="0"/>
        <v>46153</v>
      </c>
      <c r="W38" s="12" t="s">
        <v>76</v>
      </c>
      <c r="X38" s="13"/>
      <c r="Y38" s="10"/>
      <c r="Z38" s="10"/>
      <c r="AA38" s="10"/>
      <c r="AB38" s="32"/>
    </row>
    <row r="39" spans="2:28">
      <c r="B39" s="8">
        <v>4</v>
      </c>
      <c r="D39" s="9" t="s">
        <v>32</v>
      </c>
      <c r="E39" s="10" t="s">
        <v>88</v>
      </c>
      <c r="F39" s="10"/>
      <c r="G39" s="10"/>
      <c r="H39" s="73"/>
      <c r="I39" s="10" t="s">
        <v>74</v>
      </c>
      <c r="J39" s="9" t="s">
        <v>82</v>
      </c>
      <c r="K39" s="11"/>
      <c r="L39" s="53">
        <v>46153</v>
      </c>
      <c r="N39" s="74">
        <f t="shared" si="0"/>
        <v>46153</v>
      </c>
      <c r="W39" s="12" t="s">
        <v>76</v>
      </c>
      <c r="X39" s="13"/>
      <c r="Y39" s="10"/>
      <c r="Z39" s="10"/>
      <c r="AA39" s="10"/>
      <c r="AB39" s="32"/>
    </row>
  </sheetData>
  <autoFilter ref="B1:AA39" xr:uid="{15D61A88-A571-423A-AA75-82C01290EC61}"/>
  <mergeCells count="8">
    <mergeCell ref="AE2:AE3"/>
    <mergeCell ref="AF2:AF3"/>
    <mergeCell ref="B2:B3"/>
    <mergeCell ref="F2:F3"/>
    <mergeCell ref="G2:G3"/>
    <mergeCell ref="H2:H3"/>
    <mergeCell ref="AC2:AC3"/>
    <mergeCell ref="AD2:AD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Catarina Elen Costa Beserra</dc:creator>
  <cp:keywords/>
  <dc:description/>
  <cp:lastModifiedBy/>
  <cp:revision/>
  <dcterms:created xsi:type="dcterms:W3CDTF">2026-02-09T12:13:55Z</dcterms:created>
  <dcterms:modified xsi:type="dcterms:W3CDTF">2026-04-10T01:43:05Z</dcterms:modified>
  <cp:category/>
  <cp:contentStatus/>
</cp:coreProperties>
</file>